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arlo.sotomayor\Documents\VB.NET APPS\MIA\"/>
    </mc:Choice>
  </mc:AlternateContent>
  <xr:revisionPtr revIDLastSave="0" documentId="13_ncr:1_{4022CF03-E1D7-4851-A160-07CE08A34CBE}" xr6:coauthVersionLast="45" xr6:coauthVersionMax="45" xr10:uidLastSave="{00000000-0000-0000-0000-000000000000}"/>
  <bookViews>
    <workbookView xWindow="21480" yWindow="-120" windowWidth="21840" windowHeight="13140" tabRatio="599" firstSheet="7" activeTab="7" xr2:uid="{00000000-000D-0000-FFFF-FFFF00000000}"/>
  </bookViews>
  <sheets>
    <sheet name="11予算諸元表" sheetId="14" state="hidden" r:id="rId1"/>
    <sheet name="13予算諸元表" sheetId="21" state="hidden" r:id="rId2"/>
    <sheet name="Sheet1" sheetId="15" state="hidden" r:id="rId3"/>
    <sheet name="Sheet1 (2)" sheetId="18" state="hidden" r:id="rId4"/>
    <sheet name="Sheet5" sheetId="19" state="hidden" r:id="rId5"/>
    <sheet name="RESIN" sheetId="10" state="hidden" r:id="rId6"/>
    <sheet name="予算諸元表" sheetId="9" state="hidden" r:id="rId7"/>
    <sheet name="Cost Table" sheetId="6" r:id="rId8"/>
    <sheet name="Sheet2" sheetId="34" r:id="rId9"/>
    <sheet name="Resin Recycle (2)" sheetId="33" r:id="rId10"/>
    <sheet name="Anneal" sheetId="30" r:id="rId11"/>
    <sheet name="Resin Recycle" sheetId="31" r:id="rId12"/>
    <sheet name="MTMH" sheetId="32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\a">#REF!</definedName>
    <definedName name="\b">#REF!</definedName>
    <definedName name="\c">#REF!</definedName>
    <definedName name="\d">#REF!</definedName>
    <definedName name="\h">#REF!</definedName>
    <definedName name="\i">#REF!</definedName>
    <definedName name="\l">#REF!</definedName>
    <definedName name="\p">#N/A</definedName>
    <definedName name="\r">#REF!</definedName>
    <definedName name="\s">#REF!</definedName>
    <definedName name="\t">#REF!</definedName>
    <definedName name="\u">#REF!</definedName>
    <definedName name="\v">#REF!</definedName>
    <definedName name="\y">#REF!</definedName>
    <definedName name="__1__123Graph_Aｸﾞﾗﾌ_1" hidden="1">'[1]15 出来高'!$C$7:$E$7</definedName>
    <definedName name="__10__123Graph_Aｸﾞﾗﾌ_6" hidden="1">'[1]18 切割'!$B$17:$E$17</definedName>
    <definedName name="__11__123Graph_Aｸﾞﾗﾌ_7" hidden="1">'[1]15 出来高'!$C$37:$E$37</definedName>
    <definedName name="__12__123Graph_Aｸﾞﾗﾌ_8" hidden="1">'[1]15 出来高'!$C$43:$E$43</definedName>
    <definedName name="__123Graph_A" localSheetId="1" hidden="1">[2]投資利益率計算!#REF!</definedName>
    <definedName name="__123Graph_A" hidden="1">[2]投資利益率計算!#REF!</definedName>
    <definedName name="__123Graph_A\B118" localSheetId="1" hidden="1">#REF!</definedName>
    <definedName name="__123Graph_A\B118" hidden="1">#REF!</definedName>
    <definedName name="__123Graph_AROI" localSheetId="1" hidden="1">#REF!</definedName>
    <definedName name="__123Graph_AROI" hidden="1">#REF!</definedName>
    <definedName name="__123Graph_B" localSheetId="1" hidden="1">[2]投資利益率計算!#REF!</definedName>
    <definedName name="__123Graph_B" hidden="1">[2]投資利益率計算!#REF!</definedName>
    <definedName name="__123Graph_B\B11" localSheetId="1" hidden="1">#REF!</definedName>
    <definedName name="__123Graph_B\B11" hidden="1">#REF!</definedName>
    <definedName name="__123Graph_B\B118" localSheetId="1" hidden="1">#REF!</definedName>
    <definedName name="__123Graph_B\B118" hidden="1">#REF!</definedName>
    <definedName name="__123Graph_C" localSheetId="1" hidden="1">[2]投資利益率計算!#REF!</definedName>
    <definedName name="__123Graph_C" hidden="1">[2]投資利益率計算!#REF!</definedName>
    <definedName name="__123Graph_C\B118" localSheetId="1" hidden="1">#REF!</definedName>
    <definedName name="__123Graph_C\B118" hidden="1">#REF!</definedName>
    <definedName name="__123Graph_D" localSheetId="1" hidden="1">[2]投資利益率計算!#REF!</definedName>
    <definedName name="__123Graph_D" hidden="1">[2]投資利益率計算!#REF!</definedName>
    <definedName name="__123Graph_X" localSheetId="1" hidden="1">[2]投資利益率計算!#REF!</definedName>
    <definedName name="__123Graph_X" hidden="1">[2]投資利益率計算!#REF!</definedName>
    <definedName name="__123Graph_X\B11" localSheetId="1" hidden="1">#REF!</definedName>
    <definedName name="__123Graph_X\B11" hidden="1">#REF!</definedName>
    <definedName name="__123Graph_XROI" localSheetId="1" hidden="1">#REF!</definedName>
    <definedName name="__123Graph_XROI" hidden="1">#REF!</definedName>
    <definedName name="__13__123Graph_Bｸﾞﾗﾌ_1" hidden="1">'[1]15 出来高'!#REF!</definedName>
    <definedName name="__14__123Graph_Bｸﾞﾗﾌ_16" hidden="1">'[1]16 着色'!$B$5:$E$5</definedName>
    <definedName name="__15__123Graph_Bｸﾞﾗﾌ_17" hidden="1">'[1]16 着色'!$B$30:$E$30</definedName>
    <definedName name="__16__123Graph_Bｸﾞﾗﾌ_18" hidden="1">'[1]17 テープ'!$B$5:$E$5</definedName>
    <definedName name="__17__123Graph_Bｸﾞﾗﾌ_19" hidden="1">'[1]17 テープ'!$B$35:$E$35</definedName>
    <definedName name="__18__123Graph_Bｸﾞﾗﾌ_2" hidden="1">'[1]15 出来高'!$C$18:$E$18</definedName>
    <definedName name="__19__123Graph_Bｸﾞﾗﾌ_4" hidden="1">'[1]15 出来高'!$C$30:$E$30</definedName>
    <definedName name="__2__123Graph_Aｸﾞﾗﾌ_16" hidden="1">'[1]16 着色'!$B$4:$E$4</definedName>
    <definedName name="__20__123Graph_Bｸﾞﾗﾌ_5" hidden="1">'[1]18 切割'!$B$5:$E$5</definedName>
    <definedName name="__21__123Graph_Bｸﾞﾗﾌ_6" hidden="1">'[1]18 切割'!$B$18:$E$18</definedName>
    <definedName name="__22__123Graph_Bｸﾞﾗﾌ_8" hidden="1">'[1]15 出来高'!$C$42:$E$42</definedName>
    <definedName name="__23__123Graph_Cｸﾞﾗﾌ_1" hidden="1">[3]A!$B$38:$G$38</definedName>
    <definedName name="__24__123Graph_Cｸﾞﾗﾌ_16" hidden="1">'[1]16 着色'!$B$6:$E$6</definedName>
    <definedName name="__25__123Graph_Cｸﾞﾗﾌ_17" hidden="1">'[1]16 着色'!$B$31:$E$31</definedName>
    <definedName name="__26__123Graph_Cｸﾞﾗﾌ_18" hidden="1">'[1]17 テープ'!$B$6:$E$6</definedName>
    <definedName name="__27__123Graph_Cｸﾞﾗﾌ_19" hidden="1">'[1]17 テープ'!$B$36:$E$36</definedName>
    <definedName name="__28__123Graph_Cｸﾞﾗﾌ_2" hidden="1">[3]A!#REF!</definedName>
    <definedName name="__29__123Graph_Cｸﾞﾗﾌ_3" hidden="1">[3]A!#REF!</definedName>
    <definedName name="__3__123Graph_Aｸﾞﾗﾌ_17" hidden="1">'[1]16 着色'!$B$29:$E$29</definedName>
    <definedName name="__30__123Graph_Cｸﾞﾗﾌ_5" hidden="1">'[1]18 切割'!$B$6:$E$6</definedName>
    <definedName name="__31__123Graph_Cｸﾞﾗﾌ_6" hidden="1">'[1]18 切割'!$B$19:$E$19</definedName>
    <definedName name="__32__123Graph_Dｸﾞﾗﾌ_1" hidden="1">[3]A!$B$39:$G$39</definedName>
    <definedName name="__33__123Graph_Dｸﾞﾗﾌ_16" hidden="1">'[1]16 着色'!$B$7:$E$7</definedName>
    <definedName name="__34__123Graph_Dｸﾞﾗﾌ_17" hidden="1">'[1]16 着色'!#REF!</definedName>
    <definedName name="__35__123Graph_Dｸﾞﾗﾌ_18" hidden="1">'[1]17 テープ'!$B$7:$E$7</definedName>
    <definedName name="__36__123Graph_Dｸﾞﾗﾌ_19" hidden="1">'[1]17 テープ'!$B$37:$E$37</definedName>
    <definedName name="__37__123Graph_Dｸﾞﾗﾌ_2" hidden="1">[3]A!#REF!</definedName>
    <definedName name="__38__123Graph_Dｸﾞﾗﾌ_3" hidden="1">[3]A!#REF!</definedName>
    <definedName name="__39__123Graph_Dｸﾞﾗﾌ_5" hidden="1">'[1]18 切割'!$B$7:$E$7</definedName>
    <definedName name="__4__123Graph_Aｸﾞﾗﾌ_18" hidden="1">'[1]17 テープ'!$B$4:$E$4</definedName>
    <definedName name="__40__123Graph_Dｸﾞﾗﾌ_6" hidden="1">'[1]18 切割'!$B$20:$E$20</definedName>
    <definedName name="__41__123Graph_Eｸﾞﾗﾌ_16" hidden="1">'[1]16 着色'!$B$9:$E$9</definedName>
    <definedName name="__42__123Graph_Eｸﾞﾗﾌ_17" hidden="1">'[1]16 着色'!$B$34:$E$34</definedName>
    <definedName name="__43__123Graph_Eｸﾞﾗﾌ_18" hidden="1">'[1]17 テープ'!$B$8:$E$8</definedName>
    <definedName name="__44__123Graph_Eｸﾞﾗﾌ_19" hidden="1">'[1]17 テープ'!$B$38:$E$38</definedName>
    <definedName name="__45__123Graph_Eｸﾞﾗﾌ_2" hidden="1">[3]A!#REF!</definedName>
    <definedName name="__46__123Graph_Eｸﾞﾗﾌ_3" hidden="1">[3]A!#REF!</definedName>
    <definedName name="__47__123Graph_Eｸﾞﾗﾌ_5" hidden="1">'[1]18 切割'!$B$8:$E$8</definedName>
    <definedName name="__48__123Graph_Eｸﾞﾗﾌ_6" hidden="1">'[1]18 切割'!$B$21:$E$21</definedName>
    <definedName name="__49__123Graph_Fｸﾞﾗﾌ_16" hidden="1">'[1]16 着色'!#REF!</definedName>
    <definedName name="__5__123Graph_Aｸﾞﾗﾌ_19" hidden="1">'[1]17 テープ'!$B$34:$E$34</definedName>
    <definedName name="__50__123Graph_Fｸﾞﾗﾌ_17" hidden="1">'[1]16 着色'!#REF!</definedName>
    <definedName name="__51__123Graph_Fｸﾞﾗﾌ_18" hidden="1">'[1]17 テープ'!$B$10:$E$10</definedName>
    <definedName name="__52__123Graph_Fｸﾞﾗﾌ_19" hidden="1">'[1]17 テープ'!$B$40:$E$40</definedName>
    <definedName name="__53__123Graph_Fｸﾞﾗﾌ_5" hidden="1">'[1]18 切割'!$B$12:$E$12</definedName>
    <definedName name="__54__123Graph_Fｸﾞﾗﾌ_6" hidden="1">'[1]18 切割'!$B$25:$E$25</definedName>
    <definedName name="__55__123Graph_Xｸﾞﾗﾌ_1" hidden="1">'[1]15 出来高'!$C$4:$E$4</definedName>
    <definedName name="__56__123Graph_Xｸﾞﾗﾌ_17" hidden="1">'[1]16 着色'!$B$28:$E$28</definedName>
    <definedName name="__57__123Graph_Xｸﾞﾗﾌ_19" hidden="1">'[1]17 テープ'!$B$33:$E$33</definedName>
    <definedName name="__58__123Graph_Xｸﾞﾗﾌ_2" hidden="1">'[1]15 出来高'!$C$4:$E$4</definedName>
    <definedName name="__59__123Graph_Xｸﾞﾗﾌ_3" hidden="1">'[1]15 出来高'!$C$4:$E$4</definedName>
    <definedName name="__6__123Graph_Aｸﾞﾗﾌ_2" hidden="1">'[1]15 出来高'!$C$19:$E$19</definedName>
    <definedName name="__60__123Graph_Xｸﾞﾗﾌ_4" hidden="1">'[1]15 出来高'!$C$4:$E$4</definedName>
    <definedName name="__61__123Graph_Xｸﾞﾗﾌ_6" hidden="1">'[1]18 切割'!$B$16:$E$16</definedName>
    <definedName name="__62__123Graph_Xｸﾞﾗﾌ_8" hidden="1">'[1]15 出来高'!$C$4:$E$4</definedName>
    <definedName name="__7__123Graph_Aｸﾞﾗﾌ_3" hidden="1">'[1]15 出来高'!$C$25:$E$25</definedName>
    <definedName name="__8__123Graph_Aｸﾞﾗﾌ_4" hidden="1">'[1]15 出来高'!$C$31:$E$31</definedName>
    <definedName name="__9__123Graph_Aｸﾞﾗﾌ_5" hidden="1">'[1]18 切割'!$B$4:$E$4</definedName>
    <definedName name="__Key1" hidden="1">#REF!</definedName>
    <definedName name="_1__123Graph_AF_S" localSheetId="0" hidden="1">#REF!</definedName>
    <definedName name="_1__123Graph_Aｸﾞﾗﾌ_1" hidden="1">'[1]15 出来高'!$C$7:$E$7</definedName>
    <definedName name="_10__123Graph_Aｸﾞﾗﾌ_15" hidden="1">[4]Sheet1!#REF!</definedName>
    <definedName name="_10__123Graph_Aｸﾞﾗﾌ_6" hidden="1">'[1]18 切割'!$B$17:$E$17</definedName>
    <definedName name="_100__123Graph_LBL_Aｸﾞﾗﾌ_13" hidden="1">[4]Sheet1!#REF!</definedName>
    <definedName name="_101__123Graph_LBL_Aｸﾞﾗﾌ_14" hidden="1">[4]Sheet1!#REF!</definedName>
    <definedName name="_102__123Graph_LBL_Aｸﾞﾗﾌ_15" hidden="1">[4]Sheet1!#REF!</definedName>
    <definedName name="_103__123Graph_LBL_Aｸﾞﾗﾌ_16" hidden="1">[4]Sheet1!#REF!</definedName>
    <definedName name="_104__123Graph_LBL_Aｸﾞﾗﾌ_17" hidden="1">#REF!</definedName>
    <definedName name="_105__123Graph_LBL_Aｸﾞﾗﾌ_18" hidden="1">#REF!</definedName>
    <definedName name="_106__123Graph_LBL_Aｸﾞﾗﾌ_2" hidden="1">[4]Sheet1!#REF!</definedName>
    <definedName name="_107__123Graph_LBL_Aｸﾞﾗﾌ_3" hidden="1">[4]Sheet1!#REF!</definedName>
    <definedName name="_108__123Graph_LBL_Aｸﾞﾗﾌ_4" hidden="1">[4]Sheet1!#REF!</definedName>
    <definedName name="_109__123Graph_LBL_Aｸﾞﾗﾌ_5" hidden="1">[4]Sheet1!#REF!</definedName>
    <definedName name="_11__123Graph_Aｸﾞﾗﾌ_16" hidden="1">[4]Sheet1!#REF!</definedName>
    <definedName name="_11__123Graph_Aｸﾞﾗﾌ_7" hidden="1">'[1]15 出来高'!$C$37:$E$37</definedName>
    <definedName name="_110__123Graph_LBL_Aｸﾞﾗﾌ_6" hidden="1">[4]Sheet1!#REF!</definedName>
    <definedName name="_111" hidden="1">'[5]15 出来高'!#REF!</definedName>
    <definedName name="_111__123Graph_LBL_Aｸﾞﾗﾌ_7" hidden="1">[4]Sheet1!#REF!</definedName>
    <definedName name="_112__123Graph_LBL_Aｸﾞﾗﾌ_8" hidden="1">[4]Sheet1!#REF!</definedName>
    <definedName name="_113__123Graph_LBL_Aｸﾞﾗﾌ_9" hidden="1">[4]Sheet1!#REF!</definedName>
    <definedName name="_114__123Graph_XF_S" localSheetId="0" hidden="1">#REF!</definedName>
    <definedName name="_115__123Graph_XF_S" localSheetId="1" hidden="1">#REF!</definedName>
    <definedName name="_116__123Graph_XF_S" hidden="1">#REF!</definedName>
    <definedName name="_117__123Graph_Xｸﾞﾗﾌ_1" hidden="1">[4]Sheet1!$C$39:$C$111</definedName>
    <definedName name="_118__123Graph_Xｸﾞﾗﾌ_10" hidden="1">[4]Sheet1!$C$39:$C$111</definedName>
    <definedName name="_119__123Graph_Xｸﾞﾗﾌ_11" hidden="1">[4]Sheet1!$C$39:$C$111</definedName>
    <definedName name="_12__123Graph_Aｸﾞﾗﾌ_17" hidden="1">#REF!</definedName>
    <definedName name="_12__123Graph_Aｸﾞﾗﾌ_8" hidden="1">'[1]15 出来高'!$C$43:$E$43</definedName>
    <definedName name="_120__123Graph_Xｸﾞﾗﾌ_12" hidden="1">[4]Sheet1!$C$39:$C$111</definedName>
    <definedName name="_121__123Graph_Xｸﾞﾗﾌ_13" hidden="1">[4]Sheet1!$C$39:$C$111</definedName>
    <definedName name="_122__123Graph_Xｸﾞﾗﾌ_14" hidden="1">[4]Sheet1!$C$39:$C$111</definedName>
    <definedName name="_123__123Graph_Xｸﾞﾗﾌ_15" hidden="1">[4]Sheet1!$C$39:$C$111</definedName>
    <definedName name="_123Graph_D" hidden="1">[3]A!#REF!</definedName>
    <definedName name="_124__123Graph_Xｸﾞﾗﾌ_16" hidden="1">[4]Sheet1!$C$39:$C$111</definedName>
    <definedName name="_125__123Graph_Xｸﾞﾗﾌ_17" hidden="1">#REF!</definedName>
    <definedName name="_126__123Graph_Xｸﾞﾗﾌ_18" hidden="1">#REF!</definedName>
    <definedName name="_127__123Graph_Xｸﾞﾗﾌ_19" hidden="1">'[1]17 テープ'!$B$33:$E$33</definedName>
    <definedName name="_128__123Graph_Xｸﾞﾗﾌ_2" hidden="1">[4]Sheet1!$C$39:$C$111</definedName>
    <definedName name="_129__123Graph_Xｸﾞﾗﾌ_3" hidden="1">[4]Sheet1!$C$39:$C$111</definedName>
    <definedName name="_13__123Graph_Aｸﾞﾗﾌ_18" hidden="1">#REF!</definedName>
    <definedName name="_13__123Graph_Bｸﾞﾗﾌ_1" hidden="1">'[1]15 出来高'!#REF!</definedName>
    <definedName name="_130__123Graph_Xｸﾞﾗﾌ_4" hidden="1">[4]Sheet1!$C$39:$C$111</definedName>
    <definedName name="_131__123Graph_Xｸﾞﾗﾌ_5" hidden="1">[4]Sheet1!$C$39:$C$111</definedName>
    <definedName name="_132__123Graph_Xｸﾞﾗﾌ_6" hidden="1">[4]Sheet1!$C$39:$C$111</definedName>
    <definedName name="_133__123Graph_Xｸﾞﾗﾌ_7" hidden="1">[4]Sheet1!$C$39:$C$111</definedName>
    <definedName name="_134__123Graph_Xｸﾞﾗﾌ_8" hidden="1">[4]Sheet1!$C$39:$C$111</definedName>
    <definedName name="_135__123Graph_Xｸﾞﾗﾌ_9" hidden="1">[4]Sheet1!$C$39:$C$111</definedName>
    <definedName name="_136_070423_製品系統付け">#REF!</definedName>
    <definedName name="_14__123Graph_Aｸﾞﾗﾌ_19" hidden="1">'[1]17 テープ'!$B$34:$E$34</definedName>
    <definedName name="_14__123Graph_Bｸﾞﾗﾌ_16" hidden="1">'[1]16 着色'!$B$5:$E$5</definedName>
    <definedName name="_15__123Graph_Aｸﾞﾗﾌ_2" hidden="1">[4]Sheet1!$E$39:$E$93</definedName>
    <definedName name="_15__123Graph_Bｸﾞﾗﾌ_17" hidden="1">'[1]16 着色'!$B$30:$E$30</definedName>
    <definedName name="_16__123Graph_Aｸﾞﾗﾌ_3" hidden="1">[4]Sheet1!#REF!</definedName>
    <definedName name="_16__123Graph_Bｸﾞﾗﾌ_18" hidden="1">'[1]17 テープ'!$B$5:$E$5</definedName>
    <definedName name="_17__123Graph_Aｸﾞﾗﾌ_4" hidden="1">[4]Sheet1!#REF!</definedName>
    <definedName name="_17__123Graph_Bｸﾞﾗﾌ_19" hidden="1">'[1]17 テープ'!$B$35:$E$35</definedName>
    <definedName name="_18__123Graph_Aｸﾞﾗﾌ_5" hidden="1">[4]Sheet1!#REF!</definedName>
    <definedName name="_18__123Graph_Bｸﾞﾗﾌ_2" hidden="1">'[1]15 出来高'!$C$18:$E$18</definedName>
    <definedName name="_19__123Graph_Aｸﾞﾗﾌ_6" hidden="1">[4]Sheet1!#REF!</definedName>
    <definedName name="_19__123Graph_Bｸﾞﾗﾌ_4" hidden="1">'[1]15 出来高'!$C$30:$E$30</definedName>
    <definedName name="_2__123Graph_AF_S" localSheetId="1" hidden="1">#REF!</definedName>
    <definedName name="_2__123Graph_Aｸﾞﾗﾌ_16" hidden="1">'[1]16 着色'!$B$4:$E$4</definedName>
    <definedName name="_20__123Graph_Aｸﾞﾗﾌ_7" hidden="1">[4]Sheet1!#REF!</definedName>
    <definedName name="_20__123Graph_Bｸﾞﾗﾌ_5" hidden="1">'[1]18 切割'!$B$5:$E$5</definedName>
    <definedName name="_21__123Graph_Aｸﾞﾗﾌ_8" hidden="1">[4]Sheet1!#REF!</definedName>
    <definedName name="_21__123Graph_Bｸﾞﾗﾌ_6" hidden="1">'[1]18 切割'!$B$18:$E$18</definedName>
    <definedName name="_22__123Graph_Aｸﾞﾗﾌ_9" hidden="1">[4]Sheet1!#REF!</definedName>
    <definedName name="_22__123Graph_Bｸﾞﾗﾌ_8" hidden="1">'[1]15 出来高'!$C$42:$E$42</definedName>
    <definedName name="_23__123Graph_BF_S" localSheetId="0" hidden="1">#REF!</definedName>
    <definedName name="_23__123Graph_Cｸﾞﾗﾌ_1" hidden="1">[3]A!$B$38:$G$38</definedName>
    <definedName name="_24__123Graph_BF_S" localSheetId="1" hidden="1">#REF!</definedName>
    <definedName name="_24__123Graph_Cｸﾞﾗﾌ_16" hidden="1">'[1]16 着色'!$B$6:$E$6</definedName>
    <definedName name="_25__123Graph_BF_S" hidden="1">#REF!</definedName>
    <definedName name="_25__123Graph_Cｸﾞﾗﾌ_17" hidden="1">'[1]16 着色'!$B$31:$E$31</definedName>
    <definedName name="_26__123Graph_Bｸﾞﾗﾌ_1" hidden="1">[4]Sheet1!#REF!</definedName>
    <definedName name="_26__123Graph_Cｸﾞﾗﾌ_18" hidden="1">'[1]17 テープ'!$B$6:$E$6</definedName>
    <definedName name="_27__123Graph_Bｸﾞﾗﾌ_10" hidden="1">[4]Sheet1!#REF!</definedName>
    <definedName name="_27__123Graph_Cｸﾞﾗﾌ_19" hidden="1">'[1]17 テープ'!$B$36:$E$36</definedName>
    <definedName name="_28__123Graph_Bｸﾞﾗﾌ_11" hidden="1">[4]Sheet1!#REF!</definedName>
    <definedName name="_28__123Graph_Cｸﾞﾗﾌ_2" hidden="1">[3]A!#REF!</definedName>
    <definedName name="_29__123Graph_Bｸﾞﾗﾌ_12" hidden="1">[4]Sheet1!#REF!</definedName>
    <definedName name="_29__123Graph_Cｸﾞﾗﾌ_3" hidden="1">[3]A!#REF!</definedName>
    <definedName name="_3__123Graph_AF_S" hidden="1">#REF!</definedName>
    <definedName name="_3__123Graph_Aｸﾞﾗﾌ_17" hidden="1">'[1]16 着色'!$B$29:$E$29</definedName>
    <definedName name="_30__123Graph_Bｸﾞﾗﾌ_13" hidden="1">[4]Sheet1!#REF!</definedName>
    <definedName name="_30__123Graph_Cｸﾞﾗﾌ_5" hidden="1">'[1]18 切割'!$B$6:$E$6</definedName>
    <definedName name="_31__123Graph_Bｸﾞﾗﾌ_14" hidden="1">[4]Sheet1!#REF!</definedName>
    <definedName name="_31__123Graph_Cｸﾞﾗﾌ_6" hidden="1">'[1]18 切割'!$B$19:$E$19</definedName>
    <definedName name="_32__123Graph_Bｸﾞﾗﾌ_15" hidden="1">[4]Sheet1!#REF!</definedName>
    <definedName name="_32__123Graph_Dｸﾞﾗﾌ_1" hidden="1">[3]A!$B$39:$G$39</definedName>
    <definedName name="_33__123Graph_Bｸﾞﾗﾌ_16" hidden="1">[4]Sheet1!#REF!</definedName>
    <definedName name="_33__123Graph_Dｸﾞﾗﾌ_16" hidden="1">'[1]16 着色'!$B$7:$E$7</definedName>
    <definedName name="_34__123Graph_Bｸﾞﾗﾌ_17" hidden="1">#REF!</definedName>
    <definedName name="_34__123Graph_Dｸﾞﾗﾌ_17" hidden="1">'[1]16 着色'!#REF!</definedName>
    <definedName name="_35__123Graph_Bｸﾞﾗﾌ_18" hidden="1">#REF!</definedName>
    <definedName name="_35__123Graph_Dｸﾞﾗﾌ_18" hidden="1">'[1]17 テープ'!$B$7:$E$7</definedName>
    <definedName name="_36__123Graph_Bｸﾞﾗﾌ_19" hidden="1">'[1]17 テープ'!$B$35:$E$35</definedName>
    <definedName name="_36__123Graph_Dｸﾞﾗﾌ_19" hidden="1">'[1]17 テープ'!$B$37:$E$37</definedName>
    <definedName name="_37__123Graph_Bｸﾞﾗﾌ_2" hidden="1">[4]Sheet1!$F$39:$F$93</definedName>
    <definedName name="_37__123Graph_Dｸﾞﾗﾌ_2" hidden="1">[3]A!#REF!</definedName>
    <definedName name="_38__123Graph_Bｸﾞﾗﾌ_3" hidden="1">[4]Sheet1!#REF!</definedName>
    <definedName name="_38__123Graph_Dｸﾞﾗﾌ_3" hidden="1">[3]A!#REF!</definedName>
    <definedName name="_39__123Graph_Bｸﾞﾗﾌ_4" hidden="1">[4]Sheet1!#REF!</definedName>
    <definedName name="_39__123Graph_Dｸﾞﾗﾌ_5" hidden="1">'[1]18 切割'!$B$7:$E$7</definedName>
    <definedName name="_4__123Graph_Aｸﾞﾗﾌ_1" hidden="1">[4]Sheet1!#REF!</definedName>
    <definedName name="_4__123Graph_Aｸﾞﾗﾌ_18" hidden="1">'[1]17 テープ'!$B$4:$E$4</definedName>
    <definedName name="_40__123Graph_Bｸﾞﾗﾌ_5" hidden="1">[4]Sheet1!#REF!</definedName>
    <definedName name="_40__123Graph_Dｸﾞﾗﾌ_6" hidden="1">'[1]18 切割'!$B$20:$E$20</definedName>
    <definedName name="_41__123Graph_Bｸﾞﾗﾌ_6" hidden="1">[4]Sheet1!#REF!</definedName>
    <definedName name="_41__123Graph_Eｸﾞﾗﾌ_16" hidden="1">'[1]16 着色'!$B$9:$E$9</definedName>
    <definedName name="_42__123Graph_Bｸﾞﾗﾌ_7" hidden="1">[4]Sheet1!#REF!</definedName>
    <definedName name="_42__123Graph_Eｸﾞﾗﾌ_17" hidden="1">'[1]16 着色'!$B$34:$E$34</definedName>
    <definedName name="_43__123Graph_Bｸﾞﾗﾌ_8" hidden="1">[4]Sheet1!#REF!</definedName>
    <definedName name="_43__123Graph_Eｸﾞﾗﾌ_18" hidden="1">'[1]17 テープ'!$B$8:$E$8</definedName>
    <definedName name="_44__123Graph_Bｸﾞﾗﾌ_9" hidden="1">[4]Sheet1!#REF!</definedName>
    <definedName name="_44__123Graph_Eｸﾞﾗﾌ_19" hidden="1">'[1]17 テープ'!$B$38:$E$38</definedName>
    <definedName name="_45__123Graph_Cｸﾞﾗﾌ_1" hidden="1">[4]Sheet1!#REF!</definedName>
    <definedName name="_45__123Graph_Eｸﾞﾗﾌ_2" hidden="1">[3]A!#REF!</definedName>
    <definedName name="_46__123Graph_Cｸﾞﾗﾌ_10" hidden="1">[4]Sheet1!#REF!</definedName>
    <definedName name="_46__123Graph_Eｸﾞﾗﾌ_3" hidden="1">[3]A!#REF!</definedName>
    <definedName name="_47__123Graph_Cｸﾞﾗﾌ_15" hidden="1">#REF!</definedName>
    <definedName name="_47__123Graph_Eｸﾞﾗﾌ_5" hidden="1">'[1]18 切割'!$B$8:$E$8</definedName>
    <definedName name="_48__123Graph_Cｸﾞﾗﾌ_16" hidden="1">#REF!</definedName>
    <definedName name="_48__123Graph_Eｸﾞﾗﾌ_6" hidden="1">'[1]18 切割'!$B$21:$E$21</definedName>
    <definedName name="_49__123Graph_Cｸﾞﾗﾌ_17" hidden="1">#REF!</definedName>
    <definedName name="_49__123Graph_Fｸﾞﾗﾌ_16" hidden="1">'[1]16 着色'!#REF!</definedName>
    <definedName name="_5__123Graph_Aｸﾞﾗﾌ_10" hidden="1">[4]Sheet1!#REF!</definedName>
    <definedName name="_5__123Graph_Aｸﾞﾗﾌ_19" hidden="1">'[1]17 テープ'!$B$34:$E$34</definedName>
    <definedName name="_50__123Graph_Cｸﾞﾗﾌ_18" hidden="1">#REF!</definedName>
    <definedName name="_50__123Graph_Fｸﾞﾗﾌ_17" hidden="1">'[1]16 着色'!#REF!</definedName>
    <definedName name="_51__123Graph_Cｸﾞﾗﾌ_19" hidden="1">'[1]17 テープ'!$B$36:$E$36</definedName>
    <definedName name="_51__123Graph_Fｸﾞﾗﾌ_18" hidden="1">'[1]17 テープ'!$B$10:$E$10</definedName>
    <definedName name="_52__123Graph_Cｸﾞﾗﾌ_2" hidden="1">[4]Sheet1!$G$39:$G$93</definedName>
    <definedName name="_52__123Graph_Fｸﾞﾗﾌ_19" hidden="1">'[1]17 テープ'!$B$40:$E$40</definedName>
    <definedName name="_53__123Graph_Cｸﾞﾗﾌ_3" hidden="1">[4]Sheet1!#REF!</definedName>
    <definedName name="_53__123Graph_Fｸﾞﾗﾌ_5" hidden="1">'[1]18 切割'!$B$12:$E$12</definedName>
    <definedName name="_54__123Graph_Cｸﾞﾗﾌ_4" hidden="1">[4]Sheet1!#REF!</definedName>
    <definedName name="_54__123Graph_Fｸﾞﾗﾌ_6" hidden="1">'[1]18 切割'!$B$25:$E$25</definedName>
    <definedName name="_55__123Graph_Cｸﾞﾗﾌ_5" hidden="1">[4]Sheet1!#REF!</definedName>
    <definedName name="_55__123Graph_Xｸﾞﾗﾌ_1" hidden="1">'[1]15 出来高'!$C$4:$E$4</definedName>
    <definedName name="_56__123Graph_Cｸﾞﾗﾌ_6" hidden="1">[4]Sheet1!#REF!</definedName>
    <definedName name="_56__123Graph_Xｸﾞﾗﾌ_17" hidden="1">'[1]16 着色'!$B$28:$E$28</definedName>
    <definedName name="_57__123Graph_Cｸﾞﾗﾌ_7" hidden="1">[4]Sheet1!#REF!</definedName>
    <definedName name="_57__123Graph_Xｸﾞﾗﾌ_19" hidden="1">'[1]17 テープ'!$B$33:$E$33</definedName>
    <definedName name="_58__123Graph_Cｸﾞﾗﾌ_8" hidden="1">[4]Sheet1!#REF!</definedName>
    <definedName name="_58__123Graph_Xｸﾞﾗﾌ_2" hidden="1">'[1]15 出来高'!$C$4:$E$4</definedName>
    <definedName name="_59__123Graph_Cｸﾞﾗﾌ_9" hidden="1">[4]Sheet1!#REF!</definedName>
    <definedName name="_59__123Graph_Xｸﾞﾗﾌ_3" hidden="1">'[1]15 出来高'!$C$4:$E$4</definedName>
    <definedName name="_6__123Graph_Aｸﾞﾗﾌ_11" hidden="1">[4]Sheet1!#REF!</definedName>
    <definedName name="_6__123Graph_Aｸﾞﾗﾌ_2" hidden="1">'[1]15 出来高'!$C$19:$E$19</definedName>
    <definedName name="_60__123Graph_Dｸﾞﾗﾌ_1" hidden="1">[4]Sheet1!$D$39:$D$93</definedName>
    <definedName name="_60__123Graph_Xｸﾞﾗﾌ_4" hidden="1">'[1]15 出来高'!$C$4:$E$4</definedName>
    <definedName name="_61__123Graph_Dｸﾞﾗﾌ_10" hidden="1">[4]Sheet1!#REF!</definedName>
    <definedName name="_61__123Graph_Xｸﾞﾗﾌ_6" hidden="1">'[1]18 切割'!$B$16:$E$16</definedName>
    <definedName name="_62__123Graph_Dｸﾞﾗﾌ_15" hidden="1">#REF!</definedName>
    <definedName name="_62__123Graph_Xｸﾞﾗﾌ_8" hidden="1">'[1]15 出来高'!$C$4:$E$4</definedName>
    <definedName name="_63__123Graph_Dｸﾞﾗﾌ_16" hidden="1">#REF!</definedName>
    <definedName name="_64__123Graph_Dｸﾞﾗﾌ_17" hidden="1">#REF!</definedName>
    <definedName name="_65__123Graph_Dｸﾞﾗﾌ_18" hidden="1">#REF!</definedName>
    <definedName name="_66__123Graph_Dｸﾞﾗﾌ_19" hidden="1">'[1]17 テープ'!$B$37:$E$37</definedName>
    <definedName name="_67__123Graph_Dｸﾞﾗﾌ_2" hidden="1">[4]Sheet1!#REF!</definedName>
    <definedName name="_68__123Graph_Dｸﾞﾗﾌ_3" hidden="1">[4]Sheet1!#REF!</definedName>
    <definedName name="_69__123Graph_Dｸﾞﾗﾌ_4" hidden="1">[4]Sheet1!#REF!</definedName>
    <definedName name="_7__123Graph_Aｸﾞﾗﾌ_12" hidden="1">[4]Sheet1!#REF!</definedName>
    <definedName name="_7__123Graph_Aｸﾞﾗﾌ_3" hidden="1">'[1]15 出来高'!$C$25:$E$25</definedName>
    <definedName name="_70__123Graph_Dｸﾞﾗﾌ_5" hidden="1">[4]Sheet1!#REF!</definedName>
    <definedName name="_71__123Graph_Dｸﾞﾗﾌ_6" hidden="1">[4]Sheet1!#REF!</definedName>
    <definedName name="_72__123Graph_Dｸﾞﾗﾌ_7" hidden="1">[4]Sheet1!#REF!</definedName>
    <definedName name="_73__123Graph_Dｸﾞﾗﾌ_8" hidden="1">[4]Sheet1!#REF!</definedName>
    <definedName name="_74__123Graph_Dｸﾞﾗﾌ_9" hidden="1">[4]Sheet1!#REF!</definedName>
    <definedName name="_75__123Graph_Eｸﾞﾗﾌ_1" hidden="1">#REF!</definedName>
    <definedName name="_76__123Graph_Eｸﾞﾗﾌ_10" hidden="1">[4]Sheet1!#REF!</definedName>
    <definedName name="_77__123Graph_Eｸﾞﾗﾌ_16" hidden="1">'[1]16 着色'!$B$9:$E$9</definedName>
    <definedName name="_78__123Graph_Eｸﾞﾗﾌ_17" hidden="1">#REF!</definedName>
    <definedName name="_79__123Graph_Eｸﾞﾗﾌ_18" hidden="1">#REF!</definedName>
    <definedName name="_8__123Graph_Aｸﾞﾗﾌ_13" hidden="1">[4]Sheet1!#REF!</definedName>
    <definedName name="_8__123Graph_Aｸﾞﾗﾌ_4" hidden="1">'[1]15 出来高'!$C$31:$E$31</definedName>
    <definedName name="_80__123Graph_Eｸﾞﾗﾌ_19" hidden="1">'[1]17 テープ'!$B$38:$E$38</definedName>
    <definedName name="_81__123Graph_Eｸﾞﾗﾌ_2" hidden="1">#REF!</definedName>
    <definedName name="_82__123Graph_Eｸﾞﾗﾌ_3" hidden="1">[4]Sheet1!#REF!</definedName>
    <definedName name="_83__123Graph_Eｸﾞﾗﾌ_4" hidden="1">[4]Sheet1!#REF!</definedName>
    <definedName name="_84__123Graph_Eｸﾞﾗﾌ_5" hidden="1">'[1]18 切割'!$B$8:$E$8</definedName>
    <definedName name="_85__123Graph_Eｸﾞﾗﾌ_6" hidden="1">'[1]18 切割'!$B$21:$E$21</definedName>
    <definedName name="_86__123Graph_Eｸﾞﾗﾌ_9" hidden="1">[4]Sheet1!#REF!</definedName>
    <definedName name="_87__123Graph_Fｸﾞﾗﾌ_1" hidden="1">#REF!</definedName>
    <definedName name="_88__123Graph_Fｸﾞﾗﾌ_10" hidden="1">'[6]CHHS AVSS6'!$N$24:$N$32</definedName>
    <definedName name="_89__123Graph_Fｸﾞﾗﾌ_16" hidden="1">'[1]16 着色'!#REF!</definedName>
    <definedName name="_9__123Graph_Aｸﾞﾗﾌ_14" hidden="1">[4]Sheet1!#REF!</definedName>
    <definedName name="_9__123Graph_Aｸﾞﾗﾌ_5" hidden="1">'[1]18 切割'!$B$4:$E$4</definedName>
    <definedName name="_90__123Graph_Fｸﾞﾗﾌ_17" hidden="1">'[1]16 着色'!#REF!</definedName>
    <definedName name="_91__123Graph_Fｸﾞﾗﾌ_18" hidden="1">'[1]17 テープ'!$B$10:$E$10</definedName>
    <definedName name="_92__123Graph_Fｸﾞﾗﾌ_19" hidden="1">'[1]17 テープ'!$B$40:$E$40</definedName>
    <definedName name="_93__123Graph_Fｸﾞﾗﾌ_2" hidden="1">#REF!</definedName>
    <definedName name="_94__123Graph_Fｸﾞﾗﾌ_5" hidden="1">'[1]18 切割'!$B$12:$E$12</definedName>
    <definedName name="_95__123Graph_Fｸﾞﾗﾌ_6" hidden="1">'[1]18 切割'!$B$25:$E$25</definedName>
    <definedName name="_96__123Graph_LBL_Aｸﾞﾗﾌ_1" hidden="1">[4]Sheet1!#REF!</definedName>
    <definedName name="_97__123Graph_LBL_Aｸﾞﾗﾌ_10" hidden="1">[4]Sheet1!#REF!</definedName>
    <definedName name="_98__123Graph_LBL_Aｸﾞﾗﾌ_11" hidden="1">[4]Sheet1!#REF!</definedName>
    <definedName name="_99__123Graph_LBL_Aｸﾞﾗﾌ_12" hidden="1">[4]Sheet1!#REF!</definedName>
    <definedName name="_Fill" localSheetId="1" hidden="1">#REF!</definedName>
    <definedName name="_Fill" hidden="1">#REF!</definedName>
    <definedName name="_xlnm._FilterDatabase" localSheetId="2" hidden="1">Sheet1!$A$2:$K$292</definedName>
    <definedName name="_GMT610">[0]!_GMT610</definedName>
    <definedName name="_Key1" localSheetId="1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localSheetId="1" hidden="1">#REF!</definedName>
    <definedName name="_Sort" hidden="1">#REF!</definedName>
    <definedName name="_SUB1">#REF!</definedName>
    <definedName name="_SUM1">#REF!</definedName>
    <definedName name="_SUM2">#REF!</definedName>
    <definedName name="_Table1_In1" hidden="1">#REF!</definedName>
    <definedName name="_Table1_Out" hidden="1">#REF!</definedName>
    <definedName name="A">#REF!</definedName>
    <definedName name="aa">[0]!aa</definedName>
    <definedName name="AB">#REF!</definedName>
    <definedName name="Advertising_Promotions">#REF!</definedName>
    <definedName name="after">[0]!after</definedName>
    <definedName name="after2">[0]!after2</definedName>
    <definedName name="Agreed_Direct">#REF!</definedName>
    <definedName name="Agreed_Indirect">#REF!</definedName>
    <definedName name="Agreed_Labor">#REF!</definedName>
    <definedName name="Agreed_Material">#REF!</definedName>
    <definedName name="Agreed_MBFT">#REF!</definedName>
    <definedName name="Agreed_Profit">#REF!</definedName>
    <definedName name="Agreed_SGA">#REF!</definedName>
    <definedName name="AKA" hidden="1">{"'受発行文書'!$A$4:$D$28"}</definedName>
    <definedName name="Annual_Days">'[7]Machine Data'!$I$6</definedName>
    <definedName name="Annual_Uptime">'[7]Machine Data'!$C$18</definedName>
    <definedName name="AS2DocOpenMode" hidden="1">"AS2DocumentBrowse"</definedName>
    <definedName name="AS2NamedRange" hidden="1">5</definedName>
    <definedName name="Assembly_Operations">'[7]Machine Rate Data'!$B$8:$B$12</definedName>
    <definedName name="Assembly_Time">#REF!</definedName>
    <definedName name="B">#REF!</definedName>
    <definedName name="Bad_Debt_Expense">#REF!</definedName>
    <definedName name="base" hidden="1">{"'受発行文書'!$A$4:$D$28"}</definedName>
    <definedName name="Battery_Cable_Harness">'[7]Material Data'!$AH$9:$AH$18</definedName>
    <definedName name="BC">#REF!</definedName>
    <definedName name="Benefits">#REF!</definedName>
    <definedName name="bf">#REF!</definedName>
    <definedName name="BillOfMaterial">'[8]Bill of Mat'!$A$4:$I$61</definedName>
    <definedName name="Building">#REF!</definedName>
    <definedName name="Building_Maintenance">#REF!</definedName>
    <definedName name="Bus._Computer_Equip">#REF!</definedName>
    <definedName name="C.I.P.__1">#REF!</definedName>
    <definedName name="C.I.P.__2">#REF!</definedName>
    <definedName name="C.I.P.__3">#REF!</definedName>
    <definedName name="C.I.P.__4">#REF!</definedName>
    <definedName name="C.I.P.__5">#REF!</definedName>
    <definedName name="C.I.P.__6">#REF!</definedName>
    <definedName name="CAPITAL">#REF!</definedName>
    <definedName name="CD">#REF!</definedName>
    <definedName name="Chart">'[9]Machine Balance'!$C$57</definedName>
    <definedName name="CIP_Ideas">#REF!</definedName>
    <definedName name="ClearData">[0]!ClearData</definedName>
    <definedName name="CLIP">'[7]2005 DGSS Component Prices'!$D$2:$D$1320</definedName>
    <definedName name="CNSLD">#REF!</definedName>
    <definedName name="CO">#REF!</definedName>
    <definedName name="CO_Dur">#REF!</definedName>
    <definedName name="CO_Freq">#REF!</definedName>
    <definedName name="Co_op_Advertising">#REF!</definedName>
    <definedName name="CO_Percent">#REF!</definedName>
    <definedName name="CO_Time_per_Cycle">#REF!</definedName>
    <definedName name="COAX_CABLE">'[7]Material Data'!$D$55:$D$70</definedName>
    <definedName name="COAX_CONNECTOR">'[7]2005 DGSS Component Prices'!$D$23962:$D$24021</definedName>
    <definedName name="Coax_Harness">'[7]Machine Rate Data'!$B$28:$B$38</definedName>
    <definedName name="COAXIAL_HARNESS">'[7]Material Data'!$AA$9:$AA$18</definedName>
    <definedName name="code">#REF!</definedName>
    <definedName name="Commissions">#REF!</definedName>
    <definedName name="CONDUIT">'[7]2005 DGSS Component Prices'!$D$1321:$D$2803</definedName>
    <definedName name="CONNECTOR">'[7]2005 DGSS Component Prices'!$D$2804:$D$15646</definedName>
    <definedName name="Cons_Dur">#REF!</definedName>
    <definedName name="Cons_Freq">#REF!</definedName>
    <definedName name="Cons_Percent">#REF!</definedName>
    <definedName name="Cons_Time_per_Cycle">#REF!</definedName>
    <definedName name="Container_Size">'[7]Transportation Data'!$V$7:$V$9</definedName>
    <definedName name="Corp_Mat_l_Qtly_Alloc">#REF!</definedName>
    <definedName name="Cost_per_Machine">#REF!</definedName>
    <definedName name="crit">#REF!</definedName>
    <definedName name="_xlnm.Criteria">#REF!</definedName>
    <definedName name="Cum_FTQ_Loss">'[9]Machine Balance'!$S$10:$S$12</definedName>
    <definedName name="current_date">#REF!</definedName>
    <definedName name="Customer_Evals">#REF!</definedName>
    <definedName name="Cycle_Time">#REF!</definedName>
    <definedName name="Ｄ">#REF!</definedName>
    <definedName name="Data_Input">'[9]Machine Balance'!$A$5</definedName>
    <definedName name="_xlnm.Database">#REF!</definedName>
    <definedName name="Day_Week">[9]Takt!#REF!</definedName>
    <definedName name="Days">#REF!</definedName>
    <definedName name="Default_IndLabor">'[7]Markup Data'!$D$11</definedName>
    <definedName name="DeleteRows">[0]!DeleteRows</definedName>
    <definedName name="DeleteTaktLine">[0]!DeleteTaktLine</definedName>
    <definedName name="Delphi">'[7]Transportation Data'!$U$49:$U$50</definedName>
    <definedName name="Depreciation">#REF!</definedName>
    <definedName name="DEPT">#REF!</definedName>
    <definedName name="Design_Cycle_Time">#REF!</definedName>
    <definedName name="DGSS_DATA">'[7]2005 DGSS Component Prices'!$B$2:$H$24021</definedName>
    <definedName name="DIALOGBOX">#REF!</definedName>
    <definedName name="Direct_Labor">#REF!</definedName>
    <definedName name="DIV">#REF!</definedName>
    <definedName name="Downstream_Loss_Contribution">'[9]Machine Balance'!$AM$10:$AM$12</definedName>
    <definedName name="Duration">[9]Takt!$C$9</definedName>
    <definedName name="ecode">#REF!</definedName>
    <definedName name="eeee" hidden="1">[3]A!#REF!</definedName>
    <definedName name="Eff_Mach_CT">#REF!</definedName>
    <definedName name="Efficiency">#REF!</definedName>
    <definedName name="efra">[0]!efra</definedName>
    <definedName name="egfra">[0]!egfra</definedName>
    <definedName name="Electronic_Machinery">#REF!</definedName>
    <definedName name="Emp._Activities">#REF!</definedName>
    <definedName name="ename">[10]コード表!$P$2:$P$7</definedName>
    <definedName name="Equipment___Furniture">#REF!</definedName>
    <definedName name="ERASE1">#REF!</definedName>
    <definedName name="ERASE1A">#REF!</definedName>
    <definedName name="ERASE1B">#REF!</definedName>
    <definedName name="ERASE1C">#REF!</definedName>
    <definedName name="ERASE2">#REF!</definedName>
    <definedName name="ERASE2A">#REF!</definedName>
    <definedName name="ERASE2B">#REF!</definedName>
    <definedName name="ERASE2C">#REF!</definedName>
    <definedName name="ERASECAP">#REF!</definedName>
    <definedName name="ERASECAP1">#REF!</definedName>
    <definedName name="ERASECAP2">#REF!</definedName>
    <definedName name="ERASECAP3">#REF!</definedName>
    <definedName name="ERASEHC1">#REF!</definedName>
    <definedName name="ERASEHC10">#REF!</definedName>
    <definedName name="ERASEHC10A">#REF!</definedName>
    <definedName name="ERASEHC10B">#REF!</definedName>
    <definedName name="ERASEHC10C">#REF!</definedName>
    <definedName name="ERASEHC11">#REF!</definedName>
    <definedName name="ERASEHC11A">#REF!</definedName>
    <definedName name="ERASEHC11B">#REF!</definedName>
    <definedName name="ERASEHC11C">#REF!</definedName>
    <definedName name="ERASEHC12">#REF!</definedName>
    <definedName name="ERASEHC12A">#REF!</definedName>
    <definedName name="ERASEHC12B">#REF!</definedName>
    <definedName name="ERASEHC12C">#REF!</definedName>
    <definedName name="ERASEHC13">#REF!</definedName>
    <definedName name="ERASEHC13A">#REF!</definedName>
    <definedName name="ERASEHC13B">#REF!</definedName>
    <definedName name="ERASEHC13C">#REF!</definedName>
    <definedName name="ERASEHC14">#REF!</definedName>
    <definedName name="ERASEHC14A">#REF!</definedName>
    <definedName name="ERASEHC14B">#REF!</definedName>
    <definedName name="ERASEHC14C">#REF!</definedName>
    <definedName name="ERASEHC15">#REF!</definedName>
    <definedName name="ERASEHC15A">#REF!</definedName>
    <definedName name="ERASEHC15B">#REF!</definedName>
    <definedName name="ERASEHC15C">#REF!</definedName>
    <definedName name="ERASEHC16">#REF!</definedName>
    <definedName name="ERASEHC16A">#REF!</definedName>
    <definedName name="ERASEHC16B">#REF!</definedName>
    <definedName name="ERASEHC16C">#REF!</definedName>
    <definedName name="ERASEHC17">#REF!</definedName>
    <definedName name="ERASEHC17A">#REF!</definedName>
    <definedName name="ERASEHC17B">#REF!</definedName>
    <definedName name="ERASEHC17C">#REF!</definedName>
    <definedName name="ERASEHC18">#REF!</definedName>
    <definedName name="ERASEHC18A">#REF!</definedName>
    <definedName name="ERASEHC18B">#REF!</definedName>
    <definedName name="ERASEHC18C">#REF!</definedName>
    <definedName name="ERASEHC19">#REF!</definedName>
    <definedName name="ERASEHC19A">#REF!</definedName>
    <definedName name="ERASEHC19B">#REF!</definedName>
    <definedName name="ERASEHC19C">#REF!</definedName>
    <definedName name="ERASEHC1A">#REF!</definedName>
    <definedName name="ERASEHC1B">#REF!</definedName>
    <definedName name="ERASEHC1C">#REF!</definedName>
    <definedName name="ERASEHC2">#REF!</definedName>
    <definedName name="ERASEHC20">#REF!</definedName>
    <definedName name="ERASEHC20A">#REF!</definedName>
    <definedName name="ERASEHC20B">#REF!</definedName>
    <definedName name="ERASEHC20C">#REF!</definedName>
    <definedName name="ERASEHC2A">#REF!</definedName>
    <definedName name="ERASEHC2B">#REF!</definedName>
    <definedName name="ERASEHC2C">#REF!</definedName>
    <definedName name="ERASEHC3">#REF!</definedName>
    <definedName name="ERASEHC3A">#REF!</definedName>
    <definedName name="ERASEHC3B">#REF!</definedName>
    <definedName name="ERASEHC3C">#REF!</definedName>
    <definedName name="ERASEHC4">#REF!</definedName>
    <definedName name="ERASEHC4A">#REF!</definedName>
    <definedName name="ERASEHC4B">#REF!</definedName>
    <definedName name="ERASEHC4C">#REF!</definedName>
    <definedName name="ERASEHC5">#REF!</definedName>
    <definedName name="ERASEHC5A">#REF!</definedName>
    <definedName name="ERASEHC5B">#REF!</definedName>
    <definedName name="ERASEHC5C">#REF!</definedName>
    <definedName name="ERASEHC6">#REF!</definedName>
    <definedName name="ERASEHC6A">#REF!</definedName>
    <definedName name="ERASEHC6B">#REF!</definedName>
    <definedName name="ERASEHC6C">#REF!</definedName>
    <definedName name="ERASEHC7">#REF!</definedName>
    <definedName name="ERASEHC7A">#REF!</definedName>
    <definedName name="ERASEHC7B">#REF!</definedName>
    <definedName name="ERASEHC7C">#REF!</definedName>
    <definedName name="ERASEHC8">#REF!</definedName>
    <definedName name="ERASEHC8A">#REF!</definedName>
    <definedName name="ERASEHC8B">#REF!</definedName>
    <definedName name="ERASEHC8C">#REF!</definedName>
    <definedName name="ERASEHC9">#REF!</definedName>
    <definedName name="ERASEHC9A">#REF!</definedName>
    <definedName name="ERASEHC9B">#REF!</definedName>
    <definedName name="ERASEHC9C">#REF!</definedName>
    <definedName name="ERASEOT">#REF!</definedName>
    <definedName name="ERASEOT1">#REF!</definedName>
    <definedName name="ERASEOT2">#REF!</definedName>
    <definedName name="ERASEOT3">#REF!</definedName>
    <definedName name="eraseprior1">#REF!</definedName>
    <definedName name="eraseprior2">#REF!</definedName>
    <definedName name="eraseprior3">#REF!</definedName>
    <definedName name="eraseprior4">#REF!</definedName>
    <definedName name="eraseprior5">#REF!</definedName>
    <definedName name="eraseprior6">#REF!</definedName>
    <definedName name="ERASEPRIOR7">#REF!</definedName>
    <definedName name="ERASEPRIOR8">#REF!</definedName>
    <definedName name="ERASESAL">#REF!</definedName>
    <definedName name="ERASESUM">#REF!</definedName>
    <definedName name="ERASESUM1">#REF!</definedName>
    <definedName name="ERASESUM2">#REF!</definedName>
    <definedName name="ERASESUM3">#REF!</definedName>
    <definedName name="ERASETEMP">#REF!</definedName>
    <definedName name="ERASETEMP1">#REF!</definedName>
    <definedName name="ERASETEMP2">#REF!</definedName>
    <definedName name="ERASETEMP3">#REF!</definedName>
    <definedName name="EraseUserInputLF">[0]!EraseUserInputLF</definedName>
    <definedName name="EraseUserInputSF">[0]!EraseUserInputSF</definedName>
    <definedName name="Expensed_Tools">#REF!</definedName>
    <definedName name="EXPHC">#REF!</definedName>
    <definedName name="Facilities_Equip">#REF!</definedName>
    <definedName name="Fixtures">#REF!</definedName>
    <definedName name="Freight_Non_Production">#REF!</definedName>
    <definedName name="FTQ_Loss">#REF!</definedName>
    <definedName name="FTQ_per_Cycle">#REF!</definedName>
    <definedName name="FX">#REF!</definedName>
    <definedName name="Gr別検収実績レポート用フィールド">#REF!</definedName>
    <definedName name="h">[0]!h</definedName>
    <definedName name="Harness_Subcommodity">#REF!</definedName>
    <definedName name="HARNESS_TYPE">#REF!</definedName>
    <definedName name="hcprior">#REF!</definedName>
    <definedName name="hdct">#REF!</definedName>
    <definedName name="HEADCOUNT">#REF!</definedName>
    <definedName name="hfj">[0]!hfj</definedName>
    <definedName name="ＨＩ">#REF!</definedName>
    <definedName name="Hours">#REF!</definedName>
    <definedName name="Hours_per_Shift">'[7]Machine Data'!$K$6</definedName>
    <definedName name="HTML_CodePage" hidden="1">932</definedName>
    <definedName name="HTML_Control" hidden="1">{"'受発行文書'!$A$4:$D$28"}</definedName>
    <definedName name="HTML_Description" hidden="1">"分類：Ｈハード 　Ｓソフト　Ｄデータベース　Ｃ共通　　　　　担当：Ｈ本田殿　　Ｓ住友"</definedName>
    <definedName name="HTML_Email" hidden="1">"tatutani@sei.co.jp"</definedName>
    <definedName name="HTML_Header" hidden="1">"ＫＷ懸案リスト"</definedName>
    <definedName name="HTML_LastUpdate" hidden="1">"99/08/31"</definedName>
    <definedName name="HTML_LineAfter" hidden="1">TRUE</definedName>
    <definedName name="HTML_LineBefore" hidden="1">TRUE</definedName>
    <definedName name="HTML_Name" hidden="1">"辰谷 猛"</definedName>
    <definedName name="HTML_OBDlg2" hidden="1">FALSE</definedName>
    <definedName name="HTML_OBDlg3" hidden="1">TRUE</definedName>
    <definedName name="HTML_OBDlg4" hidden="1">TRUE</definedName>
    <definedName name="HTML_OS" hidden="1">0</definedName>
    <definedName name="HTML_PathFile" hidden="1">"\\Adids0\eigi\015M\ＰＪ管理\WEB\hakko.html"</definedName>
    <definedName name="HTML_PathTemplate" hidden="1">"\\ADIDS0\eigi\015M\ＰＪ管理\hakko.htm"</definedName>
    <definedName name="HTML_Title" hidden="1">"ＫＷ懸案リスト"</definedName>
    <definedName name="Ideal_Direct">#REF!</definedName>
    <definedName name="Ideal_eng">#REF!</definedName>
    <definedName name="Ideal_Indirect">#REF!</definedName>
    <definedName name="Ideal_Labor">#REF!</definedName>
    <definedName name="Ideal_material">#REF!</definedName>
    <definedName name="Ideal_MBFT">#REF!</definedName>
    <definedName name="Ideal_Profit">#REF!</definedName>
    <definedName name="Ideal_SGA">#REF!</definedName>
    <definedName name="IMPORT">#REF!</definedName>
    <definedName name="import2">#REF!</definedName>
    <definedName name="IMPORTCAP">#REF!</definedName>
    <definedName name="Indirect_Modifier">'[7]Markup Data'!$C$37:$C$42</definedName>
    <definedName name="Insertrow2">[0]!Insertrow2</definedName>
    <definedName name="InsertRows">[0]!InsertRows</definedName>
    <definedName name="InsertTaktLineSF">[0]!InsertTaktLineSF</definedName>
    <definedName name="Insurance">#REF!</definedName>
    <definedName name="JST_HARNESS">'[7]Material Data'!$AK$9:$AK$12</definedName>
    <definedName name="Jumper_Harness">'[7]Machine Rate Data'!$B$24:$B$24</definedName>
    <definedName name="JUMPER_WIRE">'[7]Material Data'!$D$276:$D$279</definedName>
    <definedName name="ｋじょじょ" hidden="1">#REF!</definedName>
    <definedName name="Labor_Data">'[7]Common Cost Data'!$B$5:$K$103</definedName>
    <definedName name="Lead_Prep_Life">'[7]Machine Data'!$H$6</definedName>
    <definedName name="Lead_Prep_per_Harness">#REF!</definedName>
    <definedName name="LeadTime">[0]!LeadTime</definedName>
    <definedName name="Leaseholds">#REF!</definedName>
    <definedName name="LEFT">#REF!</definedName>
    <definedName name="Legal___Prof.">#REF!</definedName>
    <definedName name="LH">#REF!</definedName>
    <definedName name="LIFES">#REF!</definedName>
    <definedName name="Line_Dedication">#REF!</definedName>
    <definedName name="LIST1">#REF!</definedName>
    <definedName name="LIST2">#REF!</definedName>
    <definedName name="Location">'[7]Common Cost Data'!$B$5:$B$103</definedName>
    <definedName name="Long_Wire">#REF!</definedName>
    <definedName name="ｍ" hidden="1">#REF!</definedName>
    <definedName name="Mach_DT_per_Cycle">#REF!</definedName>
    <definedName name="Mach_Qty">#REF!</definedName>
    <definedName name="Machine_and_Operation">'[7]Machine Rate Data'!$D$7:$D$117</definedName>
    <definedName name="Machine_Building_Data">'[7]Machine Data'!$B$6:$AC$11</definedName>
    <definedName name="Machine_Costs_OneLine">#REF!</definedName>
    <definedName name="Machine_CT">#REF!</definedName>
    <definedName name="Machine_DT">#REF!</definedName>
    <definedName name="Machine_Rate_Data">'[7]Machine Rate Data'!$B$8:$F$117</definedName>
    <definedName name="Machine_Rates">'[7]Machine Rate Data'!$C$7:$F$115</definedName>
    <definedName name="Machine_Type">'[7]Machine Data'!$D$6:$D$11</definedName>
    <definedName name="Machines">'[7]Machine Data'!$B$6:$B$8</definedName>
    <definedName name="Manual_Entry_Labor">#REF!</definedName>
    <definedName name="Manual_Entry_Labor1">#REF!</definedName>
    <definedName name="Manual_Entry_Labor2">#REF!</definedName>
    <definedName name="Manual_Entry_Labor3">#REF!</definedName>
    <definedName name="Margin_of_Fixed">#REF!</definedName>
    <definedName name="Margin_of_Total">#REF!</definedName>
    <definedName name="Markup_Data">'[7]Markup Data'!$D$8:$U$12</definedName>
    <definedName name="Markup_Supplier">'[7]Markup Data'!$D$7:$U$7</definedName>
    <definedName name="Markup_Type">'[7]Markup Data'!$B$8:$B$12</definedName>
    <definedName name="MATERIAL_DATA">'[7]Material Data'!$C$9:$H$709</definedName>
    <definedName name="Materials_Expense">#REF!</definedName>
    <definedName name="mcode">#REF!</definedName>
    <definedName name="MERIT">#REF!</definedName>
    <definedName name="MERITPRIOR">#REF!</definedName>
    <definedName name="MF">#REF!</definedName>
    <definedName name="Mfg_Equip">#REF!</definedName>
    <definedName name="Mgmt_Meetings">#REF!</definedName>
    <definedName name="MIE" localSheetId="9">[13]派生 [11]ＨＩ!$B$109:$Q$118</definedName>
    <definedName name="MIE">[13]派生 [11]ＨＩ!$B$109:$Q$118</definedName>
    <definedName name="Misc_Assembly">'[7]Machine Rate Data'!$D$78:$I$98</definedName>
    <definedName name="Misc_Assembly_Ops">'[7]Machine Rate Data'!$B$76:$B$98</definedName>
    <definedName name="Miscellaneous">#REF!</definedName>
    <definedName name="mname">[10]コード表!$N$2:$N$7</definedName>
    <definedName name="MONTHS">#REF!</definedName>
    <definedName name="Motor_Vehicles">#REF!</definedName>
    <definedName name="MV">#REF!</definedName>
    <definedName name="new">[0]!new</definedName>
    <definedName name="Number_of_Assembly_Lines">#REF!</definedName>
    <definedName name="Number_of_Lead_Prep_Machines">#REF!</definedName>
    <definedName name="Numbers">#REF!</definedName>
    <definedName name="Occupancy">#REF!</definedName>
    <definedName name="OF">#REF!</definedName>
    <definedName name="Ofc_Equip___Furniture">#REF!</definedName>
    <definedName name="Office_Supplies">#REF!</definedName>
    <definedName name="Op_L_Un">#REF!</definedName>
    <definedName name="Op_Name">#REF!</definedName>
    <definedName name="Operations">'[7]Machine Rate Data'!$D$7:$I$120</definedName>
    <definedName name="Ops_per_Day">#REF!</definedName>
    <definedName name="Optional_Machines">'[7]Machine Data'!$B$8:$B$11</definedName>
    <definedName name="Outside_Services">#REF!</definedName>
    <definedName name="OverheadBurden_Alloc">'[7]Indirect Labor Allocation'!$M$28</definedName>
    <definedName name="OXYGEN_SENSOR_HARNESS">'[7]Material Data'!$AD$9:$AD$25</definedName>
    <definedName name="Package_Size">'[7]Transportation Data'!$U$14:$U$36</definedName>
    <definedName name="Package_Type">'[7]Transportation Data'!$U$45:$U$46</definedName>
    <definedName name="Paper_size">#REF!</definedName>
    <definedName name="Part_Data">'[7]Material Data'!$D$9:$H$34</definedName>
    <definedName name="PartsperPackage">'[7]Transportation Data'!$U$14:$V$36</definedName>
    <definedName name="Payroll_Taxes">#REF!</definedName>
    <definedName name="Pcs_per_Cycle">'[9]Machine Balance'!$G$10:$G$12</definedName>
    <definedName name="Period_1">#REF!</definedName>
    <definedName name="pigtail">[0]!pigtail</definedName>
    <definedName name="Prin">#REF!</definedName>
    <definedName name="_xlnm.Print_Area" localSheetId="0">#REF!</definedName>
    <definedName name="_xlnm.Print_Area" localSheetId="1">#REF!</definedName>
    <definedName name="_xlnm.Print_Area" localSheetId="7">'Cost Table'!$A$1:$AK$112</definedName>
    <definedName name="_xlnm.Print_Area">#REF!</definedName>
    <definedName name="PRINT_AREA_MI">#REF!</definedName>
    <definedName name="PRINT_AREA_MI1">#REF!</definedName>
    <definedName name="Print_Area_MI2">#REF!</definedName>
    <definedName name="PRIORMOS">#REF!</definedName>
    <definedName name="PRIORQTR">#REF!</definedName>
    <definedName name="Productivity">'[7]Markup Data'!$B$37:$B$46</definedName>
    <definedName name="Profit_Margin">#REF!</definedName>
    <definedName name="Project">'[9]Workshop Summary'!$C$5</definedName>
    <definedName name="Property_Taxes">#REF!</definedName>
    <definedName name="PROPOSITO">[0]!PROPOSITO</definedName>
    <definedName name="Purchased_Part_Data">#REF!</definedName>
    <definedName name="ｑ">#REF!</definedName>
    <definedName name="qqqq" hidden="1">'[5]16 着色'!#REF!</definedName>
    <definedName name="QTRS">#REF!</definedName>
    <definedName name="queroyo">[0]!queroyo</definedName>
    <definedName name="quiubule">[0]!quiubule</definedName>
    <definedName name="R_D_Equip">#REF!</definedName>
    <definedName name="Raw_Material">'[7]Material Data'!$U$512:$U$517</definedName>
    <definedName name="Raw_Material_Data">'[7]Material Data'!$L$9:$R$161</definedName>
    <definedName name="RD">#REF!</definedName>
    <definedName name="Recruitment_Relocation">#REF!</definedName>
    <definedName name="Ref_4">'[12]Calc.'!#REF!</definedName>
    <definedName name="Rent_Expense">#REF!</definedName>
    <definedName name="Repair___Maint">#REF!</definedName>
    <definedName name="Returnable">'[7]Transportation Data'!$U$45:$U$46</definedName>
    <definedName name="Revised">[0]!Revised</definedName>
    <definedName name="row_hieght">[0]!row_hieght</definedName>
    <definedName name="ｓ">#REF!</definedName>
    <definedName name="Salaries">#REF!</definedName>
    <definedName name="SaveForm">[0]!SaveForm</definedName>
    <definedName name="Sch_Run_Time">[9]Takt!$F$10</definedName>
    <definedName name="SEAL">'[7]2005 DGSS Component Prices'!$D$15647:$D$16028</definedName>
    <definedName name="SERIES">#REF!</definedName>
    <definedName name="sheet1">#REF!</definedName>
    <definedName name="Shifts">#REF!</definedName>
    <definedName name="Shifts_per_Day">'[7]Machine Data'!$J$6</definedName>
    <definedName name="Shipping">#REF!</definedName>
    <definedName name="Size">[7]Transportation!$U$15</definedName>
    <definedName name="SPENDING">#REF!</definedName>
    <definedName name="STANDARD_HARNESS">'[7]Material Data'!$X$9:$X$24</definedName>
    <definedName name="Standard_Harness_Assembly">'[7]Machine Rate Data'!$B$7:$B$22</definedName>
    <definedName name="SUMMARY">#REF!</definedName>
    <definedName name="Supplier_Assembly_Time">#REF!</definedName>
    <definedName name="Supplier_Efficiency">#REF!</definedName>
    <definedName name="Suppliers">'[7]Markup Data'!$E$7:$U$7</definedName>
    <definedName name="System_Downtime">'[9]Machine Balance'!$T$10:$T$12</definedName>
    <definedName name="System_Level">'[9]Machine Balance'!$Z$24</definedName>
    <definedName name="tabla">#REF!</definedName>
    <definedName name="tack">[13]OperBal!$I$18</definedName>
    <definedName name="Takt_Table">'[9]Machine Balance'!$AO$6</definedName>
    <definedName name="Takt_Time">[9]Takt!$F$21</definedName>
    <definedName name="Takt_Time_on_MB">'[9]Machine Balance'!$K$15</definedName>
    <definedName name="Takt_Time_per_Module">#REF!</definedName>
    <definedName name="TAPE">'[7]2005 DGSS Component Prices'!$D$16029:$D$16489</definedName>
    <definedName name="TAXES">#REF!</definedName>
    <definedName name="TAXESPRIOR">#REF!</definedName>
    <definedName name="Telephone">#REF!</definedName>
    <definedName name="TEMPLATE.current_date">#REF!</definedName>
    <definedName name="TEMPLATE.DivisionID">#REF!</definedName>
    <definedName name="TEMPLATE.SiteID">#REF!</definedName>
    <definedName name="TEMPLATE.Template_type">#REF!</definedName>
    <definedName name="TEMPLATE.Version_no">#REF!</definedName>
    <definedName name="TEMPLATE.wind">#REF!</definedName>
    <definedName name="TERMINAL">'[7]2005 DGSS Component Prices'!$D$16494:$D$21364</definedName>
    <definedName name="Time">[9]Takt!$C$7</definedName>
    <definedName name="timeline">[0]!timeline</definedName>
    <definedName name="TITLE">#REF!</definedName>
    <definedName name="TL">#REF!</definedName>
    <definedName name="TOP">#REF!</definedName>
    <definedName name="Total_Available_Minutes_Day">[9]Takt!$F$7</definedName>
    <definedName name="Total_Equip_Invest">#REF!</definedName>
    <definedName name="Trade_Shows">#REF!</definedName>
    <definedName name="Transportation_Location">'[7]Transportation Data'!$B$6:$B$382</definedName>
    <definedName name="Travel___Entertainment">#REF!</definedName>
    <definedName name="Trucking">'[7]Transportation Data'!$V$49:$V$50</definedName>
    <definedName name="ttl">#REF!</definedName>
    <definedName name="Units">'[7]Transportation Data'!$T$49:$T$50</definedName>
    <definedName name="UPDATE_SCALE">[0]!UPDATE_SCALE</definedName>
    <definedName name="Uptime">'[7]Machine Data'!$L$6</definedName>
    <definedName name="Uptime_Days">#REF!</definedName>
    <definedName name="Uptime_hours">#REF!</definedName>
    <definedName name="Uptime_Shifts">#REF!</definedName>
    <definedName name="USER_DEFINED">#N/A</definedName>
    <definedName name="USER_DEFINED_LABOR">#REF!</definedName>
    <definedName name="Utilities">#REF!</definedName>
    <definedName name="Vehicle_Expense">#REF!</definedName>
    <definedName name="Vol_Achieved">#REF!</definedName>
    <definedName name="Volume">#REF!</definedName>
    <definedName name="WIP" hidden="1">{"'受発行文書'!$A$4:$D$28"}</definedName>
    <definedName name="WIRE">'[7]2005 DGSS Component Prices'!$D$21365:$D$23957</definedName>
    <definedName name="WIRE_TIE">'[7]Material Data'!$D$2782:$D$2808</definedName>
    <definedName name="wrn.ＳＲＣ連結２印刷." localSheetId="0" hidden="1">{"ＳＲＣ連結１",#N/A,FALSE,"三重製品別損益グラフ";"ＳＲＣ連結２",#N/A,FALSE,"三重製品別損益グラフ"}</definedName>
    <definedName name="wrn.ＳＲＣ連結２印刷." localSheetId="1" hidden="1">{"ＳＲＣ連結１",#N/A,FALSE,"三重製品別損益グラフ";"ＳＲＣ連結２",#N/A,FALSE,"三重製品別損益グラフ"}</definedName>
    <definedName name="wrn.ＳＲＣ連結２印刷." localSheetId="11" hidden="1">{"ＳＲＣ連結１",#N/A,FALSE,"三重製品別損益グラフ";"ＳＲＣ連結２",#N/A,FALSE,"三重製品別損益グラフ"}</definedName>
    <definedName name="wrn.ＳＲＣ連結２印刷." localSheetId="9" hidden="1">{"ＳＲＣ連結１",#N/A,FALSE,"三重製品別損益グラフ";"ＳＲＣ連結２",#N/A,FALSE,"三重製品別損益グラフ"}</definedName>
    <definedName name="wrn.ＳＲＣ連結２印刷." localSheetId="2" hidden="1">{"ＳＲＣ連結１",#N/A,FALSE,"三重製品別損益グラフ";"ＳＲＣ連結２",#N/A,FALSE,"三重製品別損益グラフ"}</definedName>
    <definedName name="wrn.ＳＲＣ連結２印刷." hidden="1">{"ＳＲＣ連結１",#N/A,FALSE,"三重製品別損益グラフ";"ＳＲＣ連結２",#N/A,FALSE,"三重製品別損益グラフ"}</definedName>
    <definedName name="wrn.三重製品別２." localSheetId="0" hidden="1">{"三重製品別１",#N/A,FALSE,"三重製品別損益グラフ";"三重製品別２",#N/A,FALSE,"三重製品別損益グラフ"}</definedName>
    <definedName name="wrn.三重製品別２." localSheetId="1" hidden="1">{"三重製品別１",#N/A,FALSE,"三重製品別損益グラフ";"三重製品別２",#N/A,FALSE,"三重製品別損益グラフ"}</definedName>
    <definedName name="wrn.三重製品別２." localSheetId="11" hidden="1">{"三重製品別１",#N/A,FALSE,"三重製品別損益グラフ";"三重製品別２",#N/A,FALSE,"三重製品別損益グラフ"}</definedName>
    <definedName name="wrn.三重製品別２." localSheetId="9" hidden="1">{"三重製品別１",#N/A,FALSE,"三重製品別損益グラフ";"三重製品別２",#N/A,FALSE,"三重製品別損益グラフ"}</definedName>
    <definedName name="wrn.三重製品別２." localSheetId="2" hidden="1">{"三重製品別１",#N/A,FALSE,"三重製品別損益グラフ";"三重製品別２",#N/A,FALSE,"三重製品別損益グラフ"}</definedName>
    <definedName name="wrn.三重製品別２." hidden="1">{"三重製品別１",#N/A,FALSE,"三重製品別損益グラフ";"三重製品別２",#N/A,FALSE,"三重製品別損益グラフ"}</definedName>
    <definedName name="wrn.等価単価." hidden="1">{"等価単価01",#N/A,FALSE,"等価単価";"等価単価02",#N/A,FALSE,"等価単価";"等価単価03",#N/A,FALSE,"等価単価"}</definedName>
    <definedName name="xxxx">[0]!xxxx</definedName>
    <definedName name="yo">[0]!yo</definedName>
    <definedName name="YY" hidden="1">#REF!</definedName>
    <definedName name="ｚ">#REF!</definedName>
    <definedName name="ｱｳﾞｧﾝｼｱ長滞車Ⅱ" hidden="1">#REF!</definedName>
    <definedName name="あさ" hidden="1">'[5]15 出来高'!#REF!</definedName>
    <definedName name="え" hidden="1">#REF!</definedName>
    <definedName name="ここ" hidden="1">#REF!</definedName>
    <definedName name="ここ２" hidden="1">#REF!</definedName>
    <definedName name="ここ３" hidden="1">#REF!</definedName>
    <definedName name="ここｋｊ" hidden="1">#REF!</definedName>
    <definedName name="こじＨ" hidden="1">#REF!</definedName>
    <definedName name="こじＨＨＨ" hidden="1">#REF!</definedName>
    <definedName name="ぷ１" localSheetId="9">[16]ＣＡＭＹ [14]ＭⅢ!$AG$2:$AS$27</definedName>
    <definedName name="ぷ１">[16]ＣＡＭＹ [14]ＭⅢ!$AG$2:$AS$27</definedName>
    <definedName name="ぷ２" localSheetId="9">[16]ＣＡＭＹ [14]ＭⅢ!$A$1:$AE$75</definedName>
    <definedName name="ぷ２">[16]ＣＡＭＹ [14]ＭⅢ!$A$1:$AE$75</definedName>
    <definedName name="ﾌｨﾙ" hidden="1">[15]申請書２!$A$12:$A$44</definedName>
    <definedName name="プレス工程" localSheetId="1">[16]プレス入力!$B$69:$E$102</definedName>
    <definedName name="プレス工程">[17]プレス入力!$B$69:$E$102</definedName>
    <definedName name="プレス製品系統1" localSheetId="1">[16]プレス入力!$H$71:$H$77</definedName>
    <definedName name="プレス製品系統1">[17]プレス入力!$H$71:$H$77</definedName>
    <definedName name="プレス部門" localSheetId="1">[16]プレス入力!$B$69:$B$102</definedName>
    <definedName name="プレス部門">[17]プレス入力!$B$69:$B$102</definedName>
    <definedName name="プレス間接" localSheetId="1">[16]プレス入力!$H$71:$L$77</definedName>
    <definedName name="プレス間接">[17]プレス入力!$H$71:$L$77</definedName>
    <definedName name="三">[10]コード表!$N$14</definedName>
    <definedName name="不要ファイル" hidden="1">[18]Sheet1!$F$39:$F$93</definedName>
    <definedName name="予算内訳書">#REF!</definedName>
    <definedName name="予算売上">#REF!</definedName>
    <definedName name="今">[10]コード表!$P$11</definedName>
    <definedName name="依頼日別月別金額のクロス集計">#REF!</definedName>
    <definedName name="依頼月別発注実績">#REF!</definedName>
    <definedName name="北">[10]コード表!$P$12</definedName>
    <definedName name="品名">#REF!</definedName>
    <definedName name="土">[10]コード表!$P$13</definedName>
    <definedName name="売上高･単月">#REF!</definedName>
    <definedName name="売上高･増減">#REF!</definedName>
    <definedName name="山">[10]コード表!$N$9</definedName>
    <definedName name="所要量計算集計マスター">#REF!</definedName>
    <definedName name="投入の狙い" hidden="1">#REF!</definedName>
    <definedName name="新型" hidden="1">#REF!</definedName>
    <definedName name="様式4" hidden="1">{"等価単価01",#N/A,FALSE,"等価単価";"等価単価02",#N/A,FALSE,"等価単価";"等価単価03",#N/A,FALSE,"等価単価"}</definedName>
    <definedName name="浅">[10]コード表!$N$10</definedName>
    <definedName name="生産性">[19]経費推移!#REF!</definedName>
    <definedName name="石">[10]コード表!$P$10</definedName>
    <definedName name="若">[10]コード表!$N$13</definedName>
    <definedName name="試乗車マップ" hidden="1">#REF!</definedName>
    <definedName name="購入実績E">[20]購入実績M!$A$4:$G$77</definedName>
    <definedName name="購入実績K">[20]購入実績M!$A$4:$G$77</definedName>
    <definedName name="起業時" hidden="1">{"'受発行文書'!$A$4:$D$28"}</definedName>
    <definedName name="車種別明細表">#REF!</definedName>
    <definedName name="野">[10]コード表!$N$11</definedName>
    <definedName name="長">[10]コード表!$P$9</definedName>
    <definedName name="随時処理_材料単価Ｍ４４４５">#REF!</definedName>
    <definedName name="類別">#REF!</definedName>
    <definedName name="鶴">[10]コード表!$N$12</definedName>
  </definedNames>
  <calcPr calcId="181029"/>
</workbook>
</file>

<file path=xl/calcChain.xml><?xml version="1.0" encoding="utf-8"?>
<calcChain xmlns="http://schemas.openxmlformats.org/spreadsheetml/2006/main">
  <c r="A3" i="34" l="1"/>
  <c r="N18" i="6" l="1"/>
  <c r="F39" i="31" l="1"/>
  <c r="G44" i="6" l="1"/>
  <c r="G43" i="6"/>
  <c r="G42" i="6"/>
  <c r="G41" i="6"/>
  <c r="G40" i="6"/>
  <c r="G39" i="6"/>
  <c r="V23" i="6"/>
  <c r="V22" i="6"/>
  <c r="V21" i="6"/>
  <c r="V20" i="6"/>
  <c r="V19" i="6"/>
  <c r="V18" i="6"/>
  <c r="AC21" i="6"/>
  <c r="AC18" i="6"/>
  <c r="AB18" i="6"/>
  <c r="X18" i="6"/>
  <c r="Y18" i="6" s="1"/>
  <c r="X19" i="6"/>
  <c r="X20" i="6"/>
  <c r="X21" i="6"/>
  <c r="X22" i="6"/>
  <c r="X23" i="6"/>
  <c r="AD18" i="6" l="1"/>
  <c r="AE18" i="6" s="1"/>
  <c r="H39" i="6" s="1"/>
  <c r="Y19" i="6"/>
  <c r="AD19" i="6" s="1"/>
  <c r="AP23" i="6"/>
  <c r="AP22" i="6"/>
  <c r="AP21" i="6"/>
  <c r="AP20" i="6"/>
  <c r="AP19" i="6"/>
  <c r="Y23" i="6"/>
  <c r="Y22" i="6"/>
  <c r="Y21" i="6"/>
  <c r="AD21" i="6" s="1"/>
  <c r="Y20" i="6"/>
  <c r="N23" i="6"/>
  <c r="N22" i="6"/>
  <c r="N21" i="6"/>
  <c r="N20" i="6"/>
  <c r="N19" i="6"/>
  <c r="AC23" i="6"/>
  <c r="AC22" i="6"/>
  <c r="AC20" i="6"/>
  <c r="AC19" i="6"/>
  <c r="AB23" i="6"/>
  <c r="AB22" i="6"/>
  <c r="AB21" i="6"/>
  <c r="AB20" i="6"/>
  <c r="AB19" i="6"/>
  <c r="F13" i="30"/>
  <c r="E13" i="30"/>
  <c r="AD20" i="6" l="1"/>
  <c r="AD22" i="6"/>
  <c r="AD23" i="6"/>
  <c r="AR23" i="6"/>
  <c r="AR22" i="6"/>
  <c r="AR21" i="6"/>
  <c r="AR20" i="6"/>
  <c r="AR19" i="6"/>
  <c r="AR18" i="6"/>
  <c r="CD42" i="6" l="1"/>
  <c r="CD43" i="6"/>
  <c r="CD44" i="6"/>
  <c r="B53" i="6"/>
  <c r="B52" i="6"/>
  <c r="B51" i="6"/>
  <c r="B50" i="6"/>
  <c r="B49" i="6"/>
  <c r="B48" i="6"/>
  <c r="B47" i="6"/>
  <c r="B46" i="6"/>
  <c r="B45" i="6"/>
  <c r="B44" i="6"/>
  <c r="B43" i="6"/>
  <c r="AP18" i="6" l="1"/>
  <c r="AM18" i="6"/>
  <c r="M18" i="6" s="1"/>
  <c r="L8" i="33"/>
  <c r="N8" i="33"/>
  <c r="G3" i="33"/>
  <c r="H8" i="33" s="1"/>
  <c r="K8" i="33" s="1"/>
  <c r="O8" i="33" s="1"/>
  <c r="Q8" i="33" s="1"/>
  <c r="AM19" i="6" l="1"/>
  <c r="M19" i="6" s="1"/>
  <c r="AI5" i="6"/>
  <c r="AH5" i="6"/>
  <c r="AH6" i="6" l="1"/>
  <c r="AG18" i="6"/>
  <c r="AG23" i="6"/>
  <c r="AG22" i="6"/>
  <c r="AG21" i="6"/>
  <c r="AG20" i="6"/>
  <c r="AI20" i="6" s="1"/>
  <c r="I41" i="6" s="1"/>
  <c r="AG19" i="6"/>
  <c r="AH19" i="6"/>
  <c r="AI19" i="6" s="1"/>
  <c r="I40" i="6" s="1"/>
  <c r="AH18" i="6"/>
  <c r="AI18" i="6" s="1"/>
  <c r="I39" i="6" s="1"/>
  <c r="AH23" i="6"/>
  <c r="AI23" i="6" s="1"/>
  <c r="I44" i="6" s="1"/>
  <c r="AH22" i="6"/>
  <c r="AI22" i="6" s="1"/>
  <c r="I43" i="6" s="1"/>
  <c r="AH20" i="6"/>
  <c r="AH21" i="6"/>
  <c r="AE19" i="6"/>
  <c r="H40" i="6" s="1"/>
  <c r="O8" i="6"/>
  <c r="O11" i="6"/>
  <c r="O10" i="6"/>
  <c r="AI21" i="6" l="1"/>
  <c r="I42" i="6" s="1"/>
  <c r="B42" i="6"/>
  <c r="G4" i="32"/>
  <c r="H4" i="32" s="1"/>
  <c r="I4" i="32" s="1"/>
  <c r="J4" i="32" s="1"/>
  <c r="G28" i="30"/>
  <c r="E30" i="30" s="1"/>
  <c r="D44" i="30"/>
  <c r="J48" i="30"/>
  <c r="J47" i="30"/>
  <c r="J46" i="30"/>
  <c r="J45" i="30"/>
  <c r="D43" i="30"/>
  <c r="D42" i="30"/>
  <c r="D17" i="32"/>
  <c r="E17" i="32" s="1"/>
  <c r="AI6" i="6" s="1"/>
  <c r="D16" i="32"/>
  <c r="D15" i="32"/>
  <c r="G9" i="32"/>
  <c r="H9" i="32" s="1"/>
  <c r="G8" i="32"/>
  <c r="H8" i="32" s="1"/>
  <c r="G7" i="32"/>
  <c r="H7" i="32" s="1"/>
  <c r="G6" i="32"/>
  <c r="H6" i="32" s="1"/>
  <c r="G5" i="32"/>
  <c r="H5" i="32" s="1"/>
  <c r="E6" i="30" s="1"/>
  <c r="G45" i="31" s="1"/>
  <c r="F3" i="32"/>
  <c r="I26" i="31"/>
  <c r="I25" i="31"/>
  <c r="I24" i="31"/>
  <c r="I23" i="31"/>
  <c r="I22" i="31"/>
  <c r="I21" i="31"/>
  <c r="I20" i="31"/>
  <c r="I19" i="31"/>
  <c r="I18" i="31"/>
  <c r="I17" i="31"/>
  <c r="I16" i="31"/>
  <c r="I15" i="31"/>
  <c r="I14" i="31"/>
  <c r="I13" i="31"/>
  <c r="I12" i="31"/>
  <c r="I11" i="31"/>
  <c r="I10" i="31"/>
  <c r="O9" i="6" s="1"/>
  <c r="I9" i="31"/>
  <c r="I8" i="31"/>
  <c r="I7" i="31"/>
  <c r="O7" i="6" s="1"/>
  <c r="I6" i="31"/>
  <c r="I5" i="31"/>
  <c r="O6" i="6" s="1"/>
  <c r="O47" i="31"/>
  <c r="E43" i="31"/>
  <c r="I44" i="31" s="1"/>
  <c r="O44" i="31" s="1"/>
  <c r="J23" i="30"/>
  <c r="J22" i="30"/>
  <c r="J21" i="30"/>
  <c r="J20" i="30"/>
  <c r="D18" i="30"/>
  <c r="D17" i="30"/>
  <c r="G3" i="30"/>
  <c r="E5" i="30" s="1"/>
  <c r="BD60" i="6"/>
  <c r="BD61" i="6"/>
  <c r="BD59" i="6"/>
  <c r="BE59" i="6"/>
  <c r="BH59" i="6" s="1"/>
  <c r="AT61" i="6"/>
  <c r="AT60" i="6"/>
  <c r="AT59" i="6"/>
  <c r="B35" i="6"/>
  <c r="BP59" i="6"/>
  <c r="BI59" i="6" s="1"/>
  <c r="BI60" i="6" s="1"/>
  <c r="BI61" i="6" s="1"/>
  <c r="BJ61" i="6" s="1"/>
  <c r="E41" i="9"/>
  <c r="F41" i="9"/>
  <c r="G41" i="9"/>
  <c r="H41" i="9"/>
  <c r="I41" i="9"/>
  <c r="J41" i="9"/>
  <c r="K41" i="9"/>
  <c r="J110" i="9"/>
  <c r="K110" i="9"/>
  <c r="J111" i="9"/>
  <c r="K111" i="9"/>
  <c r="J112" i="9"/>
  <c r="K112" i="9"/>
  <c r="J113" i="9"/>
  <c r="K113" i="9"/>
  <c r="J114" i="9"/>
  <c r="K114" i="9"/>
  <c r="J115" i="9"/>
  <c r="K115" i="9"/>
  <c r="J116" i="9"/>
  <c r="K116" i="9"/>
  <c r="J117" i="9"/>
  <c r="K117" i="9"/>
  <c r="J118" i="9"/>
  <c r="K118" i="9"/>
  <c r="J119" i="9"/>
  <c r="K119" i="9"/>
  <c r="J120" i="9"/>
  <c r="K120" i="9"/>
  <c r="J121" i="9"/>
  <c r="K121" i="9"/>
  <c r="J122" i="9"/>
  <c r="K122" i="9"/>
  <c r="J123" i="9"/>
  <c r="K123" i="9"/>
  <c r="J124" i="9"/>
  <c r="K124" i="9"/>
  <c r="J125" i="9"/>
  <c r="K125" i="9"/>
  <c r="J126" i="9"/>
  <c r="K126" i="9"/>
  <c r="J127" i="9"/>
  <c r="K127" i="9"/>
  <c r="J128" i="9"/>
  <c r="K128" i="9"/>
  <c r="J129" i="9"/>
  <c r="K129" i="9"/>
  <c r="J130" i="9"/>
  <c r="K130" i="9"/>
  <c r="J131" i="9"/>
  <c r="K131" i="9"/>
  <c r="J132" i="9"/>
  <c r="K132" i="9"/>
  <c r="J133" i="9"/>
  <c r="K133" i="9"/>
  <c r="F2" i="19"/>
  <c r="G2" i="19"/>
  <c r="F3" i="19"/>
  <c r="G3" i="19"/>
  <c r="F4" i="19"/>
  <c r="G4" i="19"/>
  <c r="F5" i="19"/>
  <c r="G5" i="19"/>
  <c r="F6" i="19"/>
  <c r="G6" i="19"/>
  <c r="F7" i="19"/>
  <c r="G7" i="19"/>
  <c r="F8" i="19"/>
  <c r="G8" i="19"/>
  <c r="F9" i="19"/>
  <c r="G9" i="19"/>
  <c r="F10" i="19"/>
  <c r="G10" i="19"/>
  <c r="F11" i="19"/>
  <c r="G11" i="19"/>
  <c r="F12" i="19"/>
  <c r="G12" i="19"/>
  <c r="F13" i="19"/>
  <c r="G13" i="19"/>
  <c r="F14" i="19"/>
  <c r="G14" i="19"/>
  <c r="F15" i="19"/>
  <c r="G15" i="19"/>
  <c r="H44" i="21"/>
  <c r="J258" i="21"/>
  <c r="H45" i="21"/>
  <c r="J259" i="21" s="1"/>
  <c r="H46" i="21"/>
  <c r="J261" i="21"/>
  <c r="J262" i="21"/>
  <c r="J265" i="21"/>
  <c r="J266" i="21"/>
  <c r="H91" i="21"/>
  <c r="I290" i="21" s="1"/>
  <c r="F91" i="21"/>
  <c r="I284" i="21" s="1"/>
  <c r="G91" i="21"/>
  <c r="I286" i="21" s="1"/>
  <c r="F99" i="21"/>
  <c r="I285" i="21" s="1"/>
  <c r="G99" i="21"/>
  <c r="I287" i="21" s="1"/>
  <c r="H99" i="21"/>
  <c r="I291" i="21" s="1"/>
  <c r="I99" i="21"/>
  <c r="I295" i="21" s="1"/>
  <c r="D99" i="21"/>
  <c r="I281" i="21" s="1"/>
  <c r="E99" i="21"/>
  <c r="I283" i="21" s="1"/>
  <c r="I131" i="21"/>
  <c r="J131" i="21"/>
  <c r="I132" i="21"/>
  <c r="J132" i="21"/>
  <c r="I133" i="21"/>
  <c r="J133" i="21"/>
  <c r="I134" i="21"/>
  <c r="J134" i="21"/>
  <c r="I135" i="21"/>
  <c r="J135" i="21"/>
  <c r="I136" i="21"/>
  <c r="J136" i="21"/>
  <c r="I137" i="21"/>
  <c r="J137" i="21"/>
  <c r="I138" i="21"/>
  <c r="J138" i="21"/>
  <c r="I139" i="21"/>
  <c r="J139" i="21"/>
  <c r="I140" i="21"/>
  <c r="J140" i="21"/>
  <c r="I141" i="21"/>
  <c r="J141" i="21"/>
  <c r="I142" i="21"/>
  <c r="J142" i="21"/>
  <c r="I143" i="21"/>
  <c r="J143" i="21"/>
  <c r="I144" i="21"/>
  <c r="J144" i="21"/>
  <c r="I145" i="21"/>
  <c r="J145" i="21"/>
  <c r="I146" i="21"/>
  <c r="J146" i="21"/>
  <c r="I150" i="21"/>
  <c r="J150" i="21"/>
  <c r="I151" i="21"/>
  <c r="J151" i="21"/>
  <c r="I152" i="21"/>
  <c r="J152" i="21"/>
  <c r="G153" i="21"/>
  <c r="J153" i="21" s="1"/>
  <c r="I153" i="21"/>
  <c r="G154" i="21"/>
  <c r="J154" i="21" s="1"/>
  <c r="I154" i="21"/>
  <c r="G155" i="21"/>
  <c r="J155" i="21" s="1"/>
  <c r="I155" i="21"/>
  <c r="G156" i="21"/>
  <c r="J156" i="21" s="1"/>
  <c r="I156" i="21"/>
  <c r="G157" i="21"/>
  <c r="J157" i="21" s="1"/>
  <c r="I157" i="21"/>
  <c r="C161" i="21"/>
  <c r="D167" i="21"/>
  <c r="J260" i="21"/>
  <c r="J263" i="21"/>
  <c r="J268" i="21"/>
  <c r="H44" i="14"/>
  <c r="H45" i="14"/>
  <c r="H46" i="14"/>
  <c r="D92" i="14"/>
  <c r="E92" i="14"/>
  <c r="F92" i="14"/>
  <c r="G92" i="14"/>
  <c r="H92" i="14"/>
  <c r="I92" i="14"/>
  <c r="J92" i="14"/>
  <c r="D100" i="14"/>
  <c r="E100" i="14"/>
  <c r="F100" i="14"/>
  <c r="G100" i="14"/>
  <c r="H100" i="14"/>
  <c r="J100" i="14"/>
  <c r="I161" i="14"/>
  <c r="J161" i="14"/>
  <c r="I162" i="14"/>
  <c r="J162" i="14"/>
  <c r="I163" i="14"/>
  <c r="J163" i="14"/>
  <c r="I164" i="14"/>
  <c r="J164" i="14"/>
  <c r="I165" i="14"/>
  <c r="J165" i="14"/>
  <c r="I166" i="14"/>
  <c r="J166" i="14"/>
  <c r="I167" i="14"/>
  <c r="J167" i="14"/>
  <c r="I168" i="14"/>
  <c r="J168" i="14"/>
  <c r="I169" i="14"/>
  <c r="J169" i="14"/>
  <c r="I170" i="14"/>
  <c r="J170" i="14"/>
  <c r="I171" i="14"/>
  <c r="J171" i="14"/>
  <c r="I172" i="14"/>
  <c r="J172" i="14"/>
  <c r="I173" i="14"/>
  <c r="J173" i="14"/>
  <c r="I174" i="14"/>
  <c r="J174" i="14"/>
  <c r="I175" i="14"/>
  <c r="J175" i="14"/>
  <c r="I176" i="14"/>
  <c r="J176" i="14"/>
  <c r="I180" i="14"/>
  <c r="J180" i="14"/>
  <c r="I181" i="14"/>
  <c r="J181" i="14"/>
  <c r="I182" i="14"/>
  <c r="J182" i="14"/>
  <c r="G183" i="14"/>
  <c r="I183" i="14"/>
  <c r="J183" i="14"/>
  <c r="G184" i="14"/>
  <c r="J184" i="14" s="1"/>
  <c r="I184" i="14"/>
  <c r="G185" i="14"/>
  <c r="J185" i="14" s="1"/>
  <c r="I185" i="14"/>
  <c r="G186" i="14"/>
  <c r="I186" i="14"/>
  <c r="J186" i="14"/>
  <c r="G187" i="14"/>
  <c r="J187" i="14" s="1"/>
  <c r="I187" i="14"/>
  <c r="C198" i="14"/>
  <c r="E202" i="14"/>
  <c r="E203" i="14"/>
  <c r="D204" i="14"/>
  <c r="BV5" i="6"/>
  <c r="B39" i="6"/>
  <c r="AO59" i="6"/>
  <c r="AQ59" i="6" s="1"/>
  <c r="B40" i="6"/>
  <c r="AO60" i="6"/>
  <c r="AQ60" i="6" s="1"/>
  <c r="B41" i="6"/>
  <c r="AO61" i="6"/>
  <c r="AQ61" i="6" s="1"/>
  <c r="AT62" i="6"/>
  <c r="BD62" i="6"/>
  <c r="BH62" i="6"/>
  <c r="BJ62" i="6"/>
  <c r="AT63" i="6"/>
  <c r="BD63" i="6"/>
  <c r="BH63" i="6"/>
  <c r="BJ63" i="6"/>
  <c r="AT64" i="6"/>
  <c r="BD64" i="6"/>
  <c r="BH64" i="6"/>
  <c r="BJ64" i="6"/>
  <c r="AT73" i="6"/>
  <c r="AV73" i="6"/>
  <c r="BD73" i="6"/>
  <c r="BE73" i="6"/>
  <c r="BH73" i="6"/>
  <c r="BJ73" i="6"/>
  <c r="AT74" i="6"/>
  <c r="AV74" i="6"/>
  <c r="BD74" i="6"/>
  <c r="BE74" i="6"/>
  <c r="BH74" i="6"/>
  <c r="BJ74" i="6"/>
  <c r="AT75" i="6"/>
  <c r="AV75" i="6"/>
  <c r="BD75" i="6"/>
  <c r="BE75" i="6"/>
  <c r="BH75" i="6"/>
  <c r="BJ75" i="6"/>
  <c r="AQ76" i="6"/>
  <c r="AT76" i="6"/>
  <c r="AV76" i="6"/>
  <c r="BD76" i="6"/>
  <c r="BE76" i="6"/>
  <c r="BH76" i="6"/>
  <c r="BJ76" i="6"/>
  <c r="AQ77" i="6"/>
  <c r="AT77" i="6"/>
  <c r="AV77" i="6"/>
  <c r="BD77" i="6"/>
  <c r="BE77" i="6"/>
  <c r="BH77" i="6"/>
  <c r="BJ77" i="6"/>
  <c r="AQ78" i="6"/>
  <c r="AT78" i="6"/>
  <c r="AV78" i="6"/>
  <c r="BD78" i="6"/>
  <c r="BE78" i="6"/>
  <c r="BH78" i="6"/>
  <c r="BJ78" i="6"/>
  <c r="AQ79" i="6"/>
  <c r="AT79" i="6"/>
  <c r="AV79" i="6"/>
  <c r="BD79" i="6"/>
  <c r="BE79" i="6"/>
  <c r="BH79" i="6"/>
  <c r="BJ79" i="6"/>
  <c r="AQ80" i="6"/>
  <c r="AT80" i="6"/>
  <c r="AV80" i="6"/>
  <c r="BD80" i="6"/>
  <c r="BE80" i="6"/>
  <c r="BH80" i="6"/>
  <c r="BJ80" i="6"/>
  <c r="AQ84" i="6"/>
  <c r="AT84" i="6"/>
  <c r="AV84" i="6"/>
  <c r="BD84" i="6"/>
  <c r="BE84" i="6"/>
  <c r="BH84" i="6"/>
  <c r="BJ84" i="6"/>
  <c r="BC89" i="6"/>
  <c r="BE89" i="6" s="1"/>
  <c r="BF89" i="6" s="1"/>
  <c r="BC90" i="6"/>
  <c r="BE90" i="6" s="1"/>
  <c r="BC91" i="6"/>
  <c r="BE91" i="6" s="1"/>
  <c r="BF91" i="6" s="1"/>
  <c r="BC92" i="6"/>
  <c r="BE92" i="6" s="1"/>
  <c r="BF92" i="6" s="1"/>
  <c r="BC93" i="6"/>
  <c r="BE93" i="6" s="1"/>
  <c r="BC102" i="6"/>
  <c r="BE102" i="6" s="1"/>
  <c r="BF102" i="6" s="1"/>
  <c r="BC103" i="6"/>
  <c r="BE103" i="6" s="1"/>
  <c r="BF103" i="6" s="1"/>
  <c r="BC104" i="6"/>
  <c r="BE104" i="6" s="1"/>
  <c r="BF104" i="6" s="1"/>
  <c r="BC105" i="6"/>
  <c r="BE105" i="6" s="1"/>
  <c r="BF105" i="6" s="1"/>
  <c r="BC106" i="6"/>
  <c r="BE106" i="6" s="1"/>
  <c r="BF106" i="6" s="1"/>
  <c r="BC107" i="6"/>
  <c r="BE107" i="6" s="1"/>
  <c r="BF107" i="6" s="1"/>
  <c r="D91" i="21"/>
  <c r="I280" i="21" s="1"/>
  <c r="I91" i="21"/>
  <c r="I294" i="21" s="1"/>
  <c r="E91" i="21"/>
  <c r="I282" i="21" s="1"/>
  <c r="K4" i="32"/>
  <c r="L4" i="32" s="1"/>
  <c r="M4" i="32" s="1"/>
  <c r="BJ59" i="6"/>
  <c r="BJ60" i="6"/>
  <c r="AM23" i="6" l="1"/>
  <c r="M23" i="6" s="1"/>
  <c r="AM20" i="6"/>
  <c r="M20" i="6" s="1"/>
  <c r="AM21" i="6"/>
  <c r="M21" i="6" s="1"/>
  <c r="AM22" i="6"/>
  <c r="M22" i="6" s="1"/>
  <c r="BF93" i="6"/>
  <c r="BE60" i="6"/>
  <c r="E14" i="30"/>
  <c r="E40" i="30"/>
  <c r="E39" i="30"/>
  <c r="E38" i="30"/>
  <c r="BF90" i="6"/>
  <c r="N4" i="32"/>
  <c r="O4" i="32" s="1"/>
  <c r="P4" i="32" s="1"/>
  <c r="Q4" i="32" s="1"/>
  <c r="R4" i="32" s="1"/>
  <c r="S4" i="32" s="1"/>
  <c r="T4" i="32" s="1"/>
  <c r="U4" i="32" s="1"/>
  <c r="V4" i="32" s="1"/>
  <c r="F15" i="32"/>
  <c r="G15" i="32" s="1"/>
  <c r="H15" i="32" s="1"/>
  <c r="I45" i="31"/>
  <c r="E9" i="30"/>
  <c r="E31" i="30"/>
  <c r="E34" i="30" s="1"/>
  <c r="F16" i="32"/>
  <c r="G16" i="32" s="1"/>
  <c r="H16" i="32" s="1"/>
  <c r="F17" i="32"/>
  <c r="G17" i="32" s="1"/>
  <c r="H17" i="32" s="1"/>
  <c r="AE23" i="6" l="1"/>
  <c r="H44" i="6" s="1"/>
  <c r="AE21" i="6"/>
  <c r="H42" i="6" s="1"/>
  <c r="AE20" i="6"/>
  <c r="H41" i="6" s="1"/>
  <c r="AE22" i="6"/>
  <c r="H43" i="6" s="1"/>
  <c r="BE61" i="6"/>
  <c r="BH61" i="6" s="1"/>
  <c r="BH60" i="6"/>
  <c r="O45" i="31"/>
  <c r="O46" i="31" s="1"/>
  <c r="O48" i="31" s="1"/>
  <c r="I17" i="32"/>
  <c r="J17" i="32" s="1"/>
  <c r="K17" i="32" s="1"/>
  <c r="L17" i="32" s="1"/>
  <c r="M17" i="32" s="1"/>
  <c r="N17" i="32" s="1"/>
  <c r="F39" i="30"/>
  <c r="G39" i="30" s="1"/>
  <c r="M40" i="30" s="1"/>
  <c r="F38" i="30"/>
  <c r="G38" i="30" s="1"/>
  <c r="L40" i="30" s="1"/>
  <c r="F40" i="30"/>
  <c r="G40" i="30" s="1"/>
  <c r="N40" i="30" s="1"/>
  <c r="F14" i="30"/>
  <c r="G14" i="30" s="1"/>
  <c r="M15" i="30" s="1"/>
  <c r="G13" i="30"/>
  <c r="L15" i="30" s="1"/>
  <c r="J5" i="32"/>
  <c r="I16" i="32"/>
  <c r="J16" i="32" s="1"/>
  <c r="K16" i="32" s="1"/>
  <c r="L16" i="32" s="1"/>
  <c r="M16" i="32" s="1"/>
  <c r="N16" i="32" s="1"/>
  <c r="I15" i="32"/>
  <c r="J15" i="32" s="1"/>
  <c r="K15" i="32" s="1"/>
  <c r="L15" i="32" s="1"/>
  <c r="M15" i="32" s="1"/>
  <c r="N15" i="32" s="1"/>
  <c r="E18" i="32" l="1"/>
  <c r="M41" i="30"/>
  <c r="M45" i="30"/>
  <c r="E19" i="32"/>
  <c r="L20" i="30"/>
  <c r="L16" i="30"/>
  <c r="N41" i="30"/>
  <c r="N45" i="30"/>
  <c r="E20" i="32"/>
  <c r="M20" i="30"/>
  <c r="M16" i="30"/>
  <c r="L41" i="30"/>
  <c r="L45" i="30"/>
  <c r="M21" i="30" l="1"/>
  <c r="M17" i="30"/>
  <c r="L17" i="30"/>
  <c r="L21" i="30"/>
  <c r="L46" i="30"/>
  <c r="L42" i="30"/>
  <c r="N42" i="30"/>
  <c r="N46" i="30"/>
  <c r="M46" i="30"/>
  <c r="M42" i="30"/>
  <c r="L47" i="30" l="1"/>
  <c r="L43" i="30"/>
  <c r="L48" i="30" s="1"/>
  <c r="L18" i="30"/>
  <c r="L23" i="30" s="1"/>
  <c r="L22" i="30"/>
  <c r="J39" i="6" s="1"/>
  <c r="M47" i="30"/>
  <c r="M43" i="30"/>
  <c r="M48" i="30" s="1"/>
  <c r="N43" i="30"/>
  <c r="N48" i="30" s="1"/>
  <c r="N47" i="30"/>
  <c r="M18" i="30"/>
  <c r="M23" i="30" s="1"/>
  <c r="M22" i="30"/>
  <c r="J40" i="6"/>
  <c r="J41" i="6" l="1"/>
  <c r="J42" i="6" l="1"/>
  <c r="J43" i="6" l="1"/>
  <c r="J4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takami</author>
  </authors>
  <commentList>
    <comment ref="C87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NF生産室
LT室
製造部スタッフ(事務所)</t>
        </r>
      </text>
    </comment>
    <comment ref="D204" authorId="0" shapeId="0" xr:uid="{00000000-0006-0000-0000-000002000000}">
      <text>
        <r>
          <rPr>
            <sz val="9"/>
            <color indexed="81"/>
            <rFont val="ＭＳ Ｐゴシック"/>
            <family val="3"/>
            <charset val="128"/>
          </rPr>
          <t>(加工費＋工場間接費)に対して 6.61%　＝　加工費に対して 7.76%
(加工費 + 加工費 × 17.35%) × 6.61% = 加工費 × 7.76%</t>
        </r>
      </text>
    </comment>
    <comment ref="I211" authorId="0" shapeId="0" xr:uid="{00000000-0006-0000-0000-000003000000}">
      <text>
        <r>
          <rPr>
            <sz val="9"/>
            <color indexed="81"/>
            <rFont val="ＭＳ Ｐゴシック"/>
            <family val="3"/>
            <charset val="128"/>
          </rPr>
          <t>商社行為不可。
必ず輸出加工</t>
        </r>
      </text>
    </comment>
    <comment ref="H212" authorId="0" shapeId="0" xr:uid="{00000000-0006-0000-0000-000004000000}">
      <text>
        <r>
          <rPr>
            <sz val="9"/>
            <color indexed="81"/>
            <rFont val="ＭＳ Ｐゴシック"/>
            <family val="3"/>
            <charset val="128"/>
          </rPr>
          <t>その他材料費　3.88％(対材料費)
(部材搬入にかかる費用＋関税)</t>
        </r>
      </text>
    </comment>
    <comment ref="G220" authorId="0" shapeId="0" xr:uid="{00000000-0006-0000-00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40ft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G370" authorId="0" shapeId="0" xr:uid="{00000000-0006-0000-0000-000006000000}">
      <text>
        <r>
          <rPr>
            <b/>
            <sz val="9"/>
            <color indexed="81"/>
            <rFont val="ＭＳ Ｐゴシック"/>
            <family val="3"/>
            <charset val="128"/>
          </rPr>
          <t>アンテナの一般管理費以降は、ELC事業部にて見積もること。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takami</author>
  </authors>
  <commentList>
    <comment ref="C85" authorId="0" shapeId="0" xr:uid="{00000000-0006-0000-01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NF生産室
LT室
製造部スタッフ(事務所)</t>
        </r>
      </text>
    </comment>
    <comment ref="D167" authorId="0" shapeId="0" xr:uid="{00000000-0006-0000-0100-000002000000}">
      <text>
        <r>
          <rPr>
            <sz val="9"/>
            <color indexed="81"/>
            <rFont val="ＭＳ Ｐゴシック"/>
            <family val="3"/>
            <charset val="128"/>
          </rPr>
          <t>(加工費＋工場間接費)に対して 6.61%　＝　加工費に対して 7.76%
(加工費 + 加工費 × 17.35%) × 6.61% = 加工費 × 7.76%</t>
        </r>
      </text>
    </comment>
    <comment ref="I173" authorId="0" shapeId="0" xr:uid="{00000000-0006-0000-0100-000003000000}">
      <text>
        <r>
          <rPr>
            <sz val="9"/>
            <color indexed="81"/>
            <rFont val="ＭＳ Ｐゴシック"/>
            <family val="3"/>
            <charset val="128"/>
          </rPr>
          <t>商社行為不可。
必ず輸出加工</t>
        </r>
      </text>
    </comment>
    <comment ref="H174" authorId="0" shapeId="0" xr:uid="{00000000-0006-0000-0100-000004000000}">
      <text>
        <r>
          <rPr>
            <sz val="9"/>
            <color indexed="81"/>
            <rFont val="ＭＳ Ｐゴシック"/>
            <family val="3"/>
            <charset val="128"/>
          </rPr>
          <t>その他材料費　3.88％(対材料費)
(部材搬入にかかる費用＋関税)</t>
        </r>
      </text>
    </comment>
    <comment ref="G182" authorId="0" shapeId="0" xr:uid="{00000000-0006-0000-01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40ft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G293" authorId="0" shapeId="0" xr:uid="{00000000-0006-0000-0100-000006000000}">
      <text>
        <r>
          <rPr>
            <b/>
            <sz val="9"/>
            <color indexed="81"/>
            <rFont val="ＭＳ Ｐゴシック"/>
            <family val="3"/>
            <charset val="128"/>
          </rPr>
          <t>アンテナの一般管理費以降は、ELC事業部にて見積もること。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goto</author>
    <author>masaki.shinozaki</author>
  </authors>
  <commentList>
    <comment ref="BH10" authorId="0" shapeId="0" xr:uid="{00000000-0006-0000-0700-000001000000}">
      <text>
        <r>
          <rPr>
            <sz val="9"/>
            <color indexed="81"/>
            <rFont val="ＭＳ Ｐゴシック"/>
            <family val="3"/>
            <charset val="128"/>
          </rPr>
          <t xml:space="preserve">輸出運賃　1パレタイズ
日本向け: 36$
FAPH向け:64$
共益費(標準原価+一般管理費+梱包費)*0.155%
梱包費: 個別に見積
</t>
        </r>
      </text>
    </comment>
    <comment ref="BE57" authorId="1" shapeId="0" xr:uid="{00000000-0006-0000-0700-000002000000}">
      <text>
        <r>
          <rPr>
            <b/>
            <sz val="9"/>
            <color indexed="81"/>
            <rFont val="Tahoma"/>
            <family val="2"/>
          </rPr>
          <t>masaki.shinozaki:</t>
        </r>
        <r>
          <rPr>
            <sz val="9"/>
            <color indexed="81"/>
            <rFont val="Tahoma"/>
            <family val="2"/>
          </rPr>
          <t xml:space="preserve">
6000php/month</t>
        </r>
      </text>
    </comment>
  </commentList>
</comments>
</file>

<file path=xl/sharedStrings.xml><?xml version="1.0" encoding="utf-8"?>
<sst xmlns="http://schemas.openxmlformats.org/spreadsheetml/2006/main" count="6944" uniqueCount="1721">
  <si>
    <t>FAPV</t>
    <phoneticPr fontId="2"/>
  </si>
  <si>
    <t>a</t>
    <phoneticPr fontId="2"/>
  </si>
  <si>
    <t>b</t>
    <phoneticPr fontId="2"/>
  </si>
  <si>
    <t>c</t>
    <phoneticPr fontId="2"/>
  </si>
  <si>
    <t>e</t>
    <phoneticPr fontId="2"/>
  </si>
  <si>
    <t>f</t>
    <phoneticPr fontId="2"/>
  </si>
  <si>
    <t>g</t>
    <phoneticPr fontId="2"/>
  </si>
  <si>
    <t>NOVADURAN 5010TR-XA(IN)</t>
  </si>
  <si>
    <t>NOVADURAN 5010TR-XA(OUT)</t>
  </si>
  <si>
    <t>NOVADURAN 5410GN3-30(BLACK)(OUT)</t>
  </si>
  <si>
    <t>NOVADURAN 5410GN3-30(NATURAL)</t>
  </si>
  <si>
    <t>NOVADURAN 5710F40(IN)</t>
  </si>
  <si>
    <t>NOVADURAN 5710G15-S2(IN)</t>
  </si>
  <si>
    <t>NOVADURAN 5710GT30 X4</t>
  </si>
  <si>
    <t>NOVADURAN 5710GT30 X4(OUT)</t>
  </si>
  <si>
    <t>NOVADURAN 5810G30(BLACK)(IN)</t>
  </si>
  <si>
    <t>NOVADURAN 5810G30(BLACK)(OUT)</t>
  </si>
  <si>
    <t>NOVATEC HT21TY (EXPORT)</t>
  </si>
  <si>
    <t>NOVATEC HT21TY(IN)</t>
  </si>
  <si>
    <t>NOVATEC HT21TY(IVORY)</t>
  </si>
  <si>
    <t>NOVATEC HT21TY(NATURAL)</t>
  </si>
  <si>
    <t>NOVATEC HT21TY(OUT)</t>
  </si>
  <si>
    <t>PARAPET HR-L(OUT)</t>
  </si>
  <si>
    <t>PMMA</t>
  </si>
  <si>
    <t>PBT 5010R-5 BK2</t>
  </si>
  <si>
    <t>P202-A14(IN)</t>
  </si>
  <si>
    <t>高六商事株式会社</t>
  </si>
  <si>
    <t>TEEE</t>
  </si>
  <si>
    <t>三井物産株式会社</t>
  </si>
  <si>
    <t>TORAYCON 1401-X34</t>
  </si>
  <si>
    <t>TORAYCON 1401-X34 (EXPORT)</t>
  </si>
  <si>
    <t>LEMALLOY C61HL(GRAY)(OUT)</t>
  </si>
  <si>
    <t>三菱エンジニアリングプラスチックス株式会社</t>
  </si>
  <si>
    <t>LEMALLOY C61HL(IN)</t>
  </si>
  <si>
    <t>LEMALLOY C61HL(OUT)</t>
  </si>
  <si>
    <t>TR-650(IN)</t>
  </si>
  <si>
    <t>寺田紡績株式会社</t>
  </si>
  <si>
    <t>TR130(EXPORT)</t>
  </si>
  <si>
    <t>出光石油化学株式会社</t>
  </si>
  <si>
    <t>DSP LR-01G(OUT)</t>
  </si>
  <si>
    <t>大日本インキ化学工業株式会社</t>
  </si>
  <si>
    <t>大日本インキ化学工業株式会社名古屋</t>
  </si>
  <si>
    <t>FZ-1040[J-FN]</t>
  </si>
  <si>
    <t>FZ-1040[J-FP]</t>
  </si>
  <si>
    <t>PLANAC BT-1000-60</t>
  </si>
  <si>
    <t>4600G-5(IN)</t>
  </si>
  <si>
    <t>長瀬産業株式会社</t>
  </si>
  <si>
    <t>4600G-5(K9624)</t>
  </si>
  <si>
    <t>4600G-5(OUT)</t>
  </si>
  <si>
    <t>4600G-5(V-9031)(OUT)</t>
  </si>
  <si>
    <t>4600G-5(V-9031)[J-FN]</t>
  </si>
  <si>
    <t>4600G-5(V-9301)(IN)</t>
  </si>
  <si>
    <t>4704G</t>
  </si>
  <si>
    <t>NORYL GTX918WR(EXPORT)</t>
  </si>
  <si>
    <t>PELPLEN P150B-05(OUT)</t>
  </si>
  <si>
    <t>PELPLEN P280B-05(OUT)</t>
  </si>
  <si>
    <t>PELPLEN P90B-05(OUT)</t>
  </si>
  <si>
    <t>XAREC S131 N0301(OUT)</t>
  </si>
  <si>
    <t>XAREC S131 N0301[J-JH]</t>
  </si>
  <si>
    <t>XAREC WA212(OUT)</t>
  </si>
  <si>
    <t>XAREC WA212(OUT)[J-JH]</t>
  </si>
  <si>
    <t>RILSAN AMN O TLD(OUT)</t>
  </si>
  <si>
    <t>PA12</t>
  </si>
  <si>
    <t>東京材料株式会社</t>
  </si>
  <si>
    <t>MP-10(OUT)</t>
  </si>
  <si>
    <t>EP</t>
  </si>
  <si>
    <t>日東電工株式会社名古屋</t>
  </si>
  <si>
    <t>ULTRADUR B2550(OUT) [G]</t>
  </si>
  <si>
    <t>09予算諸元表</t>
    <rPh sb="2" eb="4">
      <t>ヨサン</t>
    </rPh>
    <rPh sb="4" eb="7">
      <t>ショゲンヒョウ</t>
    </rPh>
    <phoneticPr fontId="2"/>
  </si>
  <si>
    <t>諸元（部門）</t>
    <rPh sb="0" eb="1">
      <t>ショ</t>
    </rPh>
    <rPh sb="1" eb="2">
      <t>ゲン</t>
    </rPh>
    <rPh sb="3" eb="5">
      <t>ブモン</t>
    </rPh>
    <phoneticPr fontId="2"/>
  </si>
  <si>
    <t>部門</t>
    <rPh sb="0" eb="2">
      <t>ブモン</t>
    </rPh>
    <phoneticPr fontId="2"/>
  </si>
  <si>
    <t>部門コード</t>
    <rPh sb="0" eb="2">
      <t>ブモン</t>
    </rPh>
    <phoneticPr fontId="2"/>
  </si>
  <si>
    <t>直間比</t>
    <rPh sb="0" eb="1">
      <t>チョク</t>
    </rPh>
    <rPh sb="1" eb="2">
      <t>カン</t>
    </rPh>
    <rPh sb="2" eb="3">
      <t>ヒ</t>
    </rPh>
    <phoneticPr fontId="2"/>
  </si>
  <si>
    <t>ＭＨ単価</t>
    <rPh sb="2" eb="4">
      <t>タンカ</t>
    </rPh>
    <phoneticPr fontId="2"/>
  </si>
  <si>
    <t>ＭＴ単価</t>
    <rPh sb="2" eb="4">
      <t>タンカ</t>
    </rPh>
    <phoneticPr fontId="2"/>
  </si>
  <si>
    <t>MPC</t>
    <phoneticPr fontId="2"/>
  </si>
  <si>
    <t>AE実装</t>
  </si>
  <si>
    <t>UBAE</t>
  </si>
  <si>
    <t>AE作業組</t>
  </si>
  <si>
    <t>AE後工程</t>
  </si>
  <si>
    <t>UBAF</t>
  </si>
  <si>
    <t>AE　MT無し</t>
  </si>
  <si>
    <t>UBM1</t>
    <phoneticPr fontId="2"/>
  </si>
  <si>
    <t>←設備の無い工程</t>
    <rPh sb="1" eb="3">
      <t>セツビ</t>
    </rPh>
    <rPh sb="4" eb="5">
      <t>ナ</t>
    </rPh>
    <rPh sb="6" eb="8">
      <t>コウテイ</t>
    </rPh>
    <phoneticPr fontId="2"/>
  </si>
  <si>
    <t>AH多工程</t>
  </si>
  <si>
    <t>UBAH</t>
  </si>
  <si>
    <t>AH作業組</t>
  </si>
  <si>
    <t>AH単発</t>
  </si>
  <si>
    <t>UBAI</t>
  </si>
  <si>
    <t>AH MT0</t>
    <phoneticPr fontId="2"/>
  </si>
  <si>
    <t>UBM6</t>
  </si>
  <si>
    <t>AM組立</t>
  </si>
  <si>
    <t>UBAM</t>
  </si>
  <si>
    <t>AM作業組</t>
  </si>
  <si>
    <t>AM　MT無し</t>
  </si>
  <si>
    <t>UBM2</t>
    <phoneticPr fontId="2"/>
  </si>
  <si>
    <t>AS多工程</t>
  </si>
  <si>
    <t>UBAS</t>
  </si>
  <si>
    <t>AS作業組</t>
  </si>
  <si>
    <t>AS単発</t>
  </si>
  <si>
    <t>UBAT</t>
  </si>
  <si>
    <t>AS　MT無し</t>
  </si>
  <si>
    <t>UBM3</t>
    <phoneticPr fontId="2"/>
  </si>
  <si>
    <t>JB成形</t>
  </si>
  <si>
    <t>UBJB</t>
  </si>
  <si>
    <t>JB作業組</t>
  </si>
  <si>
    <t>JB MT無し</t>
  </si>
  <si>
    <t>UBM0</t>
    <phoneticPr fontId="2"/>
  </si>
  <si>
    <t>JC旧成形</t>
  </si>
  <si>
    <t>UBJC</t>
  </si>
  <si>
    <t>JC作業組</t>
  </si>
  <si>
    <t>JC新成形</t>
  </si>
  <si>
    <t>UBJD</t>
  </si>
  <si>
    <t>NOVADURAN 5010GN6-30TM4(BLACK)</t>
    <phoneticPr fontId="2"/>
  </si>
  <si>
    <t>NOVADURAN 5010GN6-30TM4(GRAY)</t>
    <phoneticPr fontId="2"/>
  </si>
  <si>
    <t>JP400トンプレス</t>
  </si>
  <si>
    <t>UBJP</t>
  </si>
  <si>
    <t>JP作業組</t>
  </si>
  <si>
    <t>JP高速プレス</t>
  </si>
  <si>
    <t>UBJQ</t>
  </si>
  <si>
    <t>JP積層プレス</t>
  </si>
  <si>
    <t>UBJR</t>
  </si>
  <si>
    <t>JSブロック</t>
  </si>
  <si>
    <t>UBJS</t>
  </si>
  <si>
    <t>JS作業組</t>
  </si>
  <si>
    <t>JSコネクタ二次加工</t>
  </si>
  <si>
    <t>UBJU</t>
  </si>
  <si>
    <t>JS　MT無し</t>
  </si>
  <si>
    <t>UBM4</t>
    <phoneticPr fontId="2"/>
  </si>
  <si>
    <t>RBラミネート</t>
  </si>
  <si>
    <t>UBRF</t>
  </si>
  <si>
    <t>RB作業組</t>
  </si>
  <si>
    <t>RB束取</t>
  </si>
  <si>
    <t>UBRG</t>
  </si>
  <si>
    <t>RB圧延</t>
  </si>
  <si>
    <t>UBRP</t>
  </si>
  <si>
    <t>RB　MT無し</t>
  </si>
  <si>
    <t>UBM5</t>
    <phoneticPr fontId="2"/>
  </si>
  <si>
    <t>RC</t>
  </si>
  <si>
    <t>UBRC</t>
  </si>
  <si>
    <t>RC作業組</t>
  </si>
  <si>
    <t>杉本電装（内作）</t>
  </si>
  <si>
    <t>UBSD</t>
  </si>
  <si>
    <t>杉本電装（社内付）</t>
  </si>
  <si>
    <t>保田産業（内作）</t>
  </si>
  <si>
    <t>UBYS</t>
  </si>
  <si>
    <t>保田作業（社内付）</t>
  </si>
  <si>
    <t>←梱包・選別・コネクタ組立など</t>
    <rPh sb="1" eb="3">
      <t>コンポウ</t>
    </rPh>
    <rPh sb="4" eb="6">
      <t>センベツ</t>
    </rPh>
    <rPh sb="11" eb="13">
      <t>クミタテ</t>
    </rPh>
    <phoneticPr fontId="2"/>
  </si>
  <si>
    <t>再検査</t>
    <rPh sb="0" eb="1">
      <t>サイ</t>
    </rPh>
    <rPh sb="1" eb="3">
      <t>ケンサ</t>
    </rPh>
    <phoneticPr fontId="2"/>
  </si>
  <si>
    <t>UBRI</t>
    <phoneticPr fontId="2"/>
  </si>
  <si>
    <t>古河ライフ</t>
    <rPh sb="0" eb="2">
      <t>フルカワ</t>
    </rPh>
    <phoneticPr fontId="2"/>
  </si>
  <si>
    <t>←SRC再検査工程</t>
    <rPh sb="4" eb="7">
      <t>サイケンサ</t>
    </rPh>
    <rPh sb="7" eb="9">
      <t>コウテイ</t>
    </rPh>
    <phoneticPr fontId="2"/>
  </si>
  <si>
    <t>間接費は、０8年の製品系統別PL予算より下記の値を用いる。</t>
    <rPh sb="0" eb="2">
      <t>カンセツ</t>
    </rPh>
    <rPh sb="2" eb="3">
      <t>ヒ</t>
    </rPh>
    <rPh sb="7" eb="8">
      <t>ネン</t>
    </rPh>
    <rPh sb="9" eb="11">
      <t>セイヒン</t>
    </rPh>
    <rPh sb="11" eb="13">
      <t>ケイトウ</t>
    </rPh>
    <rPh sb="13" eb="14">
      <t>ベツ</t>
    </rPh>
    <rPh sb="16" eb="18">
      <t>ヨサン</t>
    </rPh>
    <rPh sb="20" eb="22">
      <t>カキ</t>
    </rPh>
    <rPh sb="23" eb="24">
      <t>アタイ</t>
    </rPh>
    <rPh sb="25" eb="26">
      <t>モチ</t>
    </rPh>
    <phoneticPr fontId="2"/>
  </si>
  <si>
    <t>ブロック</t>
    <phoneticPr fontId="2"/>
  </si>
  <si>
    <t>ＳＲＣ</t>
  </si>
  <si>
    <t>コネクタ</t>
    <phoneticPr fontId="2"/>
  </si>
  <si>
    <t>電子部品※</t>
    <phoneticPr fontId="2"/>
  </si>
  <si>
    <t>(工場間接費は専用設備の償却費を除く｡)</t>
    <rPh sb="7" eb="9">
      <t>センヨウ</t>
    </rPh>
    <rPh sb="9" eb="11">
      <t>セツビ</t>
    </rPh>
    <phoneticPr fontId="2"/>
  </si>
  <si>
    <t>※電装工場平均値</t>
  </si>
  <si>
    <t>※工場間接費・一般管理費・営業外は、「日本に逆輸入する製品」に使用する「日供部材」の輸出には賦課しない。</t>
    <rPh sb="1" eb="3">
      <t>コウジョウ</t>
    </rPh>
    <rPh sb="3" eb="5">
      <t>カンセツ</t>
    </rPh>
    <rPh sb="5" eb="6">
      <t>ヒ</t>
    </rPh>
    <rPh sb="7" eb="9">
      <t>イッパン</t>
    </rPh>
    <rPh sb="9" eb="12">
      <t>カンリヒ</t>
    </rPh>
    <rPh sb="13" eb="16">
      <t>エイギョウガイ</t>
    </rPh>
    <rPh sb="19" eb="21">
      <t>ニホン</t>
    </rPh>
    <rPh sb="22" eb="23">
      <t>ギャク</t>
    </rPh>
    <rPh sb="23" eb="25">
      <t>ユニュウ</t>
    </rPh>
    <rPh sb="27" eb="29">
      <t>セイヒン</t>
    </rPh>
    <rPh sb="31" eb="33">
      <t>シヨウ</t>
    </rPh>
    <rPh sb="36" eb="38">
      <t>ニッキョウ</t>
    </rPh>
    <rPh sb="38" eb="39">
      <t>ブ</t>
    </rPh>
    <rPh sb="39" eb="40">
      <t>ザイ</t>
    </rPh>
    <rPh sb="42" eb="44">
      <t>ユシュツ</t>
    </rPh>
    <rPh sb="46" eb="48">
      <t>フカ</t>
    </rPh>
    <phoneticPr fontId="2"/>
  </si>
  <si>
    <t>販売直接費</t>
    <rPh sb="0" eb="2">
      <t>ハンバイ</t>
    </rPh>
    <rPh sb="2" eb="4">
      <t>チョクセツ</t>
    </rPh>
    <rPh sb="4" eb="5">
      <t>ヒ</t>
    </rPh>
    <phoneticPr fontId="2"/>
  </si>
  <si>
    <t>※国内の営業販直費は、SCを経由しない場合は０とし、工場販直費のみとする。</t>
    <rPh sb="1" eb="3">
      <t>コクナイ</t>
    </rPh>
    <rPh sb="4" eb="6">
      <t>エイギョウ</t>
    </rPh>
    <rPh sb="6" eb="7">
      <t>ハン</t>
    </rPh>
    <rPh sb="7" eb="8">
      <t>チョク</t>
    </rPh>
    <rPh sb="8" eb="9">
      <t>ヒ</t>
    </rPh>
    <rPh sb="14" eb="16">
      <t>ケイユ</t>
    </rPh>
    <rPh sb="19" eb="21">
      <t>バアイ</t>
    </rPh>
    <rPh sb="26" eb="28">
      <t>コウジョウ</t>
    </rPh>
    <rPh sb="28" eb="29">
      <t>ハン</t>
    </rPh>
    <rPh sb="29" eb="30">
      <t>チョク</t>
    </rPh>
    <rPh sb="30" eb="31">
      <t>ヒ</t>
    </rPh>
    <phoneticPr fontId="2"/>
  </si>
  <si>
    <t>輸送費込み</t>
    <rPh sb="0" eb="3">
      <t>ユソウヒ</t>
    </rPh>
    <rPh sb="3" eb="4">
      <t>コ</t>
    </rPh>
    <phoneticPr fontId="2"/>
  </si>
  <si>
    <t>輸送費別</t>
    <rPh sb="0" eb="3">
      <t>ユソウヒ</t>
    </rPh>
    <rPh sb="3" eb="4">
      <t>ベツ</t>
    </rPh>
    <phoneticPr fontId="2"/>
  </si>
  <si>
    <t>国内</t>
    <rPh sb="0" eb="2">
      <t>コクナイ</t>
    </rPh>
    <phoneticPr fontId="2"/>
  </si>
  <si>
    <t>営業販直</t>
    <rPh sb="0" eb="2">
      <t>エイギョウ</t>
    </rPh>
    <rPh sb="2" eb="3">
      <t>ハン</t>
    </rPh>
    <rPh sb="3" eb="4">
      <t>チョク</t>
    </rPh>
    <phoneticPr fontId="2"/>
  </si>
  <si>
    <t>計</t>
    <rPh sb="0" eb="1">
      <t>ケイ</t>
    </rPh>
    <phoneticPr fontId="2"/>
  </si>
  <si>
    <t>SCを経由しない</t>
    <rPh sb="3" eb="5">
      <t>ケイユ</t>
    </rPh>
    <phoneticPr fontId="2"/>
  </si>
  <si>
    <t>海外</t>
    <rPh sb="0" eb="2">
      <t>カイガイ</t>
    </rPh>
    <phoneticPr fontId="2"/>
  </si>
  <si>
    <t>FEAP</t>
    <phoneticPr fontId="2"/>
  </si>
  <si>
    <t>FENA</t>
    <phoneticPr fontId="2"/>
  </si>
  <si>
    <t>FESZ</t>
    <phoneticPr fontId="2"/>
  </si>
  <si>
    <t>FAST</t>
    <phoneticPr fontId="2"/>
  </si>
  <si>
    <t>FACE</t>
    <phoneticPr fontId="2"/>
  </si>
  <si>
    <t>津河</t>
    <rPh sb="0" eb="2">
      <t>ジンホウ</t>
    </rPh>
    <phoneticPr fontId="2"/>
  </si>
  <si>
    <t>・古河電工本社費用</t>
    <rPh sb="1" eb="3">
      <t>フルカワ</t>
    </rPh>
    <rPh sb="3" eb="5">
      <t>デンコウ</t>
    </rPh>
    <rPh sb="5" eb="7">
      <t>ホンシャ</t>
    </rPh>
    <rPh sb="7" eb="9">
      <t>ヒヨウ</t>
    </rPh>
    <phoneticPr fontId="2"/>
  </si>
  <si>
    <t>●古河電工と古河ASを連結して計算する場合の、電工本社費用の直原比率は下記を摘要します。</t>
    <rPh sb="1" eb="3">
      <t>フルカワ</t>
    </rPh>
    <rPh sb="3" eb="5">
      <t>デンコウ</t>
    </rPh>
    <rPh sb="6" eb="8">
      <t>フルカワ</t>
    </rPh>
    <rPh sb="11" eb="13">
      <t>レンケツ</t>
    </rPh>
    <rPh sb="15" eb="17">
      <t>ケイサン</t>
    </rPh>
    <rPh sb="19" eb="21">
      <t>バアイ</t>
    </rPh>
    <rPh sb="23" eb="25">
      <t>デンコウ</t>
    </rPh>
    <rPh sb="25" eb="27">
      <t>ホンシャ</t>
    </rPh>
    <rPh sb="27" eb="29">
      <t>ヒヨウ</t>
    </rPh>
    <rPh sb="30" eb="31">
      <t>チョク</t>
    </rPh>
    <rPh sb="31" eb="32">
      <t>ゲン</t>
    </rPh>
    <rPh sb="32" eb="33">
      <t>ヒ</t>
    </rPh>
    <rPh sb="33" eb="34">
      <t>リツ</t>
    </rPh>
    <rPh sb="35" eb="37">
      <t>カキ</t>
    </rPh>
    <rPh sb="38" eb="40">
      <t>テキヨウ</t>
    </rPh>
    <phoneticPr fontId="2"/>
  </si>
  <si>
    <t>電工本社費用</t>
    <phoneticPr fontId="2"/>
  </si>
  <si>
    <t>（対直原比率）</t>
    <rPh sb="1" eb="2">
      <t>タイ</t>
    </rPh>
    <rPh sb="2" eb="3">
      <t>チョク</t>
    </rPh>
    <rPh sb="3" eb="4">
      <t>ゲン</t>
    </rPh>
    <rPh sb="4" eb="5">
      <t>ヒ</t>
    </rPh>
    <rPh sb="5" eb="6">
      <t>リツ</t>
    </rPh>
    <phoneticPr fontId="2"/>
  </si>
  <si>
    <t>古河電工側 一般管理費（事業部・営業部・本社）、社内利子</t>
    <rPh sb="0" eb="2">
      <t>フルカワ</t>
    </rPh>
    <rPh sb="2" eb="4">
      <t>デンコウ</t>
    </rPh>
    <rPh sb="4" eb="5">
      <t>ガワ</t>
    </rPh>
    <rPh sb="6" eb="8">
      <t>イッパン</t>
    </rPh>
    <rPh sb="8" eb="11">
      <t>カンリヒ</t>
    </rPh>
    <rPh sb="12" eb="14">
      <t>ジギョウ</t>
    </rPh>
    <rPh sb="14" eb="15">
      <t>ブ</t>
    </rPh>
    <rPh sb="16" eb="18">
      <t>エイギョウ</t>
    </rPh>
    <rPh sb="18" eb="19">
      <t>ブ</t>
    </rPh>
    <rPh sb="20" eb="22">
      <t>ホンシャ</t>
    </rPh>
    <rPh sb="24" eb="26">
      <t>シャナイ</t>
    </rPh>
    <rPh sb="26" eb="28">
      <t>リシ</t>
    </rPh>
    <phoneticPr fontId="2"/>
  </si>
  <si>
    <t>※古河AS単体での計算では使用しない。</t>
    <rPh sb="1" eb="3">
      <t>フルカワ</t>
    </rPh>
    <rPh sb="5" eb="7">
      <t>タンタイ</t>
    </rPh>
    <rPh sb="9" eb="11">
      <t>ケイサン</t>
    </rPh>
    <rPh sb="13" eb="15">
      <t>シヨウ</t>
    </rPh>
    <phoneticPr fontId="2"/>
  </si>
  <si>
    <t>・古河電工本社への口銭料</t>
    <rPh sb="1" eb="3">
      <t>フルカワ</t>
    </rPh>
    <rPh sb="3" eb="5">
      <t>デンコウ</t>
    </rPh>
    <rPh sb="5" eb="7">
      <t>ホンシャ</t>
    </rPh>
    <rPh sb="9" eb="11">
      <t>コウセン</t>
    </rPh>
    <rPh sb="11" eb="12">
      <t>リョウ</t>
    </rPh>
    <phoneticPr fontId="2"/>
  </si>
  <si>
    <t>注文先</t>
    <rPh sb="0" eb="2">
      <t>チュウモン</t>
    </rPh>
    <rPh sb="2" eb="3">
      <t>サキ</t>
    </rPh>
    <phoneticPr fontId="2"/>
  </si>
  <si>
    <t>口銭率</t>
    <rPh sb="0" eb="2">
      <t>コウセン</t>
    </rPh>
    <rPh sb="2" eb="3">
      <t>リツ</t>
    </rPh>
    <phoneticPr fontId="2"/>
  </si>
  <si>
    <t>FAS社内</t>
    <rPh sb="3" eb="5">
      <t>シャナイ</t>
    </rPh>
    <phoneticPr fontId="2"/>
  </si>
  <si>
    <t>上記以外</t>
    <rPh sb="0" eb="2">
      <t>ジョウキ</t>
    </rPh>
    <rPh sb="2" eb="4">
      <t>イガイ</t>
    </rPh>
    <phoneticPr fontId="2"/>
  </si>
  <si>
    <t>※ただし、客先売値に対する比率</t>
    <rPh sb="5" eb="7">
      <t>キャクサキ</t>
    </rPh>
    <rPh sb="7" eb="9">
      <t>ウリネ</t>
    </rPh>
    <rPh sb="10" eb="11">
      <t>タイ</t>
    </rPh>
    <rPh sb="13" eb="14">
      <t>ヒ</t>
    </rPh>
    <rPh sb="14" eb="15">
      <t>リツ</t>
    </rPh>
    <phoneticPr fontId="2"/>
  </si>
  <si>
    <t>「古河AS売値」 = (1-「口銭率」)×「古河電工売値（客先売値)」</t>
    <rPh sb="1" eb="3">
      <t>フルカワ</t>
    </rPh>
    <rPh sb="5" eb="7">
      <t>ウリネ</t>
    </rPh>
    <rPh sb="15" eb="17">
      <t>コウセン</t>
    </rPh>
    <rPh sb="17" eb="18">
      <t>リツ</t>
    </rPh>
    <rPh sb="22" eb="24">
      <t>フルカワ</t>
    </rPh>
    <rPh sb="24" eb="26">
      <t>デンコウ</t>
    </rPh>
    <rPh sb="26" eb="28">
      <t>ウリネ</t>
    </rPh>
    <rPh sb="29" eb="31">
      <t>キャクサキ</t>
    </rPh>
    <rPh sb="31" eb="33">
      <t>ウリネ</t>
    </rPh>
    <phoneticPr fontId="2"/>
  </si>
  <si>
    <t>09標準銅ベース</t>
    <rPh sb="2" eb="4">
      <t>ヒョウジュン</t>
    </rPh>
    <rPh sb="4" eb="5">
      <t>ドウ</t>
    </rPh>
    <phoneticPr fontId="2"/>
  </si>
  <si>
    <t>円/KG</t>
    <rPh sb="0" eb="1">
      <t>エン</t>
    </rPh>
    <phoneticPr fontId="2"/>
  </si>
  <si>
    <t>09標準為替レート</t>
    <rPh sb="2" eb="4">
      <t>ヒョウジュン</t>
    </rPh>
    <rPh sb="4" eb="6">
      <t>カワセ</t>
    </rPh>
    <phoneticPr fontId="2"/>
  </si>
  <si>
    <t>米ドル</t>
  </si>
  <si>
    <t>USD</t>
  </si>
  <si>
    <t>円</t>
  </si>
  <si>
    <t>ユ－ロ</t>
  </si>
  <si>
    <t>EUR</t>
  </si>
  <si>
    <t>スターリングポンド</t>
    <phoneticPr fontId="2"/>
  </si>
  <si>
    <t>GBP</t>
  </si>
  <si>
    <t>香港ドル</t>
    <rPh sb="0" eb="2">
      <t>ホンコン</t>
    </rPh>
    <phoneticPr fontId="2"/>
  </si>
  <si>
    <t>HKD</t>
  </si>
  <si>
    <t>シンガポールドル</t>
    <phoneticPr fontId="2"/>
  </si>
  <si>
    <t>SGD</t>
  </si>
  <si>
    <t>中国元</t>
  </si>
  <si>
    <t>CNY,RMB</t>
  </si>
  <si>
    <t>タイバーツ</t>
    <phoneticPr fontId="2"/>
  </si>
  <si>
    <t>THB</t>
  </si>
  <si>
    <t>フィリピンペソ</t>
    <phoneticPr fontId="2"/>
  </si>
  <si>
    <t>PHP</t>
  </si>
  <si>
    <t>インドネシアルピア</t>
    <phoneticPr fontId="2"/>
  </si>
  <si>
    <t>IRP</t>
  </si>
  <si>
    <t>台湾ドル</t>
    <rPh sb="0" eb="2">
      <t>タイワン</t>
    </rPh>
    <phoneticPr fontId="2"/>
  </si>
  <si>
    <t>TWD,NTD</t>
  </si>
  <si>
    <t>韓国ウォン</t>
    <rPh sb="0" eb="2">
      <t>カンコク</t>
    </rPh>
    <phoneticPr fontId="2"/>
  </si>
  <si>
    <t>KRW</t>
  </si>
  <si>
    <t>ブラジルレアル</t>
    <phoneticPr fontId="2"/>
  </si>
  <si>
    <t>BR</t>
  </si>
  <si>
    <t>カナダドル</t>
    <phoneticPr fontId="2"/>
  </si>
  <si>
    <t>C$</t>
  </si>
  <si>
    <t>チェコクローネ</t>
    <phoneticPr fontId="2"/>
  </si>
  <si>
    <r>
      <t>C</t>
    </r>
    <r>
      <rPr>
        <sz val="11"/>
        <rFont val="ＭＳ Ｐゴシック"/>
        <family val="3"/>
        <charset val="128"/>
      </rPr>
      <t>ZK</t>
    </r>
    <phoneticPr fontId="2"/>
  </si>
  <si>
    <t>インドルピー</t>
    <phoneticPr fontId="2"/>
  </si>
  <si>
    <t>INR</t>
    <phoneticPr fontId="2"/>
  </si>
  <si>
    <t>マレーシアリンギ</t>
    <phoneticPr fontId="2"/>
  </si>
  <si>
    <t>MYR</t>
  </si>
  <si>
    <t>海外拠点　見積り諸元</t>
    <rPh sb="0" eb="2">
      <t>カイガイ</t>
    </rPh>
    <rPh sb="2" eb="4">
      <t>キョテン</t>
    </rPh>
    <rPh sb="5" eb="7">
      <t>ミツモ</t>
    </rPh>
    <rPh sb="8" eb="9">
      <t>ショ</t>
    </rPh>
    <rPh sb="9" eb="10">
      <t>ゲン</t>
    </rPh>
    <phoneticPr fontId="2"/>
  </si>
  <si>
    <t>（2007年 海外事業推進室資料より）</t>
    <rPh sb="5" eb="6">
      <t>ネン</t>
    </rPh>
    <rPh sb="7" eb="9">
      <t>カイガイ</t>
    </rPh>
    <rPh sb="9" eb="11">
      <t>ジギョウ</t>
    </rPh>
    <rPh sb="11" eb="13">
      <t>スイシン</t>
    </rPh>
    <rPh sb="13" eb="14">
      <t>シツ</t>
    </rPh>
    <rPh sb="14" eb="16">
      <t>シリョウ</t>
    </rPh>
    <phoneticPr fontId="2"/>
  </si>
  <si>
    <t>日本円（標準為替レート）</t>
    <rPh sb="0" eb="3">
      <t>ニホンエン</t>
    </rPh>
    <rPh sb="4" eb="6">
      <t>ヒョウジュン</t>
    </rPh>
    <rPh sb="6" eb="8">
      <t>カワセ</t>
    </rPh>
    <phoneticPr fontId="2"/>
  </si>
  <si>
    <t>拠点</t>
    <rPh sb="0" eb="2">
      <t>キョテン</t>
    </rPh>
    <phoneticPr fontId="2"/>
  </si>
  <si>
    <t>工程</t>
    <rPh sb="0" eb="2">
      <t>コウテイ</t>
    </rPh>
    <phoneticPr fontId="2"/>
  </si>
  <si>
    <t>単位</t>
    <rPh sb="0" eb="2">
      <t>タンイ</t>
    </rPh>
    <phoneticPr fontId="2"/>
  </si>
  <si>
    <t>FURMEX(FENA)</t>
    <phoneticPr fontId="2"/>
  </si>
  <si>
    <t>JPN SRC</t>
    <phoneticPr fontId="2"/>
  </si>
  <si>
    <t>$/hour</t>
    <phoneticPr fontId="2"/>
  </si>
  <si>
    <t>\/hour</t>
    <phoneticPr fontId="2"/>
  </si>
  <si>
    <t>USA SRC</t>
    <phoneticPr fontId="2"/>
  </si>
  <si>
    <t>GM ハーネス</t>
    <phoneticPr fontId="2"/>
  </si>
  <si>
    <t>BOX組立</t>
    <rPh sb="3" eb="5">
      <t>クミタテ</t>
    </rPh>
    <phoneticPr fontId="2"/>
  </si>
  <si>
    <t>$/hour</t>
    <phoneticPr fontId="2"/>
  </si>
  <si>
    <t>\/hour</t>
    <phoneticPr fontId="2"/>
  </si>
  <si>
    <t>80ｔ、210ｔ成形</t>
    <rPh sb="8" eb="10">
      <t>セイケイ</t>
    </rPh>
    <phoneticPr fontId="2"/>
  </si>
  <si>
    <t>プレス</t>
    <phoneticPr fontId="2"/>
  </si>
  <si>
    <t>1次モールド</t>
    <rPh sb="1" eb="2">
      <t>ジ</t>
    </rPh>
    <phoneticPr fontId="2"/>
  </si>
  <si>
    <t>自動かしめ機</t>
    <rPh sb="0" eb="2">
      <t>ジドウ</t>
    </rPh>
    <rPh sb="5" eb="6">
      <t>キ</t>
    </rPh>
    <phoneticPr fontId="2"/>
  </si>
  <si>
    <t>手動かしめ・チューブ切断</t>
    <rPh sb="0" eb="2">
      <t>シュドウ</t>
    </rPh>
    <rPh sb="10" eb="12">
      <t>セツダン</t>
    </rPh>
    <phoneticPr fontId="2"/>
  </si>
  <si>
    <t>$/hour</t>
    <phoneticPr fontId="2"/>
  </si>
  <si>
    <t>\/hour</t>
    <phoneticPr fontId="2"/>
  </si>
  <si>
    <t>ダミーケーブル加工</t>
    <rPh sb="7" eb="9">
      <t>カコウ</t>
    </rPh>
    <phoneticPr fontId="2"/>
  </si>
  <si>
    <t>FACE</t>
    <phoneticPr fontId="2"/>
  </si>
  <si>
    <t>80t成形</t>
    <rPh sb="3" eb="5">
      <t>セイケイ</t>
    </rPh>
    <phoneticPr fontId="2"/>
  </si>
  <si>
    <t>CZK/hour</t>
    <phoneticPr fontId="2"/>
  </si>
  <si>
    <t>SRC組立</t>
    <rPh sb="3" eb="5">
      <t>クミタテ</t>
    </rPh>
    <phoneticPr fontId="2"/>
  </si>
  <si>
    <t>THB/hour</t>
    <phoneticPr fontId="2"/>
  </si>
  <si>
    <t>ピッグテール組立</t>
    <rPh sb="6" eb="8">
      <t>クミタテ</t>
    </rPh>
    <phoneticPr fontId="2"/>
  </si>
  <si>
    <t>三菱　SRC組立</t>
    <rPh sb="0" eb="2">
      <t>ミツビシ</t>
    </rPh>
    <rPh sb="6" eb="8">
      <t>クミタテ</t>
    </rPh>
    <phoneticPr fontId="2"/>
  </si>
  <si>
    <t>THB/hour</t>
    <phoneticPr fontId="2"/>
  </si>
  <si>
    <t>\/hour</t>
    <phoneticPr fontId="2"/>
  </si>
  <si>
    <t>本田　SRC組立</t>
    <rPh sb="0" eb="2">
      <t>ホンダ</t>
    </rPh>
    <rPh sb="6" eb="8">
      <t>クミタテ</t>
    </rPh>
    <phoneticPr fontId="2"/>
  </si>
  <si>
    <t>THB/hour</t>
    <phoneticPr fontId="2"/>
  </si>
  <si>
    <t>\/hour</t>
    <phoneticPr fontId="2"/>
  </si>
  <si>
    <t>トヨタ　SRC組立</t>
    <rPh sb="7" eb="9">
      <t>クミタテ</t>
    </rPh>
    <phoneticPr fontId="2"/>
  </si>
  <si>
    <t>FFC ASSY</t>
    <phoneticPr fontId="2"/>
  </si>
  <si>
    <t>/hour</t>
    <phoneticPr fontId="2"/>
  </si>
  <si>
    <t>販直・固定費</t>
    <rPh sb="0" eb="1">
      <t>ハン</t>
    </rPh>
    <rPh sb="1" eb="2">
      <t>チョク</t>
    </rPh>
    <rPh sb="3" eb="6">
      <t>コテイヒ</t>
    </rPh>
    <phoneticPr fontId="2"/>
  </si>
  <si>
    <t>※対直原比率</t>
    <rPh sb="1" eb="2">
      <t>タイ</t>
    </rPh>
    <rPh sb="2" eb="3">
      <t>チョク</t>
    </rPh>
    <rPh sb="3" eb="4">
      <t>ゲン</t>
    </rPh>
    <rPh sb="4" eb="5">
      <t>ヒ</t>
    </rPh>
    <rPh sb="5" eb="6">
      <t>リツ</t>
    </rPh>
    <phoneticPr fontId="2"/>
  </si>
  <si>
    <t>工場間接※３</t>
    <phoneticPr fontId="2"/>
  </si>
  <si>
    <t>一般管理</t>
    <phoneticPr fontId="2"/>
  </si>
  <si>
    <t xml:space="preserve">営業販直※2 </t>
    <rPh sb="0" eb="2">
      <t>エイギョウ</t>
    </rPh>
    <rPh sb="2" eb="3">
      <t>ハン</t>
    </rPh>
    <rPh sb="3" eb="4">
      <t>チョク</t>
    </rPh>
    <phoneticPr fontId="2"/>
  </si>
  <si>
    <t>FACE</t>
    <phoneticPr fontId="2"/>
  </si>
  <si>
    <t>FAST</t>
    <phoneticPr fontId="2"/>
  </si>
  <si>
    <t>FEAP</t>
    <phoneticPr fontId="2"/>
  </si>
  <si>
    <t>FESZ</t>
    <phoneticPr fontId="2"/>
  </si>
  <si>
    <t>↑※2 営業販直費に海上輸送費は含まず。</t>
    <rPh sb="4" eb="6">
      <t>エイギョウ</t>
    </rPh>
    <rPh sb="6" eb="7">
      <t>ハン</t>
    </rPh>
    <rPh sb="7" eb="8">
      <t>チョク</t>
    </rPh>
    <rPh sb="8" eb="9">
      <t>ヒ</t>
    </rPh>
    <rPh sb="10" eb="12">
      <t>カイジョウ</t>
    </rPh>
    <rPh sb="12" eb="15">
      <t>ユソウヒ</t>
    </rPh>
    <rPh sb="16" eb="17">
      <t>フク</t>
    </rPh>
    <phoneticPr fontId="2"/>
  </si>
  <si>
    <t>海上輸送費は別途見積りすること。</t>
    <rPh sb="0" eb="2">
      <t>カイジョウ</t>
    </rPh>
    <rPh sb="2" eb="5">
      <t>ユソウヒ</t>
    </rPh>
    <rPh sb="6" eb="8">
      <t>ベット</t>
    </rPh>
    <rPh sb="8" eb="10">
      <t>ミツモ</t>
    </rPh>
    <phoneticPr fontId="2"/>
  </si>
  <si>
    <t>※3 償却費が工場間接費に含まれている。</t>
    <rPh sb="3" eb="6">
      <t>ショウキャクヒ</t>
    </rPh>
    <rPh sb="13" eb="14">
      <t>フク</t>
    </rPh>
    <phoneticPr fontId="2"/>
  </si>
  <si>
    <t>輸入関税</t>
    <rPh sb="0" eb="2">
      <t>ユニュウ</t>
    </rPh>
    <rPh sb="2" eb="4">
      <t>カンゼイ</t>
    </rPh>
    <phoneticPr fontId="2"/>
  </si>
  <si>
    <t>※比率は対直原比率</t>
    <rPh sb="1" eb="2">
      <t>ヒ</t>
    </rPh>
    <rPh sb="2" eb="3">
      <t>リツ</t>
    </rPh>
    <rPh sb="4" eb="5">
      <t>タイ</t>
    </rPh>
    <rPh sb="5" eb="6">
      <t>チョク</t>
    </rPh>
    <rPh sb="6" eb="7">
      <t>ゲン</t>
    </rPh>
    <rPh sb="7" eb="8">
      <t>ヒ</t>
    </rPh>
    <rPh sb="8" eb="9">
      <t>リツ</t>
    </rPh>
    <phoneticPr fontId="2"/>
  </si>
  <si>
    <t>樹脂</t>
    <rPh sb="0" eb="2">
      <t>ジュシ</t>
    </rPh>
    <phoneticPr fontId="2"/>
  </si>
  <si>
    <t>銅</t>
    <rPh sb="0" eb="1">
      <t>ドウ</t>
    </rPh>
    <phoneticPr fontId="2"/>
  </si>
  <si>
    <t>電子部品</t>
    <rPh sb="0" eb="2">
      <t>デンシ</t>
    </rPh>
    <rPh sb="2" eb="4">
      <t>ブヒン</t>
    </rPh>
    <phoneticPr fontId="2"/>
  </si>
  <si>
    <t>通関費用※</t>
    <rPh sb="0" eb="2">
      <t>ツウカン</t>
    </rPh>
    <rPh sb="2" eb="4">
      <t>ヒヨウ</t>
    </rPh>
    <phoneticPr fontId="2"/>
  </si>
  <si>
    <t>増値税</t>
    <rPh sb="0" eb="1">
      <t>ゾウ</t>
    </rPh>
    <rPh sb="1" eb="2">
      <t>アタイ</t>
    </rPh>
    <rPh sb="2" eb="3">
      <t>ゼイ</t>
    </rPh>
    <phoneticPr fontId="2"/>
  </si>
  <si>
    <t>FURMEX</t>
    <phoneticPr fontId="2"/>
  </si>
  <si>
    <t>FACE</t>
    <phoneticPr fontId="2"/>
  </si>
  <si>
    <t>FAST</t>
    <phoneticPr fontId="2"/>
  </si>
  <si>
    <t>FEAP</t>
    <phoneticPr fontId="2"/>
  </si>
  <si>
    <t>FESZ</t>
    <phoneticPr fontId="2"/>
  </si>
  <si>
    <t>成形BOX 10%
その他　0%</t>
    <rPh sb="0" eb="2">
      <t>セイケイ</t>
    </rPh>
    <rPh sb="12" eb="13">
      <t>タ</t>
    </rPh>
    <phoneticPr fontId="2"/>
  </si>
  <si>
    <t>0～12%</t>
    <phoneticPr fontId="2"/>
  </si>
  <si>
    <t>SRC製品</t>
    <rPh sb="3" eb="5">
      <t>セイヒン</t>
    </rPh>
    <phoneticPr fontId="2"/>
  </si>
  <si>
    <t>BOX製品</t>
    <rPh sb="3" eb="5">
      <t>セイヒン</t>
    </rPh>
    <phoneticPr fontId="2"/>
  </si>
  <si>
    <t>成形製品</t>
    <rPh sb="0" eb="2">
      <t>セイケイ</t>
    </rPh>
    <rPh sb="2" eb="4">
      <t>セイヒン</t>
    </rPh>
    <phoneticPr fontId="2"/>
  </si>
  <si>
    <t>NAFTA品目</t>
    <rPh sb="5" eb="6">
      <t>ヒン</t>
    </rPh>
    <rPh sb="6" eb="7">
      <t>モク</t>
    </rPh>
    <phoneticPr fontId="2"/>
  </si>
  <si>
    <t>諸元推移表</t>
    <rPh sb="0" eb="1">
      <t>ショ</t>
    </rPh>
    <rPh sb="1" eb="2">
      <t>ゲン</t>
    </rPh>
    <rPh sb="2" eb="4">
      <t>スイイ</t>
    </rPh>
    <rPh sb="4" eb="5">
      <t>ヒョウ</t>
    </rPh>
    <phoneticPr fontId="2"/>
  </si>
  <si>
    <t>項目</t>
    <rPh sb="0" eb="2">
      <t>コウモク</t>
    </rPh>
    <phoneticPr fontId="2"/>
  </si>
  <si>
    <t>2007年</t>
    <rPh sb="4" eb="5">
      <t>ネン</t>
    </rPh>
    <phoneticPr fontId="2"/>
  </si>
  <si>
    <t>2008年</t>
    <rPh sb="4" eb="5">
      <t>ネン</t>
    </rPh>
    <phoneticPr fontId="2"/>
  </si>
  <si>
    <t>2009年</t>
    <rPh sb="4" eb="5">
      <t>ネン</t>
    </rPh>
    <phoneticPr fontId="2"/>
  </si>
  <si>
    <t>MT単価</t>
    <rPh sb="2" eb="4">
      <t>タンカ</t>
    </rPh>
    <phoneticPr fontId="2"/>
  </si>
  <si>
    <t>AE実装</t>
    <phoneticPr fontId="2"/>
  </si>
  <si>
    <t>AE後工程</t>
    <phoneticPr fontId="2"/>
  </si>
  <si>
    <t>AE　MT無し</t>
    <phoneticPr fontId="2"/>
  </si>
  <si>
    <t>AH作業組</t>
    <rPh sb="2" eb="4">
      <t>サギョウ</t>
    </rPh>
    <rPh sb="4" eb="5">
      <t>グミ</t>
    </rPh>
    <phoneticPr fontId="2"/>
  </si>
  <si>
    <t>AH多工程</t>
    <phoneticPr fontId="2"/>
  </si>
  <si>
    <t>AH単発</t>
    <phoneticPr fontId="2"/>
  </si>
  <si>
    <t>AH MT0</t>
  </si>
  <si>
    <t>AM作業組</t>
    <rPh sb="2" eb="4">
      <t>サギョウ</t>
    </rPh>
    <rPh sb="4" eb="5">
      <t>グミ</t>
    </rPh>
    <phoneticPr fontId="2"/>
  </si>
  <si>
    <t>AM組立</t>
    <phoneticPr fontId="2"/>
  </si>
  <si>
    <t>AM　MT無し</t>
    <phoneticPr fontId="2"/>
  </si>
  <si>
    <t>AS作業組</t>
    <rPh sb="2" eb="4">
      <t>サギョウ</t>
    </rPh>
    <rPh sb="4" eb="5">
      <t>グミ</t>
    </rPh>
    <phoneticPr fontId="2"/>
  </si>
  <si>
    <t>AS多工程</t>
    <phoneticPr fontId="2"/>
  </si>
  <si>
    <t>AS単発</t>
    <phoneticPr fontId="2"/>
  </si>
  <si>
    <t>AS　MT無し</t>
    <phoneticPr fontId="2"/>
  </si>
  <si>
    <t>JB作業組</t>
    <rPh sb="2" eb="4">
      <t>サギョウ</t>
    </rPh>
    <rPh sb="4" eb="5">
      <t>グミ</t>
    </rPh>
    <phoneticPr fontId="2"/>
  </si>
  <si>
    <t>JB成形</t>
    <phoneticPr fontId="2"/>
  </si>
  <si>
    <t>JB MT無し</t>
    <phoneticPr fontId="2"/>
  </si>
  <si>
    <t>JC作業組</t>
    <rPh sb="2" eb="4">
      <t>サギョウ</t>
    </rPh>
    <rPh sb="4" eb="5">
      <t>グミ</t>
    </rPh>
    <phoneticPr fontId="2"/>
  </si>
  <si>
    <t>JC旧成形</t>
    <phoneticPr fontId="2"/>
  </si>
  <si>
    <t>JC新成形</t>
    <phoneticPr fontId="2"/>
  </si>
  <si>
    <t>JP作業組</t>
    <rPh sb="2" eb="4">
      <t>サギョウ</t>
    </rPh>
    <rPh sb="4" eb="5">
      <t>グミ</t>
    </rPh>
    <phoneticPr fontId="2"/>
  </si>
  <si>
    <t>JP400トンプレス</t>
    <phoneticPr fontId="2"/>
  </si>
  <si>
    <t>JP高速プレス</t>
    <phoneticPr fontId="2"/>
  </si>
  <si>
    <t>JP積層プレス</t>
    <phoneticPr fontId="2"/>
  </si>
  <si>
    <t>JS作業組</t>
    <rPh sb="2" eb="4">
      <t>サギョウ</t>
    </rPh>
    <rPh sb="4" eb="5">
      <t>グミ</t>
    </rPh>
    <phoneticPr fontId="2"/>
  </si>
  <si>
    <t>JSブロック</t>
    <phoneticPr fontId="2"/>
  </si>
  <si>
    <t>JSコネクタ二次加工</t>
    <phoneticPr fontId="2"/>
  </si>
  <si>
    <t>JS　MT無し</t>
    <phoneticPr fontId="2"/>
  </si>
  <si>
    <t>RB作業組</t>
    <rPh sb="2" eb="4">
      <t>サギョウ</t>
    </rPh>
    <rPh sb="4" eb="5">
      <t>グミ</t>
    </rPh>
    <phoneticPr fontId="2"/>
  </si>
  <si>
    <t>RBラミネート</t>
    <phoneticPr fontId="2"/>
  </si>
  <si>
    <t>RB束取</t>
    <phoneticPr fontId="2"/>
  </si>
  <si>
    <t>RB圧延</t>
    <phoneticPr fontId="2"/>
  </si>
  <si>
    <t>RB　MT無し</t>
    <phoneticPr fontId="2"/>
  </si>
  <si>
    <t>RC作業組</t>
    <rPh sb="2" eb="4">
      <t>サギョウ</t>
    </rPh>
    <rPh sb="4" eb="5">
      <t>グミ</t>
    </rPh>
    <phoneticPr fontId="2"/>
  </si>
  <si>
    <t>RC</t>
    <phoneticPr fontId="2"/>
  </si>
  <si>
    <t>杉本電装</t>
    <rPh sb="0" eb="2">
      <t>スギモト</t>
    </rPh>
    <rPh sb="2" eb="4">
      <t>デンソウ</t>
    </rPh>
    <phoneticPr fontId="2"/>
  </si>
  <si>
    <t>保田産業</t>
    <rPh sb="0" eb="2">
      <t>ヤスダ</t>
    </rPh>
    <rPh sb="2" eb="4">
      <t>サンギョウ</t>
    </rPh>
    <phoneticPr fontId="2"/>
  </si>
  <si>
    <t>電工本社費用</t>
    <rPh sb="0" eb="2">
      <t>デンコウ</t>
    </rPh>
    <rPh sb="2" eb="4">
      <t>ホンシャ</t>
    </rPh>
    <rPh sb="4" eb="6">
      <t>ヒヨウ</t>
    </rPh>
    <phoneticPr fontId="2"/>
  </si>
  <si>
    <t>※2007年は対売上比、2008年以降は対直原比</t>
    <rPh sb="5" eb="6">
      <t>ネン</t>
    </rPh>
    <rPh sb="7" eb="8">
      <t>タイ</t>
    </rPh>
    <rPh sb="8" eb="10">
      <t>ウリアゲ</t>
    </rPh>
    <rPh sb="10" eb="11">
      <t>ヒ</t>
    </rPh>
    <rPh sb="16" eb="17">
      <t>ネン</t>
    </rPh>
    <rPh sb="17" eb="19">
      <t>イコウ</t>
    </rPh>
    <rPh sb="20" eb="21">
      <t>タイ</t>
    </rPh>
    <rPh sb="21" eb="22">
      <t>チョク</t>
    </rPh>
    <rPh sb="22" eb="23">
      <t>ゲン</t>
    </rPh>
    <rPh sb="23" eb="24">
      <t>ヒ</t>
    </rPh>
    <phoneticPr fontId="2"/>
  </si>
  <si>
    <t>工場間接費・一般管理費推移</t>
    <rPh sb="0" eb="2">
      <t>コウジョウ</t>
    </rPh>
    <rPh sb="2" eb="4">
      <t>カンセツ</t>
    </rPh>
    <rPh sb="4" eb="5">
      <t>ヒ</t>
    </rPh>
    <rPh sb="6" eb="8">
      <t>イッパン</t>
    </rPh>
    <rPh sb="8" eb="11">
      <t>カンリヒ</t>
    </rPh>
    <rPh sb="11" eb="13">
      <t>スイイ</t>
    </rPh>
    <phoneticPr fontId="2"/>
  </si>
  <si>
    <t>口銭率推移</t>
    <rPh sb="0" eb="2">
      <t>コウセン</t>
    </rPh>
    <rPh sb="2" eb="3">
      <t>リツ</t>
    </rPh>
    <rPh sb="3" eb="5">
      <t>スイイ</t>
    </rPh>
    <phoneticPr fontId="2"/>
  </si>
  <si>
    <t>口銭料</t>
    <rPh sb="0" eb="2">
      <t>コウセン</t>
    </rPh>
    <rPh sb="2" eb="3">
      <t>リョウ</t>
    </rPh>
    <phoneticPr fontId="2"/>
  </si>
  <si>
    <t>向け先別</t>
    <rPh sb="0" eb="1">
      <t>ム</t>
    </rPh>
    <rPh sb="2" eb="3">
      <t>サキ</t>
    </rPh>
    <rPh sb="3" eb="4">
      <t>ベツ</t>
    </rPh>
    <phoneticPr fontId="2"/>
  </si>
  <si>
    <t>FENA</t>
    <phoneticPr fontId="2"/>
  </si>
  <si>
    <t>FESZ</t>
    <phoneticPr fontId="2"/>
  </si>
  <si>
    <t>それ以外</t>
    <rPh sb="2" eb="4">
      <t>イガイ</t>
    </rPh>
    <phoneticPr fontId="2"/>
  </si>
  <si>
    <r>
      <t>諸元（間接費）　</t>
    </r>
    <r>
      <rPr>
        <sz val="14"/>
        <rFont val="ＭＳ Ｐゴシック"/>
        <family val="3"/>
        <charset val="128"/>
      </rPr>
      <t>※全て対直原比率</t>
    </r>
    <rPh sb="0" eb="1">
      <t>ショ</t>
    </rPh>
    <rPh sb="1" eb="2">
      <t>ゲン</t>
    </rPh>
    <rPh sb="3" eb="5">
      <t>カンセツ</t>
    </rPh>
    <rPh sb="5" eb="6">
      <t>ヒ</t>
    </rPh>
    <rPh sb="9" eb="10">
      <t>スベ</t>
    </rPh>
    <rPh sb="11" eb="12">
      <t>タイ</t>
    </rPh>
    <rPh sb="12" eb="13">
      <t>チョク</t>
    </rPh>
    <rPh sb="13" eb="14">
      <t>ゲン</t>
    </rPh>
    <rPh sb="14" eb="15">
      <t>ヒ</t>
    </rPh>
    <rPh sb="15" eb="16">
      <t>リツ</t>
    </rPh>
    <phoneticPr fontId="2"/>
  </si>
  <si>
    <t>工場間接費</t>
    <phoneticPr fontId="2"/>
  </si>
  <si>
    <t>一般管理費</t>
    <phoneticPr fontId="2"/>
  </si>
  <si>
    <t>営業外</t>
    <phoneticPr fontId="2"/>
  </si>
  <si>
    <r>
      <t xml:space="preserve">･古河電工への販売口銭率を08年度 </t>
    </r>
    <r>
      <rPr>
        <b/>
        <sz val="11"/>
        <rFont val="ＭＳ ゴシック"/>
        <family val="3"/>
        <charset val="128"/>
      </rPr>
      <t>5.31%</t>
    </r>
    <r>
      <rPr>
        <sz val="11"/>
        <rFont val="ＭＳ ゴシック"/>
        <family val="3"/>
        <charset val="128"/>
      </rPr>
      <t xml:space="preserve">→09年度 </t>
    </r>
    <r>
      <rPr>
        <b/>
        <sz val="11"/>
        <rFont val="ＭＳ ゴシック"/>
        <family val="3"/>
        <charset val="128"/>
      </rPr>
      <t>2%</t>
    </r>
    <r>
      <rPr>
        <sz val="11"/>
        <rFont val="ＭＳ ゴシック"/>
        <family val="3"/>
        <charset val="128"/>
      </rPr>
      <t>(海外関連5社向け</t>
    </r>
    <r>
      <rPr>
        <b/>
        <sz val="11"/>
        <rFont val="ＭＳ ゴシック"/>
        <family val="3"/>
        <charset val="128"/>
      </rPr>
      <t>1.5%</t>
    </r>
    <r>
      <rPr>
        <sz val="11"/>
        <rFont val="ＭＳ ゴシック"/>
        <family val="3"/>
        <charset val="128"/>
      </rPr>
      <t>; 2重口銭考慮)に変更</t>
    </r>
    <rPh sb="15" eb="17">
      <t>ネンド</t>
    </rPh>
    <rPh sb="26" eb="28">
      <t>ネンド</t>
    </rPh>
    <phoneticPr fontId="2"/>
  </si>
  <si>
    <r>
      <t>客先売値</t>
    </r>
    <r>
      <rPr>
        <b/>
        <sz val="11"/>
        <rFont val="ＭＳ Ｐゴシック"/>
        <family val="3"/>
        <charset val="128"/>
      </rPr>
      <t>に対し、上記の比率が口銭として差し引かれます。</t>
    </r>
    <rPh sb="0" eb="2">
      <t>キャクサキ</t>
    </rPh>
    <rPh sb="2" eb="4">
      <t>ウリネ</t>
    </rPh>
    <rPh sb="5" eb="6">
      <t>タイ</t>
    </rPh>
    <rPh sb="8" eb="10">
      <t>ジョウキ</t>
    </rPh>
    <rPh sb="11" eb="12">
      <t>ヒ</t>
    </rPh>
    <rPh sb="12" eb="13">
      <t>リツ</t>
    </rPh>
    <rPh sb="14" eb="16">
      <t>コウセン</t>
    </rPh>
    <rPh sb="19" eb="20">
      <t>サ</t>
    </rPh>
    <rPh sb="21" eb="22">
      <t>ヒ</t>
    </rPh>
    <phoneticPr fontId="2"/>
  </si>
  <si>
    <t>UBM8</t>
  </si>
  <si>
    <t>輸送費</t>
  </si>
  <si>
    <t>梱包資材費</t>
  </si>
  <si>
    <t>出荷作業</t>
  </si>
  <si>
    <t>SCを経由しない</t>
  </si>
  <si>
    <t>アンテナ※2</t>
  </si>
  <si>
    <t>平均</t>
  </si>
  <si>
    <t>人件費・その他</t>
  </si>
  <si>
    <t>生産技術</t>
  </si>
  <si>
    <t>生産管理</t>
  </si>
  <si>
    <t>品質保証</t>
  </si>
  <si>
    <t>その他</t>
  </si>
  <si>
    <t>研究費</t>
  </si>
  <si>
    <t>家賃</t>
  </si>
  <si>
    <t>償却費(共通設備)</t>
  </si>
  <si>
    <t>ｽﾀ-ﾘﾝｸﾞﾎﾟﾝﾄﾞ</t>
  </si>
  <si>
    <t>香港ﾄﾞﾙ</t>
  </si>
  <si>
    <t>ｼﾝｶﾞﾎﾟ-ﾙﾄﾞﾙ</t>
  </si>
  <si>
    <t>ﾀｲﾊﾞ-ﾂ</t>
  </si>
  <si>
    <t>ﾌｨﾘﾋﾟﾝﾍﾟｿ</t>
  </si>
  <si>
    <t>台湾ﾄﾞﾙ</t>
  </si>
  <si>
    <t>CZK</t>
  </si>
  <si>
    <t>ｲﾝﾄﾞﾙﾋﾟｰ</t>
  </si>
  <si>
    <t>INR</t>
  </si>
  <si>
    <t>ﾊﾝｶﾞﾘｰﾌｫﾘﾝﾄ</t>
  </si>
  <si>
    <t>HUF</t>
  </si>
  <si>
    <t>共益費 : （標準原価+一般管理費+梱包費）Ｘ0.155%</t>
  </si>
  <si>
    <t>梱包費 : 個別に見積</t>
  </si>
  <si>
    <t>便毎</t>
  </si>
  <si>
    <t>荷受側に輸入関税20%</t>
  </si>
  <si>
    <t>2011年度見積諸元表</t>
    <rPh sb="4" eb="6">
      <t>ネンド</t>
    </rPh>
    <rPh sb="6" eb="8">
      <t>ミツモ</t>
    </rPh>
    <rPh sb="8" eb="11">
      <t>ショゲンヒョウ</t>
    </rPh>
    <phoneticPr fontId="2"/>
  </si>
  <si>
    <t>１．直接費　一覧</t>
    <rPh sb="2" eb="4">
      <t>チョクセツ</t>
    </rPh>
    <rPh sb="4" eb="5">
      <t>ヒ</t>
    </rPh>
    <rPh sb="6" eb="8">
      <t>イチラン</t>
    </rPh>
    <phoneticPr fontId="2"/>
  </si>
  <si>
    <t>AH　MT無し</t>
    <phoneticPr fontId="2"/>
  </si>
  <si>
    <t>※見積用 MT単価　(11年標準 1327.2）</t>
    <phoneticPr fontId="2"/>
  </si>
  <si>
    <t>※見積用 MT単価　(11年標準 4227.5）</t>
    <phoneticPr fontId="2"/>
  </si>
  <si>
    <t>JP MT無し</t>
    <rPh sb="5" eb="6">
      <t>ナ</t>
    </rPh>
    <phoneticPr fontId="2"/>
  </si>
  <si>
    <t>※見積用 MT単価　(11年標準 1,311.4)</t>
    <rPh sb="1" eb="3">
      <t>ミツモ</t>
    </rPh>
    <rPh sb="3" eb="4">
      <t>ヨウ</t>
    </rPh>
    <rPh sb="7" eb="9">
      <t>タンカ</t>
    </rPh>
    <rPh sb="13" eb="14">
      <t>ネン</t>
    </rPh>
    <rPh sb="14" eb="16">
      <t>ヒョウジュン</t>
    </rPh>
    <phoneticPr fontId="2"/>
  </si>
  <si>
    <t>※見積用 MT単価 (11年標準 645.4)</t>
    <rPh sb="1" eb="3">
      <t>ミツモ</t>
    </rPh>
    <rPh sb="3" eb="4">
      <t>ヨウ</t>
    </rPh>
    <rPh sb="7" eb="9">
      <t>タンカ</t>
    </rPh>
    <rPh sb="13" eb="14">
      <t>ネン</t>
    </rPh>
    <rPh sb="14" eb="16">
      <t>ヒョウジュン</t>
    </rPh>
    <phoneticPr fontId="2"/>
  </si>
  <si>
    <t>UBM5</t>
    <phoneticPr fontId="2"/>
  </si>
  <si>
    <t>★「MT無し」の工程は、設備などが存在せず、動力料や修繕費の掛からない工程に使用する。</t>
    <rPh sb="4" eb="5">
      <t>ナ</t>
    </rPh>
    <rPh sb="8" eb="10">
      <t>コウテイ</t>
    </rPh>
    <rPh sb="12" eb="14">
      <t>セツビ</t>
    </rPh>
    <rPh sb="17" eb="19">
      <t>ソンザイ</t>
    </rPh>
    <rPh sb="22" eb="24">
      <t>ドウリョク</t>
    </rPh>
    <rPh sb="24" eb="25">
      <t>リョウ</t>
    </rPh>
    <rPh sb="26" eb="29">
      <t>シュウゼンヒ</t>
    </rPh>
    <rPh sb="30" eb="31">
      <t>カ</t>
    </rPh>
    <rPh sb="35" eb="37">
      <t>コウテイ</t>
    </rPh>
    <rPh sb="38" eb="40">
      <t>シヨウ</t>
    </rPh>
    <phoneticPr fontId="2"/>
  </si>
  <si>
    <t>　例)　梱包工程、目視選別工程など</t>
    <rPh sb="1" eb="2">
      <t>レイ</t>
    </rPh>
    <rPh sb="4" eb="6">
      <t>コンポウ</t>
    </rPh>
    <rPh sb="6" eb="8">
      <t>コウテイ</t>
    </rPh>
    <rPh sb="9" eb="11">
      <t>モクシ</t>
    </rPh>
    <rPh sb="11" eb="13">
      <t>センベツ</t>
    </rPh>
    <rPh sb="13" eb="15">
      <t>コウテイ</t>
    </rPh>
    <phoneticPr fontId="2"/>
  </si>
  <si>
    <t>２．販売直接費</t>
    <rPh sb="2" eb="4">
      <t>ハンバイ</t>
    </rPh>
    <rPh sb="4" eb="6">
      <t>チョクセツ</t>
    </rPh>
    <rPh sb="6" eb="7">
      <t>ヒ</t>
    </rPh>
    <phoneticPr fontId="2"/>
  </si>
  <si>
    <r>
      <t>販売直接費は、下記</t>
    </r>
    <r>
      <rPr>
        <b/>
        <u/>
        <sz val="11"/>
        <color indexed="10"/>
        <rFont val="ＭＳ Ｐゴシック"/>
        <family val="3"/>
        <charset val="128"/>
      </rPr>
      <t>①～②の合計</t>
    </r>
    <r>
      <rPr>
        <sz val="11"/>
        <rFont val="ＭＳ Ｐゴシック"/>
        <family val="3"/>
        <charset val="128"/>
      </rPr>
      <t>もしくは</t>
    </r>
    <r>
      <rPr>
        <b/>
        <u/>
        <sz val="11"/>
        <color indexed="10"/>
        <rFont val="ＭＳ Ｐゴシック"/>
        <family val="3"/>
        <charset val="128"/>
      </rPr>
      <t>個別に見積もった販直費</t>
    </r>
    <r>
      <rPr>
        <sz val="11"/>
        <rFont val="ＭＳ Ｐゴシック"/>
        <family val="3"/>
        <charset val="128"/>
      </rPr>
      <t>を計上する。</t>
    </r>
    <rPh sb="0" eb="2">
      <t>ハンバイ</t>
    </rPh>
    <rPh sb="2" eb="4">
      <t>チョクセツ</t>
    </rPh>
    <rPh sb="4" eb="5">
      <t>ヒ</t>
    </rPh>
    <rPh sb="7" eb="9">
      <t>カキ</t>
    </rPh>
    <rPh sb="13" eb="15">
      <t>ゴウケイ</t>
    </rPh>
    <rPh sb="19" eb="21">
      <t>コベツ</t>
    </rPh>
    <rPh sb="22" eb="24">
      <t>ミツ</t>
    </rPh>
    <rPh sb="27" eb="28">
      <t>ハン</t>
    </rPh>
    <rPh sb="28" eb="29">
      <t>チョク</t>
    </rPh>
    <rPh sb="29" eb="30">
      <t>ヒ</t>
    </rPh>
    <rPh sb="31" eb="33">
      <t>ケイジョウ</t>
    </rPh>
    <phoneticPr fontId="2"/>
  </si>
  <si>
    <t>①工場販直費(国内)</t>
    <rPh sb="5" eb="6">
      <t>ヒ</t>
    </rPh>
    <rPh sb="7" eb="9">
      <t>コクナイ</t>
    </rPh>
    <phoneticPr fontId="2"/>
  </si>
  <si>
    <t>C010028000-M00</t>
  </si>
  <si>
    <t>LCO20A33000M PA66ｶﾗｰ(OUT)</t>
  </si>
  <si>
    <t>C010028000-M20</t>
  </si>
  <si>
    <t>LCO20A33000M(BLACK)(EXPORT)</t>
  </si>
  <si>
    <t>C010029000-M00</t>
  </si>
  <si>
    <t>LCO20M66143M ｷｲﾛ(IN)</t>
  </si>
  <si>
    <t>C010018000-M00</t>
  </si>
  <si>
    <t>LOCO20A33000M PA66ﾐｴ(IN)(RECEIVE)</t>
  </si>
  <si>
    <t>C010014000-M00</t>
  </si>
  <si>
    <t>M(F)459YL(KS) ｶﾞｲﾁﾕｳ(OUT)</t>
  </si>
  <si>
    <t>C010007000-M00</t>
  </si>
  <si>
    <t>M(F)459YL(KS)ｷ ﾐｴ(RECEIVE)</t>
  </si>
  <si>
    <t>C010011000-M00</t>
  </si>
  <si>
    <t>PBT MB21574BN(IN)</t>
  </si>
  <si>
    <t>C010011000-M10</t>
  </si>
  <si>
    <t>PBT MB21574BN[J-JH]</t>
  </si>
  <si>
    <t>C010013000-M00</t>
  </si>
  <si>
    <t>PBT446BUｱｵ ｶﾞｲﾁﾕｳ(OUT)</t>
  </si>
  <si>
    <t>C010012000-M00</t>
  </si>
  <si>
    <t>PBT811GYｸﾞﾚ-ｶﾞｲﾁﾕｳ(OUT)</t>
  </si>
  <si>
    <t>C010012000-M20</t>
  </si>
  <si>
    <t>PBT811GYｸﾞﾚ-ｶﾞｲﾁﾕｳ[J-JH]</t>
  </si>
  <si>
    <t>C010040000-M00</t>
  </si>
  <si>
    <t>PBTｶﾗ- PB-25  K(IN)</t>
  </si>
  <si>
    <t>C010005000-M00</t>
  </si>
  <si>
    <t>PBTｶﾗ-BPM8E756 ｸﾛ ﾐｴ(RECEIVE)</t>
  </si>
  <si>
    <t>C010017000-M00</t>
  </si>
  <si>
    <t>PBTｶﾗｰ561(OR)ｵﾚﾝｼﾞ(IN)</t>
  </si>
  <si>
    <t>C031031000-M00</t>
  </si>
  <si>
    <t>PE-M 511 RED</t>
  </si>
  <si>
    <t>大日精化工業株式会社</t>
  </si>
  <si>
    <t>C031031000-M10</t>
  </si>
  <si>
    <t>PE-M 511 RED(IN)</t>
  </si>
  <si>
    <t>C010034000-M10</t>
  </si>
  <si>
    <t>PEM 6-4169 G(IN)</t>
  </si>
  <si>
    <t>C010034000-M00</t>
  </si>
  <si>
    <t>PEM 6-4169 G(OUT)</t>
  </si>
  <si>
    <t>C010032000-M10</t>
  </si>
  <si>
    <t>PEM 881724 C(IN)</t>
  </si>
  <si>
    <t>C010032000-M00</t>
  </si>
  <si>
    <t>PEM 881724 C(OUT)</t>
  </si>
  <si>
    <t>C010038000-M00</t>
  </si>
  <si>
    <t>PE-M SSC 2669ﾌﾞﾙ-(OUT)</t>
  </si>
  <si>
    <t>C010031000-M10</t>
  </si>
  <si>
    <t>PEM-2701 N(IN)</t>
  </si>
  <si>
    <t>C010031000-M00</t>
  </si>
  <si>
    <t>PEM-2701 N(OUT)</t>
  </si>
  <si>
    <t>C010026000-M10</t>
  </si>
  <si>
    <t>PEM-RM82A184(IN)</t>
  </si>
  <si>
    <t>C010026000-M00</t>
  </si>
  <si>
    <t>PEM-RM82A184(OUT)</t>
  </si>
  <si>
    <t>C010016000-M00</t>
  </si>
  <si>
    <t>POMｶﾗｰﾊﾞｯﾁ M90-07ｷｲﾛ(IN)</t>
  </si>
  <si>
    <t>C010033000-M10</t>
  </si>
  <si>
    <t>PPM 1-1742 B(IN)</t>
  </si>
  <si>
    <t>C010033000-M00</t>
  </si>
  <si>
    <t>PPM 1-1742 B(OUT)</t>
  </si>
  <si>
    <t>C031032000-M00</t>
  </si>
  <si>
    <t>PPM MA 3771-31 RED</t>
  </si>
  <si>
    <t>11年度 購入品標準原価</t>
    <rPh sb="2" eb="4">
      <t>ネンド</t>
    </rPh>
    <rPh sb="5" eb="7">
      <t>コウニュウ</t>
    </rPh>
    <rPh sb="7" eb="8">
      <t>ヒン</t>
    </rPh>
    <rPh sb="8" eb="10">
      <t>ヒョウジュン</t>
    </rPh>
    <rPh sb="10" eb="12">
      <t>ゲンカ</t>
    </rPh>
    <phoneticPr fontId="2"/>
  </si>
  <si>
    <t>T100111000-M00</t>
  </si>
  <si>
    <t>4359GN[NATURAL]</t>
  </si>
  <si>
    <t>出光ライオンコンポジット株式会社</t>
  </si>
  <si>
    <t>464GN(KS)ﾐﾄﾞﾘ ﾐｴ(RECEIVE)</t>
    <phoneticPr fontId="2"/>
  </si>
  <si>
    <t>P010844000-M20</t>
  </si>
  <si>
    <t>7C83-1822-70 [J-K]</t>
  </si>
  <si>
    <t>GENERAL</t>
  </si>
  <si>
    <t>CONNECTOR_PART</t>
  </si>
  <si>
    <t>HOUSING</t>
  </si>
  <si>
    <t>B051002000-M00</t>
  </si>
  <si>
    <t>C2600 0.25*31 TMM001</t>
  </si>
  <si>
    <t>TB1</t>
  </si>
  <si>
    <t>KG</t>
  </si>
  <si>
    <t>MIE LOCAL(K)</t>
  </si>
  <si>
    <t>DELRIN 900P8(BLACK)</t>
  </si>
  <si>
    <t>B050502000-M00</t>
  </si>
  <si>
    <t>EFTEC8 0.25*31 TM002</t>
  </si>
  <si>
    <t>C010022000-M20</t>
  </si>
  <si>
    <t>EPAK 395 20G(GREEN)[J-JH]</t>
  </si>
  <si>
    <t>D010001000-M00</t>
  </si>
  <si>
    <t>EX997-7(BLACK)</t>
  </si>
  <si>
    <t>D010001000-M10</t>
  </si>
  <si>
    <t>EX997-7(BLACK)[J-JH]</t>
  </si>
  <si>
    <t>C030971000-M00</t>
  </si>
  <si>
    <t>HT21TYK11272ｻｲｾｲ</t>
  </si>
  <si>
    <t>マツモト物産有限会社</t>
  </si>
  <si>
    <t>N030048000-M20</t>
  </si>
  <si>
    <t>J-113-Z[DENKO]</t>
  </si>
  <si>
    <t>古河電気工業株式会社 電装・エレク</t>
  </si>
  <si>
    <t>C040020000-M00</t>
  </si>
  <si>
    <t>J-113Z BLEND CONVERSION COSTS</t>
  </si>
  <si>
    <t>LOCAL</t>
  </si>
  <si>
    <t>LOCAL ITEM</t>
  </si>
  <si>
    <t>P090015000-M10</t>
  </si>
  <si>
    <t>J-783HV(NATURAL)</t>
  </si>
  <si>
    <t>株式会社プライムポリマ－</t>
  </si>
  <si>
    <t>C030980000-M00</t>
  </si>
  <si>
    <t>J715M(ﾌﾝｻｲ)ｺﾞﾄｰ</t>
  </si>
  <si>
    <t>ｺﾞﾄｰｹﾐｶﾙ株式会社</t>
  </si>
  <si>
    <t>TD0</t>
  </si>
  <si>
    <t>C020007000-M00</t>
  </si>
  <si>
    <t>LC020A22547M(GRAY)(EXPORT)</t>
  </si>
  <si>
    <t>WORK IN PROCESS</t>
  </si>
  <si>
    <t>C020007000-M10</t>
  </si>
  <si>
    <t>LC020A22547M(GRAY)[J-JH]</t>
  </si>
  <si>
    <t>C020006000-M00</t>
  </si>
  <si>
    <t>LC020A43757M(BROWN)(EXPORT)</t>
  </si>
  <si>
    <t>C020008000-M00</t>
  </si>
  <si>
    <t>LC020A77882M(GREEN)(EXPORT)</t>
  </si>
  <si>
    <t>C020008000-M20</t>
  </si>
  <si>
    <t>LC020A77882M(GREEN)[J-JH]</t>
  </si>
  <si>
    <t>C020005000-M00</t>
  </si>
  <si>
    <t>LC020A88494M(BLUE)(EXPORT)</t>
  </si>
  <si>
    <t>X100042000-M00</t>
  </si>
  <si>
    <t>LEONA FR250(BLACK)</t>
  </si>
  <si>
    <t>C031037000-M00</t>
  </si>
  <si>
    <t>MCPZB77MB (SKYBLUE)</t>
  </si>
  <si>
    <t>Q030144000-M00</t>
  </si>
  <si>
    <t>MOLYKOTE HP-300</t>
  </si>
  <si>
    <t>株式会社中外</t>
  </si>
  <si>
    <t>VC0</t>
  </si>
  <si>
    <t>GREASE</t>
  </si>
  <si>
    <t>Q030144000-M10</t>
  </si>
  <si>
    <t>MOLYKOTE HP-300[J-JH]</t>
  </si>
  <si>
    <t>Q050072000-M00</t>
  </si>
  <si>
    <t>MULTEMP 4C430</t>
  </si>
  <si>
    <t>豊田通商株式会社（DENSO支給）</t>
  </si>
  <si>
    <t>Q050072100-M00</t>
  </si>
  <si>
    <t>MULTEMP CN NO.2</t>
  </si>
  <si>
    <t>豊田通商株式会社（ＤＥＮＳＯ支給）</t>
  </si>
  <si>
    <t>Q050072100-M10</t>
  </si>
  <si>
    <t>一般管理</t>
    <phoneticPr fontId="2"/>
  </si>
  <si>
    <r>
      <t>工場販直費</t>
    </r>
    <r>
      <rPr>
        <sz val="9"/>
        <rFont val="ＭＳ Ｐゴシック"/>
        <family val="3"/>
        <charset val="128"/>
      </rPr>
      <t>※3</t>
    </r>
    <rPh sb="0" eb="2">
      <t>コウジョウ</t>
    </rPh>
    <rPh sb="2" eb="3">
      <t>ハン</t>
    </rPh>
    <rPh sb="3" eb="4">
      <t>チョク</t>
    </rPh>
    <rPh sb="4" eb="5">
      <t>ヒ</t>
    </rPh>
    <phoneticPr fontId="2"/>
  </si>
  <si>
    <t>営業販直費</t>
    <rPh sb="0" eb="2">
      <t>エイギョウ</t>
    </rPh>
    <rPh sb="2" eb="3">
      <t>ハン</t>
    </rPh>
    <rPh sb="3" eb="4">
      <t>チョク</t>
    </rPh>
    <rPh sb="4" eb="5">
      <t>ヒ</t>
    </rPh>
    <phoneticPr fontId="2"/>
  </si>
  <si>
    <t>FURMEX</t>
    <phoneticPr fontId="2"/>
  </si>
  <si>
    <t>※3 海上運賃除く(都度運送業者へ見積実施)</t>
    <rPh sb="3" eb="5">
      <t>カイジョウ</t>
    </rPh>
    <rPh sb="5" eb="7">
      <t>ウンチン</t>
    </rPh>
    <rPh sb="7" eb="8">
      <t>ノゾ</t>
    </rPh>
    <rPh sb="10" eb="12">
      <t>ツド</t>
    </rPh>
    <rPh sb="12" eb="14">
      <t>ウンソウ</t>
    </rPh>
    <rPh sb="14" eb="16">
      <t>ギョウシャ</t>
    </rPh>
    <rPh sb="17" eb="19">
      <t>ミツモリ</t>
    </rPh>
    <rPh sb="19" eb="21">
      <t>ジッシ</t>
    </rPh>
    <phoneticPr fontId="2"/>
  </si>
  <si>
    <t>※3 販直費にﾛｲﾔﾙﾃｨ含む。海上運賃除く(都度運送業者へ見積実施)</t>
    <rPh sb="3" eb="4">
      <t>ハン</t>
    </rPh>
    <rPh sb="4" eb="5">
      <t>チョク</t>
    </rPh>
    <rPh sb="5" eb="6">
      <t>ヒ</t>
    </rPh>
    <rPh sb="13" eb="14">
      <t>フク</t>
    </rPh>
    <rPh sb="16" eb="18">
      <t>カイジョウ</t>
    </rPh>
    <rPh sb="18" eb="20">
      <t>ウンチン</t>
    </rPh>
    <rPh sb="20" eb="21">
      <t>ノゾ</t>
    </rPh>
    <rPh sb="23" eb="25">
      <t>ツド</t>
    </rPh>
    <rPh sb="25" eb="27">
      <t>ウンソウ</t>
    </rPh>
    <rPh sb="27" eb="29">
      <t>ギョウシャ</t>
    </rPh>
    <rPh sb="30" eb="32">
      <t>ミツモリ</t>
    </rPh>
    <rPh sb="32" eb="34">
      <t>ジッシ</t>
    </rPh>
    <phoneticPr fontId="2"/>
  </si>
  <si>
    <t>※3 海上運賃含む(国内出荷のWHNは1.02%)</t>
    <phoneticPr fontId="2"/>
  </si>
  <si>
    <t>※FAST　ロイヤルティ含まず</t>
    <rPh sb="12" eb="13">
      <t>フク</t>
    </rPh>
    <phoneticPr fontId="2"/>
  </si>
  <si>
    <t>FEAP</t>
    <phoneticPr fontId="2"/>
  </si>
  <si>
    <t>※4 輸出運賃 : 1ﾊﾟﾚﾀｲｽﾞ 日本向け 36 US$、FAPH向け 64 US$</t>
    <phoneticPr fontId="2"/>
  </si>
  <si>
    <t>※2 FACE 償却費除く</t>
    <rPh sb="8" eb="11">
      <t>ショウキャクヒ</t>
    </rPh>
    <rPh sb="11" eb="12">
      <t>ノゾ</t>
    </rPh>
    <phoneticPr fontId="2"/>
  </si>
  <si>
    <t>FACE</t>
    <phoneticPr fontId="2"/>
  </si>
  <si>
    <t>FAST</t>
    <phoneticPr fontId="2"/>
  </si>
  <si>
    <t>FEAP</t>
    <phoneticPr fontId="2"/>
  </si>
  <si>
    <t>FESZ</t>
    <phoneticPr fontId="2"/>
  </si>
  <si>
    <t>FURMEX</t>
    <phoneticPr fontId="2"/>
  </si>
  <si>
    <r>
      <t>※2</t>
    </r>
    <r>
      <rPr>
        <sz val="10"/>
        <rFont val="ＭＳ Ｐゴシック"/>
        <family val="3"/>
        <charset val="128"/>
      </rPr>
      <t/>
    </r>
    <phoneticPr fontId="2"/>
  </si>
  <si>
    <t>0～12%</t>
    <phoneticPr fontId="2"/>
  </si>
  <si>
    <t>0～10%</t>
    <phoneticPr fontId="2"/>
  </si>
  <si>
    <t>※1</t>
    <phoneticPr fontId="2"/>
  </si>
  <si>
    <t>RMB 4,600</t>
    <phoneticPr fontId="2"/>
  </si>
  <si>
    <t>2013年</t>
    <rPh sb="4" eb="5">
      <t>ネン</t>
    </rPh>
    <phoneticPr fontId="2"/>
  </si>
  <si>
    <t>AS多工程に統一</t>
    <rPh sb="2" eb="3">
      <t>タ</t>
    </rPh>
    <rPh sb="3" eb="5">
      <t>コウテイ</t>
    </rPh>
    <rPh sb="6" eb="8">
      <t>トウイツ</t>
    </rPh>
    <phoneticPr fontId="2"/>
  </si>
  <si>
    <t>AS　MT無し</t>
    <phoneticPr fontId="2"/>
  </si>
  <si>
    <t>JC MT無し</t>
    <phoneticPr fontId="2"/>
  </si>
  <si>
    <t>内製終了</t>
    <rPh sb="0" eb="2">
      <t>ナイセイ</t>
    </rPh>
    <rPh sb="2" eb="4">
      <t>シュウリョウ</t>
    </rPh>
    <phoneticPr fontId="2"/>
  </si>
  <si>
    <t>JP MT無し</t>
    <phoneticPr fontId="2"/>
  </si>
  <si>
    <t>桑名へ移管</t>
    <rPh sb="0" eb="2">
      <t>クワナ</t>
    </rPh>
    <rPh sb="3" eb="5">
      <t>イカン</t>
    </rPh>
    <phoneticPr fontId="2"/>
  </si>
  <si>
    <t>FEAP</t>
    <phoneticPr fontId="2"/>
  </si>
  <si>
    <t>ブロック</t>
    <phoneticPr fontId="2"/>
  </si>
  <si>
    <t>一般管理費</t>
    <phoneticPr fontId="2"/>
  </si>
  <si>
    <t>コネクタ</t>
    <phoneticPr fontId="2"/>
  </si>
  <si>
    <t>電子部品</t>
    <phoneticPr fontId="2"/>
  </si>
  <si>
    <t>フィリピン</t>
    <phoneticPr fontId="2"/>
  </si>
  <si>
    <t>タイ</t>
    <phoneticPr fontId="2"/>
  </si>
  <si>
    <t>FPAI</t>
    <phoneticPr fontId="2"/>
  </si>
  <si>
    <t>PFAM</t>
    <phoneticPr fontId="2"/>
  </si>
  <si>
    <t>マレーシア</t>
    <phoneticPr fontId="2"/>
  </si>
  <si>
    <t>MFE</t>
    <phoneticPr fontId="2"/>
  </si>
  <si>
    <t>インド</t>
    <phoneticPr fontId="2"/>
  </si>
  <si>
    <t>CFGH</t>
    <phoneticPr fontId="2"/>
  </si>
  <si>
    <t>FLC</t>
    <phoneticPr fontId="2"/>
  </si>
  <si>
    <t>アメリカ</t>
    <phoneticPr fontId="2"/>
  </si>
  <si>
    <t>FACE</t>
    <phoneticPr fontId="2"/>
  </si>
  <si>
    <t>チェコ</t>
    <phoneticPr fontId="2"/>
  </si>
  <si>
    <t>AFI</t>
    <phoneticPr fontId="2"/>
  </si>
  <si>
    <t>FESZ</t>
    <phoneticPr fontId="2"/>
  </si>
  <si>
    <t>韓国ｳｫﾝ</t>
    <rPh sb="0" eb="2">
      <t>カンコク</t>
    </rPh>
    <phoneticPr fontId="2"/>
  </si>
  <si>
    <t>ﾌﾞﾗｼﾞﾙﾚｱﾙ</t>
    <phoneticPr fontId="2"/>
  </si>
  <si>
    <t>ｶﾅﾀﾞﾄﾞﾙ</t>
    <phoneticPr fontId="2"/>
  </si>
  <si>
    <t>ﾁｪｺｸﾛ-ﾈ</t>
    <phoneticPr fontId="2"/>
  </si>
  <si>
    <t>ﾏﾚｰｼｱﾘﾝｷﾞ</t>
    <phoneticPr fontId="2"/>
  </si>
  <si>
    <t>６．海外拠点　見積り諸元</t>
    <rPh sb="2" eb="4">
      <t>カイガイ</t>
    </rPh>
    <rPh sb="4" eb="6">
      <t>キョテン</t>
    </rPh>
    <rPh sb="7" eb="9">
      <t>ミツモ</t>
    </rPh>
    <rPh sb="10" eb="11">
      <t>ショ</t>
    </rPh>
    <rPh sb="11" eb="12">
      <t>ゲン</t>
    </rPh>
    <phoneticPr fontId="2"/>
  </si>
  <si>
    <t>注：海外拠点での原価は、できるだけ海外拠点に見積を依頼すること。</t>
    <rPh sb="0" eb="1">
      <t>チュウ</t>
    </rPh>
    <rPh sb="2" eb="4">
      <t>カイガイ</t>
    </rPh>
    <rPh sb="4" eb="6">
      <t>キョテン</t>
    </rPh>
    <rPh sb="8" eb="10">
      <t>ゲンカ</t>
    </rPh>
    <rPh sb="17" eb="19">
      <t>カイガイ</t>
    </rPh>
    <rPh sb="19" eb="21">
      <t>キョテン</t>
    </rPh>
    <rPh sb="22" eb="24">
      <t>ミツモリ</t>
    </rPh>
    <rPh sb="25" eb="27">
      <t>イライ</t>
    </rPh>
    <phoneticPr fontId="2"/>
  </si>
  <si>
    <t>①直接費　一覧</t>
    <rPh sb="1" eb="3">
      <t>チョクセツ</t>
    </rPh>
    <rPh sb="3" eb="4">
      <t>ヒ</t>
    </rPh>
    <rPh sb="5" eb="7">
      <t>イチラン</t>
    </rPh>
    <phoneticPr fontId="2"/>
  </si>
  <si>
    <t>FURMEX(北米)</t>
    <rPh sb="7" eb="9">
      <t>ホクベイ</t>
    </rPh>
    <phoneticPr fontId="2"/>
  </si>
  <si>
    <t>JPN SRC</t>
    <phoneticPr fontId="2"/>
  </si>
  <si>
    <t>USA SRC</t>
    <phoneticPr fontId="2"/>
  </si>
  <si>
    <t>GM ハーネス</t>
    <phoneticPr fontId="2"/>
  </si>
  <si>
    <t>$/hour</t>
    <phoneticPr fontId="2"/>
  </si>
  <si>
    <t>\/hour</t>
    <phoneticPr fontId="2"/>
  </si>
  <si>
    <t>スリット、ラミネート</t>
    <phoneticPr fontId="2"/>
  </si>
  <si>
    <t>ハーネス組立</t>
    <rPh sb="4" eb="6">
      <t>クミタテ</t>
    </rPh>
    <phoneticPr fontId="2"/>
  </si>
  <si>
    <t>RMB/hour</t>
    <phoneticPr fontId="2"/>
  </si>
  <si>
    <t>FAPV</t>
    <phoneticPr fontId="2"/>
  </si>
  <si>
    <t>②拠点別　工場間接費・一般管理費・販売直接費　一覧</t>
    <rPh sb="1" eb="3">
      <t>キョテン</t>
    </rPh>
    <rPh sb="3" eb="4">
      <t>ベツ</t>
    </rPh>
    <rPh sb="17" eb="19">
      <t>ハンバイ</t>
    </rPh>
    <rPh sb="19" eb="21">
      <t>チョクセツ</t>
    </rPh>
    <rPh sb="21" eb="22">
      <t>ヒ</t>
    </rPh>
    <rPh sb="23" eb="25">
      <t>イチラン</t>
    </rPh>
    <phoneticPr fontId="2"/>
  </si>
  <si>
    <t>製造拠点</t>
    <rPh sb="0" eb="2">
      <t>セイゾウ</t>
    </rPh>
    <rPh sb="2" eb="4">
      <t>キョテン</t>
    </rPh>
    <phoneticPr fontId="2"/>
  </si>
  <si>
    <t>工場間接
※2</t>
    <phoneticPr fontId="2"/>
  </si>
  <si>
    <t>一般管理</t>
    <phoneticPr fontId="2"/>
  </si>
  <si>
    <r>
      <t>販直費</t>
    </r>
    <r>
      <rPr>
        <sz val="9"/>
        <rFont val="ＭＳ Ｐゴシック"/>
        <family val="3"/>
        <charset val="128"/>
      </rPr>
      <t>※3</t>
    </r>
    <rPh sb="0" eb="1">
      <t>ハン</t>
    </rPh>
    <rPh sb="1" eb="2">
      <t>チョク</t>
    </rPh>
    <rPh sb="2" eb="3">
      <t>ヒ</t>
    </rPh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</si>
  <si>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</si>
  <si>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</si>
  <si>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</si>
  <si>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</si>
  <si>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</si>
  <si>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</si>
  <si>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</si>
  <si>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⑬</t>
    <phoneticPr fontId="2"/>
  </si>
  <si>
    <t>⑭</t>
    <phoneticPr fontId="2"/>
  </si>
  <si>
    <t>親番号</t>
    <rPh sb="0" eb="1">
      <t>オヤ</t>
    </rPh>
    <rPh sb="1" eb="3">
      <t>バンゴウ</t>
    </rPh>
    <phoneticPr fontId="2"/>
  </si>
  <si>
    <t>トヨタ品番</t>
    <rPh sb="3" eb="5">
      <t>ヒンバン</t>
    </rPh>
    <phoneticPr fontId="2"/>
  </si>
  <si>
    <r>
      <t>720A使用数量</t>
    </r>
    <r>
      <rPr>
        <sz val="11"/>
        <rFont val="ＭＳ Ｐゴシック"/>
        <family val="3"/>
        <charset val="128"/>
      </rPr>
      <t>/台</t>
    </r>
    <rPh sb="4" eb="6">
      <t>シヨウ</t>
    </rPh>
    <rPh sb="6" eb="8">
      <t>スウリョウ</t>
    </rPh>
    <rPh sb="9" eb="10">
      <t>ダイ</t>
    </rPh>
    <phoneticPr fontId="2"/>
  </si>
  <si>
    <t>コネクタメーカー</t>
    <phoneticPr fontId="2"/>
  </si>
  <si>
    <r>
      <t>1</t>
    </r>
    <r>
      <rPr>
        <sz val="11"/>
        <rFont val="ＭＳ Ｐゴシック"/>
        <family val="3"/>
        <charset val="128"/>
      </rPr>
      <t>2下期</t>
    </r>
    <r>
      <rPr>
        <sz val="11"/>
        <rFont val="ＭＳ Ｐゴシック"/>
        <family val="3"/>
        <charset val="128"/>
      </rPr>
      <t>管理自給価格</t>
    </r>
    <rPh sb="2" eb="4">
      <t>シモキ</t>
    </rPh>
    <rPh sb="4" eb="6">
      <t>カンリ</t>
    </rPh>
    <rPh sb="6" eb="8">
      <t>ジキュウ</t>
    </rPh>
    <rPh sb="8" eb="10">
      <t>カカク</t>
    </rPh>
    <phoneticPr fontId="2"/>
  </si>
  <si>
    <t>目標コスト（管理費込み）</t>
    <rPh sb="0" eb="2">
      <t>モクヒョウ</t>
    </rPh>
    <rPh sb="6" eb="9">
      <t>カンリヒ</t>
    </rPh>
    <rPh sb="9" eb="10">
      <t>コ</t>
    </rPh>
    <phoneticPr fontId="2"/>
  </si>
  <si>
    <r>
      <t>7</t>
    </r>
    <r>
      <rPr>
        <sz val="11"/>
        <rFont val="ＭＳ Ｐゴシック"/>
        <family val="3"/>
        <charset val="128"/>
      </rPr>
      <t>20A償却個数（生涯）</t>
    </r>
    <rPh sb="4" eb="6">
      <t>ショウキャク</t>
    </rPh>
    <rPh sb="6" eb="8">
      <t>コスウ</t>
    </rPh>
    <rPh sb="9" eb="11">
      <t>ショウガイ</t>
    </rPh>
    <phoneticPr fontId="2"/>
  </si>
  <si>
    <t>90980-12372</t>
  </si>
  <si>
    <t>住友電装</t>
  </si>
  <si>
    <t>90980-12371</t>
  </si>
  <si>
    <t>90980-12741</t>
  </si>
  <si>
    <t>90980-12740</t>
  </si>
  <si>
    <t>90980-12771</t>
  </si>
  <si>
    <t>矢崎総業</t>
  </si>
  <si>
    <t>90980-12770</t>
  </si>
  <si>
    <t>90980-12737</t>
  </si>
  <si>
    <t>90980-12736</t>
  </si>
  <si>
    <t>90980-12937</t>
  </si>
  <si>
    <t>90980-12936</t>
  </si>
  <si>
    <t>90980-12366</t>
  </si>
  <si>
    <t>90980-12365</t>
  </si>
  <si>
    <t>90980-12808</t>
  </si>
  <si>
    <t>90980-12807</t>
  </si>
  <si>
    <t>※企画台数2,025台/月、6年モデルで算出</t>
    <rPh sb="1" eb="3">
      <t>キカク</t>
    </rPh>
    <rPh sb="3" eb="5">
      <t>ダイスウ</t>
    </rPh>
    <rPh sb="6" eb="11">
      <t>０２５ダイ</t>
    </rPh>
    <rPh sb="12" eb="13">
      <t>ツキ</t>
    </rPh>
    <rPh sb="15" eb="16">
      <t>ネン</t>
    </rPh>
    <rPh sb="20" eb="22">
      <t>サンシュツ</t>
    </rPh>
    <phoneticPr fontId="2"/>
  </si>
  <si>
    <t>※目標コスト：最低限これ以下にしないといけないという数字</t>
    <rPh sb="1" eb="3">
      <t>モクヒョウ</t>
    </rPh>
    <rPh sb="7" eb="10">
      <t>サイテイゲン</t>
    </rPh>
    <rPh sb="12" eb="14">
      <t>イカ</t>
    </rPh>
    <rPh sb="26" eb="28">
      <t>スウジ</t>
    </rPh>
    <phoneticPr fontId="2"/>
  </si>
  <si>
    <t>賦課対象</t>
    <rPh sb="0" eb="2">
      <t>フカ</t>
    </rPh>
    <rPh sb="2" eb="4">
      <t>タイショウ</t>
    </rPh>
    <phoneticPr fontId="2"/>
  </si>
  <si>
    <t>直原</t>
    <rPh sb="0" eb="1">
      <t>チョク</t>
    </rPh>
    <rPh sb="1" eb="2">
      <t>ゲン</t>
    </rPh>
    <phoneticPr fontId="2"/>
  </si>
  <si>
    <t>※3 海上運賃除く</t>
    <rPh sb="3" eb="5">
      <t>カイジョウ</t>
    </rPh>
    <rPh sb="5" eb="7">
      <t>ウンチン</t>
    </rPh>
    <rPh sb="7" eb="8">
      <t>ノゾ</t>
    </rPh>
    <phoneticPr fontId="2"/>
  </si>
  <si>
    <t>FACE</t>
    <phoneticPr fontId="2"/>
  </si>
  <si>
    <t>※2 償却費除く※3 販直費にﾛｲﾔﾙﾃｨ含む。海上運賃除く</t>
    <rPh sb="11" eb="12">
      <t>ハン</t>
    </rPh>
    <rPh sb="12" eb="13">
      <t>チョク</t>
    </rPh>
    <rPh sb="13" eb="14">
      <t>ヒ</t>
    </rPh>
    <rPh sb="21" eb="22">
      <t>フク</t>
    </rPh>
    <rPh sb="24" eb="26">
      <t>カイジョウ</t>
    </rPh>
    <rPh sb="26" eb="28">
      <t>ウンチン</t>
    </rPh>
    <rPh sb="28" eb="29">
      <t>ノゾ</t>
    </rPh>
    <phoneticPr fontId="2"/>
  </si>
  <si>
    <t>FAST</t>
    <phoneticPr fontId="2"/>
  </si>
  <si>
    <t>※ﾛｲﾔﾙﾃｨ含まず。※3 海上運賃含む(国内出荷のWHNは1.02%)</t>
    <phoneticPr fontId="2"/>
  </si>
  <si>
    <t>FEAP</t>
    <phoneticPr fontId="2"/>
  </si>
  <si>
    <t>※3 海上運賃含む</t>
    <phoneticPr fontId="2"/>
  </si>
  <si>
    <t>※ﾛｲﾔﾙﾃｨ含まず。</t>
    <phoneticPr fontId="2"/>
  </si>
  <si>
    <t>※3 輸出運賃は商品価値の3.8%</t>
    <phoneticPr fontId="2"/>
  </si>
  <si>
    <t>※4</t>
    <phoneticPr fontId="2"/>
  </si>
  <si>
    <t>加工費※1</t>
    <rPh sb="0" eb="3">
      <t>カコウヒ</t>
    </rPh>
    <phoneticPr fontId="2"/>
  </si>
  <si>
    <t>※1 FAPVは、加工費に対して賦課する。</t>
    <rPh sb="9" eb="12">
      <t>カコウヒ</t>
    </rPh>
    <rPh sb="13" eb="14">
      <t>タイ</t>
    </rPh>
    <rPh sb="16" eb="18">
      <t>フカ</t>
    </rPh>
    <phoneticPr fontId="2"/>
  </si>
  <si>
    <t>※4 輸出運賃 : 1ﾊﾟﾚﾀｲｽﾞ 日本向け 36 US$、FAPH向け 64 US$</t>
    <phoneticPr fontId="2"/>
  </si>
  <si>
    <t>③輸入関税</t>
    <rPh sb="1" eb="3">
      <t>ユニュウ</t>
    </rPh>
    <rPh sb="3" eb="5">
      <t>カンゼイ</t>
    </rPh>
    <phoneticPr fontId="2"/>
  </si>
  <si>
    <t>FACE</t>
    <phoneticPr fontId="2"/>
  </si>
  <si>
    <t>FAST</t>
    <phoneticPr fontId="2"/>
  </si>
  <si>
    <t>FEAP</t>
    <phoneticPr fontId="2"/>
  </si>
  <si>
    <t>FESZ</t>
    <phoneticPr fontId="2"/>
  </si>
  <si>
    <t>FURMEX</t>
    <phoneticPr fontId="2"/>
  </si>
  <si>
    <r>
      <t>※2</t>
    </r>
    <r>
      <rPr>
        <sz val="10"/>
        <rFont val="ＭＳ Ｐゴシック"/>
        <family val="3"/>
        <charset val="128"/>
      </rPr>
      <t/>
    </r>
    <phoneticPr fontId="2"/>
  </si>
  <si>
    <t>0～8%</t>
    <phoneticPr fontId="2"/>
  </si>
  <si>
    <t>成形BOX製品</t>
    <rPh sb="0" eb="2">
      <t>セイケイ</t>
    </rPh>
    <rPh sb="5" eb="7">
      <t>セイヒン</t>
    </rPh>
    <phoneticPr fontId="2"/>
  </si>
  <si>
    <t>0～12%</t>
    <phoneticPr fontId="2"/>
  </si>
  <si>
    <t>0～10%</t>
    <phoneticPr fontId="2"/>
  </si>
  <si>
    <t>※1</t>
    <phoneticPr fontId="2"/>
  </si>
  <si>
    <t>RMB 4,600</t>
    <phoneticPr fontId="2"/>
  </si>
  <si>
    <t>上記に含む</t>
    <rPh sb="0" eb="2">
      <t>ジョウキ</t>
    </rPh>
    <rPh sb="3" eb="4">
      <t>フク</t>
    </rPh>
    <phoneticPr fontId="2"/>
  </si>
  <si>
    <t>※2 国内用 6.5%</t>
    <rPh sb="3" eb="6">
      <t>コクナイヨウ</t>
    </rPh>
    <phoneticPr fontId="2"/>
  </si>
  <si>
    <t>※1 輸出加工ライセンスのため、</t>
    <rPh sb="3" eb="5">
      <t>ユシュツ</t>
    </rPh>
    <rPh sb="5" eb="7">
      <t>カコウ</t>
    </rPh>
    <phoneticPr fontId="2"/>
  </si>
  <si>
    <t>日本用 7.6%</t>
    <rPh sb="0" eb="2">
      <t>ニホン</t>
    </rPh>
    <rPh sb="2" eb="3">
      <t>ヨウ</t>
    </rPh>
    <phoneticPr fontId="2"/>
  </si>
  <si>
    <t>ベトナム国内に出荷時に</t>
    <phoneticPr fontId="2"/>
  </si>
  <si>
    <t>７．諸元推移表</t>
    <rPh sb="2" eb="3">
      <t>ショ</t>
    </rPh>
    <rPh sb="3" eb="4">
      <t>ゲン</t>
    </rPh>
    <rPh sb="4" eb="6">
      <t>スイイ</t>
    </rPh>
    <rPh sb="6" eb="7">
      <t>ヒョウ</t>
    </rPh>
    <phoneticPr fontId="2"/>
  </si>
  <si>
    <t>①直接費推移表</t>
    <rPh sb="1" eb="3">
      <t>チョクセツ</t>
    </rPh>
    <rPh sb="3" eb="4">
      <t>ヒ</t>
    </rPh>
    <rPh sb="4" eb="6">
      <t>スイイ</t>
    </rPh>
    <rPh sb="6" eb="7">
      <t>ヒョウ</t>
    </rPh>
    <phoneticPr fontId="2"/>
  </si>
  <si>
    <t>2010年</t>
    <rPh sb="4" eb="5">
      <t>ネン</t>
    </rPh>
    <phoneticPr fontId="2"/>
  </si>
  <si>
    <t>2011年</t>
    <rPh sb="4" eb="5">
      <t>ネン</t>
    </rPh>
    <phoneticPr fontId="2"/>
  </si>
  <si>
    <t>※見積用(11STD 1327.2）</t>
    <phoneticPr fontId="2"/>
  </si>
  <si>
    <t>※見積用(11STD 4227.5）</t>
    <phoneticPr fontId="2"/>
  </si>
  <si>
    <t>JP MT無し</t>
    <phoneticPr fontId="2"/>
  </si>
  <si>
    <t>※見積用(11STD 1,311.4)</t>
    <rPh sb="1" eb="3">
      <t>ミツモ</t>
    </rPh>
    <rPh sb="3" eb="4">
      <t>ヨウ</t>
    </rPh>
    <phoneticPr fontId="2"/>
  </si>
  <si>
    <t>RB束取</t>
    <phoneticPr fontId="2"/>
  </si>
  <si>
    <t>RB圧延</t>
    <phoneticPr fontId="2"/>
  </si>
  <si>
    <t>※見積用(11STD 645.4)</t>
    <rPh sb="1" eb="3">
      <t>ミツモ</t>
    </rPh>
    <rPh sb="3" eb="4">
      <t>ヨウ</t>
    </rPh>
    <phoneticPr fontId="2"/>
  </si>
  <si>
    <t>RB　MT無し</t>
    <phoneticPr fontId="2"/>
  </si>
  <si>
    <t>②販直費推移表</t>
    <rPh sb="1" eb="2">
      <t>ハン</t>
    </rPh>
    <rPh sb="2" eb="3">
      <t>チョク</t>
    </rPh>
    <rPh sb="3" eb="4">
      <t>ヒ</t>
    </rPh>
    <rPh sb="4" eb="6">
      <t>スイイ</t>
    </rPh>
    <rPh sb="6" eb="7">
      <t>ヒョウ</t>
    </rPh>
    <phoneticPr fontId="2"/>
  </si>
  <si>
    <t>輸送費込</t>
    <rPh sb="0" eb="3">
      <t>ユソウヒ</t>
    </rPh>
    <rPh sb="3" eb="4">
      <t>コ</t>
    </rPh>
    <phoneticPr fontId="2"/>
  </si>
  <si>
    <t>営業販直
国内</t>
    <rPh sb="0" eb="2">
      <t>エイギョウ</t>
    </rPh>
    <rPh sb="2" eb="3">
      <t>ハン</t>
    </rPh>
    <rPh sb="3" eb="4">
      <t>チョク</t>
    </rPh>
    <rPh sb="5" eb="7">
      <t>コクナイ</t>
    </rPh>
    <phoneticPr fontId="2"/>
  </si>
  <si>
    <t>営業販直
海外</t>
    <rPh sb="0" eb="2">
      <t>エイギョウ</t>
    </rPh>
    <rPh sb="2" eb="3">
      <t>ハン</t>
    </rPh>
    <rPh sb="3" eb="4">
      <t>チョク</t>
    </rPh>
    <rPh sb="5" eb="7">
      <t>カイガイ</t>
    </rPh>
    <phoneticPr fontId="2"/>
  </si>
  <si>
    <t>FEAP</t>
    <phoneticPr fontId="2"/>
  </si>
  <si>
    <t>別途
見積り</t>
    <rPh sb="0" eb="2">
      <t>ベット</t>
    </rPh>
    <rPh sb="3" eb="5">
      <t>ミツモ</t>
    </rPh>
    <phoneticPr fontId="2"/>
  </si>
  <si>
    <t>③工場間接費・一般管理費推移表</t>
    <rPh sb="1" eb="3">
      <t>コウジョウ</t>
    </rPh>
    <rPh sb="3" eb="5">
      <t>カンセツ</t>
    </rPh>
    <rPh sb="5" eb="6">
      <t>ヒ</t>
    </rPh>
    <rPh sb="7" eb="9">
      <t>イッパン</t>
    </rPh>
    <rPh sb="9" eb="12">
      <t>カンリヒ</t>
    </rPh>
    <rPh sb="12" eb="14">
      <t>スイイ</t>
    </rPh>
    <rPh sb="14" eb="15">
      <t>ヒョウ</t>
    </rPh>
    <phoneticPr fontId="2"/>
  </si>
  <si>
    <t>ブロック</t>
    <phoneticPr fontId="2"/>
  </si>
  <si>
    <t>一般管理費</t>
    <phoneticPr fontId="2"/>
  </si>
  <si>
    <t>コネクタ</t>
    <phoneticPr fontId="2"/>
  </si>
  <si>
    <t>電子部品</t>
    <phoneticPr fontId="2"/>
  </si>
  <si>
    <t>※工場平均</t>
    <rPh sb="1" eb="3">
      <t>コウジョウ</t>
    </rPh>
    <rPh sb="3" eb="5">
      <t>ヘイキン</t>
    </rPh>
    <phoneticPr fontId="2"/>
  </si>
  <si>
    <t>工場間接費</t>
    <phoneticPr fontId="2"/>
  </si>
  <si>
    <t>一般管理費</t>
    <phoneticPr fontId="2"/>
  </si>
  <si>
    <t>参考)口銭率推移表</t>
    <rPh sb="0" eb="2">
      <t>サンコウ</t>
    </rPh>
    <rPh sb="3" eb="5">
      <t>コウセン</t>
    </rPh>
    <rPh sb="5" eb="6">
      <t>リツ</t>
    </rPh>
    <rPh sb="6" eb="8">
      <t>スイイ</t>
    </rPh>
    <rPh sb="8" eb="9">
      <t>ヒョウ</t>
    </rPh>
    <phoneticPr fontId="2"/>
  </si>
  <si>
    <t>海外拠点</t>
    <rPh sb="0" eb="2">
      <t>カイガイ</t>
    </rPh>
    <rPh sb="2" eb="4">
      <t>キョテン</t>
    </rPh>
    <phoneticPr fontId="2"/>
  </si>
  <si>
    <t>FEAP</t>
    <phoneticPr fontId="2"/>
  </si>
  <si>
    <t>フィリピン</t>
    <phoneticPr fontId="2"/>
  </si>
  <si>
    <t>FAST</t>
    <phoneticPr fontId="2"/>
  </si>
  <si>
    <t>タイ</t>
    <phoneticPr fontId="2"/>
  </si>
  <si>
    <t>中国(天津)</t>
    <rPh sb="0" eb="2">
      <t>チュウゴク</t>
    </rPh>
    <rPh sb="3" eb="4">
      <t>テン</t>
    </rPh>
    <rPh sb="4" eb="5">
      <t>シン</t>
    </rPh>
    <phoneticPr fontId="2"/>
  </si>
  <si>
    <t>FPAI</t>
    <phoneticPr fontId="2"/>
  </si>
  <si>
    <t>古河パーミン：インドネシア</t>
    <rPh sb="0" eb="2">
      <t>フルカワ</t>
    </rPh>
    <phoneticPr fontId="2"/>
  </si>
  <si>
    <t>PFAM</t>
    <phoneticPr fontId="2"/>
  </si>
  <si>
    <t>マレーシア</t>
    <phoneticPr fontId="2"/>
  </si>
  <si>
    <t>MFE</t>
    <phoneticPr fontId="2"/>
  </si>
  <si>
    <t>インド</t>
    <phoneticPr fontId="2"/>
  </si>
  <si>
    <t>CFGH</t>
    <phoneticPr fontId="2"/>
  </si>
  <si>
    <t>中国(長春)</t>
    <rPh sb="0" eb="2">
      <t>チュウゴク</t>
    </rPh>
    <rPh sb="3" eb="4">
      <t>チョウ</t>
    </rPh>
    <rPh sb="4" eb="5">
      <t>シュン</t>
    </rPh>
    <phoneticPr fontId="2"/>
  </si>
  <si>
    <t>FLC</t>
    <phoneticPr fontId="2"/>
  </si>
  <si>
    <t>アメリカ</t>
    <phoneticPr fontId="2"/>
  </si>
  <si>
    <t>FACE</t>
    <phoneticPr fontId="2"/>
  </si>
  <si>
    <t>チェコ</t>
    <phoneticPr fontId="2"/>
  </si>
  <si>
    <t>AFI</t>
    <phoneticPr fontId="2"/>
  </si>
  <si>
    <t>FESZ</t>
    <phoneticPr fontId="2"/>
  </si>
  <si>
    <t>中国(深セン)</t>
    <rPh sb="0" eb="2">
      <t>チュウゴク</t>
    </rPh>
    <phoneticPr fontId="2"/>
  </si>
  <si>
    <t>FEEL</t>
    <phoneticPr fontId="2"/>
  </si>
  <si>
    <t>イギリス</t>
    <phoneticPr fontId="2"/>
  </si>
  <si>
    <t>-</t>
    <phoneticPr fontId="2"/>
  </si>
  <si>
    <t>FURMEX</t>
    <phoneticPr fontId="2"/>
  </si>
  <si>
    <t>FAPV</t>
    <phoneticPr fontId="2"/>
  </si>
  <si>
    <t>$/hour</t>
    <phoneticPr fontId="2"/>
  </si>
  <si>
    <t>\/hour</t>
    <phoneticPr fontId="2"/>
  </si>
  <si>
    <t>スリット、ラミネート</t>
    <phoneticPr fontId="2"/>
  </si>
  <si>
    <t>RMB/hour</t>
    <phoneticPr fontId="2"/>
  </si>
  <si>
    <t>FURMEX（FENA)</t>
    <phoneticPr fontId="2"/>
  </si>
  <si>
    <r>
      <t>※1</t>
    </r>
    <r>
      <rPr>
        <b/>
        <sz val="11"/>
        <rFont val="ＭＳ Ｐゴシック"/>
        <family val="3"/>
        <charset val="128"/>
      </rPr>
      <t xml:space="preserve"> 4.25%</t>
    </r>
    <phoneticPr fontId="2"/>
  </si>
  <si>
    <r>
      <t xml:space="preserve">金利負担　 </t>
    </r>
    <r>
      <rPr>
        <b/>
        <sz val="11"/>
        <rFont val="ＭＳ Ｐゴシック"/>
        <family val="3"/>
        <charset val="128"/>
      </rPr>
      <t>1.2％</t>
    </r>
    <rPh sb="0" eb="2">
      <t>キンリ</t>
    </rPh>
    <rPh sb="2" eb="4">
      <t>フタン</t>
    </rPh>
    <phoneticPr fontId="2"/>
  </si>
  <si>
    <t>RMB 3,000</t>
    <phoneticPr fontId="2"/>
  </si>
  <si>
    <t>FENA</t>
    <phoneticPr fontId="2"/>
  </si>
  <si>
    <t>センサー</t>
    <phoneticPr fontId="2"/>
  </si>
  <si>
    <r>
      <t>※</t>
    </r>
    <r>
      <rPr>
        <sz val="11"/>
        <rFont val="ＭＳ Ｐゴシック"/>
        <family val="3"/>
        <charset val="128"/>
      </rPr>
      <t>FACEは</t>
    </r>
    <r>
      <rPr>
        <sz val="11"/>
        <rFont val="ＭＳ Ｐゴシック"/>
        <family val="3"/>
        <charset val="128"/>
      </rPr>
      <t>直原比、他は便毎</t>
    </r>
    <rPh sb="6" eb="7">
      <t>チョク</t>
    </rPh>
    <rPh sb="7" eb="8">
      <t>ゲン</t>
    </rPh>
    <rPh sb="8" eb="9">
      <t>ヒ</t>
    </rPh>
    <rPh sb="10" eb="11">
      <t>ホカ</t>
    </rPh>
    <rPh sb="12" eb="13">
      <t>ビン</t>
    </rPh>
    <rPh sb="13" eb="14">
      <t>ゴト</t>
    </rPh>
    <phoneticPr fontId="2"/>
  </si>
  <si>
    <t>FEAP</t>
    <phoneticPr fontId="2"/>
  </si>
  <si>
    <t>FESZ</t>
    <phoneticPr fontId="2"/>
  </si>
  <si>
    <t>FAST</t>
    <phoneticPr fontId="2"/>
  </si>
  <si>
    <t>FACE</t>
    <phoneticPr fontId="2"/>
  </si>
  <si>
    <t>ブロック</t>
    <phoneticPr fontId="2"/>
  </si>
  <si>
    <t>工場間接費</t>
    <phoneticPr fontId="2"/>
  </si>
  <si>
    <t>一般管理費</t>
    <phoneticPr fontId="2"/>
  </si>
  <si>
    <t>コネクタ</t>
    <phoneticPr fontId="2"/>
  </si>
  <si>
    <t>電子部品</t>
    <phoneticPr fontId="2"/>
  </si>
  <si>
    <t>その他</t>
    <rPh sb="2" eb="3">
      <t>タ</t>
    </rPh>
    <phoneticPr fontId="2"/>
  </si>
  <si>
    <t>10年度 購入品標準原価</t>
    <rPh sb="2" eb="4">
      <t>ネンド</t>
    </rPh>
    <rPh sb="5" eb="7">
      <t>コウニュウ</t>
    </rPh>
    <rPh sb="7" eb="8">
      <t>ヒン</t>
    </rPh>
    <rPh sb="8" eb="10">
      <t>ヒョウジュン</t>
    </rPh>
    <rPh sb="10" eb="12">
      <t>ゲンカ</t>
    </rPh>
    <phoneticPr fontId="2"/>
  </si>
  <si>
    <t>※１ 購入単位あたり</t>
    <rPh sb="3" eb="5">
      <t>コウニュウ</t>
    </rPh>
    <rPh sb="5" eb="7">
      <t>タンイ</t>
    </rPh>
    <phoneticPr fontId="2"/>
  </si>
  <si>
    <t>※2 購入単位 = 単位換算　×　BOM単位　（例：　kg = 1000 × g)</t>
    <rPh sb="3" eb="5">
      <t>コウニュウ</t>
    </rPh>
    <rPh sb="5" eb="7">
      <t>タンイ</t>
    </rPh>
    <rPh sb="10" eb="12">
      <t>タンイ</t>
    </rPh>
    <rPh sb="12" eb="14">
      <t>カンサン</t>
    </rPh>
    <rPh sb="20" eb="22">
      <t>タンイ</t>
    </rPh>
    <rPh sb="24" eb="25">
      <t>レイ</t>
    </rPh>
    <phoneticPr fontId="2"/>
  </si>
  <si>
    <t>品番</t>
    <rPh sb="0" eb="1">
      <t>ヒン</t>
    </rPh>
    <rPh sb="1" eb="2">
      <t>バン</t>
    </rPh>
    <phoneticPr fontId="2"/>
  </si>
  <si>
    <t>品名</t>
    <rPh sb="0" eb="2">
      <t>ヒンメイ</t>
    </rPh>
    <phoneticPr fontId="2"/>
  </si>
  <si>
    <t>購入先</t>
    <rPh sb="0" eb="2">
      <t>コウニュウ</t>
    </rPh>
    <rPh sb="2" eb="3">
      <t>サキ</t>
    </rPh>
    <phoneticPr fontId="2"/>
  </si>
  <si>
    <t>分類CD</t>
    <rPh sb="0" eb="2">
      <t>ブンルイ</t>
    </rPh>
    <phoneticPr fontId="2"/>
  </si>
  <si>
    <t>購入単位</t>
    <rPh sb="0" eb="2">
      <t>コウニュウ</t>
    </rPh>
    <rPh sb="2" eb="4">
      <t>タンイ</t>
    </rPh>
    <phoneticPr fontId="2"/>
  </si>
  <si>
    <t>標準単価 ※1</t>
    <rPh sb="0" eb="2">
      <t>ヒョウジュン</t>
    </rPh>
    <rPh sb="2" eb="4">
      <t>タンカ</t>
    </rPh>
    <phoneticPr fontId="2"/>
  </si>
  <si>
    <t>単位換算 ※2</t>
    <rPh sb="0" eb="2">
      <t>タンイ</t>
    </rPh>
    <rPh sb="2" eb="4">
      <t>カンサン</t>
    </rPh>
    <phoneticPr fontId="2"/>
  </si>
  <si>
    <t>BOM単位</t>
    <rPh sb="3" eb="5">
      <t>タンイ</t>
    </rPh>
    <phoneticPr fontId="2"/>
  </si>
  <si>
    <t>大分類</t>
    <rPh sb="0" eb="3">
      <t>ダイブンルイ</t>
    </rPh>
    <phoneticPr fontId="2"/>
  </si>
  <si>
    <t>中分類</t>
    <rPh sb="0" eb="1">
      <t>チュウ</t>
    </rPh>
    <rPh sb="1" eb="3">
      <t>ブンルイ</t>
    </rPh>
    <phoneticPr fontId="2"/>
  </si>
  <si>
    <t>小分類</t>
    <rPh sb="0" eb="3">
      <t>ショウブンルイ</t>
    </rPh>
    <phoneticPr fontId="2"/>
  </si>
  <si>
    <t>Q011749000-M00</t>
  </si>
  <si>
    <t>TA0</t>
  </si>
  <si>
    <t>kg</t>
  </si>
  <si>
    <t>g</t>
  </si>
  <si>
    <t>N050004000-M20</t>
  </si>
  <si>
    <t>P010163000-M00</t>
  </si>
  <si>
    <t>P010163000-M70</t>
  </si>
  <si>
    <t>P010163000-M10</t>
  </si>
  <si>
    <t>P010163000-M50</t>
  </si>
  <si>
    <t>P010163000-M60</t>
  </si>
  <si>
    <t>P010163000-M40</t>
  </si>
  <si>
    <t>P010164000-M00</t>
  </si>
  <si>
    <t>R010410000-M10</t>
  </si>
  <si>
    <t>R010410000-M00</t>
  </si>
  <si>
    <t>UG0</t>
  </si>
  <si>
    <t>P030045000-M00</t>
  </si>
  <si>
    <t>DELRIN 900P8(BLACK)</t>
    <phoneticPr fontId="2"/>
  </si>
  <si>
    <t>quotation No.</t>
    <phoneticPr fontId="2"/>
  </si>
  <si>
    <t>QuotationNo.</t>
    <phoneticPr fontId="2"/>
  </si>
  <si>
    <t>Lot Size</t>
    <phoneticPr fontId="2"/>
  </si>
  <si>
    <t>PC</t>
    <phoneticPr fontId="2"/>
  </si>
  <si>
    <t>FEAP</t>
    <phoneticPr fontId="2"/>
  </si>
  <si>
    <t>FEAPsup</t>
    <phoneticPr fontId="2"/>
  </si>
  <si>
    <t>MEP F30-03</t>
    <phoneticPr fontId="2"/>
  </si>
  <si>
    <t>MEP F30-73R1</t>
    <phoneticPr fontId="2"/>
  </si>
  <si>
    <t>MEP FX-11J</t>
    <phoneticPr fontId="2"/>
  </si>
  <si>
    <t>BASF B4520 Q120</t>
    <phoneticPr fontId="2"/>
  </si>
  <si>
    <t>OA</t>
    <phoneticPr fontId="2"/>
  </si>
  <si>
    <t>For Horizontal  Injection Process MT is Jpy 423</t>
  </si>
  <si>
    <t>                                           MH is Jpy 177</t>
  </si>
  <si>
    <t>P040036000-M00</t>
  </si>
  <si>
    <t>QB0</t>
  </si>
  <si>
    <t>N010341000-M00</t>
  </si>
  <si>
    <t>N010341000-M40</t>
  </si>
  <si>
    <t>N010341000-M10</t>
  </si>
  <si>
    <t>N010341000-M50</t>
  </si>
  <si>
    <t>S011129000-M00</t>
  </si>
  <si>
    <t>S010334000-M00</t>
  </si>
  <si>
    <t>N010339000-M30</t>
  </si>
  <si>
    <t>N010339000-M10</t>
  </si>
  <si>
    <t>N010339000-M00</t>
  </si>
  <si>
    <t>N010339000-M20</t>
  </si>
  <si>
    <t>N010339000-M40</t>
  </si>
  <si>
    <t>N010339000-M50</t>
  </si>
  <si>
    <t>R010471000-M00</t>
  </si>
  <si>
    <t>R010471000-M10</t>
  </si>
  <si>
    <t>N010343000-M00</t>
  </si>
  <si>
    <t>N010343000-M20</t>
  </si>
  <si>
    <t>N010343000-M10</t>
  </si>
  <si>
    <t>P010185000-M00</t>
  </si>
  <si>
    <t>P010166000-M00</t>
  </si>
  <si>
    <t>P010165000-M00</t>
  </si>
  <si>
    <t>P010165000-M20</t>
  </si>
  <si>
    <t>P010825000-M00</t>
  </si>
  <si>
    <t>N010336000-M00</t>
  </si>
  <si>
    <t>N010336000-MA0</t>
  </si>
  <si>
    <t>N010336000-M50</t>
  </si>
  <si>
    <t>N010336000-MB0</t>
  </si>
  <si>
    <t>N010336000-M30</t>
  </si>
  <si>
    <t>N010336000-M20</t>
  </si>
  <si>
    <t>N010336000-M10</t>
  </si>
  <si>
    <t>N010336000-MC0</t>
  </si>
  <si>
    <t>P080158000-M10</t>
  </si>
  <si>
    <t>P080158000-M20</t>
  </si>
  <si>
    <t>IUPITAL F30-73R1(NATURAL)</t>
  </si>
  <si>
    <t>Q030014000-M10</t>
  </si>
  <si>
    <t>SA0</t>
  </si>
  <si>
    <t>V020010000-M00</t>
  </si>
  <si>
    <t>V020010000-M20</t>
  </si>
  <si>
    <t>V020010000-M10</t>
  </si>
  <si>
    <t>R050029000-M00</t>
  </si>
  <si>
    <t>N030048000-M00</t>
  </si>
  <si>
    <t>N030048000-M10</t>
  </si>
  <si>
    <t>S050001000-M00</t>
  </si>
  <si>
    <t>S050001000-M10</t>
  </si>
  <si>
    <t>P010159000-M50</t>
  </si>
  <si>
    <t>円</t>
    <rPh sb="0" eb="1">
      <t>エン</t>
    </rPh>
    <phoneticPr fontId="2"/>
  </si>
  <si>
    <t>ブロック</t>
  </si>
  <si>
    <t>SRC</t>
  </si>
  <si>
    <t>コネクタ</t>
  </si>
  <si>
    <t>電子部品</t>
  </si>
  <si>
    <t>センサー</t>
  </si>
  <si>
    <t>スマコネ</t>
  </si>
  <si>
    <t>アンテナ</t>
  </si>
  <si>
    <t>FEAP</t>
  </si>
  <si>
    <t>FAST</t>
  </si>
  <si>
    <t>FACE</t>
  </si>
  <si>
    <t>FACE</t>
    <phoneticPr fontId="2"/>
  </si>
  <si>
    <t>VALOX VC120(BLACK)(IN)</t>
  </si>
  <si>
    <t>CJ936N(OUT) [I]</t>
  </si>
  <si>
    <t>PP</t>
  </si>
  <si>
    <t>ＩＣＴＣ</t>
  </si>
  <si>
    <t>QUESTRA WA204</t>
  </si>
  <si>
    <t>SPS</t>
  </si>
  <si>
    <t>ダウ・ケミカル日本株式会社</t>
  </si>
  <si>
    <t>QUESTRA WA206</t>
  </si>
  <si>
    <t>QUESTRA WA212(IN)</t>
  </si>
  <si>
    <t>QUESTRA WA212[J-JH]</t>
  </si>
  <si>
    <t>FZ-1040</t>
  </si>
  <si>
    <t>PPS</t>
  </si>
  <si>
    <t>GRAND POLYPRO J715M</t>
  </si>
  <si>
    <t>TR130</t>
  </si>
  <si>
    <t>J-113-Z(IN)</t>
  </si>
  <si>
    <t>燕化学工業株式会社</t>
  </si>
  <si>
    <t>J-113-Z[SPOT]</t>
  </si>
  <si>
    <t>1013NW8(OUT)</t>
  </si>
  <si>
    <t>古河産業株式会社</t>
  </si>
  <si>
    <t>COLOR BATCH</t>
  </si>
  <si>
    <t>459YL&lt;KS&gt;(YELLOW)[J-JH]</t>
  </si>
  <si>
    <t>CJ936N(J)</t>
  </si>
  <si>
    <t>DURACON M270-44(BLACK)</t>
  </si>
  <si>
    <t>DURACON M270-44(BLACK)[J-JH]</t>
  </si>
  <si>
    <t>DURACON M270-44(NATURAL)</t>
  </si>
  <si>
    <t>DURACON M270-44(NATURAL)[J-JH]</t>
  </si>
  <si>
    <t>DURACON M90-44(OUT)</t>
  </si>
  <si>
    <t>DURACON MS-02</t>
  </si>
  <si>
    <t>DURANEX 2002 (EXPORT)</t>
  </si>
  <si>
    <t>DURANEX 2002(FLEX CONTAINER)</t>
  </si>
  <si>
    <t>DURANEX 2002(IN)</t>
  </si>
  <si>
    <t>DURANEX 2002(OUT)</t>
  </si>
  <si>
    <t>電工本社費</t>
    <rPh sb="0" eb="2">
      <t>デンコウ</t>
    </rPh>
    <rPh sb="2" eb="4">
      <t>ホンシャ</t>
    </rPh>
    <rPh sb="4" eb="5">
      <t>ヒ</t>
    </rPh>
    <phoneticPr fontId="2"/>
  </si>
  <si>
    <t>DURANEX 2002[J-FACJ]</t>
  </si>
  <si>
    <t>DURANEX 2002[J-FT]</t>
  </si>
  <si>
    <t>DURANEX 501AC(BLACK)</t>
  </si>
  <si>
    <t>DURANEX 501AC(BLACK)(OUT)</t>
  </si>
  <si>
    <t>GRAND POLYPRO CJ918BP</t>
  </si>
  <si>
    <t>GRAND POLYPRO CJ929N</t>
  </si>
  <si>
    <t>GRAND POLYPRO J715M(EXPORT)</t>
  </si>
  <si>
    <t>IUPILON S-2000R</t>
  </si>
  <si>
    <t>PC</t>
  </si>
  <si>
    <t>IUPITAL F30-03(BLACK)</t>
  </si>
  <si>
    <t>IUPITAL F30-03(BLACK) (EXPORT)</t>
  </si>
  <si>
    <t>IUPITAL F30-03(BLACK)(OUT)</t>
  </si>
  <si>
    <t>IUPITAL F30-03(BLACK)[J-FACJ]</t>
  </si>
  <si>
    <t>IUPITAL F30-03(NATURAL)</t>
  </si>
  <si>
    <t>IUPITAL F30-03(ORANGE)</t>
  </si>
  <si>
    <t>IUPITAL F30-03(YELLOW)</t>
  </si>
  <si>
    <t>IUPITAL F30-03(YELLOW)[J-FN]</t>
  </si>
  <si>
    <t>IUPITAL F30-73R1(BLACK)</t>
  </si>
  <si>
    <t>IUPITAL FX-11(E9001)</t>
  </si>
  <si>
    <t>IUPITAL FX-11J (NATURAL)</t>
  </si>
  <si>
    <t>IUPITAL FX-11J(BLACK)</t>
  </si>
  <si>
    <t>IUPITAL FX-11J(GRAY)</t>
  </si>
  <si>
    <t>IUPITAL FX-11T(OUT)</t>
  </si>
  <si>
    <t>60t成形</t>
    <rPh sb="3" eb="5">
      <t>セイケイ</t>
    </rPh>
    <phoneticPr fontId="2"/>
  </si>
  <si>
    <t>130t成形</t>
    <rPh sb="4" eb="6">
      <t>セイケイ</t>
    </rPh>
    <phoneticPr fontId="2"/>
  </si>
  <si>
    <t>200t成形</t>
    <rPh sb="4" eb="6">
      <t>セイケイ</t>
    </rPh>
    <phoneticPr fontId="2"/>
  </si>
  <si>
    <t>280成形</t>
    <rPh sb="3" eb="5">
      <t>セイケイ</t>
    </rPh>
    <phoneticPr fontId="2"/>
  </si>
  <si>
    <t>LC020A77942M(GREEN)(IN)</t>
  </si>
  <si>
    <t>LC020A77942M(GREEN)[J-JH]</t>
  </si>
  <si>
    <t>LEONA 1402S(IN)</t>
  </si>
  <si>
    <t>LEONA 1402S(OUT)</t>
  </si>
  <si>
    <t>LEONA 1402S[J-JH]</t>
  </si>
  <si>
    <t>NOVADURAN 5010G15(IN)(YELLOW)</t>
  </si>
  <si>
    <t>NOVADURAN 5010G15(OUT)</t>
  </si>
  <si>
    <t>NOVADURAN 5010G15(OUT)[J-JH]</t>
  </si>
  <si>
    <t>NOVADURAN 5010GN6-30TM4(BLACK)</t>
  </si>
  <si>
    <t>NOVADURAN 5010GN6-30TM4(BLUE)</t>
  </si>
  <si>
    <t>NOVADURAN 5010GN6-30TM4(GRAY)</t>
  </si>
  <si>
    <t>NOVADURAN 5010GN6-30TM4(GRAY)(OUT)</t>
  </si>
  <si>
    <t>NOVADURAN 5010GT-15(BALCK)[J-JH]</t>
  </si>
  <si>
    <t>NOVADURAN 5010GT-15(NATURAL)(IN)</t>
  </si>
  <si>
    <t>NOVADURAN 5010GT-15(NATURAL)[J-JH]</t>
  </si>
  <si>
    <t>NOVADURAN 5010GT30(BLACK)</t>
  </si>
  <si>
    <t>NOVADURAN 5010GT30(BLACK)[J-JH]</t>
  </si>
  <si>
    <t>NOVADURAN 5010GT30(NATURAL)</t>
  </si>
  <si>
    <t>NOVADURAN 5010GT30(NATURAL)[J-JH]</t>
  </si>
  <si>
    <t>NOVADURAN 5010GT30(RECEIVE BLACK)</t>
  </si>
  <si>
    <t>NOVADURAN 5010GT30(RECEIVE NATURAL)</t>
  </si>
  <si>
    <t>NOVADURAN 5010N6-3(BLACK)</t>
  </si>
  <si>
    <t>NOVADURAN 5010N6-3(BLUE)</t>
  </si>
  <si>
    <t>NOVADURAN 5010N6-3(GRAY)</t>
  </si>
  <si>
    <t>NOVADURAN 5010N6-3(NATURAL)</t>
  </si>
  <si>
    <t>NOVADURAN 5010R5(FLEX CONTAINER)</t>
  </si>
  <si>
    <t>NOVADURAN 5010R5(IN)</t>
  </si>
  <si>
    <t>NOVADURAN 5010R5(OUT)</t>
  </si>
  <si>
    <t>NOVADURAN 5010R5L(IN)</t>
  </si>
  <si>
    <t>NOVADURAN 5010R5[J-FN]</t>
  </si>
  <si>
    <t>NOVADURAN 5010R5[J-JH]</t>
  </si>
  <si>
    <t>NOVADURAN 5010R8-M(IN)</t>
  </si>
  <si>
    <t>NOVADURAN 5010R8-M(OUT)</t>
  </si>
  <si>
    <t>DIC FZ-1040K</t>
    <phoneticPr fontId="2"/>
  </si>
  <si>
    <t>DIC FZ-1140K</t>
    <phoneticPr fontId="2"/>
  </si>
  <si>
    <t>in house packing and shipping cost</t>
    <phoneticPr fontId="2"/>
  </si>
  <si>
    <t>packing material cost</t>
    <phoneticPr fontId="2"/>
  </si>
  <si>
    <t>partition</t>
    <phoneticPr fontId="2"/>
  </si>
  <si>
    <t>pad</t>
    <phoneticPr fontId="2"/>
  </si>
  <si>
    <t>other</t>
    <phoneticPr fontId="2"/>
  </si>
  <si>
    <t>packing process cost</t>
    <phoneticPr fontId="2"/>
  </si>
  <si>
    <t>packing</t>
    <phoneticPr fontId="2"/>
  </si>
  <si>
    <t>assemble</t>
    <phoneticPr fontId="2"/>
  </si>
  <si>
    <t>transfer</t>
    <phoneticPr fontId="2"/>
  </si>
  <si>
    <t>total</t>
    <phoneticPr fontId="2"/>
  </si>
  <si>
    <t>20f</t>
    <phoneticPr fontId="2"/>
  </si>
  <si>
    <t>40f</t>
    <phoneticPr fontId="2"/>
  </si>
  <si>
    <t>corton</t>
    <phoneticPr fontId="2"/>
  </si>
  <si>
    <t>poly box</t>
    <phoneticPr fontId="2"/>
  </si>
  <si>
    <t>price</t>
    <phoneticPr fontId="2"/>
  </si>
  <si>
    <t>JPY/PHP</t>
    <phoneticPr fontId="2"/>
  </si>
  <si>
    <t>palet</t>
    <phoneticPr fontId="2"/>
  </si>
  <si>
    <t>JPY/times</t>
    <phoneticPr fontId="2"/>
  </si>
  <si>
    <t>process</t>
    <phoneticPr fontId="2"/>
  </si>
  <si>
    <t>営業外</t>
    <rPh sb="0" eb="3">
      <t>エイギョウガイ</t>
    </rPh>
    <phoneticPr fontId="2"/>
  </si>
  <si>
    <t>マツダ</t>
  </si>
  <si>
    <t>ダイハツ</t>
  </si>
  <si>
    <t>ホンダ鈴鹿</t>
  </si>
  <si>
    <t>ホンダ狭山</t>
  </si>
  <si>
    <t>トヨタ</t>
  </si>
  <si>
    <t>スズキ・ヤマハ</t>
  </si>
  <si>
    <t>富士重</t>
  </si>
  <si>
    <t>いすゞ</t>
  </si>
  <si>
    <t>FENA</t>
  </si>
  <si>
    <t>FESZ</t>
  </si>
  <si>
    <t>工場販直</t>
    <rPh sb="0" eb="2">
      <t>コウジョウ</t>
    </rPh>
    <rPh sb="2" eb="3">
      <t>ハン</t>
    </rPh>
    <rPh sb="3" eb="4">
      <t>チョク</t>
    </rPh>
    <phoneticPr fontId="2"/>
  </si>
  <si>
    <t>N010349000-M00</t>
  </si>
  <si>
    <t>N010349000-M20</t>
  </si>
  <si>
    <t>N050003000-M00</t>
  </si>
  <si>
    <t>R010829000-M00</t>
  </si>
  <si>
    <t>本社　海外　営業</t>
  </si>
  <si>
    <t>P010143000-M00</t>
  </si>
  <si>
    <t>P010143000-M20</t>
  </si>
  <si>
    <t>U050179000-M00</t>
  </si>
  <si>
    <t>U050179000-M10</t>
  </si>
  <si>
    <t>Q011684000-M00</t>
  </si>
  <si>
    <t>N010342000-M10</t>
  </si>
  <si>
    <t>N010342000-M20</t>
  </si>
  <si>
    <t>Q011927000-M00</t>
  </si>
  <si>
    <t>R050048000-M00</t>
  </si>
  <si>
    <t>N020087000-M00</t>
  </si>
  <si>
    <t>X060062000-M00</t>
  </si>
  <si>
    <t>X060062000-M10</t>
  </si>
  <si>
    <t>Z060034000-M00</t>
  </si>
  <si>
    <t>Z060034000-M10</t>
  </si>
  <si>
    <t>T010070000-M00</t>
  </si>
  <si>
    <t>C010006000-M00</t>
  </si>
  <si>
    <t>446BU&lt;KS&gt;(BLUE)(RECEIVE)</t>
  </si>
  <si>
    <t>COLOR RESIN</t>
  </si>
  <si>
    <t>MIE LOCAL</t>
  </si>
  <si>
    <t>C010004000-M10</t>
  </si>
  <si>
    <t>464GN(KS)ﾐﾄﾞﾘ ﾐｴ(OUT)</t>
  </si>
  <si>
    <t>C010004000-M00</t>
  </si>
  <si>
    <t>464GN(KS)ﾐﾄﾞﾘ ﾐｴ(RECEIVE)</t>
  </si>
  <si>
    <t>C010004000-M20</t>
  </si>
  <si>
    <t>464GN&lt;KS&gt;(GREEN)[J-JH]</t>
  </si>
  <si>
    <t>C020003000-M00</t>
  </si>
  <si>
    <t>5008MB21718BU(PURPLE)</t>
  </si>
  <si>
    <t>C010008000-M00</t>
  </si>
  <si>
    <t>811GY&lt;KS&gt;(GRAY)(RECEIVE)</t>
  </si>
  <si>
    <t>C010009000-M00</t>
  </si>
  <si>
    <t>911RD(KS) ｱｶ  ﾐｴ(RECEIVE)</t>
  </si>
  <si>
    <t>C010010000-M10</t>
  </si>
  <si>
    <t>952BN(KS)ﾁﾔｲﾛ  ﾐｴ(OUT)</t>
  </si>
  <si>
    <t>C010010000-M00</t>
  </si>
  <si>
    <t>952BN&lt;KS&gt;(BROWN)(RECEIVE)</t>
  </si>
  <si>
    <t>C010015000-M00</t>
  </si>
  <si>
    <t>BPM8E756ｸﾛ ｶﾞｲﾁﾕｳ(OUT)</t>
  </si>
  <si>
    <t>C010022000-M10</t>
  </si>
  <si>
    <t>EPAK395-20 ﾐﾄﾞﾘ(IN)</t>
  </si>
  <si>
    <t>C010022000-M00</t>
  </si>
  <si>
    <t>EPAK395-20 ﾐﾄﾞﾘ(OUT)</t>
  </si>
  <si>
    <t>C010023000-M10</t>
  </si>
  <si>
    <t>EPAN518-20ｱｵ ﾐｴ(IN)</t>
  </si>
  <si>
    <t>C010023000-M00</t>
  </si>
  <si>
    <t>EPAN518-20ｱｵ ﾐｴ(OUT)</t>
  </si>
  <si>
    <t>C010023000-M20</t>
  </si>
  <si>
    <t>EPAN518-20ｱｵ ﾐｴ(OUT)(K1016)</t>
  </si>
  <si>
    <t>C010020000-M00</t>
  </si>
  <si>
    <t>K 2N3330M(OUT)</t>
  </si>
  <si>
    <t>C080078000-M00</t>
  </si>
  <si>
    <t>LC020M53000M</t>
  </si>
  <si>
    <t>C080079000-M00</t>
  </si>
  <si>
    <t>LC020M88000M</t>
  </si>
  <si>
    <r>
      <t>日供部材</t>
    </r>
    <r>
      <rPr>
        <sz val="11"/>
        <rFont val="ＭＳ Ｐゴシック"/>
        <family val="3"/>
        <charset val="128"/>
      </rPr>
      <t>に対して比率を適用する。</t>
    </r>
    <rPh sb="0" eb="2">
      <t>ニッキョウ</t>
    </rPh>
    <rPh sb="2" eb="3">
      <t>ブ</t>
    </rPh>
    <rPh sb="3" eb="4">
      <t>ザイ</t>
    </rPh>
    <rPh sb="5" eb="6">
      <t>タイ</t>
    </rPh>
    <rPh sb="8" eb="9">
      <t>ヒ</t>
    </rPh>
    <rPh sb="9" eb="10">
      <t>リツ</t>
    </rPh>
    <rPh sb="11" eb="13">
      <t>テキヨウ</t>
    </rPh>
    <phoneticPr fontId="2"/>
  </si>
  <si>
    <t>※1 支援費用は別途計上すること。</t>
    <rPh sb="3" eb="5">
      <t>シエン</t>
    </rPh>
    <rPh sb="5" eb="7">
      <t>ヒヨウ</t>
    </rPh>
    <rPh sb="8" eb="10">
      <t>ベット</t>
    </rPh>
    <rPh sb="10" eb="12">
      <t>ケイジョウ</t>
    </rPh>
    <phoneticPr fontId="2"/>
  </si>
  <si>
    <t>※注：「日本への逆輸入品」に使用する「日供部材」の輸出には賦課しない。</t>
    <rPh sb="1" eb="2">
      <t>チュウ</t>
    </rPh>
    <rPh sb="4" eb="6">
      <t>ニホン</t>
    </rPh>
    <rPh sb="8" eb="9">
      <t>ギャク</t>
    </rPh>
    <rPh sb="9" eb="11">
      <t>ユニュウ</t>
    </rPh>
    <rPh sb="11" eb="12">
      <t>ヒン</t>
    </rPh>
    <rPh sb="14" eb="16">
      <t>シヨウ</t>
    </rPh>
    <phoneticPr fontId="2"/>
  </si>
  <si>
    <t>※1 Out-Out製品 支援費用　：　Out-Out製品に対する古河AS本部スタッフの間接費・管理費は、</t>
    <rPh sb="10" eb="12">
      <t>セイヒン</t>
    </rPh>
    <rPh sb="13" eb="15">
      <t>シエン</t>
    </rPh>
    <rPh sb="15" eb="17">
      <t>ヒヨウ</t>
    </rPh>
    <rPh sb="27" eb="29">
      <t>セイヒン</t>
    </rPh>
    <rPh sb="30" eb="31">
      <t>タイ</t>
    </rPh>
    <rPh sb="33" eb="35">
      <t>フルカワ</t>
    </rPh>
    <rPh sb="37" eb="39">
      <t>ホンブ</t>
    </rPh>
    <rPh sb="44" eb="46">
      <t>カンセツ</t>
    </rPh>
    <rPh sb="46" eb="47">
      <t>ヒ</t>
    </rPh>
    <rPh sb="48" eb="50">
      <t>カンリ</t>
    </rPh>
    <rPh sb="50" eb="51">
      <t>ヒ</t>
    </rPh>
    <phoneticPr fontId="2"/>
  </si>
  <si>
    <t>海外拠点が古河電工に支払うロイヤルティ等に含まれる。(別途、古河電工から古河ASへ支払。)</t>
    <rPh sb="19" eb="20">
      <t>トウ</t>
    </rPh>
    <rPh sb="21" eb="22">
      <t>フク</t>
    </rPh>
    <phoneticPr fontId="2"/>
  </si>
  <si>
    <t>ロイヤルティが原価に含まれていない場合は、個別に支援費用を見積もるか、</t>
    <rPh sb="7" eb="9">
      <t>ゲンカ</t>
    </rPh>
    <rPh sb="10" eb="11">
      <t>フク</t>
    </rPh>
    <rPh sb="17" eb="19">
      <t>バアイ</t>
    </rPh>
    <rPh sb="21" eb="23">
      <t>コベツ</t>
    </rPh>
    <rPh sb="24" eb="26">
      <t>シエン</t>
    </rPh>
    <rPh sb="26" eb="28">
      <t>ヒヨウ</t>
    </rPh>
    <rPh sb="29" eb="31">
      <t>ミツ</t>
    </rPh>
    <phoneticPr fontId="2"/>
  </si>
  <si>
    <t>①の内訳から生産技術・設計・営業部門など支援部門の比率(ロイヤルティ収入分を含む)で算出すること。</t>
    <rPh sb="14" eb="16">
      <t>エイギョウ</t>
    </rPh>
    <rPh sb="16" eb="18">
      <t>ブモン</t>
    </rPh>
    <phoneticPr fontId="2"/>
  </si>
  <si>
    <t>４．２０１１年度標準銅ベース</t>
    <rPh sb="6" eb="8">
      <t>ネンド</t>
    </rPh>
    <rPh sb="8" eb="10">
      <t>ヒョウジュン</t>
    </rPh>
    <rPh sb="10" eb="11">
      <t>ドウ</t>
    </rPh>
    <phoneticPr fontId="2"/>
  </si>
  <si>
    <t>５．２０１１年度標準為替レート　一覧</t>
    <rPh sb="8" eb="10">
      <t>ヒョウジュン</t>
    </rPh>
    <rPh sb="10" eb="12">
      <t>カワセ</t>
    </rPh>
    <rPh sb="16" eb="18">
      <t>イチラン</t>
    </rPh>
    <phoneticPr fontId="2"/>
  </si>
  <si>
    <t>ｲﾝﾄﾞﾈｼｱﾙﾋﾟｱ</t>
    <phoneticPr fontId="2"/>
  </si>
  <si>
    <t>CP-130278　別紙-1</t>
  </si>
  <si>
    <t>030B向け検討コネクタ一覧</t>
  </si>
  <si>
    <t>種類</t>
  </si>
  <si>
    <t>親番号</t>
  </si>
  <si>
    <t>F/M</t>
  </si>
  <si>
    <t>assy名称（仮）</t>
  </si>
  <si>
    <t>子番号</t>
  </si>
  <si>
    <t>構成部品</t>
  </si>
  <si>
    <t>部品名称（仮）</t>
  </si>
  <si>
    <t>質量　※2
g</t>
  </si>
  <si>
    <t>材質</t>
  </si>
  <si>
    <t>DWG No.</t>
  </si>
  <si>
    <t>0.64Ⅱ-22P</t>
  </si>
  <si>
    <t>①</t>
  </si>
  <si>
    <t>F</t>
  </si>
  <si>
    <t>XFSG-C-22F</t>
  </si>
  <si>
    <t>①-1</t>
  </si>
  <si>
    <t>HSG</t>
  </si>
  <si>
    <t>XFSG-E-22F</t>
  </si>
  <si>
    <t>PBT B1305</t>
  </si>
  <si>
    <t>XFSG-P-EF22-1</t>
  </si>
  <si>
    <t>①-2</t>
  </si>
  <si>
    <t>ﾘﾃｰﾅ</t>
  </si>
  <si>
    <t>XFSG-L-22N　※1</t>
  </si>
  <si>
    <t>XFSG-P-LN22-1</t>
  </si>
  <si>
    <t>②</t>
  </si>
  <si>
    <t>M</t>
  </si>
  <si>
    <t>XFSG-C-22M</t>
  </si>
  <si>
    <t>②-1</t>
  </si>
  <si>
    <t>XFSG-E-22M</t>
  </si>
  <si>
    <t>XFSG-P-EM22-1</t>
  </si>
  <si>
    <t>②-2</t>
  </si>
  <si>
    <t>0.64Ⅱ-10P+1.5-8P</t>
  </si>
  <si>
    <t>③</t>
  </si>
  <si>
    <t>XFSG/FMG8-C-B18F</t>
  </si>
  <si>
    <t>③-1</t>
  </si>
  <si>
    <t>XFSG/FMG8-E-B18F</t>
  </si>
  <si>
    <t>XFSFM-P-EF0818B-1</t>
  </si>
  <si>
    <t>③-2</t>
  </si>
  <si>
    <t>XFSG/FMG8-L-B18F</t>
  </si>
  <si>
    <t>XFSFM-P-LF0818B-1</t>
  </si>
  <si>
    <t>④</t>
  </si>
  <si>
    <t>XFSG/FMG8-C-B18M</t>
  </si>
  <si>
    <t>④-1</t>
  </si>
  <si>
    <t>XFSG/FMG8-E-B18M</t>
  </si>
  <si>
    <t>XFSFM-P-EM0818B-1</t>
  </si>
  <si>
    <t>④-2</t>
  </si>
  <si>
    <t>XFSG/FMG8-L-B18M</t>
  </si>
  <si>
    <t>XFSFM-P-LM0818B-1</t>
  </si>
  <si>
    <t>※1　XFSG-L-22N　は同一部品</t>
  </si>
  <si>
    <r>
      <t>体積
mm</t>
    </r>
    <r>
      <rPr>
        <vertAlign val="superscript"/>
        <sz val="11"/>
        <color indexed="8"/>
        <rFont val="ＭＳ Ｐゴシック"/>
        <family val="3"/>
        <charset val="128"/>
      </rPr>
      <t>3</t>
    </r>
  </si>
  <si>
    <r>
      <t>※2　B1305　密度1310kg/m</t>
    </r>
    <r>
      <rPr>
        <vertAlign val="superscript"/>
        <sz val="11"/>
        <color indexed="8"/>
        <rFont val="ＭＳ Ｐゴシック"/>
        <family val="3"/>
        <charset val="128"/>
      </rPr>
      <t>3</t>
    </r>
    <r>
      <rPr>
        <sz val="11"/>
        <color indexed="8"/>
        <rFont val="ＭＳ Ｐゴシック"/>
        <family val="3"/>
        <charset val="128"/>
      </rPr>
      <t>　で計算</t>
    </r>
  </si>
  <si>
    <t>JC MT無し</t>
  </si>
  <si>
    <t>UBM7</t>
  </si>
  <si>
    <t>ロイヤルティ配賦</t>
  </si>
  <si>
    <t>2013年度見積諸元表</t>
    <rPh sb="4" eb="6">
      <t>ネンド</t>
    </rPh>
    <rPh sb="6" eb="8">
      <t>ミツモ</t>
    </rPh>
    <rPh sb="8" eb="11">
      <t>ショゲンヒョウ</t>
    </rPh>
    <phoneticPr fontId="2"/>
  </si>
  <si>
    <t>AH　MT無し</t>
    <phoneticPr fontId="2"/>
  </si>
  <si>
    <t>UBM2</t>
    <phoneticPr fontId="2"/>
  </si>
  <si>
    <t>UBM3</t>
    <phoneticPr fontId="2"/>
  </si>
  <si>
    <t>UBM0</t>
    <phoneticPr fontId="2"/>
  </si>
  <si>
    <t>UBM4</t>
    <phoneticPr fontId="2"/>
  </si>
  <si>
    <t>UBM5</t>
    <phoneticPr fontId="2"/>
  </si>
  <si>
    <t>桑名作業</t>
    <rPh sb="0" eb="2">
      <t>クワナ</t>
    </rPh>
    <rPh sb="2" eb="4">
      <t>サギョウ</t>
    </rPh>
    <phoneticPr fontId="2"/>
  </si>
  <si>
    <t>UBRK</t>
    <phoneticPr fontId="2"/>
  </si>
  <si>
    <t>桑名B/C</t>
    <rPh sb="0" eb="2">
      <t>クワナ</t>
    </rPh>
    <phoneticPr fontId="2"/>
  </si>
  <si>
    <t>←BUSハーネス/SRC検査</t>
    <rPh sb="12" eb="14">
      <t>ケンサ</t>
    </rPh>
    <phoneticPr fontId="2"/>
  </si>
  <si>
    <t>←桑名へ移管</t>
    <rPh sb="1" eb="3">
      <t>クワナ</t>
    </rPh>
    <rPh sb="4" eb="6">
      <t>イカン</t>
    </rPh>
    <phoneticPr fontId="2"/>
  </si>
  <si>
    <t>①古河AS三重工場出荷品　間接費・管理費　直原比率一覧</t>
    <rPh sb="1" eb="3">
      <t>コガ</t>
    </rPh>
    <rPh sb="5" eb="7">
      <t>ミエ</t>
    </rPh>
    <rPh sb="7" eb="9">
      <t>コウジョウ</t>
    </rPh>
    <rPh sb="9" eb="11">
      <t>シュッカ</t>
    </rPh>
    <rPh sb="11" eb="12">
      <t>シナ</t>
    </rPh>
    <rPh sb="13" eb="15">
      <t>カンセツ</t>
    </rPh>
    <rPh sb="15" eb="16">
      <t>ヒ</t>
    </rPh>
    <rPh sb="17" eb="20">
      <t>カンリヒ</t>
    </rPh>
    <rPh sb="21" eb="22">
      <t>チョク</t>
    </rPh>
    <rPh sb="22" eb="23">
      <t>ゲン</t>
    </rPh>
    <rPh sb="23" eb="24">
      <t>ヒ</t>
    </rPh>
    <rPh sb="24" eb="25">
      <t>リツ</t>
    </rPh>
    <rPh sb="25" eb="27">
      <t>イチラン</t>
    </rPh>
    <phoneticPr fontId="2"/>
  </si>
  <si>
    <t>ブロック</t>
    <phoneticPr fontId="2"/>
  </si>
  <si>
    <t>コネクタ</t>
    <phoneticPr fontId="2"/>
  </si>
  <si>
    <t>電子部品</t>
    <phoneticPr fontId="2"/>
  </si>
  <si>
    <t>工場間接費</t>
    <phoneticPr fontId="2"/>
  </si>
  <si>
    <t>FAPV成形移管効果</t>
    <rPh sb="4" eb="6">
      <t>セイケイ</t>
    </rPh>
    <rPh sb="6" eb="8">
      <t>イカン</t>
    </rPh>
    <rPh sb="8" eb="10">
      <t>コウカ</t>
    </rPh>
    <phoneticPr fontId="2"/>
  </si>
  <si>
    <t>電子部品</t>
    <phoneticPr fontId="2"/>
  </si>
  <si>
    <t>FAS本社　管理部門</t>
    <rPh sb="3" eb="5">
      <t>ホンシャ</t>
    </rPh>
    <rPh sb="6" eb="8">
      <t>カンリ</t>
    </rPh>
    <rPh sb="8" eb="10">
      <t>ブモン</t>
    </rPh>
    <phoneticPr fontId="2"/>
  </si>
  <si>
    <t>②OUT－OUT製品の海外拠点に対するスタッフ支援による間接費・管理費は、OUT-OUT工数の</t>
    <rPh sb="8" eb="10">
      <t>セイヒン</t>
    </rPh>
    <rPh sb="11" eb="13">
      <t>カイガイ</t>
    </rPh>
    <rPh sb="13" eb="15">
      <t>キョテン</t>
    </rPh>
    <rPh sb="16" eb="17">
      <t>タイ</t>
    </rPh>
    <rPh sb="23" eb="25">
      <t>シエン</t>
    </rPh>
    <rPh sb="28" eb="30">
      <t>カンセツ</t>
    </rPh>
    <rPh sb="30" eb="31">
      <t>ヒ</t>
    </rPh>
    <rPh sb="32" eb="34">
      <t>カンリ</t>
    </rPh>
    <rPh sb="34" eb="35">
      <t>ヒ</t>
    </rPh>
    <rPh sb="44" eb="46">
      <t>コウスウ</t>
    </rPh>
    <phoneticPr fontId="2"/>
  </si>
  <si>
    <t>付替えなどで請求するため、海外拠点のロイヤルティ支出として海外拠点の間接費・管理費に含む。</t>
    <rPh sb="0" eb="2">
      <t>ツケカ</t>
    </rPh>
    <rPh sb="6" eb="8">
      <t>セイキュウ</t>
    </rPh>
    <rPh sb="13" eb="15">
      <t>カイガイ</t>
    </rPh>
    <rPh sb="15" eb="17">
      <t>キョテン</t>
    </rPh>
    <rPh sb="24" eb="26">
      <t>シシュツ</t>
    </rPh>
    <rPh sb="29" eb="31">
      <t>カイガイ</t>
    </rPh>
    <rPh sb="31" eb="33">
      <t>キョテン</t>
    </rPh>
    <rPh sb="34" eb="36">
      <t>カンセツ</t>
    </rPh>
    <rPh sb="36" eb="37">
      <t>ヒ</t>
    </rPh>
    <rPh sb="38" eb="40">
      <t>カンリ</t>
    </rPh>
    <rPh sb="40" eb="41">
      <t>ヒ</t>
    </rPh>
    <rPh sb="42" eb="43">
      <t>フク</t>
    </rPh>
    <phoneticPr fontId="2"/>
  </si>
  <si>
    <t>４．２０１３年度標準銅ベース</t>
    <rPh sb="6" eb="8">
      <t>ネンド</t>
    </rPh>
    <rPh sb="8" eb="10">
      <t>ヒョウジュン</t>
    </rPh>
    <rPh sb="10" eb="11">
      <t>ドウ</t>
    </rPh>
    <phoneticPr fontId="2"/>
  </si>
  <si>
    <t>５．２０１３年度標準為替レート　一覧</t>
    <rPh sb="8" eb="10">
      <t>ヒョウジュン</t>
    </rPh>
    <rPh sb="10" eb="12">
      <t>カワセ</t>
    </rPh>
    <rPh sb="16" eb="18">
      <t>イチラン</t>
    </rPh>
    <phoneticPr fontId="2"/>
  </si>
  <si>
    <t>ｲﾝﾄﾞﾈｼｱﾙﾋﾟｱ</t>
    <phoneticPr fontId="2"/>
  </si>
  <si>
    <t>ﾌﾞﾗｼﾞﾙﾚｱﾙ</t>
    <phoneticPr fontId="2"/>
  </si>
  <si>
    <t>ｶﾅﾀﾞﾄﾞﾙ</t>
    <phoneticPr fontId="2"/>
  </si>
  <si>
    <t>ﾁｪｺｸﾛ-ﾈ</t>
    <phoneticPr fontId="2"/>
  </si>
  <si>
    <t>ﾏﾚｰｼｱﾘﾝｷﾞ</t>
    <phoneticPr fontId="2"/>
  </si>
  <si>
    <t>JPN SRC</t>
    <phoneticPr fontId="2"/>
  </si>
  <si>
    <t>$/hour</t>
    <phoneticPr fontId="2"/>
  </si>
  <si>
    <t>\/hour</t>
    <phoneticPr fontId="2"/>
  </si>
  <si>
    <t>USA SRC</t>
    <phoneticPr fontId="2"/>
  </si>
  <si>
    <t>GM ハーネス</t>
    <phoneticPr fontId="2"/>
  </si>
  <si>
    <t>プレス</t>
    <phoneticPr fontId="2"/>
  </si>
  <si>
    <t>$/hour</t>
    <phoneticPr fontId="2"/>
  </si>
  <si>
    <t>\/hour</t>
    <phoneticPr fontId="2"/>
  </si>
  <si>
    <t>スリット、ラミネート</t>
    <phoneticPr fontId="2"/>
  </si>
  <si>
    <t>$/hour</t>
    <phoneticPr fontId="2"/>
  </si>
  <si>
    <t>\/hour</t>
    <phoneticPr fontId="2"/>
  </si>
  <si>
    <t>FACE</t>
    <phoneticPr fontId="2"/>
  </si>
  <si>
    <t>CZK/hour</t>
    <phoneticPr fontId="2"/>
  </si>
  <si>
    <t>FAST</t>
    <phoneticPr fontId="2"/>
  </si>
  <si>
    <t>THB/hour</t>
    <phoneticPr fontId="2"/>
  </si>
  <si>
    <t>FEAP</t>
    <phoneticPr fontId="2"/>
  </si>
  <si>
    <t>FFC ASSY</t>
    <phoneticPr fontId="2"/>
  </si>
  <si>
    <t>FESZ</t>
    <phoneticPr fontId="2"/>
  </si>
  <si>
    <t>/hour</t>
    <phoneticPr fontId="2"/>
  </si>
  <si>
    <t>RMB/hour</t>
    <phoneticPr fontId="2"/>
  </si>
  <si>
    <t>FAPV</t>
    <phoneticPr fontId="2"/>
  </si>
  <si>
    <t>工場間接
※2</t>
    <phoneticPr fontId="2"/>
  </si>
  <si>
    <t>P010159000-M00</t>
  </si>
  <si>
    <t>P010159000-M20</t>
  </si>
  <si>
    <t>P010160000-M00</t>
  </si>
  <si>
    <t>P010160000-M10</t>
  </si>
  <si>
    <t>P010160000-M20</t>
  </si>
  <si>
    <t>S012166000-M00</t>
  </si>
  <si>
    <t>VD0</t>
  </si>
  <si>
    <t>N010351000-M20</t>
  </si>
  <si>
    <t>N010351000-M00</t>
  </si>
  <si>
    <t>N010351000-M30</t>
  </si>
  <si>
    <t>N010351000-M40</t>
  </si>
  <si>
    <t>P010042000-M00</t>
  </si>
  <si>
    <t>P010042000-M10</t>
  </si>
  <si>
    <t>P010042000-M20</t>
  </si>
  <si>
    <t>Q010127000-M00</t>
  </si>
  <si>
    <t>Q010127000-M40</t>
  </si>
  <si>
    <t>Q010127000-M10</t>
  </si>
  <si>
    <t>Q010127000-M30</t>
  </si>
  <si>
    <t>N020088000-M00</t>
  </si>
  <si>
    <t>NOVADURAN 5010GT-15(BALCK)(IN)</t>
  </si>
  <si>
    <t>N020088000-M30</t>
  </si>
  <si>
    <t>N020088000-M10</t>
  </si>
  <si>
    <t>N020088000-M20</t>
  </si>
  <si>
    <t>P010043000-M10</t>
  </si>
  <si>
    <t>P010043000-M60</t>
  </si>
  <si>
    <t>P010043000-M00</t>
  </si>
  <si>
    <t>P010043000-M50</t>
  </si>
  <si>
    <t>P010043000-M30</t>
  </si>
  <si>
    <t>P010043000-M20</t>
  </si>
  <si>
    <t>Q010126000-M20</t>
  </si>
  <si>
    <t>Q010126000-M30</t>
  </si>
  <si>
    <t>Q010126000-M10</t>
  </si>
  <si>
    <t>Q010126000-M00</t>
  </si>
  <si>
    <t>P010041000-M20</t>
  </si>
  <si>
    <t>P010041000-M00</t>
  </si>
  <si>
    <t>P010041000-M10</t>
  </si>
  <si>
    <t>P010041000-M60</t>
  </si>
  <si>
    <t>P010041000-M50</t>
  </si>
  <si>
    <t>N050095000-M00</t>
  </si>
  <si>
    <t>V010173000-M00</t>
  </si>
  <si>
    <t>V010173000-M10</t>
  </si>
  <si>
    <t>Q010128000-M00</t>
  </si>
  <si>
    <t>Q010128000-M10</t>
  </si>
  <si>
    <t>Q010131000-M10</t>
  </si>
  <si>
    <t>Q010131000-M00</t>
  </si>
  <si>
    <t>R050028000-M00</t>
  </si>
  <si>
    <t>Q030002000-M00</t>
  </si>
  <si>
    <t>S010819000-M00</t>
  </si>
  <si>
    <t>S010819000-M10</t>
  </si>
  <si>
    <t>S030002000-M00</t>
  </si>
  <si>
    <t>S030002000-M10</t>
  </si>
  <si>
    <t>P010162000-M40</t>
  </si>
  <si>
    <t>P010162000-M00</t>
  </si>
  <si>
    <t>P010162000-M20</t>
  </si>
  <si>
    <t>P010162000-M50</t>
  </si>
  <si>
    <t>P010162000-M10</t>
  </si>
  <si>
    <t>Q011677000-M00</t>
  </si>
  <si>
    <t>P02721(OUT)</t>
  </si>
  <si>
    <t>Q050073000-M00</t>
  </si>
  <si>
    <t>T020004000-M00</t>
  </si>
  <si>
    <t>P010041000-M40</t>
  </si>
  <si>
    <t>R010985000-M00</t>
  </si>
  <si>
    <t>Q011600000-M00</t>
  </si>
  <si>
    <t>P010161000-M00</t>
  </si>
  <si>
    <t>S010820000-M00</t>
  </si>
  <si>
    <t>V010243000-M00</t>
  </si>
  <si>
    <t>S011971000-M00</t>
  </si>
  <si>
    <t>X010302000-M00</t>
  </si>
  <si>
    <t>X010302000-M10</t>
  </si>
  <si>
    <t>S010742000-M00</t>
  </si>
  <si>
    <t>P010529000-M00</t>
  </si>
  <si>
    <t>P010529000-M10</t>
  </si>
  <si>
    <t>三重工場から出荷する際の輸送・梱包資材・出荷作業の費用は、下記の比率を用いる。</t>
    <rPh sb="0" eb="2">
      <t>ミエ</t>
    </rPh>
    <rPh sb="2" eb="4">
      <t>コウジョウ</t>
    </rPh>
    <rPh sb="6" eb="8">
      <t>シュッカ</t>
    </rPh>
    <rPh sb="10" eb="11">
      <t>サイ</t>
    </rPh>
    <rPh sb="12" eb="14">
      <t>ユソウ</t>
    </rPh>
    <rPh sb="15" eb="17">
      <t>コンポウ</t>
    </rPh>
    <rPh sb="17" eb="19">
      <t>シザイ</t>
    </rPh>
    <rPh sb="20" eb="22">
      <t>シュッカ</t>
    </rPh>
    <rPh sb="22" eb="24">
      <t>サギョウ</t>
    </rPh>
    <rPh sb="25" eb="27">
      <t>ヒヨウ</t>
    </rPh>
    <rPh sb="29" eb="31">
      <t>カキ</t>
    </rPh>
    <rPh sb="32" eb="33">
      <t>ヒ</t>
    </rPh>
    <rPh sb="33" eb="34">
      <t>リツ</t>
    </rPh>
    <rPh sb="35" eb="36">
      <t>モチ</t>
    </rPh>
    <phoneticPr fontId="2"/>
  </si>
  <si>
    <t>輸送費・梱包資材費を別途計上している場合は、2.・3.の比率を用いること.。</t>
    <rPh sb="0" eb="3">
      <t>ユソウヒ</t>
    </rPh>
    <rPh sb="4" eb="6">
      <t>コンポウ</t>
    </rPh>
    <rPh sb="6" eb="8">
      <t>シザイ</t>
    </rPh>
    <rPh sb="8" eb="9">
      <t>ヒ</t>
    </rPh>
    <rPh sb="10" eb="12">
      <t>ベット</t>
    </rPh>
    <rPh sb="12" eb="14">
      <t>ケイジョウ</t>
    </rPh>
    <rPh sb="18" eb="20">
      <t>バアイ</t>
    </rPh>
    <rPh sb="28" eb="29">
      <t>ヒ</t>
    </rPh>
    <rPh sb="29" eb="30">
      <t>リツ</t>
    </rPh>
    <rPh sb="31" eb="32">
      <t>モチ</t>
    </rPh>
    <phoneticPr fontId="2"/>
  </si>
  <si>
    <t>1. 全て直原比率で算出</t>
    <rPh sb="3" eb="4">
      <t>スベ</t>
    </rPh>
    <rPh sb="5" eb="6">
      <t>チョク</t>
    </rPh>
    <rPh sb="6" eb="7">
      <t>ゲン</t>
    </rPh>
    <rPh sb="7" eb="8">
      <t>ヒ</t>
    </rPh>
    <rPh sb="8" eb="9">
      <t>リツ</t>
    </rPh>
    <rPh sb="10" eb="12">
      <t>サンシュツ</t>
    </rPh>
    <phoneticPr fontId="2"/>
  </si>
  <si>
    <t>2. 輸送費を別途計上</t>
    <rPh sb="3" eb="6">
      <t>ユソウヒ</t>
    </rPh>
    <rPh sb="7" eb="9">
      <t>ベット</t>
    </rPh>
    <rPh sb="9" eb="11">
      <t>ケイジョウ</t>
    </rPh>
    <phoneticPr fontId="2"/>
  </si>
  <si>
    <t>3.  輸送費・梱包資材費を別途計上</t>
    <rPh sb="4" eb="7">
      <t>ユソウヒ</t>
    </rPh>
    <rPh sb="8" eb="10">
      <t>コンポウ</t>
    </rPh>
    <rPh sb="10" eb="12">
      <t>シザイ</t>
    </rPh>
    <rPh sb="12" eb="13">
      <t>ヒ</t>
    </rPh>
    <rPh sb="14" eb="16">
      <t>ベット</t>
    </rPh>
    <rPh sb="16" eb="18">
      <t>ケイジョウ</t>
    </rPh>
    <phoneticPr fontId="2"/>
  </si>
  <si>
    <t>②営業販直費(国内)</t>
    <rPh sb="1" eb="3">
      <t>エイギョウ</t>
    </rPh>
    <rPh sb="3" eb="4">
      <t>ハン</t>
    </rPh>
    <rPh sb="4" eb="5">
      <t>チョク</t>
    </rPh>
    <rPh sb="5" eb="6">
      <t>ヒ</t>
    </rPh>
    <rPh sb="7" eb="9">
      <t>コクナイ</t>
    </rPh>
    <phoneticPr fontId="2"/>
  </si>
  <si>
    <r>
      <t>※国内の営業販直費は、</t>
    </r>
    <r>
      <rPr>
        <b/>
        <u/>
        <sz val="11"/>
        <color indexed="10"/>
        <rFont val="ＭＳ Ｐゴシック"/>
        <family val="3"/>
        <charset val="128"/>
      </rPr>
      <t>SCを経由しない場合は０</t>
    </r>
    <r>
      <rPr>
        <sz val="11"/>
        <rFont val="ＭＳ Ｐゴシック"/>
        <family val="3"/>
        <charset val="128"/>
      </rPr>
      <t>とする。</t>
    </r>
    <rPh sb="1" eb="3">
      <t>コクナイ</t>
    </rPh>
    <rPh sb="4" eb="6">
      <t>エイギョウ</t>
    </rPh>
    <rPh sb="6" eb="7">
      <t>ハン</t>
    </rPh>
    <rPh sb="7" eb="8">
      <t>チョク</t>
    </rPh>
    <rPh sb="8" eb="9">
      <t>ヒ</t>
    </rPh>
    <rPh sb="14" eb="16">
      <t>ケイユ</t>
    </rPh>
    <rPh sb="19" eb="21">
      <t>バアイ</t>
    </rPh>
    <phoneticPr fontId="2"/>
  </si>
  <si>
    <t>※2008年値</t>
    <rPh sb="5" eb="6">
      <t>ネン</t>
    </rPh>
    <rPh sb="6" eb="7">
      <t>アタイ</t>
    </rPh>
    <phoneticPr fontId="2"/>
  </si>
  <si>
    <t>※予算無し</t>
    <rPh sb="1" eb="3">
      <t>ヨサン</t>
    </rPh>
    <rPh sb="3" eb="4">
      <t>ナ</t>
    </rPh>
    <phoneticPr fontId="2"/>
  </si>
  <si>
    <t>③海外向け販直費(工場販直費＋営業販直費)</t>
    <rPh sb="1" eb="3">
      <t>カイガイ</t>
    </rPh>
    <rPh sb="3" eb="4">
      <t>ム</t>
    </rPh>
    <rPh sb="9" eb="11">
      <t>コウジョウ</t>
    </rPh>
    <rPh sb="11" eb="12">
      <t>ハン</t>
    </rPh>
    <rPh sb="12" eb="13">
      <t>チョク</t>
    </rPh>
    <rPh sb="13" eb="14">
      <t>ヒ</t>
    </rPh>
    <rPh sb="15" eb="17">
      <t>エイギョウ</t>
    </rPh>
    <rPh sb="17" eb="18">
      <t>ハン</t>
    </rPh>
    <rPh sb="18" eb="19">
      <t>チョク</t>
    </rPh>
    <rPh sb="19" eb="20">
      <t>ヒ</t>
    </rPh>
    <phoneticPr fontId="2"/>
  </si>
  <si>
    <r>
      <t>海外拠点へ輸出する際の販直費は、</t>
    </r>
    <r>
      <rPr>
        <b/>
        <u/>
        <sz val="11"/>
        <color indexed="10"/>
        <rFont val="ＭＳ Ｐゴシック"/>
        <family val="3"/>
        <charset val="128"/>
      </rPr>
      <t>個別に別紙の算出フォーマット</t>
    </r>
    <r>
      <rPr>
        <sz val="11"/>
        <rFont val="ＭＳ Ｐゴシック"/>
        <family val="3"/>
        <charset val="128"/>
      </rPr>
      <t>を用いて輸送費を</t>
    </r>
    <rPh sb="0" eb="2">
      <t>カイガイ</t>
    </rPh>
    <rPh sb="2" eb="4">
      <t>キョテン</t>
    </rPh>
    <rPh sb="5" eb="7">
      <t>ユシュツ</t>
    </rPh>
    <rPh sb="9" eb="10">
      <t>サイ</t>
    </rPh>
    <rPh sb="11" eb="12">
      <t>ハン</t>
    </rPh>
    <rPh sb="12" eb="13">
      <t>チョク</t>
    </rPh>
    <rPh sb="13" eb="14">
      <t>ヒ</t>
    </rPh>
    <rPh sb="16" eb="18">
      <t>コベツ</t>
    </rPh>
    <rPh sb="19" eb="21">
      <t>ベッシ</t>
    </rPh>
    <rPh sb="22" eb="24">
      <t>サンシュツ</t>
    </rPh>
    <rPh sb="31" eb="32">
      <t>モチ</t>
    </rPh>
    <rPh sb="34" eb="37">
      <t>ユソウヒ</t>
    </rPh>
    <phoneticPr fontId="2"/>
  </si>
  <si>
    <t>計算し、別途計上すること。</t>
    <rPh sb="0" eb="2">
      <t>ケイサン</t>
    </rPh>
    <rPh sb="4" eb="6">
      <t>ベット</t>
    </rPh>
    <rPh sb="6" eb="8">
      <t>ケイジョウ</t>
    </rPh>
    <phoneticPr fontId="2"/>
  </si>
  <si>
    <t>※別紙「海外向け輸送費算出計算書_2010.xls」を参照すること。</t>
    <rPh sb="1" eb="3">
      <t>ベッシ</t>
    </rPh>
    <rPh sb="4" eb="6">
      <t>カイガイ</t>
    </rPh>
    <rPh sb="6" eb="7">
      <t>ム</t>
    </rPh>
    <rPh sb="8" eb="11">
      <t>ユソウヒ</t>
    </rPh>
    <rPh sb="11" eb="13">
      <t>サンシュツ</t>
    </rPh>
    <rPh sb="13" eb="16">
      <t>ケイサンショ</t>
    </rPh>
    <rPh sb="27" eb="29">
      <t>サンショウ</t>
    </rPh>
    <phoneticPr fontId="2"/>
  </si>
  <si>
    <t>３．工場間接費・一般管理費</t>
    <rPh sb="2" eb="4">
      <t>コウジョウ</t>
    </rPh>
    <rPh sb="4" eb="6">
      <t>カンセツ</t>
    </rPh>
    <rPh sb="6" eb="7">
      <t>ヒ</t>
    </rPh>
    <rPh sb="8" eb="10">
      <t>イッパン</t>
    </rPh>
    <rPh sb="10" eb="13">
      <t>カンリヒ</t>
    </rPh>
    <phoneticPr fontId="2"/>
  </si>
  <si>
    <t>①古河AS三重工場　間接費・管理費　直原比率一覧</t>
    <rPh sb="1" eb="3">
      <t>コガ</t>
    </rPh>
    <rPh sb="5" eb="7">
      <t>ミエ</t>
    </rPh>
    <rPh sb="7" eb="9">
      <t>コウジョウ</t>
    </rPh>
    <rPh sb="10" eb="12">
      <t>カンセツ</t>
    </rPh>
    <rPh sb="12" eb="13">
      <t>ヒ</t>
    </rPh>
    <rPh sb="14" eb="17">
      <t>カンリヒ</t>
    </rPh>
    <rPh sb="18" eb="19">
      <t>チョク</t>
    </rPh>
    <rPh sb="19" eb="20">
      <t>ゲン</t>
    </rPh>
    <rPh sb="20" eb="21">
      <t>ヒ</t>
    </rPh>
    <rPh sb="21" eb="22">
      <t>リツ</t>
    </rPh>
    <rPh sb="22" eb="24">
      <t>イチラン</t>
    </rPh>
    <phoneticPr fontId="2"/>
  </si>
  <si>
    <t>ブロック</t>
    <phoneticPr fontId="2"/>
  </si>
  <si>
    <t>コネクタ</t>
    <phoneticPr fontId="2"/>
  </si>
  <si>
    <r>
      <t>電子部品</t>
    </r>
    <r>
      <rPr>
        <sz val="9"/>
        <rFont val="ＭＳ Ｐゴシック"/>
        <family val="3"/>
        <charset val="128"/>
      </rPr>
      <t>※1</t>
    </r>
    <phoneticPr fontId="2"/>
  </si>
  <si>
    <r>
      <t>アンテナ</t>
    </r>
    <r>
      <rPr>
        <sz val="9"/>
        <rFont val="ＭＳ Ｐゴシック"/>
        <family val="3"/>
        <charset val="128"/>
      </rPr>
      <t>※2</t>
    </r>
    <phoneticPr fontId="2"/>
  </si>
  <si>
    <t>平均</t>
    <rPh sb="0" eb="2">
      <t>ヘイキン</t>
    </rPh>
    <phoneticPr fontId="2"/>
  </si>
  <si>
    <t>工場間接費</t>
    <phoneticPr fontId="2"/>
  </si>
  <si>
    <t>一般管理費</t>
    <rPh sb="0" eb="2">
      <t>イッパン</t>
    </rPh>
    <rPh sb="2" eb="5">
      <t>カンリヒ</t>
    </rPh>
    <phoneticPr fontId="2"/>
  </si>
  <si>
    <t>※2 工場平均値</t>
    <rPh sb="3" eb="5">
      <t>コウジョウ</t>
    </rPh>
    <rPh sb="5" eb="7">
      <t>ヘイキン</t>
    </rPh>
    <rPh sb="7" eb="8">
      <t>チ</t>
    </rPh>
    <phoneticPr fontId="2"/>
  </si>
  <si>
    <t>※1 一般管理費は工場平均値</t>
    <rPh sb="3" eb="5">
      <t>イッパン</t>
    </rPh>
    <rPh sb="5" eb="7">
      <t>カンリ</t>
    </rPh>
    <rPh sb="7" eb="8">
      <t>ヒ</t>
    </rPh>
    <rPh sb="9" eb="11">
      <t>コウジョウ</t>
    </rPh>
    <rPh sb="11" eb="13">
      <t>ヘイキン</t>
    </rPh>
    <rPh sb="13" eb="14">
      <t>チ</t>
    </rPh>
    <phoneticPr fontId="2"/>
  </si>
  <si>
    <t>①-1.工場間接費　比率内訳</t>
    <rPh sb="4" eb="6">
      <t>コウジョウ</t>
    </rPh>
    <rPh sb="6" eb="8">
      <t>カンセツ</t>
    </rPh>
    <rPh sb="8" eb="9">
      <t>ヒ</t>
    </rPh>
    <rPh sb="10" eb="11">
      <t>ヒ</t>
    </rPh>
    <rPh sb="11" eb="12">
      <t>リツ</t>
    </rPh>
    <rPh sb="12" eb="14">
      <t>ウチワケ</t>
    </rPh>
    <phoneticPr fontId="2"/>
  </si>
  <si>
    <t>ロイヤルティ収入</t>
    <rPh sb="6" eb="8">
      <t>シュウニュウ</t>
    </rPh>
    <phoneticPr fontId="2"/>
  </si>
  <si>
    <t>※海外支援収入</t>
    <rPh sb="1" eb="3">
      <t>カイガイ</t>
    </rPh>
    <rPh sb="3" eb="5">
      <t>シエン</t>
    </rPh>
    <rPh sb="5" eb="7">
      <t>シュウニュウ</t>
    </rPh>
    <phoneticPr fontId="2"/>
  </si>
  <si>
    <t>①-2.一般管理費　比率内訳</t>
    <rPh sb="4" eb="6">
      <t>イッパン</t>
    </rPh>
    <rPh sb="6" eb="8">
      <t>カンリ</t>
    </rPh>
    <rPh sb="8" eb="9">
      <t>ヒ</t>
    </rPh>
    <rPh sb="10" eb="11">
      <t>ヒ</t>
    </rPh>
    <rPh sb="11" eb="12">
      <t>リツ</t>
    </rPh>
    <rPh sb="12" eb="14">
      <t>ウチワケ</t>
    </rPh>
    <phoneticPr fontId="2"/>
  </si>
  <si>
    <t>電子部品</t>
    <phoneticPr fontId="2"/>
  </si>
  <si>
    <t>設計部門</t>
    <rPh sb="0" eb="2">
      <t>セッケイ</t>
    </rPh>
    <rPh sb="2" eb="4">
      <t>ブモン</t>
    </rPh>
    <phoneticPr fontId="2"/>
  </si>
  <si>
    <t>営業部門</t>
    <rPh sb="0" eb="2">
      <t>エイギョウ</t>
    </rPh>
    <rPh sb="2" eb="4">
      <t>ブモン</t>
    </rPh>
    <phoneticPr fontId="2"/>
  </si>
  <si>
    <t>古河AS　管理本部</t>
    <rPh sb="0" eb="2">
      <t>フルカワ</t>
    </rPh>
    <rPh sb="5" eb="7">
      <t>カンリ</t>
    </rPh>
    <rPh sb="7" eb="9">
      <t>ホンブ</t>
    </rPh>
    <phoneticPr fontId="2"/>
  </si>
  <si>
    <t>商流</t>
    <rPh sb="0" eb="2">
      <t>ショウリュウ</t>
    </rPh>
    <phoneticPr fontId="2"/>
  </si>
  <si>
    <t>FAS本部　工間・一般管適用</t>
    <rPh sb="3" eb="5">
      <t>ホンブ</t>
    </rPh>
    <rPh sb="6" eb="7">
      <t>コウ</t>
    </rPh>
    <rPh sb="7" eb="8">
      <t>カン</t>
    </rPh>
    <rPh sb="9" eb="11">
      <t>イッパン</t>
    </rPh>
    <rPh sb="11" eb="12">
      <t>カン</t>
    </rPh>
    <rPh sb="12" eb="14">
      <t>テキヨウ</t>
    </rPh>
    <phoneticPr fontId="2"/>
  </si>
  <si>
    <t>日本⇒日本出荷</t>
    <rPh sb="0" eb="2">
      <t>ニホン</t>
    </rPh>
    <rPh sb="3" eb="5">
      <t>ニホン</t>
    </rPh>
    <rPh sb="5" eb="7">
      <t>シュッカ</t>
    </rPh>
    <phoneticPr fontId="2"/>
  </si>
  <si>
    <t>客先へ出荷する製品に比率を適用する。</t>
    <rPh sb="0" eb="2">
      <t>キャクサキ</t>
    </rPh>
    <rPh sb="3" eb="5">
      <t>シュッカ</t>
    </rPh>
    <rPh sb="7" eb="9">
      <t>セイヒン</t>
    </rPh>
    <rPh sb="10" eb="11">
      <t>ヒ</t>
    </rPh>
    <rPh sb="11" eb="12">
      <t>リツ</t>
    </rPh>
    <rPh sb="13" eb="15">
      <t>テキヨウ</t>
    </rPh>
    <phoneticPr fontId="2"/>
  </si>
  <si>
    <t>Out-In</t>
    <phoneticPr fontId="2"/>
  </si>
  <si>
    <t>(日本⇒)海外⇒日本出荷</t>
    <rPh sb="1" eb="3">
      <t>ニホン</t>
    </rPh>
    <rPh sb="5" eb="7">
      <t>カイガイ</t>
    </rPh>
    <phoneticPr fontId="2"/>
  </si>
  <si>
    <r>
      <t>(</t>
    </r>
    <r>
      <rPr>
        <b/>
        <sz val="11"/>
        <color indexed="10"/>
        <rFont val="ＭＳ Ｐゴシック"/>
        <family val="3"/>
        <charset val="128"/>
      </rPr>
      <t>日供部材には賦課しない。</t>
    </r>
    <r>
      <rPr>
        <sz val="11"/>
        <rFont val="ＭＳ Ｐゴシック"/>
        <family val="3"/>
        <charset val="128"/>
      </rPr>
      <t>)</t>
    </r>
    <rPh sb="1" eb="3">
      <t>ニッキョウ</t>
    </rPh>
    <rPh sb="3" eb="4">
      <t>ブ</t>
    </rPh>
    <rPh sb="4" eb="5">
      <t>ザイ</t>
    </rPh>
    <rPh sb="7" eb="9">
      <t>フカ</t>
    </rPh>
    <phoneticPr fontId="2"/>
  </si>
  <si>
    <t>Out-Out</t>
    <phoneticPr fontId="2"/>
  </si>
  <si>
    <t>(日本⇒)海外⇒海外出荷</t>
    <rPh sb="1" eb="3">
      <t>ニホン</t>
    </rPh>
    <rPh sb="5" eb="7">
      <t>カイガイ</t>
    </rPh>
    <phoneticPr fontId="2"/>
  </si>
  <si>
    <t>※1減価償却費含む</t>
    <rPh sb="2" eb="4">
      <t>ゲンカ</t>
    </rPh>
    <rPh sb="4" eb="6">
      <t>ショウキャク</t>
    </rPh>
    <rPh sb="6" eb="7">
      <t>ヒ</t>
    </rPh>
    <rPh sb="7" eb="8">
      <t>フク</t>
    </rPh>
    <phoneticPr fontId="2"/>
  </si>
  <si>
    <t>PBT</t>
  </si>
  <si>
    <t>ULTRADUR B4520</t>
  </si>
  <si>
    <t>RESIN</t>
  </si>
  <si>
    <t>ＢＡＳＦジャパン株式会社</t>
  </si>
  <si>
    <t>ULTRADUR B4520(EXPORT)</t>
  </si>
  <si>
    <t>ULTRADUR B4520-Q120(OUT)</t>
  </si>
  <si>
    <t>ULTRADUR B4520-Q120[J-FJ]</t>
  </si>
  <si>
    <t>ULTRAFORM N2320</t>
  </si>
  <si>
    <t>POM</t>
  </si>
  <si>
    <t>ULTRAFORM N2640Z2(OUT)</t>
  </si>
  <si>
    <t>ULTRAFORM N2640Z2[J-JH]</t>
  </si>
  <si>
    <t>ULTRAMID B3K</t>
  </si>
  <si>
    <t>PA6</t>
  </si>
  <si>
    <t>ULTRASON E2010G4(IN)</t>
  </si>
  <si>
    <t>PES</t>
  </si>
  <si>
    <t>ＣＢＣ株式会社</t>
  </si>
  <si>
    <t>ZYTEL FE13005 NC010</t>
  </si>
  <si>
    <t>PA66</t>
  </si>
  <si>
    <t>NORYL GTX918WR(IN)</t>
  </si>
  <si>
    <t>PPE ALLOY</t>
  </si>
  <si>
    <t>PPE + PA66</t>
  </si>
  <si>
    <t>ＧＥポリマーランドジャパン株式会社</t>
  </si>
  <si>
    <t>NORYL GTX918WR(IN)(GRAY)</t>
  </si>
  <si>
    <t>NORYL GTX918WR[J-JH]</t>
  </si>
  <si>
    <t>d</t>
    <phoneticPr fontId="2"/>
  </si>
  <si>
    <t>-</t>
    <phoneticPr fontId="2"/>
  </si>
  <si>
    <t>MULTEMP CN NO.2[J-JH]</t>
  </si>
  <si>
    <t>C040008000-M00</t>
  </si>
  <si>
    <t>NOVADURAN 5010R5 REGRIND(HOUEI)</t>
  </si>
  <si>
    <t>宝永プラスチックス株式会社</t>
  </si>
  <si>
    <t>C020009000-M00</t>
  </si>
  <si>
    <t>PA66ｶﾗｰ ｲｴﾛｰ LC020A66833M ﾕｼｭﾂ</t>
  </si>
  <si>
    <t>C020011000-M00</t>
  </si>
  <si>
    <t>PB-25K(BLACK)(EXPORT)</t>
  </si>
  <si>
    <t>C020010000-M10</t>
  </si>
  <si>
    <t>PBT EX997-7 ｸﾛ (OUT)</t>
  </si>
  <si>
    <t>C031038000-M00</t>
  </si>
  <si>
    <t>PBT M(F)3220 BU-MK</t>
  </si>
  <si>
    <t>C031039000-M00</t>
  </si>
  <si>
    <t>PBT M(F)3221 VL-MK</t>
  </si>
  <si>
    <t>C040007000-M00</t>
  </si>
  <si>
    <t>PBT2002 REGRIND(HOUEI)</t>
  </si>
  <si>
    <t>C030977000-M00</t>
  </si>
  <si>
    <t>PBT2002(ﾌﾝｻｲ)ｺﾞﾄｰ</t>
  </si>
  <si>
    <t>C031036000-M00</t>
  </si>
  <si>
    <t>PETﾍﾟﾙﾌﾟﾚﾝP280B-15</t>
  </si>
  <si>
    <t>B050518000-M00</t>
  </si>
  <si>
    <t>PP CJ929N ｻｲｾｲ</t>
  </si>
  <si>
    <t>B050519000-M00</t>
  </si>
  <si>
    <t>PPT TR-130 ｻｲｾｲｻﾞｲ</t>
  </si>
  <si>
    <t>C031035000-M00</t>
  </si>
  <si>
    <t>R-5PZH145ﾈﾘｺﾐ(OUT)</t>
  </si>
  <si>
    <t>A020236000-M00</t>
  </si>
  <si>
    <t>RTP PES1499-80637 [I]</t>
  </si>
  <si>
    <t>UZ0</t>
  </si>
  <si>
    <t>C030973000-M00</t>
  </si>
  <si>
    <t>TOYOｻｲｾｲ FZ-1040</t>
  </si>
  <si>
    <t>東洋樹脂株式会社</t>
  </si>
  <si>
    <t>C030973000-M10</t>
  </si>
  <si>
    <t>①</t>
    <phoneticPr fontId="2"/>
  </si>
  <si>
    <t>②</t>
    <phoneticPr fontId="2"/>
  </si>
  <si>
    <t>③</t>
    <phoneticPr fontId="2"/>
  </si>
  <si>
    <t>④</t>
    <phoneticPr fontId="2"/>
  </si>
  <si>
    <t>⑤</t>
    <phoneticPr fontId="2"/>
  </si>
  <si>
    <t>TOYOｻｲｾｲ FZ-1040 PPS REPELLET</t>
  </si>
  <si>
    <t>C030972000-M00</t>
  </si>
  <si>
    <t>TOYOｻｲｾｲ PBT2002(K)</t>
  </si>
  <si>
    <t>C030972000-M10</t>
  </si>
  <si>
    <t>TOYOｻｲｾｲ PBT2002(K) PBT REPELLET</t>
  </si>
  <si>
    <t>C040010000-M00</t>
  </si>
  <si>
    <t>TR130 REGRIND(GOTO)</t>
  </si>
  <si>
    <t>豊田通商株式会社</t>
  </si>
  <si>
    <t>B050525000-M00</t>
  </si>
  <si>
    <t>VALOX 325Y</t>
  </si>
  <si>
    <t>VA0</t>
  </si>
  <si>
    <t>C030978000-M00</t>
  </si>
  <si>
    <t>ｸｽﾞ(6-6.1402S)ｺﾞﾄｳ</t>
  </si>
  <si>
    <t>C030979000-M00</t>
  </si>
  <si>
    <t>ｸｽﾞRｰ5ｺﾞﾄｰ</t>
  </si>
  <si>
    <t>C030975000-M00</t>
  </si>
  <si>
    <t>ﾉﾊﾞﾃﾞｭﾗﾝR5(ﾌﾝｻｲ)ｷﾞﾌ</t>
  </si>
  <si>
    <t>ギフハイテック株式会社</t>
  </si>
  <si>
    <t>C031072000-M00</t>
  </si>
  <si>
    <t>ﾉﾘﾙｲ(ﾌﾝｻｲ)ﾎｳｴｲ</t>
  </si>
  <si>
    <t>C030976000-M00</t>
  </si>
  <si>
    <t>ﾚﾏﾛｲ(ﾌﾝｻｲ)ﾎｳｴｲ</t>
  </si>
  <si>
    <t>C010041000-M00</t>
  </si>
  <si>
    <t>PPM SSC 873086 Y(OUT)</t>
  </si>
  <si>
    <t>C010027000-M20</t>
  </si>
  <si>
    <t>PPM-77255 K(BLACK)(EXPORT)</t>
  </si>
  <si>
    <t>C010039000-M00</t>
  </si>
  <si>
    <t>PP-M952078 ﾌﾞﾙ-(OUT)</t>
  </si>
  <si>
    <t>C010025000-M00</t>
  </si>
  <si>
    <t>PPｶﾗ- ECE 8504 ﾁｬ(OUT)</t>
  </si>
  <si>
    <t>C010030000-M00</t>
  </si>
  <si>
    <t>PPｶﾗ- PEM 5-2549 GR(IN)</t>
  </si>
  <si>
    <t>C010037000-M00</t>
  </si>
  <si>
    <t>PPｶﾗ- PE-M913173 (0)(OUT)</t>
  </si>
  <si>
    <t>C010037000-M10</t>
  </si>
  <si>
    <t>PPｶﾗ- PE-M913173 (O)(IN)</t>
  </si>
  <si>
    <t>C010035000-M10</t>
  </si>
  <si>
    <t>PPｶﾗ- PPM 6-0183EY B(IN)</t>
  </si>
  <si>
    <t>C010035000-M00</t>
  </si>
  <si>
    <t>PPｶﾗ- PPM 6-0183EY B(OUT)</t>
  </si>
  <si>
    <t>C010027000-M10</t>
  </si>
  <si>
    <t>PPｶﾗ- PPM-77255 K(IN)</t>
  </si>
  <si>
    <t>C010027000-M00</t>
  </si>
  <si>
    <t>PPｶﾗ- PPM-77255 K(OUT)</t>
  </si>
  <si>
    <t>C010036000-M10</t>
  </si>
  <si>
    <t>PPｶﾗ-PPM881432(GR)(IN)</t>
  </si>
  <si>
    <t>C010036000-M00</t>
  </si>
  <si>
    <t>PPｶﾗ-PPM881432(GR)(OUT)</t>
  </si>
  <si>
    <t>C010006000-M30</t>
  </si>
  <si>
    <t>TM 446(BLUE)[J-JH]</t>
  </si>
  <si>
    <t>C010042000-M00</t>
  </si>
  <si>
    <t>ﾅｲﾛﾝｶﾗ- K 37-100(IN)</t>
  </si>
  <si>
    <t>FAST</t>
    <phoneticPr fontId="2"/>
  </si>
  <si>
    <t>Polymer</t>
    <phoneticPr fontId="2"/>
  </si>
  <si>
    <t>製品</t>
    <rPh sb="0" eb="2">
      <t>セイヒン</t>
    </rPh>
    <phoneticPr fontId="2"/>
  </si>
  <si>
    <t>A</t>
    <phoneticPr fontId="2"/>
  </si>
  <si>
    <t>B</t>
    <phoneticPr fontId="2"/>
  </si>
  <si>
    <t>C</t>
    <phoneticPr fontId="2"/>
  </si>
  <si>
    <t>設備</t>
    <rPh sb="0" eb="2">
      <t>セツビ</t>
    </rPh>
    <phoneticPr fontId="2"/>
  </si>
  <si>
    <t>金型</t>
    <rPh sb="0" eb="2">
      <t>カナガタ</t>
    </rPh>
    <phoneticPr fontId="2"/>
  </si>
  <si>
    <t>通関費用</t>
    <rPh sb="0" eb="2">
      <t>ツウカン</t>
    </rPh>
    <rPh sb="2" eb="4">
      <t>ヒヨウ</t>
    </rPh>
    <phoneticPr fontId="2"/>
  </si>
  <si>
    <t>FURMEX</t>
    <phoneticPr fontId="2"/>
  </si>
  <si>
    <t>MT</t>
    <phoneticPr fontId="2"/>
  </si>
  <si>
    <t>PPS</t>
    <phoneticPr fontId="2"/>
  </si>
  <si>
    <t>EPMI</t>
    <phoneticPr fontId="2"/>
  </si>
  <si>
    <t>PBT</t>
    <phoneticPr fontId="2"/>
  </si>
  <si>
    <t>POM</t>
    <phoneticPr fontId="2"/>
  </si>
  <si>
    <t>SPS</t>
    <phoneticPr fontId="2"/>
  </si>
  <si>
    <t>XAREX</t>
    <phoneticPr fontId="2"/>
  </si>
  <si>
    <t xml:space="preserve">material  </t>
    <phoneticPr fontId="2"/>
  </si>
  <si>
    <t>INJECTION PARTS</t>
    <phoneticPr fontId="2"/>
  </si>
  <si>
    <t>MT/MH</t>
    <phoneticPr fontId="2"/>
  </si>
  <si>
    <t>Size</t>
    <phoneticPr fontId="2"/>
  </si>
  <si>
    <t>layer</t>
    <phoneticPr fontId="2"/>
  </si>
  <si>
    <t>OPERATOR</t>
  </si>
  <si>
    <t>SUB LEADER</t>
  </si>
  <si>
    <t>TEAM LEADER</t>
  </si>
  <si>
    <t>CONTROLLER</t>
  </si>
  <si>
    <t>INSPECTOR</t>
  </si>
  <si>
    <t>ALL POSITION</t>
  </si>
  <si>
    <t>normal anneal cost</t>
    <phoneticPr fontId="2"/>
  </si>
  <si>
    <t>D</t>
    <phoneticPr fontId="2"/>
  </si>
  <si>
    <t>占有率</t>
    <rPh sb="0" eb="2">
      <t>センユウ</t>
    </rPh>
    <rPh sb="2" eb="3">
      <t>リツ</t>
    </rPh>
    <phoneticPr fontId="2"/>
  </si>
  <si>
    <t>*100％は立ち上げのみとみなし、70%の消費電力量とする。</t>
    <rPh sb="6" eb="7">
      <t>タ</t>
    </rPh>
    <rPh sb="8" eb="9">
      <t>ア</t>
    </rPh>
    <rPh sb="21" eb="23">
      <t>ショウヒ</t>
    </rPh>
    <rPh sb="23" eb="25">
      <t>デンリョク</t>
    </rPh>
    <rPh sb="25" eb="26">
      <t>リョウ</t>
    </rPh>
    <phoneticPr fontId="2"/>
  </si>
  <si>
    <t>forex</t>
    <phoneticPr fontId="2"/>
  </si>
  <si>
    <t>php</t>
    <phoneticPr fontId="2"/>
  </si>
  <si>
    <t>jpy/php</t>
    <phoneticPr fontId="2"/>
  </si>
  <si>
    <t>heater capacity</t>
    <phoneticPr fontId="2"/>
  </si>
  <si>
    <t>kW</t>
    <phoneticPr fontId="2"/>
  </si>
  <si>
    <t>kWh</t>
    <phoneticPr fontId="2"/>
  </si>
  <si>
    <t>electricity</t>
    <phoneticPr fontId="2"/>
  </si>
  <si>
    <t>JPY/hour</t>
    <phoneticPr fontId="2"/>
  </si>
  <si>
    <t>manhour</t>
    <phoneticPr fontId="2"/>
  </si>
  <si>
    <t>operator</t>
    <phoneticPr fontId="2"/>
  </si>
  <si>
    <t>operator shifting</t>
    <phoneticPr fontId="2"/>
  </si>
  <si>
    <t>man power / shift</t>
    <phoneticPr fontId="2"/>
  </si>
  <si>
    <t>annealing machine</t>
    <phoneticPr fontId="2"/>
  </si>
  <si>
    <t>electricity
on heater</t>
    <phoneticPr fontId="2"/>
  </si>
  <si>
    <t>actual time ( including heat up and cool down )</t>
    <phoneticPr fontId="2"/>
  </si>
  <si>
    <t>manpower</t>
    <phoneticPr fontId="2"/>
  </si>
  <si>
    <t>total</t>
    <phoneticPr fontId="2"/>
  </si>
  <si>
    <t>[hour]</t>
    <phoneticPr fontId="2"/>
  </si>
  <si>
    <t>POM</t>
    <phoneticPr fontId="2"/>
  </si>
  <si>
    <t>PBT</t>
    <phoneticPr fontId="2"/>
  </si>
  <si>
    <t>occupied</t>
    <phoneticPr fontId="2"/>
  </si>
  <si>
    <t>OA</t>
    <phoneticPr fontId="2"/>
  </si>
  <si>
    <t>machine in side area</t>
    <phoneticPr fontId="2"/>
  </si>
  <si>
    <t>pcs / tray</t>
    <phoneticPr fontId="2"/>
  </si>
  <si>
    <t>tray /machine</t>
    <phoneticPr fontId="2"/>
  </si>
  <si>
    <t>JPY/USD</t>
    <phoneticPr fontId="2"/>
  </si>
  <si>
    <t>JPY/PHP</t>
    <phoneticPr fontId="2"/>
  </si>
  <si>
    <t>JPY/kg</t>
    <phoneticPr fontId="2"/>
  </si>
  <si>
    <t>Forex</t>
    <phoneticPr fontId="2"/>
  </si>
  <si>
    <t>machine</t>
    <phoneticPr fontId="2"/>
  </si>
  <si>
    <t>/machine</t>
    <phoneticPr fontId="2"/>
  </si>
  <si>
    <t>BASF ULTRADUR B4520 Q120</t>
    <phoneticPr fontId="2"/>
  </si>
  <si>
    <t>/kg</t>
    <phoneticPr fontId="2"/>
  </si>
  <si>
    <t xml:space="preserve">PBT DURANEX 2002 ED </t>
    <phoneticPr fontId="2"/>
  </si>
  <si>
    <t>JPY</t>
  </si>
  <si>
    <t xml:space="preserve">IUPITAL F30-03 E9000 BLACK </t>
    <phoneticPr fontId="2"/>
  </si>
  <si>
    <t>IUPITAL F30-73R1 BLACK</t>
    <phoneticPr fontId="2"/>
  </si>
  <si>
    <t>IUPITAL F30-03 E9003 NATURAL</t>
    <phoneticPr fontId="2"/>
  </si>
  <si>
    <t>IUPITAL FX-11J BLACK</t>
    <phoneticPr fontId="2"/>
  </si>
  <si>
    <t>DURACON NW-02 BLACK</t>
    <phoneticPr fontId="2"/>
  </si>
  <si>
    <t>IUPITAL F20-73R1 BLUE</t>
    <phoneticPr fontId="2"/>
  </si>
  <si>
    <t>IUPITAL F30-73R1 NATURAL</t>
    <phoneticPr fontId="2"/>
  </si>
  <si>
    <t xml:space="preserve">POLYBUTYL TERAPTHALATE BASF </t>
    <phoneticPr fontId="2"/>
  </si>
  <si>
    <t>PBT 1401-X34</t>
    <phoneticPr fontId="2"/>
  </si>
  <si>
    <t>PPS DIC FZ-1140K</t>
    <phoneticPr fontId="2"/>
  </si>
  <si>
    <t>PPS DIC FZ-1040K</t>
    <phoneticPr fontId="2"/>
  </si>
  <si>
    <t>hourly</t>
    <phoneticPr fontId="2"/>
  </si>
  <si>
    <t>FEAP</t>
    <phoneticPr fontId="2"/>
  </si>
  <si>
    <t>agency</t>
    <phoneticPr fontId="2"/>
  </si>
  <si>
    <t>MH</t>
    <phoneticPr fontId="2"/>
  </si>
  <si>
    <t>MT</t>
    <phoneticPr fontId="2"/>
  </si>
  <si>
    <t>MT</t>
    <phoneticPr fontId="2"/>
  </si>
  <si>
    <t>vertical</t>
    <phoneticPr fontId="2"/>
  </si>
  <si>
    <t>hori</t>
    <phoneticPr fontId="2"/>
  </si>
  <si>
    <t>water absorption</t>
  </si>
  <si>
    <t>I</t>
    <phoneticPr fontId="2"/>
  </si>
  <si>
    <t>II</t>
    <phoneticPr fontId="2"/>
  </si>
  <si>
    <t>III</t>
    <phoneticPr fontId="2"/>
  </si>
  <si>
    <t>4h</t>
    <phoneticPr fontId="2"/>
  </si>
  <si>
    <t>5h</t>
    <phoneticPr fontId="2"/>
  </si>
  <si>
    <t>9h</t>
    <phoneticPr fontId="2"/>
  </si>
  <si>
    <t>STATOR</t>
  </si>
  <si>
    <t>SUBSTATOR</t>
  </si>
  <si>
    <t>SLEEVE</t>
  </si>
  <si>
    <t>a</t>
  </si>
  <si>
    <t>BASF B4520 Q120</t>
  </si>
  <si>
    <t xml:space="preserve"> 2layer application</t>
    <phoneticPr fontId="2"/>
  </si>
  <si>
    <t>TMR-051</t>
  </si>
  <si>
    <t>ROTAOTR</t>
  </si>
  <si>
    <t>MOLDHOLDER 1</t>
  </si>
  <si>
    <t>MOLDHOLDER 2</t>
  </si>
  <si>
    <t>PPE+PA</t>
  </si>
  <si>
    <t>C82HL</t>
  </si>
  <si>
    <t>Recycle Material Cost</t>
    <phoneticPr fontId="2"/>
  </si>
  <si>
    <t>Electricity</t>
    <phoneticPr fontId="2"/>
  </si>
  <si>
    <t>Manhour</t>
    <phoneticPr fontId="2"/>
  </si>
  <si>
    <t>Machine Capability</t>
    <phoneticPr fontId="2"/>
  </si>
  <si>
    <t>JPY/h</t>
    <phoneticPr fontId="2"/>
  </si>
  <si>
    <t>PHP/kWh</t>
    <phoneticPr fontId="2"/>
  </si>
  <si>
    <r>
      <rPr>
        <sz val="11"/>
        <rFont val="ＭＳ Ｐゴシック"/>
        <family val="3"/>
        <charset val="128"/>
      </rPr>
      <t>リサイクルコスト</t>
    </r>
    <phoneticPr fontId="2"/>
  </si>
  <si>
    <r>
      <rPr>
        <sz val="11"/>
        <rFont val="ＭＳ Ｐゴシック"/>
        <family val="3"/>
        <charset val="128"/>
      </rPr>
      <t>為替</t>
    </r>
    <rPh sb="0" eb="2">
      <t>カワセ</t>
    </rPh>
    <phoneticPr fontId="2"/>
  </si>
  <si>
    <r>
      <rPr>
        <sz val="11"/>
        <rFont val="ＭＳ Ｐゴシック"/>
        <family val="3"/>
        <charset val="128"/>
      </rPr>
      <t>電気代</t>
    </r>
    <rPh sb="0" eb="3">
      <t>デンキダイ</t>
    </rPh>
    <phoneticPr fontId="2"/>
  </si>
  <si>
    <r>
      <rPr>
        <sz val="11"/>
        <rFont val="ＭＳ Ｐゴシック"/>
        <family val="3"/>
        <charset val="128"/>
      </rPr>
      <t>人件費</t>
    </r>
    <rPh sb="0" eb="3">
      <t>ジンケンヒ</t>
    </rPh>
    <phoneticPr fontId="2"/>
  </si>
  <si>
    <r>
      <rPr>
        <sz val="11"/>
        <rFont val="ＭＳ Ｐゴシック"/>
        <family val="3"/>
        <charset val="128"/>
      </rPr>
      <t>処理能力</t>
    </r>
    <phoneticPr fontId="2"/>
  </si>
  <si>
    <t>Recycle cost</t>
    <phoneticPr fontId="2"/>
  </si>
  <si>
    <t>Disporsal cost</t>
    <phoneticPr fontId="2"/>
  </si>
  <si>
    <r>
      <t>Virgin material need to add disporsal cost /</t>
    </r>
    <r>
      <rPr>
        <sz val="11"/>
        <rFont val="ＭＳ Ｐゴシック"/>
        <family val="3"/>
        <charset val="128"/>
      </rPr>
      <t>バージン材は廃却コストを加算する。</t>
    </r>
    <rPh sb="48" eb="49">
      <t>ザイ</t>
    </rPh>
    <rPh sb="50" eb="52">
      <t>ハイキャク</t>
    </rPh>
    <rPh sb="56" eb="58">
      <t>カサン</t>
    </rPh>
    <phoneticPr fontId="2"/>
  </si>
  <si>
    <t>kg/h</t>
    <phoneticPr fontId="2"/>
  </si>
  <si>
    <t>PHP/kg</t>
    <phoneticPr fontId="2"/>
  </si>
  <si>
    <t>JPY/h-machine</t>
    <phoneticPr fontId="2"/>
  </si>
  <si>
    <t>JPY/h-man</t>
    <phoneticPr fontId="2"/>
  </si>
  <si>
    <t>Total</t>
    <phoneticPr fontId="2"/>
  </si>
  <si>
    <t>JPY/h-kg</t>
    <phoneticPr fontId="2"/>
  </si>
  <si>
    <t>JPY/h-kg</t>
    <phoneticPr fontId="2"/>
  </si>
  <si>
    <t>2019年用の値</t>
  </si>
  <si>
    <t>Verticalは未計算</t>
  </si>
  <si>
    <r>
      <rPr>
        <b/>
        <sz val="9"/>
        <color indexed="12"/>
        <rFont val="ＭＳ Ｐゴシック"/>
        <family val="3"/>
        <charset val="128"/>
      </rPr>
      <t>間接費　</t>
    </r>
    <r>
      <rPr>
        <b/>
        <sz val="9"/>
        <color indexed="12"/>
        <rFont val="Arial Narrow"/>
        <family val="2"/>
      </rPr>
      <t>13</t>
    </r>
    <r>
      <rPr>
        <b/>
        <sz val="9"/>
        <color indexed="12"/>
        <rFont val="ＭＳ Ｐゴシック"/>
        <family val="3"/>
        <charset val="128"/>
      </rPr>
      <t>予算</t>
    </r>
    <r>
      <rPr>
        <b/>
        <sz val="9"/>
        <color indexed="12"/>
        <rFont val="Arial Narrow"/>
        <family val="2"/>
      </rPr>
      <t>(FAS</t>
    </r>
    <r>
      <rPr>
        <b/>
        <sz val="9"/>
        <color indexed="12"/>
        <rFont val="ＭＳ Ｐゴシック"/>
        <family val="3"/>
        <charset val="128"/>
      </rPr>
      <t>三重工場出荷品</t>
    </r>
    <r>
      <rPr>
        <b/>
        <sz val="9"/>
        <color indexed="12"/>
        <rFont val="Arial Narrow"/>
        <family val="2"/>
      </rPr>
      <t>)</t>
    </r>
    <rPh sb="0" eb="2">
      <t>カンセツ</t>
    </rPh>
    <rPh sb="2" eb="3">
      <t>ヒ</t>
    </rPh>
    <rPh sb="6" eb="8">
      <t>ヨサン</t>
    </rPh>
    <rPh sb="12" eb="14">
      <t>ミエ</t>
    </rPh>
    <rPh sb="14" eb="16">
      <t>コウジョウ</t>
    </rPh>
    <rPh sb="16" eb="18">
      <t>シュッカ</t>
    </rPh>
    <rPh sb="18" eb="19">
      <t>ヒン</t>
    </rPh>
    <phoneticPr fontId="2"/>
  </si>
  <si>
    <r>
      <rPr>
        <b/>
        <sz val="9"/>
        <color indexed="12"/>
        <rFont val="ＭＳ Ｐゴシック"/>
        <family val="3"/>
        <charset val="128"/>
      </rPr>
      <t>営業販直費　</t>
    </r>
    <r>
      <rPr>
        <b/>
        <sz val="9"/>
        <color indexed="12"/>
        <rFont val="Arial Narrow"/>
        <family val="2"/>
      </rPr>
      <t>13</t>
    </r>
    <r>
      <rPr>
        <b/>
        <sz val="9"/>
        <color indexed="12"/>
        <rFont val="ＭＳ Ｐゴシック"/>
        <family val="3"/>
        <charset val="128"/>
      </rPr>
      <t>予算</t>
    </r>
    <rPh sb="0" eb="2">
      <t>エイギョウ</t>
    </rPh>
    <rPh sb="2" eb="3">
      <t>ハン</t>
    </rPh>
    <rPh sb="3" eb="4">
      <t>チョク</t>
    </rPh>
    <rPh sb="4" eb="5">
      <t>ヒ</t>
    </rPh>
    <rPh sb="8" eb="10">
      <t>ヨサン</t>
    </rPh>
    <phoneticPr fontId="2"/>
  </si>
  <si>
    <r>
      <rPr>
        <b/>
        <sz val="9"/>
        <color indexed="12"/>
        <rFont val="ＭＳ Ｐゴシック"/>
        <family val="3"/>
        <charset val="128"/>
      </rPr>
      <t>工場販直費　</t>
    </r>
    <r>
      <rPr>
        <b/>
        <sz val="9"/>
        <color indexed="12"/>
        <rFont val="Arial Narrow"/>
        <family val="2"/>
      </rPr>
      <t>13</t>
    </r>
    <r>
      <rPr>
        <b/>
        <sz val="9"/>
        <color indexed="12"/>
        <rFont val="ＭＳ Ｐゴシック"/>
        <family val="3"/>
        <charset val="128"/>
      </rPr>
      <t>予算　※対直原比率</t>
    </r>
    <r>
      <rPr>
        <b/>
        <sz val="9"/>
        <color indexed="12"/>
        <rFont val="Arial Narrow"/>
        <family val="2"/>
      </rPr>
      <t>(</t>
    </r>
    <r>
      <rPr>
        <b/>
        <sz val="9"/>
        <color indexed="12"/>
        <rFont val="ＭＳ Ｐゴシック"/>
        <family val="3"/>
        <charset val="128"/>
      </rPr>
      <t>三重工場から出荷する際）</t>
    </r>
    <rPh sb="0" eb="2">
      <t>コウジョウ</t>
    </rPh>
    <rPh sb="2" eb="3">
      <t>ハン</t>
    </rPh>
    <rPh sb="3" eb="4">
      <t>チョク</t>
    </rPh>
    <rPh sb="4" eb="5">
      <t>ヒ</t>
    </rPh>
    <rPh sb="8" eb="10">
      <t>ヨサン</t>
    </rPh>
    <rPh sb="12" eb="13">
      <t>タイ</t>
    </rPh>
    <rPh sb="13" eb="14">
      <t>チョク</t>
    </rPh>
    <rPh sb="14" eb="15">
      <t>ゲン</t>
    </rPh>
    <rPh sb="15" eb="17">
      <t>ヒリツ</t>
    </rPh>
    <rPh sb="18" eb="20">
      <t>ミエ</t>
    </rPh>
    <rPh sb="20" eb="22">
      <t>コウジョウ</t>
    </rPh>
    <rPh sb="24" eb="26">
      <t>シュッカ</t>
    </rPh>
    <rPh sb="28" eb="29">
      <t>サイ</t>
    </rPh>
    <phoneticPr fontId="2"/>
  </si>
  <si>
    <r>
      <t>MH</t>
    </r>
    <r>
      <rPr>
        <sz val="9"/>
        <rFont val="ＭＳ Ｐゴシック"/>
        <family val="3"/>
        <charset val="128"/>
      </rPr>
      <t>等価単価</t>
    </r>
    <rPh sb="2" eb="4">
      <t>トウカ</t>
    </rPh>
    <rPh sb="4" eb="6">
      <t>タンカ</t>
    </rPh>
    <phoneticPr fontId="2"/>
  </si>
  <si>
    <r>
      <t>MT</t>
    </r>
    <r>
      <rPr>
        <sz val="9"/>
        <rFont val="ＭＳ Ｐゴシック"/>
        <family val="3"/>
        <charset val="128"/>
      </rPr>
      <t>等価単価</t>
    </r>
    <rPh sb="2" eb="4">
      <t>トウカ</t>
    </rPh>
    <rPh sb="4" eb="6">
      <t>タンカ</t>
    </rPh>
    <phoneticPr fontId="2"/>
  </si>
  <si>
    <r>
      <rPr>
        <sz val="9"/>
        <rFont val="ＭＳ Ｐゴシック"/>
        <family val="3"/>
        <charset val="128"/>
      </rPr>
      <t>工場</t>
    </r>
    <r>
      <rPr>
        <sz val="9"/>
        <rFont val="Arial Narrow"/>
        <family val="2"/>
      </rPr>
      <t xml:space="preserve">      </t>
    </r>
    <r>
      <rPr>
        <sz val="9"/>
        <rFont val="ＭＳ Ｐゴシック"/>
        <family val="3"/>
        <charset val="128"/>
      </rPr>
      <t>間接費</t>
    </r>
    <phoneticPr fontId="2"/>
  </si>
  <si>
    <r>
      <rPr>
        <sz val="9"/>
        <rFont val="ＭＳ Ｐゴシック"/>
        <family val="3"/>
        <charset val="128"/>
      </rPr>
      <t>一般</t>
    </r>
    <r>
      <rPr>
        <sz val="9"/>
        <rFont val="Arial Narrow"/>
        <family val="2"/>
      </rPr>
      <t xml:space="preserve">      </t>
    </r>
    <r>
      <rPr>
        <sz val="9"/>
        <rFont val="ＭＳ Ｐゴシック"/>
        <family val="3"/>
        <charset val="128"/>
      </rPr>
      <t>管理費</t>
    </r>
    <phoneticPr fontId="2"/>
  </si>
  <si>
    <r>
      <rPr>
        <sz val="9"/>
        <rFont val="ＭＳ Ｐゴシック"/>
        <family val="3"/>
        <charset val="128"/>
      </rPr>
      <t>電工　　　本社費</t>
    </r>
    <rPh sb="0" eb="2">
      <t>デンコウ</t>
    </rPh>
    <rPh sb="5" eb="7">
      <t>ホンシャ</t>
    </rPh>
    <rPh sb="7" eb="8">
      <t>ヒ</t>
    </rPh>
    <phoneticPr fontId="2"/>
  </si>
  <si>
    <r>
      <rPr>
        <sz val="9"/>
        <rFont val="ＭＳ Ｐゴシック"/>
        <family val="3"/>
        <charset val="128"/>
      </rPr>
      <t>工場間接</t>
    </r>
    <phoneticPr fontId="2"/>
  </si>
  <si>
    <r>
      <rPr>
        <sz val="9"/>
        <rFont val="ＭＳ Ｐゴシック"/>
        <family val="3"/>
        <charset val="128"/>
      </rPr>
      <t>一般管理</t>
    </r>
  </si>
  <si>
    <r>
      <rPr>
        <sz val="9"/>
        <rFont val="ＭＳ Ｐゴシック"/>
        <family val="3"/>
        <charset val="128"/>
      </rPr>
      <t>販直率</t>
    </r>
    <rPh sb="2" eb="3">
      <t>リツ</t>
    </rPh>
    <phoneticPr fontId="2"/>
  </si>
  <si>
    <r>
      <rPr>
        <sz val="9"/>
        <rFont val="ＭＳ Ｐゴシック"/>
        <family val="3"/>
        <charset val="128"/>
      </rPr>
      <t>行き先</t>
    </r>
    <rPh sb="0" eb="3">
      <t>イキサキ</t>
    </rPh>
    <phoneticPr fontId="2"/>
  </si>
  <si>
    <r>
      <rPr>
        <sz val="9"/>
        <rFont val="ＭＳ Ｐゴシック"/>
        <family val="3"/>
        <charset val="128"/>
      </rPr>
      <t>輸送費</t>
    </r>
    <phoneticPr fontId="2"/>
  </si>
  <si>
    <r>
      <rPr>
        <sz val="9"/>
        <rFont val="ＭＳ Ｐゴシック"/>
        <family val="3"/>
        <charset val="128"/>
      </rPr>
      <t>輸送費</t>
    </r>
    <rPh sb="0" eb="3">
      <t>ユソウヒ</t>
    </rPh>
    <phoneticPr fontId="2"/>
  </si>
  <si>
    <r>
      <rPr>
        <sz val="9"/>
        <rFont val="ＭＳ Ｐゴシック"/>
        <family val="3"/>
        <charset val="128"/>
      </rPr>
      <t>梱包費</t>
    </r>
    <rPh sb="0" eb="2">
      <t>コンポウ</t>
    </rPh>
    <rPh sb="2" eb="3">
      <t>ヒ</t>
    </rPh>
    <phoneticPr fontId="2"/>
  </si>
  <si>
    <r>
      <rPr>
        <sz val="9"/>
        <rFont val="ＭＳ Ｐゴシック"/>
        <family val="3"/>
        <charset val="128"/>
      </rPr>
      <t>出荷作業</t>
    </r>
    <rPh sb="0" eb="2">
      <t>シュッカ</t>
    </rPh>
    <rPh sb="2" eb="4">
      <t>サギョウ</t>
    </rPh>
    <phoneticPr fontId="2"/>
  </si>
  <si>
    <r>
      <rPr>
        <sz val="9"/>
        <rFont val="ＭＳ Ｐゴシック"/>
        <family val="3"/>
        <charset val="128"/>
      </rPr>
      <t>工場販直</t>
    </r>
    <rPh sb="0" eb="2">
      <t>コウジョウ</t>
    </rPh>
    <rPh sb="2" eb="3">
      <t>ハン</t>
    </rPh>
    <rPh sb="3" eb="4">
      <t>チョク</t>
    </rPh>
    <phoneticPr fontId="2"/>
  </si>
  <si>
    <r>
      <rPr>
        <sz val="9"/>
        <rFont val="ＭＳ Ｐゴシック"/>
        <family val="3"/>
        <charset val="128"/>
      </rPr>
      <t>込み</t>
    </r>
    <rPh sb="0" eb="1">
      <t>コ</t>
    </rPh>
    <phoneticPr fontId="2"/>
  </si>
  <si>
    <r>
      <rPr>
        <sz val="9"/>
        <rFont val="ＭＳ Ｐゴシック"/>
        <family val="3"/>
        <charset val="128"/>
      </rPr>
      <t>別</t>
    </r>
    <rPh sb="0" eb="1">
      <t>ベツ</t>
    </rPh>
    <phoneticPr fontId="2"/>
  </si>
  <si>
    <r>
      <t>1.</t>
    </r>
    <r>
      <rPr>
        <sz val="9"/>
        <rFont val="ＭＳ Ｐゴシック"/>
        <family val="3"/>
        <charset val="128"/>
      </rPr>
      <t>全て直原比率で算出</t>
    </r>
    <rPh sb="2" eb="3">
      <t>スベ</t>
    </rPh>
    <rPh sb="4" eb="5">
      <t>チョク</t>
    </rPh>
    <rPh sb="5" eb="6">
      <t>ゲン</t>
    </rPh>
    <rPh sb="6" eb="8">
      <t>ヒリツ</t>
    </rPh>
    <rPh sb="9" eb="11">
      <t>サンシュツ</t>
    </rPh>
    <phoneticPr fontId="2"/>
  </si>
  <si>
    <r>
      <rPr>
        <sz val="9"/>
        <rFont val="ＭＳ Ｐゴシック"/>
        <family val="3"/>
        <charset val="128"/>
      </rPr>
      <t>ブロック</t>
    </r>
  </si>
  <si>
    <r>
      <rPr>
        <sz val="9"/>
        <rFont val="ＭＳ Ｐゴシック"/>
        <family val="3"/>
        <charset val="128"/>
      </rPr>
      <t>対直原</t>
    </r>
    <rPh sb="0" eb="1">
      <t>タイ</t>
    </rPh>
    <rPh sb="1" eb="2">
      <t>チョク</t>
    </rPh>
    <rPh sb="2" eb="3">
      <t>ゲン</t>
    </rPh>
    <phoneticPr fontId="2"/>
  </si>
  <si>
    <r>
      <t>SC</t>
    </r>
    <r>
      <rPr>
        <sz val="9"/>
        <rFont val="ＭＳ Ｐゴシック"/>
        <family val="3"/>
        <charset val="128"/>
      </rPr>
      <t>経由なし</t>
    </r>
    <phoneticPr fontId="2"/>
  </si>
  <si>
    <r>
      <rPr>
        <sz val="9"/>
        <rFont val="ＭＳ Ｐゴシック"/>
        <family val="3"/>
        <charset val="128"/>
      </rPr>
      <t>いすゞ</t>
    </r>
  </si>
  <si>
    <r>
      <t>2.</t>
    </r>
    <r>
      <rPr>
        <sz val="9"/>
        <rFont val="ＭＳ Ｐゴシック"/>
        <family val="3"/>
        <charset val="128"/>
      </rPr>
      <t>輸送費を別途計上</t>
    </r>
    <rPh sb="2" eb="5">
      <t>ユソウヒ</t>
    </rPh>
    <rPh sb="6" eb="8">
      <t>ベット</t>
    </rPh>
    <rPh sb="8" eb="10">
      <t>ケイジョウ</t>
    </rPh>
    <phoneticPr fontId="2"/>
  </si>
  <si>
    <r>
      <rPr>
        <sz val="9"/>
        <rFont val="ＭＳ Ｐゴシック"/>
        <family val="3"/>
        <charset val="128"/>
      </rPr>
      <t>マツダ</t>
    </r>
  </si>
  <si>
    <r>
      <rPr>
        <sz val="9"/>
        <rFont val="ＭＳ Ｐゴシック"/>
        <family val="3"/>
        <charset val="128"/>
      </rPr>
      <t>別途見積</t>
    </r>
    <rPh sb="0" eb="2">
      <t>ベット</t>
    </rPh>
    <rPh sb="2" eb="4">
      <t>ミツ</t>
    </rPh>
    <phoneticPr fontId="2"/>
  </si>
  <si>
    <r>
      <rPr>
        <sz val="9"/>
        <rFont val="ＭＳ Ｐゴシック"/>
        <family val="3"/>
        <charset val="128"/>
      </rPr>
      <t>コネクタ</t>
    </r>
  </si>
  <si>
    <r>
      <rPr>
        <sz val="9"/>
        <rFont val="ＭＳ Ｐゴシック"/>
        <family val="3"/>
        <charset val="128"/>
      </rPr>
      <t>ダイハツ</t>
    </r>
  </si>
  <si>
    <r>
      <rPr>
        <sz val="9"/>
        <rFont val="ＭＳ Ｐゴシック"/>
        <family val="3"/>
        <charset val="128"/>
      </rPr>
      <t>電子部品</t>
    </r>
  </si>
  <si>
    <r>
      <rPr>
        <sz val="9"/>
        <rFont val="ＭＳ Ｐゴシック"/>
        <family val="3"/>
        <charset val="128"/>
      </rPr>
      <t>ホンダ鈴鹿</t>
    </r>
  </si>
  <si>
    <r>
      <rPr>
        <sz val="9"/>
        <rFont val="ＭＳ Ｐゴシック"/>
        <family val="3"/>
        <charset val="128"/>
      </rPr>
      <t>ホンダ狭山</t>
    </r>
  </si>
  <si>
    <r>
      <rPr>
        <sz val="9"/>
        <rFont val="ＭＳ Ｐゴシック"/>
        <family val="3"/>
        <charset val="128"/>
      </rPr>
      <t>スマコネ</t>
    </r>
  </si>
  <si>
    <r>
      <rPr>
        <sz val="9"/>
        <rFont val="ＭＳ Ｐゴシック"/>
        <family val="3"/>
        <charset val="128"/>
      </rPr>
      <t>津河</t>
    </r>
  </si>
  <si>
    <r>
      <rPr>
        <sz val="9"/>
        <rFont val="ＭＳ Ｐゴシック"/>
        <family val="3"/>
        <charset val="128"/>
      </rPr>
      <t>トヨタ</t>
    </r>
  </si>
  <si>
    <r>
      <rPr>
        <sz val="9"/>
        <rFont val="ＭＳ Ｐゴシック"/>
        <family val="3"/>
        <charset val="128"/>
      </rPr>
      <t>対加工費</t>
    </r>
    <rPh sb="0" eb="1">
      <t>タイ</t>
    </rPh>
    <rPh sb="1" eb="4">
      <t>カコウヒ</t>
    </rPh>
    <phoneticPr fontId="2"/>
  </si>
  <si>
    <r>
      <rPr>
        <sz val="9"/>
        <rFont val="ＭＳ Ｐゴシック"/>
        <family val="3"/>
        <charset val="128"/>
      </rPr>
      <t>スズキ・ヤマハ</t>
    </r>
  </si>
  <si>
    <r>
      <rPr>
        <sz val="9"/>
        <color indexed="9"/>
        <rFont val="ＭＳ Ｐゴシック"/>
        <family val="3"/>
        <charset val="128"/>
      </rPr>
      <t>営業外</t>
    </r>
    <rPh sb="0" eb="3">
      <t>エイギョウガイ</t>
    </rPh>
    <phoneticPr fontId="2"/>
  </si>
  <si>
    <r>
      <rPr>
        <sz val="9"/>
        <rFont val="ＭＳ Ｐゴシック"/>
        <family val="3"/>
        <charset val="128"/>
      </rPr>
      <t>※</t>
    </r>
    <r>
      <rPr>
        <sz val="9"/>
        <rFont val="Arial Narrow"/>
        <family val="2"/>
      </rPr>
      <t>1</t>
    </r>
    <r>
      <rPr>
        <sz val="9"/>
        <rFont val="ＭＳ Ｐゴシック"/>
        <family val="3"/>
        <charset val="128"/>
      </rPr>
      <t>減価償却費含む</t>
    </r>
    <rPh sb="2" eb="4">
      <t>ゲンカ</t>
    </rPh>
    <rPh sb="4" eb="6">
      <t>ショウキャク</t>
    </rPh>
    <rPh sb="6" eb="7">
      <t>ヒ</t>
    </rPh>
    <rPh sb="7" eb="8">
      <t>フク</t>
    </rPh>
    <phoneticPr fontId="2"/>
  </si>
  <si>
    <r>
      <rPr>
        <sz val="9"/>
        <rFont val="ＭＳ Ｐゴシック"/>
        <family val="3"/>
        <charset val="128"/>
      </rPr>
      <t>富士重</t>
    </r>
  </si>
  <si>
    <r>
      <rPr>
        <b/>
        <sz val="9"/>
        <color indexed="10"/>
        <rFont val="ＭＳ Ｐゴシック"/>
        <family val="3"/>
        <charset val="128"/>
      </rPr>
      <t>※海外輸送費は</t>
    </r>
    <r>
      <rPr>
        <b/>
        <sz val="9"/>
        <color indexed="10"/>
        <rFont val="Arial Narrow"/>
        <family val="2"/>
      </rPr>
      <t xml:space="preserve">, </t>
    </r>
    <r>
      <rPr>
        <b/>
        <sz val="9"/>
        <color indexed="10"/>
        <rFont val="ＭＳ Ｐゴシック"/>
        <family val="3"/>
        <charset val="128"/>
      </rPr>
      <t>各拠点毎のﾌｫ</t>
    </r>
    <r>
      <rPr>
        <b/>
        <sz val="9"/>
        <color indexed="10"/>
        <rFont val="Arial Narrow"/>
        <family val="2"/>
      </rPr>
      <t>-</t>
    </r>
    <r>
      <rPr>
        <b/>
        <sz val="9"/>
        <color indexed="10"/>
        <rFont val="ＭＳ Ｐゴシック"/>
        <family val="3"/>
        <charset val="128"/>
      </rPr>
      <t>ﾏｯﾄで算出の事。</t>
    </r>
    <rPh sb="1" eb="3">
      <t>カイガイ</t>
    </rPh>
    <rPh sb="3" eb="6">
      <t>ユソウヒ</t>
    </rPh>
    <rPh sb="9" eb="12">
      <t>カクキョテン</t>
    </rPh>
    <rPh sb="12" eb="13">
      <t>ゴト</t>
    </rPh>
    <rPh sb="21" eb="23">
      <t>サンシュツ</t>
    </rPh>
    <rPh sb="24" eb="25">
      <t>コト</t>
    </rPh>
    <phoneticPr fontId="2"/>
  </si>
  <si>
    <r>
      <rPr>
        <sz val="9"/>
        <rFont val="ＭＳ Ｐゴシック"/>
        <family val="3"/>
        <charset val="128"/>
      </rPr>
      <t>（</t>
    </r>
    <r>
      <rPr>
        <sz val="9"/>
        <rFont val="Arial Narrow"/>
        <family val="2"/>
      </rPr>
      <t>JPY/pc</t>
    </r>
    <r>
      <rPr>
        <sz val="9"/>
        <rFont val="ＭＳ Ｐゴシック"/>
        <family val="3"/>
        <charset val="128"/>
      </rPr>
      <t>）</t>
    </r>
    <phoneticPr fontId="2"/>
  </si>
  <si>
    <r>
      <rPr>
        <sz val="9"/>
        <rFont val="ＭＳ Ｐゴシック"/>
        <family val="3"/>
        <charset val="128"/>
      </rPr>
      <t>入り数検討</t>
    </r>
    <rPh sb="0" eb="1">
      <t>イ</t>
    </rPh>
    <rPh sb="2" eb="3">
      <t>スウ</t>
    </rPh>
    <rPh sb="3" eb="5">
      <t>ケントウ</t>
    </rPh>
    <phoneticPr fontId="2"/>
  </si>
  <si>
    <r>
      <rPr>
        <sz val="9"/>
        <rFont val="ＭＳ Ｐゴシック"/>
        <family val="3"/>
        <charset val="128"/>
      </rPr>
      <t>ポリ内寸</t>
    </r>
    <rPh sb="2" eb="3">
      <t>ナイ</t>
    </rPh>
    <rPh sb="3" eb="4">
      <t>スン</t>
    </rPh>
    <phoneticPr fontId="2"/>
  </si>
  <si>
    <r>
      <rPr>
        <sz val="9"/>
        <rFont val="ＭＳ Ｐゴシック"/>
        <family val="3"/>
        <charset val="128"/>
      </rPr>
      <t>製品</t>
    </r>
    <rPh sb="0" eb="2">
      <t>セイヒン</t>
    </rPh>
    <phoneticPr fontId="2"/>
  </si>
  <si>
    <r>
      <rPr>
        <sz val="9"/>
        <rFont val="ＭＳ Ｐゴシック"/>
        <family val="3"/>
        <charset val="128"/>
      </rPr>
      <t>入り数</t>
    </r>
    <rPh sb="0" eb="1">
      <t>イ</t>
    </rPh>
    <rPh sb="2" eb="3">
      <t>スウ</t>
    </rPh>
    <phoneticPr fontId="2"/>
  </si>
  <si>
    <r>
      <rPr>
        <sz val="9"/>
        <color indexed="10"/>
        <rFont val="ＭＳ Ｐゴシック"/>
        <family val="3"/>
        <charset val="128"/>
      </rPr>
      <t>管理費率（％）</t>
    </r>
    <rPh sb="0" eb="3">
      <t>カンリヒ</t>
    </rPh>
    <rPh sb="3" eb="4">
      <t>リツ</t>
    </rPh>
    <phoneticPr fontId="2"/>
  </si>
  <si>
    <r>
      <rPr>
        <sz val="9"/>
        <rFont val="ＭＳ Ｐゴシック"/>
        <family val="3"/>
        <charset val="128"/>
      </rPr>
      <t>検査・梱包費</t>
    </r>
    <rPh sb="0" eb="2">
      <t>ケンサ</t>
    </rPh>
    <rPh sb="3" eb="5">
      <t>コンポウ</t>
    </rPh>
    <rPh sb="5" eb="6">
      <t>ヒ</t>
    </rPh>
    <phoneticPr fontId="2"/>
  </si>
  <si>
    <r>
      <rPr>
        <sz val="9"/>
        <rFont val="ＭＳ Ｐゴシック"/>
        <family val="3"/>
        <charset val="128"/>
      </rPr>
      <t>輸送費　　　　　　　　（外注→工場）</t>
    </r>
    <rPh sb="0" eb="3">
      <t>ユソウヒ</t>
    </rPh>
    <rPh sb="12" eb="14">
      <t>ガイチュウ</t>
    </rPh>
    <rPh sb="15" eb="17">
      <t>コウジョウ</t>
    </rPh>
    <phoneticPr fontId="2"/>
  </si>
  <si>
    <r>
      <rPr>
        <sz val="9"/>
        <rFont val="ＭＳ Ｐゴシック"/>
        <family val="3"/>
        <charset val="128"/>
      </rPr>
      <t>輸送費</t>
    </r>
    <rPh sb="0" eb="2">
      <t>ユソウ</t>
    </rPh>
    <rPh sb="2" eb="3">
      <t>ヒ</t>
    </rPh>
    <phoneticPr fontId="2"/>
  </si>
  <si>
    <r>
      <rPr>
        <sz val="9"/>
        <color indexed="10"/>
        <rFont val="ＭＳ Ｐゴシック"/>
        <family val="3"/>
        <charset val="128"/>
      </rPr>
      <t>入数　　（個</t>
    </r>
    <r>
      <rPr>
        <sz val="9"/>
        <color indexed="10"/>
        <rFont val="Arial Narrow"/>
        <family val="2"/>
      </rPr>
      <t>/</t>
    </r>
    <r>
      <rPr>
        <sz val="9"/>
        <color indexed="10"/>
        <rFont val="ＭＳ Ｐゴシック"/>
        <family val="3"/>
        <charset val="128"/>
      </rPr>
      <t>箱）</t>
    </r>
    <rPh sb="0" eb="1">
      <t>イリ</t>
    </rPh>
    <rPh sb="1" eb="2">
      <t>カズ</t>
    </rPh>
    <rPh sb="5" eb="6">
      <t>コ</t>
    </rPh>
    <rPh sb="7" eb="8">
      <t>ハコ</t>
    </rPh>
    <phoneticPr fontId="2"/>
  </si>
  <si>
    <r>
      <rPr>
        <sz val="9"/>
        <rFont val="ＭＳ Ｐゴシック"/>
        <family val="3"/>
        <charset val="128"/>
      </rPr>
      <t>資材費</t>
    </r>
    <rPh sb="0" eb="2">
      <t>シザイ</t>
    </rPh>
    <rPh sb="2" eb="3">
      <t>ヒ</t>
    </rPh>
    <phoneticPr fontId="2"/>
  </si>
  <si>
    <r>
      <rPr>
        <sz val="9"/>
        <color indexed="10"/>
        <rFont val="ＭＳ Ｐゴシック"/>
        <family val="3"/>
        <charset val="128"/>
      </rPr>
      <t>チャージ（円</t>
    </r>
    <r>
      <rPr>
        <sz val="9"/>
        <color indexed="10"/>
        <rFont val="Arial Narrow"/>
        <family val="2"/>
      </rPr>
      <t>/hr)</t>
    </r>
    <rPh sb="5" eb="6">
      <t>エン</t>
    </rPh>
    <phoneticPr fontId="2"/>
  </si>
  <si>
    <r>
      <rPr>
        <sz val="9"/>
        <color indexed="10"/>
        <rFont val="ＭＳ Ｐゴシック"/>
        <family val="3"/>
        <charset val="128"/>
      </rPr>
      <t>タクト</t>
    </r>
    <r>
      <rPr>
        <sz val="9"/>
        <color indexed="10"/>
        <rFont val="Arial Narrow"/>
        <family val="2"/>
      </rPr>
      <t>(sec</t>
    </r>
    <r>
      <rPr>
        <sz val="9"/>
        <color indexed="10"/>
        <rFont val="ＭＳ Ｐゴシック"/>
        <family val="3"/>
        <charset val="128"/>
      </rPr>
      <t>）</t>
    </r>
    <phoneticPr fontId="2"/>
  </si>
  <si>
    <r>
      <rPr>
        <sz val="9"/>
        <color indexed="12"/>
        <rFont val="ＭＳ Ｐゴシック"/>
        <family val="3"/>
        <charset val="128"/>
      </rPr>
      <t>梱包費　　（円</t>
    </r>
    <r>
      <rPr>
        <sz val="9"/>
        <color indexed="12"/>
        <rFont val="Arial Narrow"/>
        <family val="2"/>
      </rPr>
      <t>/</t>
    </r>
    <r>
      <rPr>
        <sz val="9"/>
        <color indexed="12"/>
        <rFont val="ＭＳ Ｐゴシック"/>
        <family val="3"/>
        <charset val="128"/>
      </rPr>
      <t>個）</t>
    </r>
    <rPh sb="0" eb="2">
      <t>コンポウ</t>
    </rPh>
    <rPh sb="2" eb="3">
      <t>ヒ</t>
    </rPh>
    <rPh sb="6" eb="7">
      <t>エン</t>
    </rPh>
    <rPh sb="8" eb="9">
      <t>コ</t>
    </rPh>
    <phoneticPr fontId="2"/>
  </si>
  <si>
    <r>
      <t>box</t>
    </r>
    <r>
      <rPr>
        <sz val="9"/>
        <color indexed="10"/>
        <rFont val="ＭＳ Ｐゴシック"/>
        <family val="3"/>
        <charset val="128"/>
      </rPr>
      <t>　　（円</t>
    </r>
    <r>
      <rPr>
        <sz val="9"/>
        <color indexed="10"/>
        <rFont val="Arial Narrow"/>
        <family val="2"/>
      </rPr>
      <t>/</t>
    </r>
    <r>
      <rPr>
        <sz val="9"/>
        <color indexed="10"/>
        <rFont val="ＭＳ Ｐゴシック"/>
        <family val="3"/>
        <charset val="128"/>
      </rPr>
      <t>個）</t>
    </r>
    <rPh sb="6" eb="7">
      <t>エン</t>
    </rPh>
    <rPh sb="8" eb="9">
      <t>コ</t>
    </rPh>
    <phoneticPr fontId="2"/>
  </si>
  <si>
    <r>
      <t xml:space="preserve">total
</t>
    </r>
    <r>
      <rPr>
        <sz val="9"/>
        <color indexed="12"/>
        <rFont val="ＭＳ Ｐゴシック"/>
        <family val="3"/>
        <charset val="128"/>
      </rPr>
      <t>（円</t>
    </r>
    <r>
      <rPr>
        <sz val="9"/>
        <color indexed="12"/>
        <rFont val="Arial Narrow"/>
        <family val="2"/>
      </rPr>
      <t>/</t>
    </r>
    <r>
      <rPr>
        <sz val="9"/>
        <color indexed="12"/>
        <rFont val="ＭＳ Ｐゴシック"/>
        <family val="3"/>
        <charset val="128"/>
      </rPr>
      <t>個）</t>
    </r>
    <rPh sb="7" eb="8">
      <t>エン</t>
    </rPh>
    <rPh sb="9" eb="10">
      <t>コ</t>
    </rPh>
    <phoneticPr fontId="2"/>
  </si>
  <si>
    <r>
      <t>charge</t>
    </r>
    <r>
      <rPr>
        <sz val="9"/>
        <color indexed="10"/>
        <rFont val="ＭＳ Ｐゴシック"/>
        <family val="3"/>
        <charset val="128"/>
      </rPr>
      <t>（円</t>
    </r>
    <r>
      <rPr>
        <sz val="9"/>
        <color indexed="10"/>
        <rFont val="Arial Narrow"/>
        <family val="2"/>
      </rPr>
      <t>/hr)</t>
    </r>
    <rPh sb="7" eb="8">
      <t>エン</t>
    </rPh>
    <phoneticPr fontId="2"/>
  </si>
  <si>
    <r>
      <t>tact time</t>
    </r>
    <r>
      <rPr>
        <sz val="9"/>
        <color indexed="10"/>
        <rFont val="ＭＳ Ｐゴシック"/>
        <family val="3"/>
        <charset val="128"/>
      </rPr>
      <t>（</t>
    </r>
    <r>
      <rPr>
        <sz val="9"/>
        <color indexed="10"/>
        <rFont val="Arial Narrow"/>
        <family val="2"/>
      </rPr>
      <t>sec)</t>
    </r>
    <phoneticPr fontId="2"/>
  </si>
  <si>
    <r>
      <rPr>
        <sz val="9"/>
        <color indexed="10"/>
        <rFont val="ＭＳ Ｐゴシック"/>
        <family val="3"/>
        <charset val="128"/>
      </rPr>
      <t>（円</t>
    </r>
    <r>
      <rPr>
        <sz val="9"/>
        <color indexed="10"/>
        <rFont val="Arial Narrow"/>
        <family val="2"/>
      </rPr>
      <t>/</t>
    </r>
    <r>
      <rPr>
        <sz val="9"/>
        <color indexed="10"/>
        <rFont val="ＭＳ Ｐゴシック"/>
        <family val="3"/>
        <charset val="128"/>
      </rPr>
      <t>箱）</t>
    </r>
    <rPh sb="1" eb="2">
      <t>エン</t>
    </rPh>
    <rPh sb="3" eb="4">
      <t>ハコ</t>
    </rPh>
    <phoneticPr fontId="2"/>
  </si>
  <si>
    <r>
      <rPr>
        <sz val="9"/>
        <color indexed="12"/>
        <rFont val="ＭＳ Ｐゴシック"/>
        <family val="3"/>
        <charset val="128"/>
      </rPr>
      <t>（円</t>
    </r>
    <r>
      <rPr>
        <sz val="9"/>
        <color indexed="12"/>
        <rFont val="Arial Narrow"/>
        <family val="2"/>
      </rPr>
      <t>/</t>
    </r>
    <r>
      <rPr>
        <sz val="9"/>
        <color indexed="12"/>
        <rFont val="ＭＳ Ｐゴシック"/>
        <family val="3"/>
        <charset val="128"/>
      </rPr>
      <t>個）</t>
    </r>
    <rPh sb="1" eb="2">
      <t>エン</t>
    </rPh>
    <rPh sb="3" eb="4">
      <t>コ</t>
    </rPh>
    <phoneticPr fontId="2"/>
  </si>
  <si>
    <r>
      <rPr>
        <sz val="9"/>
        <color indexed="10"/>
        <rFont val="ＭＳ Ｐゴシック"/>
        <family val="3"/>
        <charset val="128"/>
      </rPr>
      <t>（円</t>
    </r>
    <r>
      <rPr>
        <sz val="9"/>
        <color indexed="10"/>
        <rFont val="Arial Narrow"/>
        <family val="2"/>
      </rPr>
      <t>/</t>
    </r>
    <r>
      <rPr>
        <sz val="9"/>
        <color indexed="10"/>
        <rFont val="ＭＳ Ｐゴシック"/>
        <family val="3"/>
        <charset val="128"/>
      </rPr>
      <t>個）</t>
    </r>
    <rPh sb="1" eb="2">
      <t>エン</t>
    </rPh>
    <rPh sb="3" eb="4">
      <t>コ</t>
    </rPh>
    <phoneticPr fontId="2"/>
  </si>
  <si>
    <r>
      <rPr>
        <sz val="9"/>
        <color indexed="10"/>
        <rFont val="ＭＳ Ｐゴシック"/>
        <family val="3"/>
        <charset val="128"/>
      </rPr>
      <t>個数</t>
    </r>
    <rPh sb="0" eb="2">
      <t>コスウ</t>
    </rPh>
    <phoneticPr fontId="2"/>
  </si>
  <si>
    <r>
      <rPr>
        <sz val="9"/>
        <color indexed="10"/>
        <rFont val="ＭＳ Ｐゴシック"/>
        <family val="3"/>
        <charset val="128"/>
      </rPr>
      <t>円</t>
    </r>
    <r>
      <rPr>
        <sz val="9"/>
        <color indexed="10"/>
        <rFont val="Arial Narrow"/>
        <family val="2"/>
      </rPr>
      <t>/</t>
    </r>
    <r>
      <rPr>
        <sz val="9"/>
        <color indexed="10"/>
        <rFont val="ＭＳ Ｐゴシック"/>
        <family val="3"/>
        <charset val="128"/>
      </rPr>
      <t>箱</t>
    </r>
    <rPh sb="0" eb="1">
      <t>エン</t>
    </rPh>
    <rPh sb="2" eb="3">
      <t>ハコ</t>
    </rPh>
    <phoneticPr fontId="2"/>
  </si>
  <si>
    <r>
      <rPr>
        <sz val="9"/>
        <color indexed="12"/>
        <rFont val="ＭＳ Ｐゴシック"/>
        <family val="3"/>
        <charset val="128"/>
      </rPr>
      <t>円</t>
    </r>
    <r>
      <rPr>
        <sz val="9"/>
        <color indexed="12"/>
        <rFont val="Arial Narrow"/>
        <family val="2"/>
      </rPr>
      <t>/</t>
    </r>
    <r>
      <rPr>
        <sz val="9"/>
        <color indexed="12"/>
        <rFont val="ＭＳ Ｐゴシック"/>
        <family val="3"/>
        <charset val="128"/>
      </rPr>
      <t>個</t>
    </r>
    <rPh sb="0" eb="1">
      <t>エン</t>
    </rPh>
    <rPh sb="2" eb="3">
      <t>コ</t>
    </rPh>
    <phoneticPr fontId="2"/>
  </si>
  <si>
    <r>
      <t>1Cav</t>
    </r>
    <r>
      <rPr>
        <sz val="9"/>
        <color indexed="10"/>
        <rFont val="ＭＳ Ｐゴシック"/>
        <family val="3"/>
        <charset val="128"/>
      </rPr>
      <t>あたりの製作費</t>
    </r>
    <rPh sb="8" eb="10">
      <t>セイサク</t>
    </rPh>
    <rPh sb="10" eb="11">
      <t>ヒ</t>
    </rPh>
    <phoneticPr fontId="2"/>
  </si>
  <si>
    <r>
      <rPr>
        <sz val="9"/>
        <color indexed="10"/>
        <rFont val="ＭＳ Ｐゴシック"/>
        <family val="3"/>
        <charset val="128"/>
      </rPr>
      <t>金型部品費　（千円）</t>
    </r>
    <rPh sb="0" eb="2">
      <t>カナガタ</t>
    </rPh>
    <rPh sb="2" eb="4">
      <t>ブヒン</t>
    </rPh>
    <rPh sb="4" eb="5">
      <t>ヒ</t>
    </rPh>
    <rPh sb="7" eb="9">
      <t>センエン</t>
    </rPh>
    <phoneticPr fontId="2"/>
  </si>
  <si>
    <r>
      <rPr>
        <sz val="9"/>
        <rFont val="ＭＳ Ｐゴシック"/>
        <family val="3"/>
        <charset val="128"/>
      </rPr>
      <t>金型費合計　（千円）</t>
    </r>
    <rPh sb="0" eb="2">
      <t>カナガタ</t>
    </rPh>
    <rPh sb="2" eb="3">
      <t>ヒ</t>
    </rPh>
    <rPh sb="3" eb="5">
      <t>ゴウケイ</t>
    </rPh>
    <rPh sb="7" eb="9">
      <t>センエン</t>
    </rPh>
    <phoneticPr fontId="2"/>
  </si>
  <si>
    <r>
      <rPr>
        <sz val="9"/>
        <color indexed="10"/>
        <rFont val="ＭＳ Ｐゴシック"/>
        <family val="3"/>
        <charset val="128"/>
      </rPr>
      <t>購入部品</t>
    </r>
    <rPh sb="0" eb="2">
      <t>コウニュウ</t>
    </rPh>
    <rPh sb="2" eb="4">
      <t>ブヒン</t>
    </rPh>
    <phoneticPr fontId="2"/>
  </si>
  <si>
    <r>
      <rPr>
        <sz val="9"/>
        <color indexed="10"/>
        <rFont val="ＭＳ Ｐゴシック"/>
        <family val="3"/>
        <charset val="128"/>
      </rPr>
      <t>ホット　　　　ランナー</t>
    </r>
    <phoneticPr fontId="2"/>
  </si>
  <si>
    <r>
      <rPr>
        <sz val="9"/>
        <color indexed="10"/>
        <rFont val="ＭＳ Ｐゴシック"/>
        <family val="3"/>
        <charset val="128"/>
      </rPr>
      <t>その他</t>
    </r>
    <rPh sb="2" eb="3">
      <t>タ</t>
    </rPh>
    <phoneticPr fontId="2"/>
  </si>
  <si>
    <r>
      <rPr>
        <sz val="9"/>
        <color indexed="10"/>
        <rFont val="ＭＳ Ｐゴシック"/>
        <family val="3"/>
        <charset val="128"/>
      </rPr>
      <t>本体　　　加工費</t>
    </r>
    <rPh sb="0" eb="2">
      <t>ホンタイ</t>
    </rPh>
    <rPh sb="5" eb="8">
      <t>カコウヒ</t>
    </rPh>
    <phoneticPr fontId="2"/>
  </si>
  <si>
    <r>
      <rPr>
        <sz val="9"/>
        <color indexed="10"/>
        <rFont val="ＭＳ Ｐゴシック"/>
        <family val="3"/>
        <charset val="128"/>
      </rPr>
      <t>組付調整</t>
    </r>
    <rPh sb="0" eb="2">
      <t>クミツ</t>
    </rPh>
    <rPh sb="2" eb="4">
      <t>チョウセイ</t>
    </rPh>
    <phoneticPr fontId="2"/>
  </si>
  <si>
    <r>
      <rPr>
        <sz val="9"/>
        <color indexed="10"/>
        <rFont val="ＭＳ Ｐゴシック"/>
        <family val="3"/>
        <charset val="128"/>
      </rPr>
      <t>寸法測定</t>
    </r>
    <rPh sb="0" eb="2">
      <t>スンポウ</t>
    </rPh>
    <rPh sb="2" eb="4">
      <t>ソクテイ</t>
    </rPh>
    <phoneticPr fontId="2"/>
  </si>
  <si>
    <r>
      <rPr>
        <sz val="9"/>
        <color indexed="10"/>
        <rFont val="ＭＳ Ｐゴシック"/>
        <family val="3"/>
        <charset val="128"/>
      </rPr>
      <t>スライド</t>
    </r>
    <r>
      <rPr>
        <sz val="9"/>
        <color indexed="10"/>
        <rFont val="Arial Narrow"/>
        <family val="2"/>
      </rPr>
      <t>1</t>
    </r>
    <phoneticPr fontId="2"/>
  </si>
  <si>
    <r>
      <rPr>
        <sz val="9"/>
        <color indexed="10"/>
        <rFont val="ＭＳ Ｐゴシック"/>
        <family val="3"/>
        <charset val="128"/>
      </rPr>
      <t>スライド</t>
    </r>
    <r>
      <rPr>
        <sz val="9"/>
        <color indexed="10"/>
        <rFont val="Arial Narrow"/>
        <family val="2"/>
      </rPr>
      <t>2</t>
    </r>
    <phoneticPr fontId="2"/>
  </si>
  <si>
    <r>
      <rPr>
        <sz val="9"/>
        <color indexed="10"/>
        <rFont val="ＭＳ Ｐゴシック"/>
        <family val="3"/>
        <charset val="128"/>
      </rPr>
      <t>形状</t>
    </r>
    <r>
      <rPr>
        <sz val="9"/>
        <color indexed="10"/>
        <rFont val="Arial Narrow"/>
        <family val="2"/>
      </rPr>
      <t>1</t>
    </r>
    <rPh sb="0" eb="2">
      <t>ケイジョウ</t>
    </rPh>
    <phoneticPr fontId="2"/>
  </si>
  <si>
    <r>
      <rPr>
        <sz val="9"/>
        <color indexed="10"/>
        <rFont val="ＭＳ Ｐゴシック"/>
        <family val="3"/>
        <charset val="128"/>
      </rPr>
      <t>形状</t>
    </r>
    <r>
      <rPr>
        <sz val="9"/>
        <color indexed="10"/>
        <rFont val="Arial Narrow"/>
        <family val="2"/>
      </rPr>
      <t>2</t>
    </r>
    <rPh sb="0" eb="2">
      <t>ケイジョウ</t>
    </rPh>
    <phoneticPr fontId="2"/>
  </si>
  <si>
    <r>
      <rPr>
        <sz val="9"/>
        <color indexed="10"/>
        <rFont val="ＭＳ Ｐゴシック"/>
        <family val="3"/>
        <charset val="128"/>
      </rPr>
      <t>形状</t>
    </r>
    <r>
      <rPr>
        <sz val="9"/>
        <color indexed="10"/>
        <rFont val="Arial Narrow"/>
        <family val="2"/>
      </rPr>
      <t>3</t>
    </r>
    <rPh sb="0" eb="2">
      <t>ケイジョウ</t>
    </rPh>
    <phoneticPr fontId="2"/>
  </si>
  <si>
    <r>
      <rPr>
        <sz val="9"/>
        <color indexed="10"/>
        <rFont val="ＭＳ Ｐゴシック"/>
        <family val="3"/>
        <charset val="128"/>
      </rPr>
      <t>形状</t>
    </r>
    <r>
      <rPr>
        <sz val="9"/>
        <color indexed="10"/>
        <rFont val="Arial Narrow"/>
        <family val="2"/>
      </rPr>
      <t>4</t>
    </r>
    <rPh sb="0" eb="2">
      <t>ケイジョウ</t>
    </rPh>
    <phoneticPr fontId="2"/>
  </si>
  <si>
    <r>
      <rPr>
        <sz val="9"/>
        <color indexed="10"/>
        <rFont val="ＭＳ Ｐゴシック"/>
        <family val="3"/>
        <charset val="128"/>
      </rPr>
      <t>形状</t>
    </r>
    <r>
      <rPr>
        <sz val="9"/>
        <color indexed="10"/>
        <rFont val="Arial Narrow"/>
        <family val="2"/>
      </rPr>
      <t>5</t>
    </r>
    <rPh sb="0" eb="2">
      <t>ケイジョウ</t>
    </rPh>
    <phoneticPr fontId="2"/>
  </si>
  <si>
    <r>
      <rPr>
        <sz val="9"/>
        <color indexed="10"/>
        <rFont val="ＭＳ Ｐゴシック"/>
        <family val="3"/>
        <charset val="128"/>
      </rPr>
      <t>形状</t>
    </r>
    <r>
      <rPr>
        <sz val="9"/>
        <color indexed="10"/>
        <rFont val="Arial Narrow"/>
        <family val="2"/>
      </rPr>
      <t>6</t>
    </r>
    <rPh sb="0" eb="2">
      <t>ケイジョウ</t>
    </rPh>
    <phoneticPr fontId="2"/>
  </si>
  <si>
    <r>
      <rPr>
        <sz val="9"/>
        <color indexed="10"/>
        <rFont val="ＭＳ Ｐゴシック"/>
        <family val="3"/>
        <charset val="128"/>
      </rPr>
      <t>形状</t>
    </r>
    <r>
      <rPr>
        <sz val="9"/>
        <color indexed="10"/>
        <rFont val="Arial Narrow"/>
        <family val="2"/>
      </rPr>
      <t>7</t>
    </r>
    <rPh sb="0" eb="2">
      <t>ケイジョウ</t>
    </rPh>
    <phoneticPr fontId="2"/>
  </si>
  <si>
    <r>
      <rPr>
        <sz val="9"/>
        <rFont val="ＭＳ Ｐゴシック"/>
        <family val="3"/>
        <charset val="128"/>
      </rPr>
      <t>製作代　　合計</t>
    </r>
    <rPh sb="0" eb="2">
      <t>セイサク</t>
    </rPh>
    <rPh sb="2" eb="3">
      <t>ダイ</t>
    </rPh>
    <rPh sb="5" eb="7">
      <t>ゴウケイ</t>
    </rPh>
    <phoneticPr fontId="2"/>
  </si>
  <si>
    <r>
      <rPr>
        <sz val="9"/>
        <rFont val="ＭＳ Ｐゴシック"/>
        <family val="3"/>
        <charset val="128"/>
      </rPr>
      <t>メーカー利益</t>
    </r>
    <rPh sb="4" eb="6">
      <t>リエキ</t>
    </rPh>
    <phoneticPr fontId="2"/>
  </si>
  <si>
    <r>
      <rPr>
        <sz val="9"/>
        <rFont val="ＭＳ Ｐゴシック"/>
        <family val="3"/>
        <charset val="128"/>
      </rPr>
      <t>総合計</t>
    </r>
    <rPh sb="0" eb="1">
      <t>ソウ</t>
    </rPh>
    <rPh sb="1" eb="3">
      <t>ゴウケイ</t>
    </rPh>
    <phoneticPr fontId="2"/>
  </si>
  <si>
    <r>
      <rPr>
        <sz val="9"/>
        <color indexed="10"/>
        <rFont val="ＭＳ Ｐゴシック"/>
        <family val="3"/>
        <charset val="128"/>
      </rPr>
      <t>（％）</t>
    </r>
    <phoneticPr fontId="2"/>
  </si>
  <si>
    <r>
      <rPr>
        <sz val="9"/>
        <rFont val="ＭＳ Ｐゴシック"/>
        <family val="3"/>
        <charset val="128"/>
      </rPr>
      <t>（千円）</t>
    </r>
    <rPh sb="1" eb="3">
      <t>センエン</t>
    </rPh>
    <phoneticPr fontId="2"/>
  </si>
  <si>
    <t>Prod. loss (defect)</t>
    <phoneticPr fontId="2"/>
  </si>
  <si>
    <t>MH Charge</t>
    <phoneticPr fontId="2"/>
  </si>
  <si>
    <t>Process Cost</t>
    <phoneticPr fontId="2"/>
  </si>
  <si>
    <t>Cycle Time
(sec)</t>
    <phoneticPr fontId="2"/>
  </si>
  <si>
    <t>Demand</t>
    <phoneticPr fontId="2"/>
  </si>
  <si>
    <t>Process Name</t>
    <phoneticPr fontId="2"/>
  </si>
  <si>
    <t>Operetion Hour (Hr/Day)</t>
    <phoneticPr fontId="2"/>
  </si>
  <si>
    <t>Interest Rate (Annual)</t>
    <phoneticPr fontId="2"/>
  </si>
  <si>
    <t>Injection Molding Parts, Direct Cost</t>
    <phoneticPr fontId="2"/>
  </si>
  <si>
    <t>Process
No.</t>
    <phoneticPr fontId="2"/>
  </si>
  <si>
    <t>Defect
(%)</t>
    <phoneticPr fontId="2"/>
  </si>
  <si>
    <t>Loss Rate</t>
    <phoneticPr fontId="2"/>
  </si>
  <si>
    <r>
      <t>Disposal</t>
    </r>
    <r>
      <rPr>
        <sz val="9"/>
        <rFont val="ＭＳ Ｐゴシック"/>
        <family val="3"/>
        <charset val="128"/>
      </rPr>
      <t>　</t>
    </r>
    <r>
      <rPr>
        <sz val="9"/>
        <rFont val="Arial Narrow"/>
        <family val="2"/>
      </rPr>
      <t>(%)</t>
    </r>
    <phoneticPr fontId="2"/>
  </si>
  <si>
    <t>Material Cost
(JPY/pcs)</t>
    <phoneticPr fontId="2"/>
  </si>
  <si>
    <t>Resin Name</t>
    <phoneticPr fontId="2"/>
  </si>
  <si>
    <t>Grade</t>
    <phoneticPr fontId="2"/>
  </si>
  <si>
    <t># Of
Cavity</t>
    <phoneticPr fontId="2"/>
  </si>
  <si>
    <t>POM</t>
    <phoneticPr fontId="2"/>
  </si>
  <si>
    <t>FX-11J</t>
    <phoneticPr fontId="2"/>
  </si>
  <si>
    <t>Other Direct Cost</t>
    <phoneticPr fontId="2"/>
  </si>
  <si>
    <t>Assign /machine</t>
    <phoneticPr fontId="2"/>
  </si>
  <si>
    <t>FEAP Horizontal</t>
    <phoneticPr fontId="2"/>
  </si>
  <si>
    <t>FEAP Vertical</t>
    <phoneticPr fontId="2"/>
  </si>
  <si>
    <t>Off Line Work</t>
    <phoneticPr fontId="2"/>
  </si>
  <si>
    <t>BSS Vertical</t>
    <phoneticPr fontId="2"/>
  </si>
  <si>
    <t>Amortization</t>
    <phoneticPr fontId="2"/>
  </si>
  <si>
    <t>Ratio Indirect-Direct/Direct</t>
    <phoneticPr fontId="2"/>
  </si>
  <si>
    <t>FOREX ( 1 USD= )</t>
    <phoneticPr fontId="2"/>
  </si>
  <si>
    <t>FOREX ( 1 PHP= )</t>
    <phoneticPr fontId="2"/>
  </si>
  <si>
    <t>Payment Term (months)</t>
    <phoneticPr fontId="2"/>
  </si>
  <si>
    <t>Start to Investment</t>
    <phoneticPr fontId="2"/>
  </si>
  <si>
    <t>Start to mass prod.</t>
    <phoneticPr fontId="2"/>
  </si>
  <si>
    <t>Resin</t>
    <phoneticPr fontId="2"/>
  </si>
  <si>
    <t>1. Resin Purchasing Price</t>
    <phoneticPr fontId="2"/>
  </si>
  <si>
    <t>Resin Name</t>
    <phoneticPr fontId="2"/>
  </si>
  <si>
    <t>Purchasing Price (original forex)</t>
    <phoneticPr fontId="2"/>
  </si>
  <si>
    <t>Purchasing Price (JPY)</t>
    <phoneticPr fontId="2"/>
  </si>
  <si>
    <t>/kg</t>
  </si>
  <si>
    <t>P/N#</t>
    <phoneticPr fontId="2"/>
  </si>
  <si>
    <t>Color</t>
    <phoneticPr fontId="2"/>
  </si>
  <si>
    <t>Natural</t>
    <phoneticPr fontId="2"/>
  </si>
  <si>
    <t>Orange</t>
    <phoneticPr fontId="2"/>
  </si>
  <si>
    <t>Green</t>
    <phoneticPr fontId="2"/>
  </si>
  <si>
    <t>Blue</t>
    <phoneticPr fontId="2"/>
  </si>
  <si>
    <t>Yellow</t>
    <phoneticPr fontId="2"/>
  </si>
  <si>
    <t>PP J715M</t>
    <phoneticPr fontId="2"/>
  </si>
  <si>
    <t>PP master batch</t>
    <phoneticPr fontId="2"/>
  </si>
  <si>
    <t>Black</t>
    <phoneticPr fontId="2"/>
  </si>
  <si>
    <t>PBT PB-25K</t>
    <phoneticPr fontId="2"/>
  </si>
  <si>
    <t>ULTRADUR B4520</t>
    <phoneticPr fontId="2"/>
  </si>
  <si>
    <t>POM IUPITAL F30-03, FOP 3CA030 ORG</t>
    <phoneticPr fontId="2"/>
  </si>
  <si>
    <t>POM IUPITAL F30-03, FOP 3CA030 ORG</t>
    <phoneticPr fontId="2"/>
  </si>
  <si>
    <t>POM IUPITAL F30-03, FOP  5CA120 GRN</t>
    <phoneticPr fontId="2"/>
  </si>
  <si>
    <t>POM IUPITAL F30-03, FOP 7CA311 BLU</t>
    <phoneticPr fontId="2"/>
  </si>
  <si>
    <t>POM IUPITAL F30-03, FOP 2CA087 YEL</t>
    <phoneticPr fontId="2"/>
  </si>
  <si>
    <t xml:space="preserve">FOREX ; </t>
    <phoneticPr fontId="2"/>
  </si>
  <si>
    <t>2. Re-cycle Cost Caliclation</t>
    <phoneticPr fontId="2"/>
  </si>
  <si>
    <t>Resin</t>
    <phoneticPr fontId="2"/>
  </si>
  <si>
    <t>Recycle machine</t>
    <phoneticPr fontId="2"/>
  </si>
  <si>
    <t>Electric power consumption</t>
    <phoneticPr fontId="2"/>
  </si>
  <si>
    <t>kWh</t>
    <phoneticPr fontId="2"/>
  </si>
  <si>
    <t>Recycle
Machine</t>
    <phoneticPr fontId="2"/>
  </si>
  <si>
    <t>Electric power
Consumption</t>
    <phoneticPr fontId="2"/>
  </si>
  <si>
    <t>Electricity Cost</t>
    <phoneticPr fontId="2"/>
  </si>
  <si>
    <t>Total Qty of machine</t>
    <phoneticPr fontId="2"/>
  </si>
  <si>
    <t>JPY/hr</t>
  </si>
  <si>
    <t>JPY/hr</t>
    <phoneticPr fontId="2"/>
  </si>
  <si>
    <t>JPY/hr-machine</t>
    <phoneticPr fontId="2"/>
  </si>
  <si>
    <t>machines</t>
    <phoneticPr fontId="2"/>
  </si>
  <si>
    <t>Man Charge</t>
    <phoneticPr fontId="2"/>
  </si>
  <si>
    <t>MP</t>
    <phoneticPr fontId="2"/>
  </si>
  <si>
    <t>Rate</t>
    <phoneticPr fontId="2"/>
  </si>
  <si>
    <t>Machine Capacity</t>
    <phoneticPr fontId="2"/>
  </si>
  <si>
    <t>kg/h-machine</t>
    <phoneticPr fontId="2"/>
  </si>
  <si>
    <t>kg/hr</t>
    <phoneticPr fontId="2"/>
  </si>
  <si>
    <t>FEAP Recycle cost</t>
    <phoneticPr fontId="2"/>
  </si>
  <si>
    <t>Disposal cost</t>
    <phoneticPr fontId="2"/>
  </si>
  <si>
    <t>Purge
(%)</t>
    <phoneticPr fontId="2"/>
  </si>
  <si>
    <t>pcs/M</t>
    <phoneticPr fontId="2"/>
  </si>
  <si>
    <t>Operational Availability(%)</t>
    <phoneticPr fontId="2"/>
  </si>
  <si>
    <t>Daily</t>
    <phoneticPr fontId="2"/>
  </si>
  <si>
    <t>Demand</t>
    <phoneticPr fontId="2"/>
  </si>
  <si>
    <t>Ave.</t>
    <phoneticPr fontId="2"/>
  </si>
  <si>
    <t>(Pcs/time)</t>
    <phoneticPr fontId="2"/>
  </si>
  <si>
    <t>/ Month</t>
    <phoneticPr fontId="2"/>
  </si>
  <si>
    <t>Y2020</t>
    <phoneticPr fontId="2"/>
  </si>
  <si>
    <t>Ave.Days</t>
    <phoneticPr fontId="2"/>
  </si>
  <si>
    <t>Purge Loss</t>
    <phoneticPr fontId="2"/>
  </si>
  <si>
    <t>Shots/Lot</t>
    <phoneticPr fontId="2"/>
  </si>
  <si>
    <t>g/pc</t>
    <phoneticPr fontId="2"/>
  </si>
  <si>
    <t>shots/Lot</t>
    <phoneticPr fontId="2"/>
  </si>
  <si>
    <t>g/Lot</t>
    <phoneticPr fontId="2"/>
  </si>
  <si>
    <t>g/shot</t>
    <phoneticPr fontId="2"/>
  </si>
  <si>
    <t>Runner</t>
    <phoneticPr fontId="2"/>
  </si>
  <si>
    <t>Parts</t>
    <phoneticPr fontId="2"/>
  </si>
  <si>
    <r>
      <t>/</t>
    </r>
    <r>
      <rPr>
        <sz val="9"/>
        <color indexed="12"/>
        <rFont val="ＭＳ Ｐゴシック"/>
        <family val="3"/>
        <charset val="128"/>
      </rPr>
      <t>海外工場出荷品</t>
    </r>
    <r>
      <rPr>
        <sz val="9"/>
        <color indexed="12"/>
        <rFont val="Arial Narrow"/>
        <family val="2"/>
      </rPr>
      <t>(</t>
    </r>
    <r>
      <rPr>
        <sz val="9"/>
        <color indexed="12"/>
        <rFont val="ＭＳ Ｐゴシック"/>
        <family val="3"/>
        <charset val="128"/>
      </rPr>
      <t>三重工場売上なし</t>
    </r>
    <r>
      <rPr>
        <sz val="9"/>
        <color indexed="12"/>
        <rFont val="Arial Narrow"/>
        <family val="2"/>
      </rPr>
      <t>)</t>
    </r>
    <r>
      <rPr>
        <sz val="9"/>
        <color indexed="12"/>
        <rFont val="ＭＳ Ｐゴシック"/>
        <family val="3"/>
        <charset val="128"/>
      </rPr>
      <t>提示なし</t>
    </r>
    <rPh sb="1" eb="3">
      <t>カイガイ</t>
    </rPh>
    <rPh sb="3" eb="5">
      <t>コウジョウ</t>
    </rPh>
    <rPh sb="5" eb="7">
      <t>シュッカ</t>
    </rPh>
    <rPh sb="7" eb="8">
      <t>ヒン</t>
    </rPh>
    <rPh sb="9" eb="11">
      <t>ミエ</t>
    </rPh>
    <rPh sb="11" eb="13">
      <t>コウジョウ</t>
    </rPh>
    <rPh sb="13" eb="15">
      <t>ウリアゲ</t>
    </rPh>
    <rPh sb="18" eb="20">
      <t>テイジ</t>
    </rPh>
    <phoneticPr fontId="2"/>
  </si>
  <si>
    <r>
      <rPr>
        <sz val="9"/>
        <color indexed="12"/>
        <rFont val="ＭＳ Ｐゴシック"/>
        <family val="3"/>
        <charset val="128"/>
      </rPr>
      <t>※対直原比率</t>
    </r>
    <rPh sb="1" eb="2">
      <t>タイ</t>
    </rPh>
    <rPh sb="2" eb="3">
      <t>チョク</t>
    </rPh>
    <rPh sb="3" eb="4">
      <t>ゲン</t>
    </rPh>
    <rPh sb="4" eb="6">
      <t>ヒリツ</t>
    </rPh>
    <phoneticPr fontId="2"/>
  </si>
  <si>
    <t>MT Charge</t>
    <phoneticPr fontId="2"/>
  </si>
  <si>
    <r>
      <t>3.</t>
    </r>
    <r>
      <rPr>
        <sz val="9"/>
        <rFont val="ＭＳ Ｐゴシック"/>
        <family val="3"/>
        <charset val="128"/>
      </rPr>
      <t>輸送費・梱包費資材費を別途計上</t>
    </r>
    <rPh sb="2" eb="5">
      <t>ユソウヒ</t>
    </rPh>
    <rPh sb="6" eb="8">
      <t>コンポウ</t>
    </rPh>
    <rPh sb="8" eb="9">
      <t>ヒ</t>
    </rPh>
    <rPh sb="9" eb="11">
      <t>シザイ</t>
    </rPh>
    <rPh sb="11" eb="12">
      <t>ヒ</t>
    </rPh>
    <rPh sb="13" eb="15">
      <t>ベット</t>
    </rPh>
    <rPh sb="15" eb="17">
      <t>ケイジョウ</t>
    </rPh>
    <phoneticPr fontId="2"/>
  </si>
  <si>
    <t>Consum-</t>
    <phoneticPr fontId="2"/>
  </si>
  <si>
    <t>ption</t>
    <phoneticPr fontId="2"/>
  </si>
  <si>
    <t>JPY/Kg</t>
    <phoneticPr fontId="2"/>
  </si>
  <si>
    <t>Cost</t>
    <phoneticPr fontId="2"/>
  </si>
  <si>
    <t>Recycle</t>
    <phoneticPr fontId="2"/>
  </si>
  <si>
    <t>Ratio</t>
    <phoneticPr fontId="2"/>
  </si>
  <si>
    <t>%</t>
    <phoneticPr fontId="2"/>
  </si>
  <si>
    <t>Disposal</t>
    <phoneticPr fontId="2"/>
  </si>
  <si>
    <t>Intial</t>
    <phoneticPr fontId="2"/>
  </si>
  <si>
    <t>QC</t>
    <phoneticPr fontId="2"/>
  </si>
  <si>
    <t>Sample</t>
    <phoneticPr fontId="2"/>
  </si>
  <si>
    <t>Total</t>
    <phoneticPr fontId="2"/>
  </si>
  <si>
    <t>Operational Availability</t>
    <phoneticPr fontId="2"/>
  </si>
  <si>
    <t>change</t>
    <phoneticPr fontId="2"/>
  </si>
  <si>
    <t>model</t>
    <phoneticPr fontId="2"/>
  </si>
  <si>
    <t>min</t>
    <phoneticPr fontId="2"/>
  </si>
  <si>
    <t>Stop-Start</t>
    <phoneticPr fontId="2"/>
  </si>
  <si>
    <t>Man/Machine</t>
    <phoneticPr fontId="2"/>
  </si>
  <si>
    <t>Charge Rate (JPY/H)</t>
    <phoneticPr fontId="2"/>
  </si>
  <si>
    <t>JPY/hour*man</t>
    <phoneticPr fontId="2"/>
  </si>
  <si>
    <t>JPY/hour*machine</t>
    <phoneticPr fontId="2"/>
  </si>
  <si>
    <t>Consum-</t>
    <phoneticPr fontId="2"/>
  </si>
  <si>
    <t>TMR-050</t>
    <phoneticPr fontId="2"/>
  </si>
  <si>
    <t>Single Shot Inf.</t>
    <phoneticPr fontId="2"/>
  </si>
  <si>
    <t>Production Lot</t>
    <phoneticPr fontId="2"/>
  </si>
  <si>
    <t>JPY/pc</t>
    <phoneticPr fontId="2"/>
  </si>
  <si>
    <t>Prdn</t>
    <phoneticPr fontId="2"/>
  </si>
  <si>
    <t>Shots</t>
    <phoneticPr fontId="2"/>
  </si>
  <si>
    <t>Anneal
process</t>
    <phoneticPr fontId="2"/>
  </si>
  <si>
    <t>YES</t>
    <phoneticPr fontId="2"/>
  </si>
  <si>
    <t>NO</t>
    <phoneticPr fontId="2"/>
  </si>
  <si>
    <t>Defect</t>
    <phoneticPr fontId="2"/>
  </si>
  <si>
    <t>Rate (%)</t>
    <phoneticPr fontId="2"/>
  </si>
  <si>
    <t>Cost</t>
    <phoneticPr fontId="2"/>
  </si>
  <si>
    <t>Anneal Process Cost</t>
    <phoneticPr fontId="2"/>
  </si>
  <si>
    <r>
      <t xml:space="preserve">Parts Cost </t>
    </r>
    <r>
      <rPr>
        <sz val="9"/>
        <rFont val="ＭＳ Ｐゴシック"/>
        <family val="3"/>
        <charset val="128"/>
      </rPr>
      <t>（</t>
    </r>
    <r>
      <rPr>
        <sz val="9"/>
        <rFont val="Arial Narrow"/>
        <family val="2"/>
      </rPr>
      <t>JPY/pcs</t>
    </r>
    <r>
      <rPr>
        <sz val="9"/>
        <rFont val="ＭＳ Ｐゴシック"/>
        <family val="3"/>
        <charset val="128"/>
      </rPr>
      <t>）</t>
    </r>
    <phoneticPr fontId="2"/>
  </si>
  <si>
    <r>
      <t>Direct Cost</t>
    </r>
    <r>
      <rPr>
        <sz val="9"/>
        <color indexed="12"/>
        <rFont val="ＭＳ Ｐゴシック"/>
        <family val="3"/>
        <charset val="128"/>
      </rPr>
      <t>　　（</t>
    </r>
    <r>
      <rPr>
        <sz val="9"/>
        <color indexed="12"/>
        <rFont val="Arial Narrow"/>
        <family val="2"/>
      </rPr>
      <t>JPY/pc)</t>
    </r>
    <phoneticPr fontId="2"/>
  </si>
  <si>
    <t>OA (%)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</si>
</sst>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5">
    <numFmt numFmtId="6" formatCode="&quot;$&quot;#,##0_);[Red]\(&quot;$&quot;#,##0\)"/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¥&quot;#,##0;[Red]&quot;¥&quot;\-#,##0"/>
    <numFmt numFmtId="165" formatCode="&quot;¥&quot;#,##0.00;[Red]&quot;¥&quot;\-#,##0.00"/>
    <numFmt numFmtId="166" formatCode="_ &quot;¥&quot;* #,##0_ ;_ &quot;¥&quot;* \-#,##0_ ;_ &quot;¥&quot;* &quot;-&quot;_ ;_ @_ "/>
    <numFmt numFmtId="167" formatCode="_ * #,##0_ ;_ * \-#,##0_ ;_ * &quot;-&quot;_ ;_ @_ "/>
    <numFmt numFmtId="168" formatCode="_ &quot;¥&quot;* #,##0.00_ ;_ &quot;¥&quot;* \-#,##0.00_ ;_ &quot;¥&quot;* &quot;-&quot;??_ ;_ @_ "/>
    <numFmt numFmtId="169" formatCode="_ * #,##0.00_ ;_ * \-#,##0.00_ ;_ * &quot;-&quot;??_ ;_ @_ "/>
    <numFmt numFmtId="170" formatCode="\$#,##0_);[Red]\(\$#,##0\)"/>
    <numFmt numFmtId="171" formatCode="_-* #,##0_-;\-* #,##0_-;_-* &quot;-&quot;_-;_-@_-"/>
    <numFmt numFmtId="172" formatCode="_-* #,##0.00_-;\-* #,##0.00_-;_-* &quot;-&quot;??_-;_-@_-"/>
    <numFmt numFmtId="173" formatCode="0_);[Red]\(0\)"/>
    <numFmt numFmtId="174" formatCode="#,##0.00_ "/>
    <numFmt numFmtId="175" formatCode="#,##0_ "/>
    <numFmt numFmtId="176" formatCode="0.00_ "/>
    <numFmt numFmtId="177" formatCode="0.0_);[Red]\(0.0\)"/>
    <numFmt numFmtId="178" formatCode="0.0_ "/>
    <numFmt numFmtId="179" formatCode="0.00_);[Red]\(0.00\)"/>
    <numFmt numFmtId="180" formatCode="0.0"/>
    <numFmt numFmtId="181" formatCode="0.0%"/>
    <numFmt numFmtId="182" formatCode="0.000_ "/>
    <numFmt numFmtId="183" formatCode="#,##0.0"/>
    <numFmt numFmtId="184" formatCode="#,##0;\-#,##0;&quot;-&quot;"/>
    <numFmt numFmtId="185" formatCode="#,##0.0_);[Red]\(#,##0.0\)"/>
    <numFmt numFmtId="186" formatCode="0_ "/>
    <numFmt numFmtId="187" formatCode="#,##0.0_ "/>
    <numFmt numFmtId="188" formatCode="\$#,##0;\-\$#,##0"/>
    <numFmt numFmtId="189" formatCode="[$€-2]\ #,##0_);[Red]\([$€-2]\ #,##0\)"/>
    <numFmt numFmtId="190" formatCode="[$THB]\ #,##0_);[Red]\([$THB]\ #,##0\)"/>
    <numFmt numFmtId="191" formatCode="[$Php-3409]#,##0_);[Red]\([$Php-3409]#,##0\)"/>
    <numFmt numFmtId="192" formatCode="[$\-804]#,##0_);[Red]\([$\-804]#,##0\)"/>
    <numFmt numFmtId="193" formatCode="&quot;¥&quot;#,##0_);[Red]\(&quot;¥&quot;#,##0\)"/>
    <numFmt numFmtId="194" formatCode="&quot;$&quot;#,##0.00_);\(&quot;$&quot;#.##0\)"/>
    <numFmt numFmtId="195" formatCode="\$#,##0.000_);[Red]\(\$#,##0.000\)"/>
    <numFmt numFmtId="196" formatCode="_-\$* #,##0.000_ ;_-\$* \-#,##0.000\ ;_-\$* &quot;-&quot;???_ ;_-@_ "/>
    <numFmt numFmtId="197" formatCode="#,##0.0;[Red]\-#,##0.0"/>
    <numFmt numFmtId="198" formatCode="#,##0.0000;[Red]\-#,##0.0000"/>
    <numFmt numFmtId="199" formatCode="[$CNY]\ #,##0.00;[$CNY]\ \-#,##0.00"/>
    <numFmt numFmtId="200" formatCode="[$THB]\ #,##0;[Red][$THB]\ \-#,##0"/>
    <numFmt numFmtId="201" formatCode="#,##0.0_);\(#,##0.0\)"/>
    <numFmt numFmtId="202" formatCode="_(* #,##0.0000_);_(* \(#,##0.0000\);_(* &quot;-&quot;??_);_(@_)"/>
    <numFmt numFmtId="203" formatCode="0.00000%"/>
    <numFmt numFmtId="204" formatCode="0%_);\(0%\)"/>
    <numFmt numFmtId="205" formatCode="&quot;DAT Peregrine 4GB - &quot;#,##0"/>
    <numFmt numFmtId="206" formatCode="&quot;DAT Scorpion 8GB - &quot;#,##0"/>
    <numFmt numFmtId="207" formatCode="0.000000000000000%"/>
    <numFmt numFmtId="208" formatCode="&quot;£&quot;#,##0;\-&quot;£&quot;#,##0"/>
    <numFmt numFmtId="209" formatCode="&quot;£&quot;#,##0;[Red]\-&quot;£&quot;#,##0"/>
    <numFmt numFmtId="210" formatCode="&quot;£&quot;#,##0.00;\-&quot;£&quot;#,##0.00"/>
    <numFmt numFmtId="211" formatCode="&quot;£&quot;#,##0.00;[Red]\-&quot;£&quot;#,##0.00"/>
    <numFmt numFmtId="212" formatCode="_-&quot;£&quot;* #,##0_-;\-&quot;£&quot;* #,##0_-;_-&quot;£&quot;* &quot;-&quot;_-;_-@_-"/>
    <numFmt numFmtId="213" formatCode="&quot;C$&quot;#,##0.00_);[Red]\(&quot;C$&quot;#,##0.00\)"/>
    <numFmt numFmtId="214" formatCode="_(&quot;C$&quot;* #,##0_);_(&quot;C$&quot;* \(#,##0\);_(&quot;C$&quot;* &quot;-&quot;_);_(@_)"/>
    <numFmt numFmtId="215" formatCode="_(&quot;C$&quot;* #,##0.00_);_(&quot;C$&quot;* \(#,##0.00\);_(&quot;C$&quot;* &quot;-&quot;??_);_(@_)"/>
    <numFmt numFmtId="216" formatCode="&quot;£ &quot;#,##0;[Red]\-&quot;£ &quot;#,##0"/>
    <numFmt numFmtId="217" formatCode="_([$€-2]* #,##0.00_);_([$€-2]* \(#,##0.00\);_([$€-2]* &quot;-&quot;??_)"/>
    <numFmt numFmtId="218" formatCode="&quot;TG&quot;0"/>
    <numFmt numFmtId="219" formatCode="#,##0.000;[Red]\-#,##0.000"/>
    <numFmt numFmtId="220" formatCode="_-* #,##0.0_-;\-* #,##0.0_-;_-* &quot;-&quot;_-;_-@_-"/>
    <numFmt numFmtId="221" formatCode="\$&quot;¥&quot;#,##0.00;[Red]\-\$&quot;¥&quot;#,##0.00"/>
    <numFmt numFmtId="222" formatCode="_ &quot;S/&quot;* #,##0_ ;_ &quot;S/&quot;* \-#,##0_ ;_ &quot;S/&quot;* &quot;-&quot;_ ;_ @_ "/>
    <numFmt numFmtId="223" formatCode="_ &quot;S/&quot;* #,##0.00_ ;_ &quot;S/&quot;* \-#,##0.00_ ;_ &quot;S/&quot;* &quot;-&quot;??_ ;_ @_ "/>
    <numFmt numFmtId="224" formatCode="_ * #,##0_ ;_ * &quot;¥&quot;&quot;¥&quot;\-#,##0_ ;_ * &quot;-&quot;_ ;_ @_ "/>
    <numFmt numFmtId="225" formatCode="&quot;$&quot;#,##0_);[Red]&quot;¥&quot;&quot;¥&quot;\(&quot;$&quot;#,##0&quot;¥&quot;&quot;¥&quot;\)"/>
    <numFmt numFmtId="226" formatCode="#,##0.00\ &quot;F&quot;;\-#,##0.00\ &quot;F&quot;"/>
    <numFmt numFmtId="227" formatCode="&quot;$&quot;#,##0\ ;\(&quot;$&quot;#,##0\)"/>
    <numFmt numFmtId="228" formatCode="_(&quot;Cr$&quot;* #,##0_);_(&quot;Cr$&quot;* \(#,##0\);_(&quot;Cr$&quot;* &quot;-&quot;_);_(@_)"/>
    <numFmt numFmtId="229" formatCode="_(&quot;Cr$&quot;* #,##0.00_);_(&quot;Cr$&quot;* \(#,##0.00\);_(&quot;Cr$&quot;* &quot;-&quot;??_);_(@_)"/>
    <numFmt numFmtId="230" formatCode="_(&quot;N$&quot;* #,##0_);_(&quot;N$&quot;* \(#,##0\);_(&quot;N$&quot;* &quot;-&quot;_);_(@_)"/>
    <numFmt numFmtId="231" formatCode="_(&quot;N$&quot;* #,##0.00_);_(&quot;N$&quot;* \(#,##0.00\);_(&quot;N$&quot;* &quot;-&quot;??_);_(@_)"/>
    <numFmt numFmtId="232" formatCode="General_)"/>
    <numFmt numFmtId="233" formatCode="###"/>
    <numFmt numFmtId="234" formatCode="&quot;[&quot;0&quot;]&quot;"/>
    <numFmt numFmtId="235" formatCode="\(0\)"/>
    <numFmt numFmtId="236" formatCode="&quot;¥&quot;#,##0.00;[Red]&quot;¥&quot;&quot;¥&quot;&quot;¥&quot;\-#,##0.00"/>
    <numFmt numFmtId="237" formatCode="&quot;¥&quot;#,##0;[Red]&quot;¥&quot;&quot;¥&quot;&quot;¥&quot;\-#,##0"/>
    <numFmt numFmtId="238" formatCode="_-&quot;ﾟ&quot;* #,##0_-;\-&quot;ﾟ&quot;* #,##0_-;_-&quot;ﾟ&quot;* &quot;-&quot;_-;_-@_-"/>
    <numFmt numFmtId="239" formatCode="_-&quot;ﾟ&quot;* #,##0.00_-;\-&quot;ﾟ&quot;* #,##0.00_-;_-&quot;ﾟ&quot;* &quot;-&quot;??_-;_-@_-"/>
    <numFmt numFmtId="240" formatCode="#,##0.00_ ;[Red]\-#,##0.00\ "/>
    <numFmt numFmtId="241" formatCode="&quot;DAT MS/CS - &quot;#,##0"/>
    <numFmt numFmtId="242" formatCode="[$-409]d\-mmm\-yy;@"/>
    <numFmt numFmtId="243" formatCode="[$¥-411]#,##0.00;\-[$¥-411]#,##0.00"/>
  </numFmts>
  <fonts count="128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1"/>
      <name val="Helv"/>
      <family val="2"/>
    </font>
    <font>
      <sz val="12"/>
      <name val="宋体"/>
      <family val="3"/>
      <charset val="128"/>
    </font>
    <font>
      <sz val="12"/>
      <name val="ＭＳ ゴシック"/>
      <family val="3"/>
      <charset val="128"/>
    </font>
    <font>
      <sz val="14"/>
      <name val="ＭＳ 明朝"/>
      <family val="1"/>
      <charset val="128"/>
    </font>
    <font>
      <b/>
      <sz val="9"/>
      <name val="ＭＳ Ｐゴシック"/>
      <family val="3"/>
      <charset val="128"/>
    </font>
    <font>
      <b/>
      <sz val="9"/>
      <color indexed="12"/>
      <name val="ＭＳ Ｐゴシック"/>
      <family val="3"/>
      <charset val="128"/>
    </font>
    <font>
      <sz val="14"/>
      <name val="ＭＳ Ｐゴシック"/>
      <family val="3"/>
      <charset val="128"/>
    </font>
    <font>
      <sz val="10"/>
      <color indexed="10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sz val="9"/>
      <color indexed="12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u/>
      <sz val="11"/>
      <color indexed="8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b/>
      <sz val="11"/>
      <name val="ＭＳ ゴシック"/>
      <family val="3"/>
      <charset val="128"/>
    </font>
    <font>
      <b/>
      <u/>
      <sz val="11"/>
      <color indexed="10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9"/>
      <color indexed="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9"/>
      <color indexed="10"/>
      <name val="ＭＳ Ｐゴシック"/>
      <family val="3"/>
      <charset val="128"/>
    </font>
    <font>
      <sz val="12"/>
      <name val="ＭＳ 明朝"/>
      <family val="1"/>
      <charset val="128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Helv"/>
      <family val="2"/>
    </font>
    <font>
      <sz val="10"/>
      <name val="MS Serif"/>
      <family val="1"/>
    </font>
    <font>
      <sz val="10"/>
      <name val="Courier"/>
      <family val="3"/>
    </font>
    <font>
      <b/>
      <sz val="24"/>
      <color indexed="10"/>
      <name val="Arial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0"/>
      <name val="Arial"/>
      <family val="2"/>
    </font>
    <font>
      <sz val="12"/>
      <name val="Helv"/>
      <family val="2"/>
    </font>
    <font>
      <sz val="12"/>
      <color indexed="9"/>
      <name val="Helv"/>
      <family val="2"/>
    </font>
    <font>
      <sz val="10"/>
      <name val="Arial Narrow"/>
      <family val="2"/>
    </font>
    <font>
      <sz val="10"/>
      <name val="MS Sans Serif"/>
      <family val="2"/>
    </font>
    <font>
      <b/>
      <sz val="8"/>
      <color indexed="8"/>
      <name val="Helv"/>
      <family val="2"/>
    </font>
    <font>
      <b/>
      <sz val="10"/>
      <color indexed="10"/>
      <name val="Arial"/>
      <family val="2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name val="Arial"/>
      <family val="2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b/>
      <sz val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u/>
      <sz val="11"/>
      <color indexed="8"/>
      <name val="ＭＳ Ｐゴシック"/>
      <family val="3"/>
      <charset val="128"/>
    </font>
    <font>
      <vertAlign val="superscript"/>
      <sz val="11"/>
      <color indexed="8"/>
      <name val="ＭＳ Ｐゴシック"/>
      <family val="3"/>
      <charset val="128"/>
    </font>
    <font>
      <sz val="9"/>
      <name val="Arial MT"/>
      <family val="2"/>
    </font>
    <font>
      <sz val="16"/>
      <name val="ＭＳ Ｐゴシック"/>
      <family val="3"/>
      <charset val="128"/>
    </font>
    <font>
      <b/>
      <sz val="11"/>
      <name val="明朝"/>
      <family val="3"/>
      <charset val="128"/>
    </font>
    <font>
      <sz val="10"/>
      <name val="?? ????"/>
      <family val="3"/>
    </font>
    <font>
      <sz val="11"/>
      <name val="?? ?????"/>
      <family val="3"/>
    </font>
    <font>
      <sz val="14"/>
      <name val="Cordia New"/>
      <family val="2"/>
    </font>
    <font>
      <sz val="10"/>
      <name val="?W準??’c"/>
      <family val="3"/>
      <charset val="128"/>
    </font>
    <font>
      <sz val="11"/>
      <name val=" "/>
      <family val="3"/>
    </font>
    <font>
      <sz val="11"/>
      <name val="??’c"/>
      <family val="3"/>
      <charset val="128"/>
    </font>
    <font>
      <sz val="12"/>
      <name val="Osaka"/>
      <family val="3"/>
      <charset val="128"/>
    </font>
    <font>
      <sz val="11"/>
      <name val="明朝"/>
      <family val="1"/>
      <charset val="128"/>
    </font>
    <font>
      <sz val="11"/>
      <color indexed="8"/>
      <name val="Calibri"/>
      <family val="2"/>
    </font>
    <font>
      <sz val="14"/>
      <name val="AngsanaUPC"/>
      <family val="1"/>
    </font>
    <font>
      <sz val="11"/>
      <name val="굴림체"/>
      <family val="3"/>
      <charset val="129"/>
    </font>
    <font>
      <sz val="9"/>
      <name val="Times New Roman"/>
      <family val="1"/>
    </font>
    <font>
      <sz val="9"/>
      <name val="ＭＳ ゴシック"/>
      <family val="3"/>
      <charset val="128"/>
    </font>
    <font>
      <u/>
      <sz val="10"/>
      <color indexed="12"/>
      <name val="Arial"/>
      <family val="2"/>
    </font>
    <font>
      <sz val="11"/>
      <name val="ＭＳ 明朝"/>
      <family val="1"/>
      <charset val="128"/>
    </font>
    <font>
      <sz val="11"/>
      <name val="Times New Roman"/>
      <family val="1"/>
    </font>
    <font>
      <sz val="7"/>
      <name val="Small Fonts"/>
      <family val="3"/>
      <charset val="128"/>
    </font>
    <font>
      <sz val="14"/>
      <name val="System"/>
      <family val="2"/>
    </font>
    <font>
      <sz val="8"/>
      <color indexed="16"/>
      <name val="Century Schoolbook"/>
      <family val="1"/>
    </font>
    <font>
      <sz val="14"/>
      <name val="Helv"/>
      <family val="2"/>
    </font>
    <font>
      <b/>
      <i/>
      <sz val="10"/>
      <name val="Times New Roman"/>
      <family val="1"/>
    </font>
    <font>
      <sz val="12"/>
      <name val="ｹﾙﾅﾁﾃｼ"/>
      <family val="1"/>
      <charset val="128"/>
    </font>
    <font>
      <sz val="16"/>
      <name val="AngsanaUPC"/>
      <family val="1"/>
    </font>
    <font>
      <sz val="9.6"/>
      <name val="標準ゴシック"/>
      <family val="3"/>
      <charset val="128"/>
    </font>
    <font>
      <sz val="11"/>
      <name val="ｵｸｿ "/>
      <family val="3"/>
      <charset val="128"/>
    </font>
    <font>
      <sz val="10"/>
      <name val="中ゴシック体"/>
      <family val="3"/>
      <charset val="128"/>
    </font>
    <font>
      <sz val="10"/>
      <name val="細明朝体"/>
      <family val="3"/>
      <charset val="128"/>
    </font>
    <font>
      <sz val="10"/>
      <name val="Osaka"/>
      <family val="3"/>
      <charset val="128"/>
    </font>
    <font>
      <sz val="12"/>
      <name val="뼻뮝"/>
      <family val="1"/>
      <charset val="129"/>
    </font>
    <font>
      <sz val="11"/>
      <name val="돋움"/>
      <family val="2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4"/>
      <name val="System"/>
      <family val="2"/>
    </font>
    <font>
      <sz val="11"/>
      <name val="MS UI Gothic"/>
      <family val="3"/>
      <charset val="128"/>
    </font>
    <font>
      <sz val="11"/>
      <color theme="1"/>
      <name val="Calibri"/>
      <family val="3"/>
      <charset val="128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9"/>
      <name val="Arial Narrow"/>
      <family val="2"/>
    </font>
    <font>
      <b/>
      <sz val="9"/>
      <name val="Arial Narrow"/>
      <family val="2"/>
    </font>
    <font>
      <sz val="9"/>
      <color indexed="8"/>
      <name val="Arial Narrow"/>
      <family val="2"/>
    </font>
    <font>
      <b/>
      <sz val="9"/>
      <color indexed="12"/>
      <name val="Arial Narrow"/>
      <family val="2"/>
    </font>
    <font>
      <b/>
      <sz val="9"/>
      <color indexed="18"/>
      <name val="Arial Narrow"/>
      <family val="2"/>
    </font>
    <font>
      <sz val="9"/>
      <color indexed="9"/>
      <name val="Arial Narrow"/>
      <family val="2"/>
    </font>
    <font>
      <b/>
      <sz val="9"/>
      <color indexed="10"/>
      <name val="Arial Narrow"/>
      <family val="2"/>
    </font>
    <font>
      <sz val="9"/>
      <color indexed="10"/>
      <name val="Arial Narrow"/>
      <family val="2"/>
    </font>
    <font>
      <sz val="9"/>
      <color indexed="12"/>
      <name val="Arial Narrow"/>
      <family val="2"/>
    </font>
    <font>
      <strike/>
      <sz val="9"/>
      <name val="Arial Narrow"/>
      <family val="2"/>
    </font>
    <font>
      <strike/>
      <sz val="9"/>
      <color indexed="12"/>
      <name val="Arial Narrow"/>
      <family val="2"/>
    </font>
    <font>
      <b/>
      <u/>
      <sz val="11"/>
      <name val="Arial"/>
      <family val="2"/>
    </font>
    <font>
      <b/>
      <u/>
      <sz val="9"/>
      <name val="Arial Narrow"/>
      <family val="2"/>
    </font>
    <font>
      <sz val="9"/>
      <color indexed="18"/>
      <name val="Arial Narrow"/>
      <family val="2"/>
    </font>
    <font>
      <sz val="9"/>
      <name val="Arial Narrow"/>
      <family val="2"/>
      <charset val="128"/>
    </font>
  </fonts>
  <fills count="6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lightUp">
        <bgColor indexed="22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2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8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indexed="6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6FFFF"/>
        <bgColor indexed="64"/>
      </patternFill>
    </fill>
  </fills>
  <borders count="173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ashed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ashed">
        <color indexed="64"/>
      </right>
      <top style="thin">
        <color indexed="64"/>
      </top>
      <bottom style="hair">
        <color indexed="64"/>
      </bottom>
      <diagonal/>
    </border>
    <border>
      <left style="dashed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ashed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dashed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dashed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hair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ashed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ashed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hair">
        <color indexed="64"/>
      </top>
      <bottom/>
      <diagonal/>
    </border>
    <border>
      <left style="dashed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</borders>
  <cellStyleXfs count="450">
    <xf numFmtId="0" fontId="0" fillId="0" borderId="0"/>
    <xf numFmtId="0" fontId="75" fillId="0" borderId="0" applyNumberFormat="0" applyFill="0" applyBorder="0" applyAlignment="0" applyProtection="0"/>
    <xf numFmtId="0" fontId="6" fillId="0" borderId="0"/>
    <xf numFmtId="0" fontId="76" fillId="0" borderId="0"/>
    <xf numFmtId="165" fontId="77" fillId="0" borderId="0" applyFont="0" applyFill="0" applyBorder="0" applyAlignment="0" applyProtection="0"/>
    <xf numFmtId="40" fontId="76" fillId="0" borderId="0" applyFont="0" applyFill="0" applyBorder="0" applyAlignment="0" applyProtection="0"/>
    <xf numFmtId="167" fontId="78" fillId="0" borderId="0" applyFont="0" applyFill="0" applyBorder="0" applyAlignment="0" applyProtection="0"/>
    <xf numFmtId="222" fontId="78" fillId="0" borderId="0" applyFont="0" applyFill="0" applyBorder="0" applyAlignment="0" applyProtection="0"/>
    <xf numFmtId="223" fontId="78" fillId="0" borderId="0" applyFont="0" applyFill="0" applyBorder="0" applyAlignment="0" applyProtection="0"/>
    <xf numFmtId="169" fontId="78" fillId="0" borderId="0" applyFont="0" applyFill="0" applyBorder="0" applyAlignment="0" applyProtection="0"/>
    <xf numFmtId="38" fontId="76" fillId="0" borderId="0" applyFont="0" applyFill="0" applyBorder="0" applyAlignment="0" applyProtection="0"/>
    <xf numFmtId="0" fontId="20" fillId="0" borderId="0"/>
    <xf numFmtId="38" fontId="77" fillId="0" borderId="0" applyFont="0" applyFill="0" applyBorder="0" applyAlignment="0" applyProtection="0"/>
    <xf numFmtId="224" fontId="6" fillId="0" borderId="0" applyFont="0" applyFill="0" applyBorder="0" applyAlignment="0" applyProtection="0"/>
    <xf numFmtId="0" fontId="79" fillId="0" borderId="0"/>
    <xf numFmtId="38" fontId="80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0"/>
    <xf numFmtId="0" fontId="39" fillId="0" borderId="0"/>
    <xf numFmtId="0" fontId="6" fillId="0" borderId="0"/>
    <xf numFmtId="0" fontId="6" fillId="0" borderId="0"/>
    <xf numFmtId="0" fontId="81" fillId="0" borderId="0" applyFont="0" applyFill="0" applyBorder="0" applyAlignment="0" applyProtection="0"/>
    <xf numFmtId="225" fontId="81" fillId="0" borderId="0" applyFont="0" applyFill="0" applyBorder="0" applyAlignment="0" applyProtection="0"/>
    <xf numFmtId="0" fontId="20" fillId="0" borderId="0"/>
    <xf numFmtId="0" fontId="82" fillId="0" borderId="0"/>
    <xf numFmtId="0" fontId="83" fillId="0" borderId="0"/>
    <xf numFmtId="0" fontId="15" fillId="0" borderId="0" applyNumberFormat="0" applyBorder="0">
      <alignment vertical="center"/>
    </xf>
    <xf numFmtId="0" fontId="15" fillId="0" borderId="0" applyNumberFormat="0" applyBorder="0">
      <alignment vertical="center"/>
    </xf>
    <xf numFmtId="0" fontId="36" fillId="0" borderId="1" applyNumberFormat="0" applyFont="0" applyFill="0" applyAlignment="0" applyProtection="0"/>
    <xf numFmtId="0" fontId="21" fillId="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8" fillId="0" borderId="0">
      <alignment horizontal="center" wrapText="1"/>
      <protection locked="0"/>
    </xf>
    <xf numFmtId="0" fontId="73" fillId="0" borderId="0"/>
    <xf numFmtId="184" fontId="4" fillId="0" borderId="0" applyFill="0" applyBorder="0" applyAlignment="0"/>
    <xf numFmtId="201" fontId="39" fillId="0" borderId="0" applyFill="0" applyBorder="0" applyAlignment="0"/>
    <xf numFmtId="202" fontId="39" fillId="0" borderId="0" applyFill="0" applyBorder="0" applyAlignment="0"/>
    <xf numFmtId="208" fontId="6" fillId="0" borderId="0" applyFill="0" applyBorder="0" applyAlignment="0"/>
    <xf numFmtId="208" fontId="6" fillId="0" borderId="0" applyFill="0" applyBorder="0" applyAlignment="0"/>
    <xf numFmtId="209" fontId="6" fillId="0" borderId="0" applyFill="0" applyBorder="0" applyAlignment="0"/>
    <xf numFmtId="209" fontId="6" fillId="0" borderId="0" applyFill="0" applyBorder="0" applyAlignment="0"/>
    <xf numFmtId="44" fontId="39" fillId="0" borderId="0" applyFill="0" applyBorder="0" applyAlignment="0"/>
    <xf numFmtId="210" fontId="6" fillId="0" borderId="0" applyFill="0" applyBorder="0" applyAlignment="0"/>
    <xf numFmtId="210" fontId="6" fillId="0" borderId="0" applyFill="0" applyBorder="0" applyAlignment="0"/>
    <xf numFmtId="201" fontId="39" fillId="0" borderId="0" applyFill="0" applyBorder="0" applyAlignment="0"/>
    <xf numFmtId="38" fontId="1" fillId="0" borderId="0" applyFont="0" applyFill="0" applyBorder="0" applyAlignment="0" applyProtection="0"/>
    <xf numFmtId="38" fontId="20" fillId="0" borderId="0" applyFont="0" applyFill="0" applyBorder="0" applyAlignment="0" applyProtection="0"/>
    <xf numFmtId="167" fontId="6" fillId="0" borderId="0" applyFont="0" applyFill="0" applyBorder="0" applyAlignment="0" applyProtection="0"/>
    <xf numFmtId="242" fontId="105" fillId="0" borderId="0" applyFont="0" applyFill="0" applyBorder="0" applyAlignment="0" applyProtection="0"/>
    <xf numFmtId="38" fontId="6" fillId="0" borderId="0" applyFont="0" applyFill="0" applyBorder="0" applyAlignment="0" applyProtection="0"/>
    <xf numFmtId="0" fontId="105" fillId="0" borderId="0" applyFont="0" applyFill="0" applyBorder="0" applyAlignment="0" applyProtection="0"/>
    <xf numFmtId="167" fontId="84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44" fontId="39" fillId="0" borderId="0" applyFont="0" applyFill="0" applyBorder="0" applyAlignment="0" applyProtection="0"/>
    <xf numFmtId="169" fontId="110" fillId="0" borderId="0" applyFont="0" applyFill="0" applyBorder="0" applyAlignment="0" applyProtection="0"/>
    <xf numFmtId="169" fontId="111" fillId="0" borderId="0" applyFont="0" applyFill="0" applyBorder="0" applyAlignment="0" applyProtection="0"/>
    <xf numFmtId="169" fontId="111" fillId="0" borderId="0" applyFont="0" applyFill="0" applyBorder="0" applyAlignment="0" applyProtection="0"/>
    <xf numFmtId="169" fontId="111" fillId="0" borderId="0" applyFont="0" applyFill="0" applyBorder="0" applyAlignment="0" applyProtection="0"/>
    <xf numFmtId="40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84" fillId="0" borderId="0" applyFont="0" applyFill="0" applyBorder="0" applyAlignment="0" applyProtection="0"/>
    <xf numFmtId="40" fontId="20" fillId="0" borderId="0" applyFont="0" applyFill="0" applyBorder="0" applyAlignment="0" applyProtection="0"/>
    <xf numFmtId="169" fontId="110" fillId="0" borderId="0" applyFont="0" applyFill="0" applyBorder="0" applyAlignment="0" applyProtection="0"/>
    <xf numFmtId="169" fontId="110" fillId="0" borderId="0" applyFont="0" applyFill="0" applyBorder="0" applyAlignment="0" applyProtection="0"/>
    <xf numFmtId="169" fontId="110" fillId="0" borderId="0" applyFont="0" applyFill="0" applyBorder="0" applyAlignment="0" applyProtection="0"/>
    <xf numFmtId="169" fontId="110" fillId="0" borderId="0" applyFont="0" applyFill="0" applyBorder="0" applyAlignment="0" applyProtection="0"/>
    <xf numFmtId="226" fontId="85" fillId="0" borderId="0"/>
    <xf numFmtId="3" fontId="6" fillId="0" borderId="0" applyFont="0" applyFill="0" applyBorder="0" applyAlignment="0" applyProtection="0"/>
    <xf numFmtId="0" fontId="40" fillId="0" borderId="0" applyNumberFormat="0" applyAlignment="0">
      <alignment horizontal="left"/>
    </xf>
    <xf numFmtId="0" fontId="41" fillId="0" borderId="0" applyNumberFormat="0" applyAlignment="0"/>
    <xf numFmtId="0" fontId="42" fillId="36" borderId="4">
      <alignment horizontal="centerContinuous"/>
    </xf>
    <xf numFmtId="164" fontId="20" fillId="0" borderId="0" applyFont="0" applyFill="0" applyBorder="0" applyAlignment="0" applyProtection="0">
      <alignment vertical="center"/>
    </xf>
    <xf numFmtId="201" fontId="39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84" fillId="0" borderId="0" applyFont="0" applyFill="0" applyBorder="0" applyAlignment="0" applyProtection="0"/>
    <xf numFmtId="227" fontId="6" fillId="0" borderId="0" applyFont="0" applyFill="0" applyBorder="0" applyAlignment="0" applyProtection="0"/>
    <xf numFmtId="0" fontId="86" fillId="0" borderId="0"/>
    <xf numFmtId="0" fontId="6" fillId="0" borderId="0" applyFont="0" applyFill="0" applyBorder="0" applyAlignment="0" applyProtection="0"/>
    <xf numFmtId="14" fontId="4" fillId="0" borderId="0" applyFill="0" applyBorder="0" applyAlignment="0"/>
    <xf numFmtId="181" fontId="8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4" fontId="39" fillId="0" borderId="0" applyFill="0" applyBorder="0" applyAlignment="0"/>
    <xf numFmtId="201" fontId="39" fillId="0" borderId="0" applyFill="0" applyBorder="0" applyAlignment="0"/>
    <xf numFmtId="44" fontId="39" fillId="0" borderId="0" applyFill="0" applyBorder="0" applyAlignment="0"/>
    <xf numFmtId="210" fontId="6" fillId="0" borderId="0" applyFill="0" applyBorder="0" applyAlignment="0"/>
    <xf numFmtId="210" fontId="6" fillId="0" borderId="0" applyFill="0" applyBorder="0" applyAlignment="0"/>
    <xf numFmtId="201" fontId="39" fillId="0" borderId="0" applyFill="0" applyBorder="0" applyAlignment="0"/>
    <xf numFmtId="0" fontId="43" fillId="0" borderId="0" applyNumberFormat="0" applyAlignment="0">
      <alignment horizontal="left"/>
    </xf>
    <xf numFmtId="0" fontId="87" fillId="0" borderId="0">
      <alignment horizontal="left"/>
    </xf>
    <xf numFmtId="217" fontId="6" fillId="0" borderId="0" applyFont="0" applyFill="0" applyBorder="0" applyAlignment="0" applyProtection="0"/>
    <xf numFmtId="2" fontId="6" fillId="0" borderId="0" applyFont="0" applyFill="0" applyBorder="0" applyAlignment="0" applyProtection="0"/>
    <xf numFmtId="38" fontId="44" fillId="36" borderId="0" applyNumberFormat="0" applyBorder="0" applyAlignment="0" applyProtection="0"/>
    <xf numFmtId="0" fontId="88" fillId="0" borderId="0">
      <alignment vertical="center"/>
    </xf>
    <xf numFmtId="0" fontId="5" fillId="0" borderId="5" applyNumberFormat="0" applyAlignment="0" applyProtection="0">
      <alignment horizontal="left" vertical="center"/>
    </xf>
    <xf numFmtId="0" fontId="5" fillId="0" borderId="6">
      <alignment horizontal="left" vertical="center"/>
    </xf>
    <xf numFmtId="14" fontId="45" fillId="12" borderId="7">
      <alignment horizontal="center" vertical="center" wrapText="1"/>
    </xf>
    <xf numFmtId="0" fontId="83" fillId="0" borderId="9"/>
    <xf numFmtId="0" fontId="89" fillId="0" borderId="0" applyNumberFormat="0" applyFill="0" applyBorder="0" applyAlignment="0" applyProtection="0">
      <alignment vertical="top"/>
      <protection locked="0"/>
    </xf>
    <xf numFmtId="0" fontId="89" fillId="0" borderId="0" applyNumberFormat="0" applyFill="0" applyBorder="0" applyAlignment="0" applyProtection="0">
      <alignment vertical="top"/>
      <protection locked="0"/>
    </xf>
    <xf numFmtId="10" fontId="44" fillId="37" borderId="10" applyNumberFormat="0" applyBorder="0" applyAlignment="0" applyProtection="0"/>
    <xf numFmtId="201" fontId="46" fillId="38" borderId="0"/>
    <xf numFmtId="44" fontId="39" fillId="0" borderId="0" applyFill="0" applyBorder="0" applyAlignment="0"/>
    <xf numFmtId="201" fontId="39" fillId="0" borderId="0" applyFill="0" applyBorder="0" applyAlignment="0"/>
    <xf numFmtId="44" fontId="39" fillId="0" borderId="0" applyFill="0" applyBorder="0" applyAlignment="0"/>
    <xf numFmtId="210" fontId="6" fillId="0" borderId="0" applyFill="0" applyBorder="0" applyAlignment="0"/>
    <xf numFmtId="210" fontId="6" fillId="0" borderId="0" applyFill="0" applyBorder="0" applyAlignment="0"/>
    <xf numFmtId="201" fontId="39" fillId="0" borderId="0" applyFill="0" applyBorder="0" applyAlignment="0"/>
    <xf numFmtId="201" fontId="47" fillId="39" borderId="0"/>
    <xf numFmtId="0" fontId="90" fillId="0" borderId="0"/>
    <xf numFmtId="167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213" fontId="6" fillId="0" borderId="0" applyFont="0" applyFill="0" applyBorder="0" applyAlignment="0" applyProtection="0"/>
    <xf numFmtId="215" fontId="6" fillId="0" borderId="0" applyFont="0" applyFill="0" applyBorder="0" applyAlignment="0" applyProtection="0"/>
    <xf numFmtId="228" fontId="91" fillId="0" borderId="0" applyFont="0" applyFill="0" applyBorder="0" applyAlignment="0" applyProtection="0"/>
    <xf numFmtId="229" fontId="91" fillId="0" borderId="0" applyFont="0" applyFill="0" applyBorder="0" applyAlignment="0" applyProtection="0"/>
    <xf numFmtId="230" fontId="6" fillId="0" borderId="0" applyFont="0" applyFill="0" applyBorder="0" applyAlignment="0" applyProtection="0"/>
    <xf numFmtId="231" fontId="6" fillId="0" borderId="0" applyFont="0" applyFill="0" applyBorder="0" applyAlignment="0" applyProtection="0"/>
    <xf numFmtId="203" fontId="48" fillId="0" borderId="0" applyFont="0" applyFill="0" applyBorder="0" applyAlignment="0" applyProtection="0"/>
    <xf numFmtId="214" fontId="6" fillId="0" borderId="0" applyFont="0" applyFill="0" applyBorder="0" applyAlignment="0" applyProtection="0"/>
    <xf numFmtId="6" fontId="49" fillId="0" borderId="0" applyFont="0" applyFill="0" applyBorder="0" applyAlignment="0" applyProtection="0"/>
    <xf numFmtId="8" fontId="49" fillId="0" borderId="0" applyFont="0" applyFill="0" applyBorder="0" applyAlignment="0" applyProtection="0"/>
    <xf numFmtId="37" fontId="92" fillId="0" borderId="0"/>
    <xf numFmtId="0" fontId="41" fillId="0" borderId="0"/>
    <xf numFmtId="194" fontId="1" fillId="0" borderId="0"/>
    <xf numFmtId="241" fontId="6" fillId="0" borderId="0"/>
    <xf numFmtId="241" fontId="6" fillId="0" borderId="0"/>
    <xf numFmtId="232" fontId="85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20" fillId="0" borderId="0"/>
    <xf numFmtId="0" fontId="110" fillId="0" borderId="0">
      <alignment vertical="center"/>
    </xf>
    <xf numFmtId="0" fontId="111" fillId="0" borderId="0"/>
    <xf numFmtId="0" fontId="21" fillId="0" borderId="0"/>
    <xf numFmtId="0" fontId="105" fillId="0" borderId="0"/>
    <xf numFmtId="0" fontId="20" fillId="0" borderId="0"/>
    <xf numFmtId="0" fontId="6" fillId="0" borderId="0"/>
    <xf numFmtId="0" fontId="111" fillId="0" borderId="0"/>
    <xf numFmtId="0" fontId="111" fillId="0" borderId="0"/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21" fillId="0" borderId="0">
      <alignment vertical="center"/>
    </xf>
    <xf numFmtId="0" fontId="6" fillId="0" borderId="0"/>
    <xf numFmtId="0" fontId="21" fillId="0" borderId="0"/>
    <xf numFmtId="0" fontId="6" fillId="0" borderId="0"/>
    <xf numFmtId="0" fontId="6" fillId="0" borderId="0"/>
    <xf numFmtId="0" fontId="84" fillId="0" borderId="0"/>
    <xf numFmtId="0" fontId="110" fillId="0" borderId="0"/>
    <xf numFmtId="0" fontId="110" fillId="0" borderId="0"/>
    <xf numFmtId="0" fontId="20" fillId="0" borderId="0">
      <alignment vertical="center"/>
    </xf>
    <xf numFmtId="0" fontId="110" fillId="0" borderId="0"/>
    <xf numFmtId="0" fontId="20" fillId="0" borderId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93" fillId="0" borderId="0"/>
    <xf numFmtId="0" fontId="108" fillId="0" borderId="0"/>
    <xf numFmtId="0" fontId="93" fillId="0" borderId="0"/>
    <xf numFmtId="0" fontId="108" fillId="0" borderId="0"/>
    <xf numFmtId="14" fontId="38" fillId="0" borderId="0">
      <alignment horizontal="center" wrapText="1"/>
      <protection locked="0"/>
    </xf>
    <xf numFmtId="9" fontId="1" fillId="0" borderId="0" applyFont="0" applyFill="0" applyBorder="0" applyAlignment="0" applyProtection="0"/>
    <xf numFmtId="204" fontId="6" fillId="0" borderId="0" applyFont="0" applyFill="0" applyBorder="0" applyAlignment="0" applyProtection="0"/>
    <xf numFmtId="204" fontId="6" fillId="0" borderId="0" applyFont="0" applyFill="0" applyBorder="0" applyAlignment="0" applyProtection="0"/>
    <xf numFmtId="209" fontId="6" fillId="0" borderId="0" applyFont="0" applyFill="0" applyBorder="0" applyAlignment="0" applyProtection="0"/>
    <xf numFmtId="209" fontId="6" fillId="0" borderId="0" applyFont="0" applyFill="0" applyBorder="0" applyAlignment="0" applyProtection="0"/>
    <xf numFmtId="207" fontId="6" fillId="0" borderId="0" applyFont="0" applyFill="0" applyBorder="0" applyAlignment="0" applyProtection="0"/>
    <xf numFmtId="207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44" fontId="39" fillId="0" borderId="0" applyFill="0" applyBorder="0" applyAlignment="0"/>
    <xf numFmtId="201" fontId="39" fillId="0" borderId="0" applyFill="0" applyBorder="0" applyAlignment="0"/>
    <xf numFmtId="44" fontId="39" fillId="0" borderId="0" applyFill="0" applyBorder="0" applyAlignment="0"/>
    <xf numFmtId="210" fontId="6" fillId="0" borderId="0" applyFill="0" applyBorder="0" applyAlignment="0"/>
    <xf numFmtId="210" fontId="6" fillId="0" borderId="0" applyFill="0" applyBorder="0" applyAlignment="0"/>
    <xf numFmtId="201" fontId="39" fillId="0" borderId="0" applyFill="0" applyBorder="0" applyAlignment="0"/>
    <xf numFmtId="4" fontId="87" fillId="0" borderId="0">
      <alignment horizontal="right"/>
    </xf>
    <xf numFmtId="205" fontId="6" fillId="0" borderId="0"/>
    <xf numFmtId="205" fontId="6" fillId="0" borderId="0"/>
    <xf numFmtId="0" fontId="49" fillId="0" borderId="0" applyNumberFormat="0" applyFont="0" applyFill="0" applyBorder="0" applyAlignment="0" applyProtection="0">
      <alignment horizontal="left"/>
    </xf>
    <xf numFmtId="1" fontId="6" fillId="0" borderId="14" applyNumberFormat="0" applyFill="0" applyAlignment="0" applyProtection="0">
      <alignment horizontal="center" vertical="center"/>
    </xf>
    <xf numFmtId="4" fontId="94" fillId="0" borderId="0">
      <alignment horizontal="right"/>
    </xf>
    <xf numFmtId="216" fontId="6" fillId="0" borderId="0" applyNumberFormat="0" applyFill="0" applyBorder="0" applyAlignment="0" applyProtection="0">
      <alignment horizontal="left"/>
    </xf>
    <xf numFmtId="216" fontId="6" fillId="0" borderId="0" applyNumberFormat="0" applyFill="0" applyBorder="0" applyAlignment="0" applyProtection="0">
      <alignment horizontal="left"/>
    </xf>
    <xf numFmtId="180" fontId="95" fillId="0" borderId="0" applyFont="0" applyBorder="0" applyAlignment="0">
      <alignment horizontal="right"/>
    </xf>
    <xf numFmtId="0" fontId="96" fillId="0" borderId="0">
      <alignment horizontal="left"/>
    </xf>
    <xf numFmtId="38" fontId="77" fillId="0" borderId="0" applyFont="0" applyFill="0" applyBorder="0" applyAlignment="0" applyProtection="0"/>
    <xf numFmtId="40" fontId="77" fillId="0" borderId="0" applyFont="0" applyFill="0" applyBorder="0" applyAlignment="0" applyProtection="0"/>
    <xf numFmtId="233" fontId="39" fillId="0" borderId="15"/>
    <xf numFmtId="0" fontId="6" fillId="0" borderId="0"/>
    <xf numFmtId="0" fontId="6" fillId="0" borderId="0"/>
    <xf numFmtId="0" fontId="7" fillId="0" borderId="0"/>
    <xf numFmtId="40" fontId="50" fillId="0" borderId="0" applyBorder="0">
      <alignment horizontal="right"/>
    </xf>
    <xf numFmtId="0" fontId="1" fillId="0" borderId="16">
      <alignment horizontal="centerContinuous" vertical="center"/>
    </xf>
    <xf numFmtId="49" fontId="4" fillId="0" borderId="0" applyFill="0" applyBorder="0" applyAlignment="0"/>
    <xf numFmtId="211" fontId="6" fillId="0" borderId="0" applyFill="0" applyBorder="0" applyAlignment="0"/>
    <xf numFmtId="211" fontId="6" fillId="0" borderId="0" applyFill="0" applyBorder="0" applyAlignment="0"/>
    <xf numFmtId="212" fontId="6" fillId="0" borderId="0" applyFill="0" applyBorder="0" applyAlignment="0"/>
    <xf numFmtId="212" fontId="6" fillId="0" borderId="0" applyFill="0" applyBorder="0" applyAlignment="0"/>
    <xf numFmtId="0" fontId="51" fillId="0" borderId="0" applyFill="0" applyBorder="0" applyProtection="0">
      <alignment horizontal="left" vertical="top"/>
    </xf>
    <xf numFmtId="206" fontId="6" fillId="0" borderId="0" applyFont="0" applyFill="0" applyBorder="0" applyAlignment="0" applyProtection="0"/>
    <xf numFmtId="0" fontId="15" fillId="0" borderId="0">
      <alignment vertical="center"/>
    </xf>
    <xf numFmtId="0" fontId="20" fillId="42" borderId="0" applyNumberFormat="0" applyBorder="0" applyAlignment="0">
      <alignment vertical="center"/>
    </xf>
    <xf numFmtId="0" fontId="37" fillId="30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15" fillId="0" borderId="0">
      <alignment horizontal="center"/>
    </xf>
    <xf numFmtId="234" fontId="34" fillId="0" borderId="0">
      <alignment horizontal="center" vertical="center"/>
    </xf>
    <xf numFmtId="235" fontId="34" fillId="0" borderId="0">
      <alignment horizontal="center" vertical="center"/>
    </xf>
    <xf numFmtId="9" fontId="97" fillId="0" borderId="0" applyFont="0" applyFill="0" applyBorder="0" applyAlignment="0" applyProtection="0"/>
    <xf numFmtId="0" fontId="88" fillId="0" borderId="0">
      <alignment horizontal="left"/>
    </xf>
    <xf numFmtId="0" fontId="98" fillId="0" borderId="0"/>
    <xf numFmtId="0" fontId="20" fillId="0" borderId="0"/>
    <xf numFmtId="0" fontId="39" fillId="0" borderId="0"/>
    <xf numFmtId="0" fontId="6" fillId="0" borderId="0"/>
    <xf numFmtId="0" fontId="99" fillId="0" borderId="0"/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35" borderId="3" applyNumberFormat="0" applyAlignment="0" applyProtection="0">
      <alignment vertical="center"/>
    </xf>
    <xf numFmtId="0" fontId="53" fillId="47" borderId="3" applyNumberFormat="0" applyAlignment="0" applyProtection="0">
      <alignment vertical="center"/>
    </xf>
    <xf numFmtId="167" fontId="100" fillId="0" borderId="0" applyFont="0" applyFill="0" applyBorder="0" applyAlignment="0" applyProtection="0"/>
    <xf numFmtId="169" fontId="100" fillId="0" borderId="0" applyFont="0" applyFill="0" applyBorder="0" applyAlignment="0" applyProtection="0"/>
    <xf numFmtId="0" fontId="54" fillId="40" borderId="0" applyNumberFormat="0" applyBorder="0" applyAlignment="0" applyProtection="0">
      <alignment vertical="center"/>
    </xf>
    <xf numFmtId="0" fontId="54" fillId="48" borderId="0" applyNumberFormat="0" applyBorder="0" applyAlignment="0" applyProtection="0">
      <alignment vertical="center"/>
    </xf>
    <xf numFmtId="166" fontId="100" fillId="0" borderId="0" applyFont="0" applyFill="0" applyBorder="0" applyAlignment="0" applyProtection="0"/>
    <xf numFmtId="168" fontId="100" fillId="0" borderId="0" applyFont="0" applyFill="0" applyBorder="0" applyAlignment="0" applyProtection="0"/>
    <xf numFmtId="0" fontId="100" fillId="0" borderId="0"/>
    <xf numFmtId="9" fontId="20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0" fontId="74" fillId="0" borderId="0"/>
    <xf numFmtId="0" fontId="20" fillId="41" borderId="12" applyNumberFormat="0" applyFont="0" applyAlignment="0" applyProtection="0">
      <alignment vertical="center"/>
    </xf>
    <xf numFmtId="0" fontId="20" fillId="37" borderId="12" applyNumberFormat="0" applyFont="0" applyAlignment="0" applyProtection="0">
      <alignment vertical="center"/>
    </xf>
    <xf numFmtId="0" fontId="55" fillId="0" borderId="11" applyNumberFormat="0" applyFill="0" applyAlignment="0" applyProtection="0">
      <alignment vertical="center"/>
    </xf>
    <xf numFmtId="0" fontId="55" fillId="0" borderId="11" applyNumberFormat="0" applyFill="0" applyAlignment="0" applyProtection="0">
      <alignment vertical="center"/>
    </xf>
    <xf numFmtId="167" fontId="78" fillId="0" borderId="0" applyFont="0" applyFill="0" applyBorder="0" applyAlignment="0" applyProtection="0"/>
    <xf numFmtId="169" fontId="78" fillId="0" borderId="0" applyFont="0" applyFill="0" applyBorder="0" applyAlignment="0" applyProtection="0"/>
    <xf numFmtId="222" fontId="78" fillId="0" borderId="0" applyFont="0" applyFill="0" applyBorder="0" applyAlignment="0" applyProtection="0"/>
    <xf numFmtId="223" fontId="78" fillId="0" borderId="0" applyFont="0" applyFill="0" applyBorder="0" applyAlignment="0" applyProtection="0"/>
    <xf numFmtId="0" fontId="78" fillId="0" borderId="0"/>
    <xf numFmtId="236" fontId="77" fillId="0" borderId="0" applyFont="0" applyFill="0" applyBorder="0" applyAlignment="0" applyProtection="0"/>
    <xf numFmtId="237" fontId="77" fillId="0" borderId="0" applyFont="0" applyFill="0" applyBorder="0" applyAlignment="0" applyProtection="0"/>
    <xf numFmtId="236" fontId="80" fillId="0" borderId="0" applyFont="0" applyFill="0" applyBorder="0" applyAlignment="0" applyProtection="0"/>
    <xf numFmtId="237" fontId="80" fillId="0" borderId="0" applyFont="0" applyFill="0" applyBorder="0" applyAlignment="0" applyProtection="0"/>
    <xf numFmtId="0" fontId="80" fillId="0" borderId="0"/>
    <xf numFmtId="0" fontId="56" fillId="3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83" fillId="0" borderId="17"/>
    <xf numFmtId="0" fontId="57" fillId="0" borderId="0"/>
    <xf numFmtId="0" fontId="58" fillId="34" borderId="2" applyNumberFormat="0" applyAlignment="0" applyProtection="0">
      <alignment vertical="center"/>
    </xf>
    <xf numFmtId="0" fontId="58" fillId="36" borderId="2" applyNumberFormat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40" fontId="83" fillId="0" borderId="0"/>
    <xf numFmtId="40" fontId="15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171" fontId="15" fillId="0" borderId="0" applyFont="0" applyFill="0" applyBorder="0" applyAlignment="0" applyProtection="0"/>
    <xf numFmtId="171" fontId="15" fillId="0" borderId="0" applyFont="0" applyFill="0" applyBorder="0" applyAlignment="0" applyProtection="0"/>
    <xf numFmtId="171" fontId="15" fillId="0" borderId="0" applyFont="0" applyFill="0" applyBorder="0" applyAlignment="0" applyProtection="0"/>
    <xf numFmtId="0" fontId="60" fillId="0" borderId="18" applyNumberFormat="0" applyFill="0" applyAlignment="0" applyProtection="0">
      <alignment vertical="center"/>
    </xf>
    <xf numFmtId="0" fontId="60" fillId="0" borderId="18" applyNumberFormat="0" applyFill="0" applyAlignment="0" applyProtection="0">
      <alignment vertical="center"/>
    </xf>
    <xf numFmtId="0" fontId="61" fillId="0" borderId="19" applyNumberFormat="0" applyFill="0" applyAlignment="0" applyProtection="0">
      <alignment vertical="center"/>
    </xf>
    <xf numFmtId="0" fontId="61" fillId="0" borderId="19" applyNumberFormat="0" applyFill="0" applyAlignment="0" applyProtection="0">
      <alignment vertical="center"/>
    </xf>
    <xf numFmtId="0" fontId="62" fillId="0" borderId="8" applyNumberFormat="0" applyFill="0" applyAlignment="0" applyProtection="0">
      <alignment vertical="center"/>
    </xf>
    <xf numFmtId="0" fontId="62" fillId="0" borderId="8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83" fillId="0" borderId="20"/>
    <xf numFmtId="0" fontId="23" fillId="0" borderId="21" applyNumberFormat="0" applyFill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101" fillId="0" borderId="0">
      <alignment vertical="center"/>
    </xf>
    <xf numFmtId="0" fontId="63" fillId="34" borderId="13" applyNumberFormat="0" applyAlignment="0" applyProtection="0">
      <alignment vertical="center"/>
    </xf>
    <xf numFmtId="0" fontId="63" fillId="36" borderId="13" applyNumberFormat="0" applyAlignment="0" applyProtection="0">
      <alignment vertical="center"/>
    </xf>
    <xf numFmtId="0" fontId="20" fillId="0" borderId="0">
      <alignment vertical="center"/>
    </xf>
    <xf numFmtId="0" fontId="20" fillId="0" borderId="0"/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167" fontId="8" fillId="0" borderId="0" applyFont="0" applyFill="0" applyBorder="0" applyAlignment="0" applyProtection="0"/>
    <xf numFmtId="1" fontId="15" fillId="0" borderId="0" applyFill="0">
      <alignment vertical="center"/>
    </xf>
    <xf numFmtId="0" fontId="102" fillId="0" borderId="0">
      <alignment vertical="center"/>
    </xf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>
      <alignment vertical="center"/>
    </xf>
    <xf numFmtId="0" fontId="65" fillId="7" borderId="2" applyNumberFormat="0" applyAlignment="0" applyProtection="0">
      <alignment vertical="center"/>
    </xf>
    <xf numFmtId="0" fontId="65" fillId="13" borderId="2" applyNumberFormat="0" applyAlignment="0" applyProtection="0">
      <alignment vertical="center"/>
    </xf>
    <xf numFmtId="0" fontId="20" fillId="0" borderId="0">
      <alignment vertical="center"/>
    </xf>
    <xf numFmtId="0" fontId="20" fillId="0" borderId="0"/>
    <xf numFmtId="0" fontId="110" fillId="0" borderId="0"/>
    <xf numFmtId="0" fontId="110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/>
    <xf numFmtId="0" fontId="2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15" fillId="0" borderId="0"/>
    <xf numFmtId="0" fontId="20" fillId="0" borderId="0">
      <alignment vertical="center"/>
    </xf>
    <xf numFmtId="0" fontId="20" fillId="0" borderId="0">
      <alignment vertical="center"/>
    </xf>
    <xf numFmtId="0" fontId="109" fillId="0" borderId="0"/>
    <xf numFmtId="0" fontId="21" fillId="0" borderId="0"/>
    <xf numFmtId="0" fontId="21" fillId="0" borderId="0">
      <alignment vertical="center"/>
    </xf>
    <xf numFmtId="0" fontId="21" fillId="0" borderId="0"/>
    <xf numFmtId="0" fontId="20" fillId="0" borderId="0">
      <alignment vertical="center"/>
    </xf>
    <xf numFmtId="0" fontId="1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180" fontId="9" fillId="0" borderId="0"/>
    <xf numFmtId="0" fontId="15" fillId="0" borderId="0"/>
    <xf numFmtId="49" fontId="103" fillId="0" borderId="0" applyNumberFormat="0" applyFill="0" applyAlignment="0">
      <alignment vertical="center"/>
    </xf>
    <xf numFmtId="0" fontId="10" fillId="0" borderId="0"/>
    <xf numFmtId="0" fontId="20" fillId="49" borderId="0" applyNumberFormat="0" applyBorder="0" applyAlignment="0" applyProtection="0"/>
    <xf numFmtId="0" fontId="20" fillId="50" borderId="0" applyNumberFormat="0" applyBorder="0" applyAlignment="0" applyProtection="0"/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104" fillId="0" borderId="0"/>
    <xf numFmtId="167" fontId="85" fillId="0" borderId="0" applyFont="0" applyFill="0" applyBorder="0" applyAlignment="0" applyProtection="0"/>
    <xf numFmtId="169" fontId="85" fillId="0" borderId="0" applyFont="0" applyFill="0" applyBorder="0" applyAlignment="0" applyProtection="0"/>
    <xf numFmtId="238" fontId="85" fillId="0" borderId="0" applyFont="0" applyFill="0" applyBorder="0" applyAlignment="0" applyProtection="0"/>
    <xf numFmtId="239" fontId="85" fillId="0" borderId="0" applyFont="0" applyFill="0" applyBorder="0" applyAlignment="0" applyProtection="0"/>
    <xf numFmtId="38" fontId="20" fillId="0" borderId="0" applyFont="0" applyFill="0" applyBorder="0" applyAlignment="0" applyProtection="0"/>
    <xf numFmtId="171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0" fontId="105" fillId="0" borderId="0">
      <alignment vertical="center"/>
    </xf>
  </cellStyleXfs>
  <cellXfs count="1555">
    <xf numFmtId="0" fontId="0" fillId="0" borderId="0" xfId="0"/>
    <xf numFmtId="0" fontId="19" fillId="0" borderId="0" xfId="0" applyFont="1" applyAlignment="1"/>
    <xf numFmtId="0" fontId="0" fillId="0" borderId="0" xfId="0" applyAlignment="1"/>
    <xf numFmtId="0" fontId="22" fillId="36" borderId="85" xfId="423" applyFont="1" applyFill="1" applyBorder="1" applyAlignment="1">
      <alignment horizontal="center"/>
    </xf>
    <xf numFmtId="0" fontId="21" fillId="0" borderId="86" xfId="423" applyFont="1" applyFill="1" applyBorder="1" applyAlignment="1">
      <alignment horizontal="left"/>
    </xf>
    <xf numFmtId="0" fontId="21" fillId="0" borderId="84" xfId="423" applyFont="1" applyFill="1" applyBorder="1" applyAlignment="1">
      <alignment horizontal="left"/>
    </xf>
    <xf numFmtId="0" fontId="21" fillId="0" borderId="10" xfId="423" applyFont="1" applyFill="1" applyBorder="1" applyAlignment="1">
      <alignment horizontal="left"/>
    </xf>
    <xf numFmtId="0" fontId="23" fillId="53" borderId="10" xfId="423" applyFont="1" applyFill="1" applyBorder="1" applyAlignment="1">
      <alignment horizontal="right"/>
    </xf>
    <xf numFmtId="0" fontId="24" fillId="0" borderId="10" xfId="423" applyFont="1" applyFill="1" applyBorder="1" applyAlignment="1">
      <alignment horizontal="left"/>
    </xf>
    <xf numFmtId="0" fontId="3" fillId="0" borderId="0" xfId="0" applyFont="1"/>
    <xf numFmtId="0" fontId="24" fillId="0" borderId="10" xfId="423" applyFont="1" applyFill="1" applyBorder="1" applyAlignment="1">
      <alignment horizontal="left" shrinkToFit="1"/>
    </xf>
    <xf numFmtId="0" fontId="0" fillId="0" borderId="86" xfId="0" applyBorder="1" applyAlignment="1"/>
    <xf numFmtId="0" fontId="0" fillId="0" borderId="84" xfId="0" applyBorder="1" applyAlignment="1"/>
    <xf numFmtId="0" fontId="0" fillId="0" borderId="10" xfId="0" applyBorder="1" applyAlignment="1"/>
    <xf numFmtId="0" fontId="25" fillId="48" borderId="10" xfId="0" applyFont="1" applyFill="1" applyBorder="1" applyAlignment="1"/>
    <xf numFmtId="0" fontId="15" fillId="0" borderId="10" xfId="0" applyFont="1" applyBorder="1" applyAlignment="1"/>
    <xf numFmtId="0" fontId="26" fillId="0" borderId="0" xfId="423" applyFont="1" applyFill="1" applyBorder="1" applyAlignment="1">
      <alignment horizontal="left"/>
    </xf>
    <xf numFmtId="0" fontId="20" fillId="0" borderId="0" xfId="0" applyFont="1" applyFill="1" applyBorder="1" applyAlignment="1"/>
    <xf numFmtId="0" fontId="0" fillId="0" borderId="0" xfId="0" applyProtection="1">
      <protection locked="0"/>
    </xf>
    <xf numFmtId="171" fontId="20" fillId="0" borderId="0" xfId="375" applyFont="1" applyProtection="1">
      <protection locked="0"/>
    </xf>
    <xf numFmtId="171" fontId="20" fillId="36" borderId="10" xfId="375" applyFont="1" applyFill="1" applyBorder="1" applyAlignment="1" applyProtection="1">
      <alignment horizontal="center" shrinkToFit="1"/>
      <protection locked="0"/>
    </xf>
    <xf numFmtId="10" fontId="25" fillId="48" borderId="10" xfId="375" applyNumberFormat="1" applyFont="1" applyFill="1" applyBorder="1" applyProtection="1">
      <protection locked="0"/>
    </xf>
    <xf numFmtId="10" fontId="25" fillId="13" borderId="87" xfId="375" applyNumberFormat="1" applyFont="1" applyFill="1" applyBorder="1" applyProtection="1">
      <protection locked="0"/>
    </xf>
    <xf numFmtId="0" fontId="0" fillId="0" borderId="0" xfId="0" applyAlignment="1">
      <alignment horizontal="right"/>
    </xf>
    <xf numFmtId="0" fontId="3" fillId="0" borderId="0" xfId="0" applyFont="1" applyAlignment="1"/>
    <xf numFmtId="171" fontId="25" fillId="0" borderId="0" xfId="374" applyFont="1" applyAlignment="1">
      <alignment horizontal="right"/>
    </xf>
    <xf numFmtId="10" fontId="27" fillId="0" borderId="0" xfId="374" applyNumberFormat="1" applyFont="1" applyBorder="1"/>
    <xf numFmtId="0" fontId="25" fillId="0" borderId="0" xfId="0" applyFont="1" applyAlignment="1"/>
    <xf numFmtId="0" fontId="0" fillId="36" borderId="10" xfId="0" applyFill="1" applyBorder="1" applyAlignment="1">
      <alignment horizontal="center"/>
    </xf>
    <xf numFmtId="0" fontId="25" fillId="0" borderId="0" xfId="0" applyFont="1"/>
    <xf numFmtId="0" fontId="28" fillId="36" borderId="86" xfId="424" applyFont="1" applyFill="1" applyBorder="1" applyProtection="1">
      <alignment vertical="center"/>
      <protection locked="0"/>
    </xf>
    <xf numFmtId="0" fontId="28" fillId="36" borderId="6" xfId="424" applyFont="1" applyFill="1" applyBorder="1" applyProtection="1">
      <alignment vertical="center"/>
      <protection locked="0"/>
    </xf>
    <xf numFmtId="10" fontId="29" fillId="0" borderId="10" xfId="424" applyNumberFormat="1" applyFont="1" applyBorder="1" applyProtection="1">
      <alignment vertical="center"/>
      <protection locked="0"/>
    </xf>
    <xf numFmtId="10" fontId="25" fillId="0" borderId="10" xfId="258" applyNumberFormat="1" applyFont="1" applyBorder="1" applyProtection="1">
      <protection locked="0"/>
    </xf>
    <xf numFmtId="10" fontId="25" fillId="48" borderId="10" xfId="0" applyNumberFormat="1" applyFont="1" applyFill="1" applyBorder="1"/>
    <xf numFmtId="0" fontId="0" fillId="0" borderId="0" xfId="0" applyBorder="1"/>
    <xf numFmtId="0" fontId="29" fillId="0" borderId="0" xfId="424" applyFont="1" applyFill="1" applyBorder="1" applyProtection="1">
      <alignment vertical="center"/>
      <protection locked="0"/>
    </xf>
    <xf numFmtId="0" fontId="0" fillId="36" borderId="86" xfId="0" applyFill="1" applyBorder="1" applyProtection="1">
      <protection locked="0"/>
    </xf>
    <xf numFmtId="0" fontId="0" fillId="36" borderId="6" xfId="0" applyFill="1" applyBorder="1" applyProtection="1">
      <protection locked="0"/>
    </xf>
    <xf numFmtId="10" fontId="29" fillId="0" borderId="10" xfId="424" applyNumberFormat="1" applyFont="1" applyFill="1" applyBorder="1" applyProtection="1">
      <alignment vertical="center"/>
      <protection locked="0"/>
    </xf>
    <xf numFmtId="10" fontId="25" fillId="0" borderId="42" xfId="258" applyNumberFormat="1" applyFont="1" applyBorder="1" applyProtection="1">
      <protection locked="0"/>
    </xf>
    <xf numFmtId="10" fontId="25" fillId="48" borderId="87" xfId="0" applyNumberFormat="1" applyFont="1" applyFill="1" applyBorder="1"/>
    <xf numFmtId="10" fontId="25" fillId="0" borderId="87" xfId="258" applyNumberFormat="1" applyFont="1" applyBorder="1" applyProtection="1">
      <protection locked="0"/>
    </xf>
    <xf numFmtId="10" fontId="25" fillId="48" borderId="87" xfId="258" applyNumberFormat="1" applyFont="1" applyFill="1" applyBorder="1" applyProtection="1">
      <protection locked="0"/>
    </xf>
    <xf numFmtId="10" fontId="25" fillId="0" borderId="84" xfId="258" applyNumberFormat="1" applyFont="1" applyBorder="1" applyProtection="1">
      <protection locked="0"/>
    </xf>
    <xf numFmtId="10" fontId="25" fillId="48" borderId="10" xfId="258" applyNumberFormat="1" applyFont="1" applyFill="1" applyBorder="1" applyProtection="1">
      <protection locked="0"/>
    </xf>
    <xf numFmtId="0" fontId="19" fillId="0" borderId="0" xfId="0" applyFont="1" applyFill="1" applyBorder="1" applyAlignment="1">
      <alignment horizontal="left"/>
    </xf>
    <xf numFmtId="171" fontId="27" fillId="0" borderId="0" xfId="375" applyFont="1" applyFill="1" applyBorder="1" applyAlignment="1" applyProtection="1">
      <alignment horizontal="center"/>
      <protection locked="0"/>
    </xf>
    <xf numFmtId="10" fontId="25" fillId="0" borderId="0" xfId="375" applyNumberFormat="1" applyFont="1" applyFill="1" applyBorder="1" applyProtection="1">
      <protection locked="0"/>
    </xf>
    <xf numFmtId="49" fontId="28" fillId="0" borderId="0" xfId="0" applyNumberFormat="1" applyFont="1"/>
    <xf numFmtId="0" fontId="25" fillId="36" borderId="10" xfId="0" applyFont="1" applyFill="1" applyBorder="1" applyAlignment="1">
      <alignment horizontal="center"/>
    </xf>
    <xf numFmtId="0" fontId="0" fillId="0" borderId="10" xfId="0" applyBorder="1"/>
    <xf numFmtId="9" fontId="25" fillId="0" borderId="10" xfId="0" applyNumberFormat="1" applyFont="1" applyBorder="1"/>
    <xf numFmtId="10" fontId="25" fillId="0" borderId="10" xfId="0" applyNumberFormat="1" applyFont="1" applyBorder="1"/>
    <xf numFmtId="0" fontId="30" fillId="0" borderId="0" xfId="0" applyFont="1"/>
    <xf numFmtId="0" fontId="25" fillId="48" borderId="86" xfId="0" applyFont="1" applyFill="1" applyBorder="1" applyAlignment="1"/>
    <xf numFmtId="0" fontId="25" fillId="48" borderId="6" xfId="0" applyFont="1" applyFill="1" applyBorder="1" applyAlignment="1"/>
    <xf numFmtId="10" fontId="25" fillId="48" borderId="6" xfId="375" applyNumberFormat="1" applyFont="1" applyFill="1" applyBorder="1" applyProtection="1">
      <protection locked="0"/>
    </xf>
    <xf numFmtId="0" fontId="0" fillId="48" borderId="6" xfId="0" applyFill="1" applyBorder="1" applyProtection="1">
      <protection locked="0"/>
    </xf>
    <xf numFmtId="0" fontId="0" fillId="48" borderId="84" xfId="0" applyFill="1" applyBorder="1" applyProtection="1">
      <protection locked="0"/>
    </xf>
    <xf numFmtId="0" fontId="19" fillId="48" borderId="86" xfId="0" applyFont="1" applyFill="1" applyBorder="1" applyAlignment="1"/>
    <xf numFmtId="0" fontId="19" fillId="0" borderId="84" xfId="0" applyFont="1" applyBorder="1" applyAlignment="1"/>
    <xf numFmtId="0" fontId="20" fillId="0" borderId="86" xfId="415" applyFill="1" applyBorder="1"/>
    <xf numFmtId="0" fontId="20" fillId="0" borderId="84" xfId="415" applyFill="1" applyBorder="1"/>
    <xf numFmtId="0" fontId="20" fillId="0" borderId="10" xfId="415" applyFill="1" applyBorder="1"/>
    <xf numFmtId="197" fontId="25" fillId="48" borderId="86" xfId="127" applyNumberFormat="1" applyFont="1" applyFill="1" applyBorder="1"/>
    <xf numFmtId="0" fontId="20" fillId="0" borderId="86" xfId="415" applyFont="1" applyFill="1" applyBorder="1"/>
    <xf numFmtId="0" fontId="20" fillId="0" borderId="84" xfId="415" applyFont="1" applyFill="1" applyBorder="1"/>
    <xf numFmtId="0" fontId="20" fillId="0" borderId="10" xfId="415" applyFont="1" applyFill="1" applyBorder="1"/>
    <xf numFmtId="198" fontId="25" fillId="48" borderId="86" xfId="127" applyNumberFormat="1" applyFont="1" applyFill="1" applyBorder="1"/>
    <xf numFmtId="0" fontId="20" fillId="0" borderId="86" xfId="415" applyFont="1" applyFill="1" applyBorder="1" applyAlignment="1">
      <alignment horizontal="left"/>
    </xf>
    <xf numFmtId="0" fontId="20" fillId="0" borderId="84" xfId="415" applyFont="1" applyFill="1" applyBorder="1" applyAlignment="1">
      <alignment horizontal="left"/>
    </xf>
    <xf numFmtId="0" fontId="22" fillId="36" borderId="88" xfId="423" applyFont="1" applyFill="1" applyBorder="1" applyAlignment="1">
      <alignment horizontal="center"/>
    </xf>
    <xf numFmtId="0" fontId="22" fillId="36" borderId="10" xfId="423" applyFont="1" applyFill="1" applyBorder="1" applyAlignment="1">
      <alignment horizontal="center"/>
    </xf>
    <xf numFmtId="0" fontId="21" fillId="0" borderId="53" xfId="423" applyFont="1" applyFill="1" applyBorder="1" applyAlignment="1">
      <alignment horizontal="left"/>
    </xf>
    <xf numFmtId="0" fontId="21" fillId="0" borderId="54" xfId="423" applyFont="1" applyFill="1" applyBorder="1" applyAlignment="1">
      <alignment horizontal="left"/>
    </xf>
    <xf numFmtId="0" fontId="21" fillId="0" borderId="84" xfId="423" applyFont="1" applyFill="1" applyBorder="1" applyAlignment="1">
      <alignment horizontal="right"/>
    </xf>
    <xf numFmtId="4" fontId="23" fillId="53" borderId="10" xfId="423" applyNumberFormat="1" applyFont="1" applyFill="1" applyBorder="1" applyAlignment="1">
      <alignment horizontal="right"/>
    </xf>
    <xf numFmtId="0" fontId="21" fillId="0" borderId="89" xfId="423" applyFont="1" applyFill="1" applyBorder="1" applyAlignment="1">
      <alignment horizontal="left"/>
    </xf>
    <xf numFmtId="0" fontId="21" fillId="0" borderId="0" xfId="423" applyFont="1" applyFill="1" applyBorder="1" applyAlignment="1">
      <alignment horizontal="left"/>
    </xf>
    <xf numFmtId="0" fontId="24" fillId="0" borderId="86" xfId="423" applyFont="1" applyFill="1" applyBorder="1" applyAlignment="1">
      <alignment horizontal="left"/>
    </xf>
    <xf numFmtId="0" fontId="21" fillId="0" borderId="41" xfId="423" applyFont="1" applyFill="1" applyBorder="1" applyAlignment="1">
      <alignment horizontal="left"/>
    </xf>
    <xf numFmtId="0" fontId="21" fillId="0" borderId="16" xfId="423" applyFont="1" applyFill="1" applyBorder="1" applyAlignment="1">
      <alignment horizontal="left"/>
    </xf>
    <xf numFmtId="0" fontId="0" fillId="0" borderId="53" xfId="0" applyBorder="1" applyAlignment="1"/>
    <xf numFmtId="0" fontId="0" fillId="0" borderId="54" xfId="0" applyBorder="1" applyAlignment="1"/>
    <xf numFmtId="0" fontId="0" fillId="0" borderId="84" xfId="0" applyFill="1" applyBorder="1" applyAlignment="1"/>
    <xf numFmtId="199" fontId="25" fillId="48" borderId="10" xfId="0" applyNumberFormat="1" applyFont="1" applyFill="1" applyBorder="1" applyAlignment="1"/>
    <xf numFmtId="165" fontId="25" fillId="48" borderId="10" xfId="0" applyNumberFormat="1" applyFont="1" applyFill="1" applyBorder="1" applyAlignment="1"/>
    <xf numFmtId="165" fontId="23" fillId="53" borderId="10" xfId="423" applyNumberFormat="1" applyFont="1" applyFill="1" applyBorder="1" applyAlignment="1">
      <alignment horizontal="right"/>
    </xf>
    <xf numFmtId="0" fontId="21" fillId="0" borderId="6" xfId="423" applyFont="1" applyFill="1" applyBorder="1" applyAlignment="1">
      <alignment horizontal="left"/>
    </xf>
    <xf numFmtId="0" fontId="31" fillId="0" borderId="0" xfId="423" applyFont="1" applyFill="1" applyBorder="1" applyAlignment="1">
      <alignment horizontal="left"/>
    </xf>
    <xf numFmtId="0" fontId="20" fillId="36" borderId="10" xfId="375" applyNumberFormat="1" applyFont="1" applyFill="1" applyBorder="1" applyAlignment="1" applyProtection="1">
      <alignment horizontal="center" shrinkToFit="1"/>
      <protection locked="0"/>
    </xf>
    <xf numFmtId="171" fontId="20" fillId="36" borderId="10" xfId="375" applyFont="1" applyFill="1" applyBorder="1" applyAlignment="1" applyProtection="1">
      <alignment horizontal="center"/>
      <protection locked="0"/>
    </xf>
    <xf numFmtId="10" fontId="20" fillId="48" borderId="10" xfId="375" applyNumberFormat="1" applyFont="1" applyFill="1" applyBorder="1" applyProtection="1">
      <protection locked="0"/>
    </xf>
    <xf numFmtId="0" fontId="0" fillId="48" borderId="86" xfId="0" applyFill="1" applyBorder="1" applyAlignment="1"/>
    <xf numFmtId="0" fontId="0" fillId="48" borderId="84" xfId="0" applyFill="1" applyBorder="1"/>
    <xf numFmtId="10" fontId="25" fillId="48" borderId="90" xfId="375" applyNumberFormat="1" applyFont="1" applyFill="1" applyBorder="1" applyProtection="1">
      <protection locked="0"/>
    </xf>
    <xf numFmtId="0" fontId="0" fillId="0" borderId="0" xfId="0" applyFill="1" applyBorder="1" applyAlignment="1"/>
    <xf numFmtId="170" fontId="25" fillId="48" borderId="10" xfId="375" applyNumberFormat="1" applyFont="1" applyFill="1" applyBorder="1" applyProtection="1">
      <protection locked="0"/>
    </xf>
    <xf numFmtId="200" fontId="25" fillId="48" borderId="10" xfId="127" applyNumberFormat="1" applyFont="1" applyFill="1" applyBorder="1" applyAlignment="1" applyProtection="1">
      <alignment shrinkToFit="1"/>
      <protection locked="0"/>
    </xf>
    <xf numFmtId="10" fontId="25" fillId="48" borderId="10" xfId="375" applyNumberFormat="1" applyFont="1" applyFill="1" applyBorder="1" applyAlignment="1" applyProtection="1">
      <alignment horizontal="right"/>
      <protection locked="0"/>
    </xf>
    <xf numFmtId="10" fontId="11" fillId="48" borderId="10" xfId="375" applyNumberFormat="1" applyFont="1" applyFill="1" applyBorder="1" applyAlignment="1" applyProtection="1">
      <alignment wrapText="1"/>
      <protection locked="0"/>
    </xf>
    <xf numFmtId="164" fontId="25" fillId="48" borderId="10" xfId="375" applyNumberFormat="1" applyFont="1" applyFill="1" applyBorder="1" applyProtection="1">
      <protection locked="0"/>
    </xf>
    <xf numFmtId="10" fontId="25" fillId="48" borderId="91" xfId="375" applyNumberFormat="1" applyFont="1" applyFill="1" applyBorder="1" applyProtection="1">
      <protection locked="0"/>
    </xf>
    <xf numFmtId="3" fontId="32" fillId="53" borderId="10" xfId="423" applyNumberFormat="1" applyFont="1" applyFill="1" applyBorder="1" applyAlignment="1">
      <alignment horizontal="right"/>
    </xf>
    <xf numFmtId="171" fontId="20" fillId="36" borderId="92" xfId="375" applyFont="1" applyFill="1" applyBorder="1" applyAlignment="1" applyProtection="1">
      <alignment horizontal="center"/>
      <protection locked="0"/>
    </xf>
    <xf numFmtId="171" fontId="20" fillId="36" borderId="92" xfId="375" applyFont="1" applyFill="1" applyBorder="1" applyAlignment="1" applyProtection="1">
      <alignment horizontal="center" shrinkToFit="1"/>
      <protection locked="0"/>
    </xf>
    <xf numFmtId="171" fontId="25" fillId="36" borderId="41" xfId="375" applyFont="1" applyFill="1" applyBorder="1" applyAlignment="1" applyProtection="1">
      <alignment horizontal="center" shrinkToFit="1"/>
      <protection locked="0"/>
    </xf>
    <xf numFmtId="171" fontId="25" fillId="36" borderId="42" xfId="375" applyFont="1" applyFill="1" applyBorder="1" applyAlignment="1" applyProtection="1">
      <alignment horizontal="center" shrinkToFit="1"/>
      <protection locked="0"/>
    </xf>
    <xf numFmtId="10" fontId="25" fillId="0" borderId="89" xfId="375" applyNumberFormat="1" applyFont="1" applyFill="1" applyBorder="1" applyProtection="1">
      <protection locked="0"/>
    </xf>
    <xf numFmtId="171" fontId="25" fillId="0" borderId="0" xfId="375" applyFont="1" applyFill="1" applyBorder="1" applyAlignment="1" applyProtection="1">
      <alignment horizontal="center" shrinkToFit="1"/>
      <protection locked="0"/>
    </xf>
    <xf numFmtId="171" fontId="20" fillId="0" borderId="0" xfId="375" applyFont="1" applyFill="1" applyBorder="1" applyAlignment="1" applyProtection="1">
      <alignment horizontal="center"/>
      <protection locked="0"/>
    </xf>
    <xf numFmtId="0" fontId="20" fillId="0" borderId="0" xfId="375" applyNumberFormat="1" applyFont="1" applyFill="1" applyBorder="1" applyAlignment="1" applyProtection="1">
      <alignment horizontal="left"/>
      <protection locked="0"/>
    </xf>
    <xf numFmtId="171" fontId="25" fillId="0" borderId="93" xfId="375" applyFont="1" applyFill="1" applyBorder="1" applyAlignment="1" applyProtection="1">
      <alignment horizontal="center" shrinkToFit="1"/>
      <protection locked="0"/>
    </xf>
    <xf numFmtId="171" fontId="20" fillId="0" borderId="93" xfId="375" applyFont="1" applyFill="1" applyBorder="1" applyAlignment="1" applyProtection="1">
      <alignment horizontal="center"/>
      <protection locked="0"/>
    </xf>
    <xf numFmtId="10" fontId="25" fillId="0" borderId="93" xfId="375" applyNumberFormat="1" applyFont="1" applyFill="1" applyBorder="1" applyProtection="1">
      <protection locked="0"/>
    </xf>
    <xf numFmtId="0" fontId="0" fillId="0" borderId="93" xfId="0" applyBorder="1"/>
    <xf numFmtId="0" fontId="0" fillId="0" borderId="0" xfId="0" applyFill="1" applyBorder="1"/>
    <xf numFmtId="0" fontId="25" fillId="0" borderId="10" xfId="0" applyFont="1" applyBorder="1" applyAlignment="1"/>
    <xf numFmtId="0" fontId="23" fillId="0" borderId="10" xfId="423" applyFont="1" applyFill="1" applyBorder="1" applyAlignment="1">
      <alignment horizontal="right"/>
    </xf>
    <xf numFmtId="0" fontId="23" fillId="48" borderId="10" xfId="423" applyFont="1" applyFill="1" applyBorder="1" applyAlignment="1">
      <alignment horizontal="right"/>
    </xf>
    <xf numFmtId="0" fontId="22" fillId="0" borderId="0" xfId="423" applyFont="1" applyFill="1" applyBorder="1" applyAlignment="1">
      <alignment horizontal="center"/>
    </xf>
    <xf numFmtId="0" fontId="0" fillId="0" borderId="0" xfId="0" applyAlignment="1">
      <alignment shrinkToFit="1"/>
    </xf>
    <xf numFmtId="0" fontId="24" fillId="0" borderId="87" xfId="423" applyFont="1" applyFill="1" applyBorder="1" applyAlignment="1">
      <alignment horizontal="left" shrinkToFit="1"/>
    </xf>
    <xf numFmtId="0" fontId="23" fillId="0" borderId="0" xfId="423" applyFont="1" applyFill="1" applyBorder="1" applyAlignment="1">
      <alignment horizontal="right"/>
    </xf>
    <xf numFmtId="0" fontId="24" fillId="0" borderId="91" xfId="423" applyFont="1" applyFill="1" applyBorder="1" applyAlignment="1">
      <alignment horizontal="left" shrinkToFit="1"/>
    </xf>
    <xf numFmtId="0" fontId="25" fillId="0" borderId="94" xfId="0" applyFont="1" applyBorder="1" applyAlignment="1"/>
    <xf numFmtId="0" fontId="25" fillId="0" borderId="94" xfId="0" applyFont="1" applyFill="1" applyBorder="1" applyAlignment="1"/>
    <xf numFmtId="0" fontId="0" fillId="0" borderId="10" xfId="0" applyBorder="1" applyAlignment="1">
      <alignment shrinkToFit="1"/>
    </xf>
    <xf numFmtId="0" fontId="0" fillId="0" borderId="10" xfId="0" applyBorder="1" applyAlignment="1">
      <alignment vertical="top"/>
    </xf>
    <xf numFmtId="0" fontId="25" fillId="0" borderId="10" xfId="0" applyFont="1" applyFill="1" applyBorder="1" applyAlignment="1"/>
    <xf numFmtId="0" fontId="25" fillId="0" borderId="0" xfId="0" applyFont="1" applyFill="1" applyBorder="1" applyAlignment="1"/>
    <xf numFmtId="0" fontId="0" fillId="0" borderId="0" xfId="0" applyBorder="1" applyAlignment="1"/>
    <xf numFmtId="10" fontId="27" fillId="0" borderId="10" xfId="374" applyNumberFormat="1" applyFont="1" applyFill="1" applyBorder="1"/>
    <xf numFmtId="10" fontId="25" fillId="0" borderId="10" xfId="258" applyNumberFormat="1" applyFont="1" applyFill="1" applyBorder="1" applyProtection="1">
      <protection locked="0"/>
    </xf>
    <xf numFmtId="0" fontId="0" fillId="0" borderId="94" xfId="0" applyBorder="1" applyAlignment="1"/>
    <xf numFmtId="10" fontId="27" fillId="0" borderId="10" xfId="374" applyNumberFormat="1" applyFont="1" applyBorder="1"/>
    <xf numFmtId="10" fontId="25" fillId="0" borderId="10" xfId="375" applyNumberFormat="1" applyFont="1" applyFill="1" applyBorder="1" applyProtection="1">
      <protection locked="0"/>
    </xf>
    <xf numFmtId="0" fontId="25" fillId="0" borderId="0" xfId="0" applyFont="1" applyFill="1" applyBorder="1" applyAlignment="1">
      <alignment horizontal="center"/>
    </xf>
    <xf numFmtId="10" fontId="29" fillId="48" borderId="10" xfId="424" applyNumberFormat="1" applyFont="1" applyFill="1" applyBorder="1" applyProtection="1">
      <alignment vertical="center"/>
      <protection locked="0"/>
    </xf>
    <xf numFmtId="0" fontId="0" fillId="0" borderId="0" xfId="0" applyFill="1" applyBorder="1" applyProtection="1">
      <protection locked="0"/>
    </xf>
    <xf numFmtId="10" fontId="29" fillId="0" borderId="0" xfId="424" applyNumberFormat="1" applyFont="1" applyFill="1" applyBorder="1" applyProtection="1">
      <alignment vertical="center"/>
      <protection locked="0"/>
    </xf>
    <xf numFmtId="0" fontId="33" fillId="0" borderId="0" xfId="0" applyFont="1" applyFill="1" applyBorder="1" applyAlignment="1"/>
    <xf numFmtId="0" fontId="25" fillId="36" borderId="86" xfId="0" applyFont="1" applyFill="1" applyBorder="1" applyAlignment="1">
      <alignment horizontal="center"/>
    </xf>
    <xf numFmtId="171" fontId="3" fillId="36" borderId="10" xfId="375" applyFont="1" applyFill="1" applyBorder="1" applyAlignment="1" applyProtection="1">
      <alignment horizontal="center"/>
      <protection locked="0"/>
    </xf>
    <xf numFmtId="10" fontId="27" fillId="0" borderId="86" xfId="375" applyNumberFormat="1" applyFont="1" applyFill="1" applyBorder="1" applyProtection="1">
      <protection locked="0"/>
    </xf>
    <xf numFmtId="10" fontId="27" fillId="48" borderId="10" xfId="375" applyNumberFormat="1" applyFont="1" applyFill="1" applyBorder="1" applyProtection="1">
      <protection locked="0"/>
    </xf>
    <xf numFmtId="10" fontId="27" fillId="0" borderId="0" xfId="375" applyNumberFormat="1" applyFont="1" applyFill="1" applyBorder="1" applyProtection="1">
      <protection locked="0"/>
    </xf>
    <xf numFmtId="10" fontId="27" fillId="0" borderId="0" xfId="374" applyNumberFormat="1" applyFont="1"/>
    <xf numFmtId="0" fontId="25" fillId="36" borderId="91" xfId="0" applyFont="1" applyFill="1" applyBorder="1" applyAlignment="1">
      <alignment horizontal="center"/>
    </xf>
    <xf numFmtId="0" fontId="25" fillId="0" borderId="10" xfId="0" applyFont="1" applyFill="1" applyBorder="1" applyAlignment="1">
      <alignment horizontal="center"/>
    </xf>
    <xf numFmtId="0" fontId="25" fillId="36" borderId="14" xfId="0" applyFont="1" applyFill="1" applyBorder="1" applyAlignment="1">
      <alignment horizontal="center"/>
    </xf>
    <xf numFmtId="0" fontId="20" fillId="36" borderId="14" xfId="0" applyFont="1" applyFill="1" applyBorder="1" applyAlignment="1">
      <alignment horizontal="center"/>
    </xf>
    <xf numFmtId="0" fontId="25" fillId="36" borderId="87" xfId="0" applyFont="1" applyFill="1" applyBorder="1" applyAlignment="1">
      <alignment horizontal="center"/>
    </xf>
    <xf numFmtId="0" fontId="33" fillId="0" borderId="0" xfId="0" applyFont="1"/>
    <xf numFmtId="40" fontId="3" fillId="0" borderId="0" xfId="127" applyNumberFormat="1" applyFont="1" applyFill="1"/>
    <xf numFmtId="38" fontId="20" fillId="0" borderId="0" xfId="127" applyFont="1"/>
    <xf numFmtId="0" fontId="22" fillId="36" borderId="115" xfId="423" applyFont="1" applyFill="1" applyBorder="1" applyAlignment="1">
      <alignment horizontal="center"/>
    </xf>
    <xf numFmtId="0" fontId="22" fillId="36" borderId="115" xfId="423" applyFont="1" applyFill="1" applyBorder="1" applyAlignment="1">
      <alignment horizontal="center" shrinkToFit="1"/>
    </xf>
    <xf numFmtId="40" fontId="22" fillId="0" borderId="115" xfId="127" applyNumberFormat="1" applyFont="1" applyFill="1" applyBorder="1" applyAlignment="1">
      <alignment horizontal="center" shrinkToFit="1"/>
    </xf>
    <xf numFmtId="38" fontId="22" fillId="36" borderId="115" xfId="127" applyFont="1" applyFill="1" applyBorder="1" applyAlignment="1">
      <alignment horizontal="center" shrinkToFit="1"/>
    </xf>
    <xf numFmtId="0" fontId="22" fillId="0" borderId="12" xfId="421" applyFont="1" applyFill="1" applyBorder="1" applyAlignment="1">
      <alignment horizontal="left"/>
    </xf>
    <xf numFmtId="0" fontId="22" fillId="0" borderId="12" xfId="421" applyFont="1" applyFill="1" applyBorder="1" applyAlignment="1">
      <alignment horizontal="left" shrinkToFit="1"/>
    </xf>
    <xf numFmtId="40" fontId="22" fillId="53" borderId="12" xfId="127" applyNumberFormat="1" applyFont="1" applyFill="1" applyBorder="1" applyAlignment="1">
      <alignment horizontal="right"/>
    </xf>
    <xf numFmtId="38" fontId="22" fillId="0" borderId="12" xfId="127" applyFont="1" applyFill="1" applyBorder="1" applyAlignment="1">
      <alignment horizontal="right"/>
    </xf>
    <xf numFmtId="40" fontId="22" fillId="0" borderId="12" xfId="127" applyNumberFormat="1" applyFont="1" applyFill="1" applyBorder="1" applyAlignment="1">
      <alignment horizontal="right"/>
    </xf>
    <xf numFmtId="0" fontId="0" fillId="0" borderId="0" xfId="0" applyFill="1"/>
    <xf numFmtId="0" fontId="0" fillId="0" borderId="41" xfId="0" applyBorder="1"/>
    <xf numFmtId="0" fontId="0" fillId="0" borderId="53" xfId="0" applyBorder="1"/>
    <xf numFmtId="171" fontId="25" fillId="36" borderId="86" xfId="375" applyFont="1" applyFill="1" applyBorder="1" applyAlignment="1" applyProtection="1">
      <alignment horizontal="center" shrinkToFit="1"/>
      <protection locked="0"/>
    </xf>
    <xf numFmtId="0" fontId="67" fillId="0" borderId="0" xfId="416" applyFont="1" applyAlignment="1"/>
    <xf numFmtId="0" fontId="20" fillId="0" borderId="0" xfId="416" applyAlignment="1"/>
    <xf numFmtId="0" fontId="19" fillId="0" borderId="0" xfId="416" applyFont="1" applyAlignment="1"/>
    <xf numFmtId="0" fontId="20" fillId="0" borderId="0" xfId="416"/>
    <xf numFmtId="0" fontId="22" fillId="53" borderId="10" xfId="421" applyFont="1" applyFill="1" applyBorder="1" applyAlignment="1">
      <alignment horizontal="right"/>
    </xf>
    <xf numFmtId="220" fontId="22" fillId="53" borderId="10" xfId="376" applyNumberFormat="1" applyFont="1" applyFill="1" applyBorder="1" applyAlignment="1">
      <alignment horizontal="right"/>
    </xf>
    <xf numFmtId="0" fontId="3" fillId="0" borderId="0" xfId="416" applyFont="1"/>
    <xf numFmtId="0" fontId="35" fillId="0" borderId="0" xfId="416" applyFont="1"/>
    <xf numFmtId="0" fontId="20" fillId="0" borderId="86" xfId="416" applyBorder="1" applyAlignment="1"/>
    <xf numFmtId="0" fontId="20" fillId="0" borderId="84" xfId="416" applyBorder="1" applyAlignment="1"/>
    <xf numFmtId="0" fontId="20" fillId="0" borderId="10" xfId="416" applyBorder="1" applyAlignment="1"/>
    <xf numFmtId="0" fontId="15" fillId="0" borderId="10" xfId="416" applyFont="1" applyBorder="1" applyAlignment="1"/>
    <xf numFmtId="0" fontId="25" fillId="0" borderId="0" xfId="416" applyFont="1"/>
    <xf numFmtId="0" fontId="20" fillId="0" borderId="0" xfId="416" applyFont="1"/>
    <xf numFmtId="0" fontId="20" fillId="0" borderId="0" xfId="416" applyBorder="1" applyAlignment="1"/>
    <xf numFmtId="0" fontId="3" fillId="36" borderId="10" xfId="416" applyFont="1" applyFill="1" applyBorder="1" applyAlignment="1">
      <alignment horizontal="center"/>
    </xf>
    <xf numFmtId="0" fontId="11" fillId="36" borderId="10" xfId="416" applyFont="1" applyFill="1" applyBorder="1" applyAlignment="1">
      <alignment horizontal="center"/>
    </xf>
    <xf numFmtId="0" fontId="20" fillId="36" borderId="86" xfId="416" applyFill="1" applyBorder="1" applyAlignment="1"/>
    <xf numFmtId="0" fontId="20" fillId="36" borderId="6" xfId="416" applyFill="1" applyBorder="1" applyAlignment="1"/>
    <xf numFmtId="0" fontId="20" fillId="36" borderId="84" xfId="416" applyFill="1" applyBorder="1" applyAlignment="1"/>
    <xf numFmtId="0" fontId="3" fillId="36" borderId="86" xfId="416" applyFont="1" applyFill="1" applyBorder="1" applyAlignment="1"/>
    <xf numFmtId="0" fontId="3" fillId="36" borderId="6" xfId="416" applyFont="1" applyFill="1" applyBorder="1" applyAlignment="1"/>
    <xf numFmtId="0" fontId="3" fillId="36" borderId="84" xfId="416" applyFont="1" applyFill="1" applyBorder="1" applyAlignment="1"/>
    <xf numFmtId="0" fontId="25" fillId="36" borderId="10" xfId="416" applyFont="1" applyFill="1" applyBorder="1" applyAlignment="1">
      <alignment horizontal="center"/>
    </xf>
    <xf numFmtId="10" fontId="29" fillId="48" borderId="91" xfId="424" applyNumberFormat="1" applyFont="1" applyFill="1" applyBorder="1" applyAlignment="1" applyProtection="1">
      <alignment horizontal="right" vertical="center"/>
      <protection locked="0"/>
    </xf>
    <xf numFmtId="0" fontId="25" fillId="0" borderId="0" xfId="416" applyFont="1" applyAlignment="1"/>
    <xf numFmtId="0" fontId="20" fillId="0" borderId="0" xfId="416" applyFont="1" applyFill="1" applyBorder="1" applyAlignment="1"/>
    <xf numFmtId="0" fontId="20" fillId="0" borderId="0" xfId="416" applyProtection="1">
      <protection locked="0"/>
    </xf>
    <xf numFmtId="0" fontId="20" fillId="0" borderId="0" xfId="416" applyAlignment="1">
      <alignment horizontal="left"/>
    </xf>
    <xf numFmtId="10" fontId="20" fillId="36" borderId="90" xfId="375" applyNumberFormat="1" applyFont="1" applyFill="1" applyBorder="1" applyProtection="1">
      <protection locked="0"/>
    </xf>
    <xf numFmtId="0" fontId="3" fillId="0" borderId="0" xfId="416" applyFont="1" applyAlignment="1"/>
    <xf numFmtId="0" fontId="20" fillId="0" borderId="0" xfId="416" applyAlignment="1">
      <alignment horizontal="right"/>
    </xf>
    <xf numFmtId="10" fontId="0" fillId="0" borderId="0" xfId="0" applyNumberFormat="1"/>
    <xf numFmtId="0" fontId="20" fillId="36" borderId="14" xfId="416" applyFill="1" applyBorder="1" applyAlignment="1"/>
    <xf numFmtId="171" fontId="27" fillId="36" borderId="86" xfId="375" applyFont="1" applyFill="1" applyBorder="1" applyAlignment="1" applyProtection="1">
      <alignment horizontal="center" shrinkToFit="1"/>
      <protection locked="0"/>
    </xf>
    <xf numFmtId="10" fontId="25" fillId="52" borderId="116" xfId="375" applyNumberFormat="1" applyFont="1" applyFill="1" applyBorder="1" applyProtection="1">
      <protection locked="0"/>
    </xf>
    <xf numFmtId="10" fontId="25" fillId="52" borderId="117" xfId="375" applyNumberFormat="1" applyFont="1" applyFill="1" applyBorder="1" applyProtection="1">
      <protection locked="0"/>
    </xf>
    <xf numFmtId="0" fontId="20" fillId="36" borderId="87" xfId="416" applyFill="1" applyBorder="1" applyAlignment="1"/>
    <xf numFmtId="10" fontId="25" fillId="52" borderId="118" xfId="375" applyNumberFormat="1" applyFont="1" applyFill="1" applyBorder="1" applyProtection="1">
      <protection locked="0"/>
    </xf>
    <xf numFmtId="10" fontId="25" fillId="13" borderId="10" xfId="375" applyNumberFormat="1" applyFont="1" applyFill="1" applyBorder="1" applyProtection="1">
      <protection locked="0"/>
    </xf>
    <xf numFmtId="171" fontId="20" fillId="36" borderId="90" xfId="375" applyFont="1" applyFill="1" applyBorder="1" applyAlignment="1" applyProtection="1">
      <alignment horizontal="center" shrinkToFit="1"/>
      <protection locked="0"/>
    </xf>
    <xf numFmtId="0" fontId="0" fillId="0" borderId="90" xfId="0" applyBorder="1"/>
    <xf numFmtId="0" fontId="0" fillId="54" borderId="86" xfId="0" applyFill="1" applyBorder="1" applyAlignment="1">
      <alignment horizontal="centerContinuous"/>
    </xf>
    <xf numFmtId="0" fontId="0" fillId="54" borderId="6" xfId="0" applyFill="1" applyBorder="1" applyAlignment="1">
      <alignment horizontal="centerContinuous"/>
    </xf>
    <xf numFmtId="0" fontId="20" fillId="54" borderId="84" xfId="416" applyFill="1" applyBorder="1" applyAlignment="1">
      <alignment horizontal="centerContinuous"/>
    </xf>
    <xf numFmtId="0" fontId="0" fillId="54" borderId="84" xfId="0" applyFill="1" applyBorder="1" applyAlignment="1">
      <alignment horizontal="centerContinuous"/>
    </xf>
    <xf numFmtId="0" fontId="20" fillId="0" borderId="91" xfId="416" applyBorder="1"/>
    <xf numFmtId="0" fontId="0" fillId="0" borderId="54" xfId="0" applyBorder="1"/>
    <xf numFmtId="0" fontId="3" fillId="0" borderId="52" xfId="416" applyFont="1" applyBorder="1"/>
    <xf numFmtId="0" fontId="20" fillId="0" borderId="53" xfId="416" applyFont="1" applyBorder="1"/>
    <xf numFmtId="0" fontId="20" fillId="0" borderId="54" xfId="416" applyBorder="1"/>
    <xf numFmtId="0" fontId="20" fillId="0" borderId="52" xfId="416" applyBorder="1"/>
    <xf numFmtId="0" fontId="0" fillId="0" borderId="14" xfId="0" applyBorder="1" applyAlignment="1"/>
    <xf numFmtId="0" fontId="0" fillId="0" borderId="89" xfId="0" applyBorder="1"/>
    <xf numFmtId="0" fontId="0" fillId="0" borderId="0" xfId="0" applyBorder="1" applyAlignment="1">
      <alignment horizontal="right"/>
    </xf>
    <xf numFmtId="0" fontId="20" fillId="0" borderId="119" xfId="416" applyBorder="1" applyAlignment="1"/>
    <xf numFmtId="0" fontId="20" fillId="0" borderId="89" xfId="416" applyFont="1" applyBorder="1"/>
    <xf numFmtId="0" fontId="20" fillId="0" borderId="119" xfId="416" applyBorder="1"/>
    <xf numFmtId="0" fontId="0" fillId="0" borderId="87" xfId="0" applyBorder="1" applyAlignment="1"/>
    <xf numFmtId="0" fontId="0" fillId="0" borderId="16" xfId="0" applyBorder="1"/>
    <xf numFmtId="0" fontId="20" fillId="0" borderId="42" xfId="416" applyBorder="1" applyAlignment="1"/>
    <xf numFmtId="0" fontId="20" fillId="0" borderId="41" xfId="416" applyBorder="1" applyAlignment="1"/>
    <xf numFmtId="0" fontId="20" fillId="0" borderId="16" xfId="416" applyBorder="1" applyAlignment="1"/>
    <xf numFmtId="0" fontId="20" fillId="0" borderId="42" xfId="416" applyBorder="1"/>
    <xf numFmtId="0" fontId="0" fillId="0" borderId="91" xfId="0" applyBorder="1" applyAlignment="1"/>
    <xf numFmtId="0" fontId="0" fillId="0" borderId="54" xfId="0" applyBorder="1" applyAlignment="1">
      <alignment horizontal="right"/>
    </xf>
    <xf numFmtId="0" fontId="20" fillId="0" borderId="52" xfId="416" applyBorder="1" applyAlignment="1"/>
    <xf numFmtId="0" fontId="20" fillId="0" borderId="54" xfId="416" applyBorder="1" applyAlignment="1"/>
    <xf numFmtId="0" fontId="20" fillId="0" borderId="89" xfId="416" applyFont="1" applyBorder="1" applyAlignment="1"/>
    <xf numFmtId="0" fontId="20" fillId="0" borderId="41" xfId="416" applyBorder="1"/>
    <xf numFmtId="0" fontId="68" fillId="0" borderId="53" xfId="416" applyFont="1" applyBorder="1" applyAlignment="1"/>
    <xf numFmtId="0" fontId="68" fillId="0" borderId="89" xfId="416" applyFont="1" applyBorder="1" applyAlignment="1"/>
    <xf numFmtId="0" fontId="20" fillId="0" borderId="0" xfId="416" applyFont="1" applyAlignment="1"/>
    <xf numFmtId="0" fontId="15" fillId="0" borderId="0" xfId="417" applyAlignment="1"/>
    <xf numFmtId="0" fontId="19" fillId="0" borderId="0" xfId="417" applyFont="1" applyAlignment="1"/>
    <xf numFmtId="0" fontId="19" fillId="48" borderId="86" xfId="417" applyFont="1" applyFill="1" applyBorder="1" applyAlignment="1"/>
    <xf numFmtId="0" fontId="19" fillId="0" borderId="84" xfId="417" applyFont="1" applyBorder="1" applyAlignment="1"/>
    <xf numFmtId="197" fontId="25" fillId="48" borderId="86" xfId="376" applyNumberFormat="1" applyFont="1" applyFill="1" applyBorder="1"/>
    <xf numFmtId="0" fontId="15" fillId="0" borderId="0" xfId="417"/>
    <xf numFmtId="40" fontId="25" fillId="48" borderId="86" xfId="376" applyNumberFormat="1" applyFont="1" applyFill="1" applyBorder="1"/>
    <xf numFmtId="198" fontId="25" fillId="48" borderId="86" xfId="376" applyNumberFormat="1" applyFont="1" applyFill="1" applyBorder="1"/>
    <xf numFmtId="219" fontId="25" fillId="48" borderId="86" xfId="376" applyNumberFormat="1" applyFont="1" applyFill="1" applyBorder="1"/>
    <xf numFmtId="0" fontId="14" fillId="0" borderId="0" xfId="417" applyFont="1" applyAlignment="1"/>
    <xf numFmtId="0" fontId="30" fillId="0" borderId="0" xfId="417" applyFont="1" applyAlignment="1"/>
    <xf numFmtId="0" fontId="25" fillId="0" borderId="0" xfId="417" applyFont="1" applyAlignment="1"/>
    <xf numFmtId="4" fontId="23" fillId="0" borderId="10" xfId="423" applyNumberFormat="1" applyFont="1" applyFill="1" applyBorder="1" applyAlignment="1">
      <alignment horizontal="right"/>
    </xf>
    <xf numFmtId="0" fontId="15" fillId="0" borderId="10" xfId="417" applyBorder="1"/>
    <xf numFmtId="0" fontId="15" fillId="0" borderId="53" xfId="417" applyBorder="1" applyAlignment="1"/>
    <xf numFmtId="0" fontId="15" fillId="0" borderId="54" xfId="417" applyBorder="1" applyAlignment="1"/>
    <xf numFmtId="0" fontId="15" fillId="0" borderId="86" xfId="417" applyBorder="1" applyAlignment="1"/>
    <xf numFmtId="0" fontId="15" fillId="0" borderId="84" xfId="417" applyFill="1" applyBorder="1" applyAlignment="1"/>
    <xf numFmtId="199" fontId="25" fillId="0" borderId="10" xfId="417" applyNumberFormat="1" applyFont="1" applyFill="1" applyBorder="1" applyAlignment="1">
      <alignment shrinkToFit="1"/>
    </xf>
    <xf numFmtId="165" fontId="25" fillId="0" borderId="10" xfId="417" applyNumberFormat="1" applyFont="1" applyFill="1" applyBorder="1" applyAlignment="1"/>
    <xf numFmtId="0" fontId="15" fillId="0" borderId="10" xfId="417" applyBorder="1" applyAlignment="1"/>
    <xf numFmtId="165" fontId="23" fillId="0" borderId="10" xfId="423" applyNumberFormat="1" applyFont="1" applyFill="1" applyBorder="1" applyAlignment="1">
      <alignment horizontal="right"/>
    </xf>
    <xf numFmtId="0" fontId="21" fillId="0" borderId="52" xfId="423" applyFont="1" applyFill="1" applyBorder="1" applyAlignment="1">
      <alignment horizontal="left"/>
    </xf>
    <xf numFmtId="219" fontId="23" fillId="0" borderId="10" xfId="376" applyNumberFormat="1" applyFont="1" applyFill="1" applyBorder="1" applyAlignment="1">
      <alignment horizontal="right"/>
    </xf>
    <xf numFmtId="40" fontId="23" fillId="0" borderId="10" xfId="376" applyNumberFormat="1" applyFont="1" applyFill="1" applyBorder="1" applyAlignment="1">
      <alignment horizontal="right"/>
    </xf>
    <xf numFmtId="0" fontId="21" fillId="0" borderId="119" xfId="423" applyFont="1" applyFill="1" applyBorder="1" applyAlignment="1">
      <alignment horizontal="left"/>
    </xf>
    <xf numFmtId="0" fontId="21" fillId="0" borderId="42" xfId="423" applyFont="1" applyFill="1" applyBorder="1" applyAlignment="1">
      <alignment horizontal="left"/>
    </xf>
    <xf numFmtId="0" fontId="25" fillId="0" borderId="0" xfId="417" applyFont="1"/>
    <xf numFmtId="0" fontId="3" fillId="36" borderId="10" xfId="375" applyNumberFormat="1" applyFont="1" applyFill="1" applyBorder="1" applyAlignment="1" applyProtection="1">
      <alignment horizontal="center" shrinkToFit="1"/>
      <protection locked="0"/>
    </xf>
    <xf numFmtId="0" fontId="20" fillId="36" borderId="10" xfId="375" applyNumberFormat="1" applyFont="1" applyFill="1" applyBorder="1" applyAlignment="1" applyProtection="1">
      <alignment horizontal="center" wrapText="1" shrinkToFit="1"/>
      <protection locked="0"/>
    </xf>
    <xf numFmtId="10" fontId="20" fillId="0" borderId="10" xfId="258" applyNumberFormat="1" applyFont="1" applyBorder="1" applyProtection="1">
      <protection locked="0"/>
    </xf>
    <xf numFmtId="181" fontId="20" fillId="0" borderId="10" xfId="258" applyNumberFormat="1" applyFont="1" applyBorder="1" applyProtection="1">
      <protection locked="0"/>
    </xf>
    <xf numFmtId="0" fontId="15" fillId="0" borderId="10" xfId="417" applyBorder="1" applyProtection="1">
      <protection locked="0"/>
    </xf>
    <xf numFmtId="0" fontId="3" fillId="0" borderId="0" xfId="417" applyFont="1" applyAlignment="1"/>
    <xf numFmtId="10" fontId="20" fillId="0" borderId="10" xfId="258" applyNumberFormat="1" applyFont="1" applyFill="1" applyBorder="1" applyProtection="1">
      <protection locked="0"/>
    </xf>
    <xf numFmtId="181" fontId="20" fillId="0" borderId="10" xfId="258" applyNumberFormat="1" applyFont="1" applyFill="1" applyBorder="1" applyProtection="1">
      <protection locked="0"/>
    </xf>
    <xf numFmtId="0" fontId="15" fillId="0" borderId="10" xfId="417" applyFill="1" applyBorder="1" applyProtection="1">
      <protection locked="0"/>
    </xf>
    <xf numFmtId="0" fontId="15" fillId="0" borderId="0" xfId="417" applyFont="1" applyAlignment="1"/>
    <xf numFmtId="171" fontId="25" fillId="36" borderId="87" xfId="375" applyFont="1" applyFill="1" applyBorder="1" applyAlignment="1" applyProtection="1">
      <alignment horizontal="center" shrinkToFit="1"/>
      <protection locked="0"/>
    </xf>
    <xf numFmtId="10" fontId="20" fillId="10" borderId="87" xfId="258" applyNumberFormat="1" applyFont="1" applyFill="1" applyBorder="1" applyProtection="1">
      <protection locked="0"/>
    </xf>
    <xf numFmtId="0" fontId="15" fillId="0" borderId="10" xfId="417" applyBorder="1" applyAlignment="1">
      <alignment horizontal="center"/>
    </xf>
    <xf numFmtId="0" fontId="3" fillId="10" borderId="87" xfId="417" applyFont="1" applyFill="1" applyBorder="1" applyProtection="1">
      <protection locked="0"/>
    </xf>
    <xf numFmtId="0" fontId="25" fillId="0" borderId="0" xfId="426" applyFont="1" applyFill="1" applyBorder="1" applyAlignment="1">
      <alignment vertical="center"/>
    </xf>
    <xf numFmtId="0" fontId="34" fillId="0" borderId="0" xfId="417" applyFont="1"/>
    <xf numFmtId="171" fontId="20" fillId="36" borderId="86" xfId="375" applyFont="1" applyFill="1" applyBorder="1" applyAlignment="1" applyProtection="1">
      <alignment horizontal="center" shrinkToFit="1"/>
      <protection locked="0"/>
    </xf>
    <xf numFmtId="171" fontId="20" fillId="0" borderId="0" xfId="375" applyFont="1" applyFill="1" applyBorder="1" applyAlignment="1" applyProtection="1">
      <alignment horizontal="center" shrinkToFit="1"/>
      <protection locked="0"/>
    </xf>
    <xf numFmtId="10" fontId="20" fillId="0" borderId="10" xfId="375" applyNumberFormat="1" applyFont="1" applyFill="1" applyBorder="1" applyAlignment="1" applyProtection="1">
      <alignment shrinkToFit="1"/>
      <protection locked="0"/>
    </xf>
    <xf numFmtId="10" fontId="20" fillId="0" borderId="86" xfId="375" applyNumberFormat="1" applyFont="1" applyFill="1" applyBorder="1" applyAlignment="1" applyProtection="1">
      <alignment shrinkToFit="1"/>
      <protection locked="0"/>
    </xf>
    <xf numFmtId="10" fontId="20" fillId="0" borderId="10" xfId="417" applyNumberFormat="1" applyFont="1" applyBorder="1"/>
    <xf numFmtId="10" fontId="20" fillId="0" borderId="0" xfId="375" applyNumberFormat="1" applyFont="1" applyFill="1" applyBorder="1" applyAlignment="1" applyProtection="1">
      <alignment shrinkToFit="1"/>
      <protection locked="0"/>
    </xf>
    <xf numFmtId="10" fontId="20" fillId="0" borderId="10" xfId="375" applyNumberFormat="1" applyFont="1" applyFill="1" applyBorder="1" applyAlignment="1" applyProtection="1">
      <alignment horizontal="right" shrinkToFit="1"/>
      <protection locked="0"/>
    </xf>
    <xf numFmtId="171" fontId="3" fillId="36" borderId="10" xfId="375" applyFont="1" applyFill="1" applyBorder="1" applyAlignment="1" applyProtection="1">
      <alignment horizontal="center" shrinkToFit="1"/>
      <protection locked="0"/>
    </xf>
    <xf numFmtId="10" fontId="20" fillId="0" borderId="86" xfId="375" applyNumberFormat="1" applyFont="1" applyFill="1" applyBorder="1" applyAlignment="1" applyProtection="1">
      <alignment horizontal="right" shrinkToFit="1"/>
      <protection locked="0"/>
    </xf>
    <xf numFmtId="10" fontId="20" fillId="0" borderId="90" xfId="375" applyNumberFormat="1" applyFont="1" applyFill="1" applyBorder="1" applyAlignment="1" applyProtection="1">
      <alignment shrinkToFit="1"/>
      <protection locked="0"/>
    </xf>
    <xf numFmtId="10" fontId="20" fillId="0" borderId="6" xfId="375" applyNumberFormat="1" applyFont="1" applyFill="1" applyBorder="1" applyAlignment="1" applyProtection="1">
      <alignment shrinkToFit="1"/>
      <protection locked="0"/>
    </xf>
    <xf numFmtId="0" fontId="15" fillId="0" borderId="0" xfId="417" applyAlignment="1">
      <alignment shrinkToFit="1"/>
    </xf>
    <xf numFmtId="0" fontId="20" fillId="0" borderId="10" xfId="417" applyFont="1" applyFill="1" applyBorder="1"/>
    <xf numFmtId="200" fontId="20" fillId="0" borderId="10" xfId="376" applyNumberFormat="1" applyFont="1" applyFill="1" applyBorder="1" applyAlignment="1" applyProtection="1">
      <alignment shrinkToFit="1"/>
      <protection locked="0"/>
    </xf>
    <xf numFmtId="164" fontId="20" fillId="0" borderId="10" xfId="375" applyNumberFormat="1" applyFont="1" applyFill="1" applyBorder="1" applyAlignment="1" applyProtection="1">
      <alignment shrinkToFit="1"/>
      <protection locked="0"/>
    </xf>
    <xf numFmtId="3" fontId="3" fillId="0" borderId="10" xfId="423" applyNumberFormat="1" applyFont="1" applyFill="1" applyBorder="1" applyAlignment="1">
      <alignment horizontal="right" shrinkToFit="1"/>
    </xf>
    <xf numFmtId="170" fontId="20" fillId="0" borderId="10" xfId="375" applyNumberFormat="1" applyFont="1" applyFill="1" applyBorder="1" applyAlignment="1" applyProtection="1">
      <alignment shrinkToFit="1"/>
      <protection locked="0"/>
    </xf>
    <xf numFmtId="0" fontId="3" fillId="0" borderId="0" xfId="417" applyFont="1"/>
    <xf numFmtId="10" fontId="3" fillId="0" borderId="0" xfId="417" applyNumberFormat="1" applyFont="1"/>
    <xf numFmtId="0" fontId="20" fillId="0" borderId="0" xfId="417" applyFont="1"/>
    <xf numFmtId="0" fontId="15" fillId="0" borderId="0" xfId="417" applyBorder="1" applyAlignment="1"/>
    <xf numFmtId="0" fontId="25" fillId="36" borderId="10" xfId="417" applyFont="1" applyFill="1" applyBorder="1" applyAlignment="1">
      <alignment horizontal="center"/>
    </xf>
    <xf numFmtId="0" fontId="15" fillId="0" borderId="0" xfId="417" applyFill="1" applyBorder="1"/>
    <xf numFmtId="197" fontId="25" fillId="0" borderId="10" xfId="376" applyNumberFormat="1" applyFont="1" applyBorder="1" applyAlignment="1"/>
    <xf numFmtId="197" fontId="23" fillId="0" borderId="10" xfId="376" applyNumberFormat="1" applyFont="1" applyFill="1" applyBorder="1" applyAlignment="1">
      <alignment horizontal="right"/>
    </xf>
    <xf numFmtId="197" fontId="23" fillId="48" borderId="10" xfId="376" applyNumberFormat="1" applyFont="1" applyFill="1" applyBorder="1" applyAlignment="1">
      <alignment horizontal="right"/>
    </xf>
    <xf numFmtId="197" fontId="25" fillId="0" borderId="94" xfId="376" applyNumberFormat="1" applyFont="1" applyBorder="1" applyAlignment="1"/>
    <xf numFmtId="197" fontId="25" fillId="0" borderId="94" xfId="376" applyNumberFormat="1" applyFont="1" applyFill="1" applyBorder="1" applyAlignment="1"/>
    <xf numFmtId="197" fontId="23" fillId="48" borderId="94" xfId="376" applyNumberFormat="1" applyFont="1" applyFill="1" applyBorder="1" applyAlignment="1">
      <alignment horizontal="right"/>
    </xf>
    <xf numFmtId="197" fontId="25" fillId="48" borderId="10" xfId="376" applyNumberFormat="1" applyFont="1" applyFill="1" applyBorder="1" applyAlignment="1"/>
    <xf numFmtId="0" fontId="15" fillId="0" borderId="10" xfId="417" applyBorder="1" applyAlignment="1">
      <alignment shrinkToFit="1"/>
    </xf>
    <xf numFmtId="0" fontId="15" fillId="0" borderId="10" xfId="417" applyBorder="1" applyAlignment="1">
      <alignment vertical="top"/>
    </xf>
    <xf numFmtId="197" fontId="25" fillId="0" borderId="10" xfId="376" applyNumberFormat="1" applyFont="1" applyFill="1" applyBorder="1" applyAlignment="1"/>
    <xf numFmtId="0" fontId="25" fillId="0" borderId="0" xfId="417" applyFont="1" applyFill="1" applyBorder="1" applyAlignment="1">
      <alignment horizontal="center"/>
    </xf>
    <xf numFmtId="0" fontId="15" fillId="0" borderId="94" xfId="417" applyBorder="1" applyAlignment="1"/>
    <xf numFmtId="0" fontId="15" fillId="36" borderId="86" xfId="417" applyFill="1" applyBorder="1" applyProtection="1">
      <protection locked="0"/>
    </xf>
    <xf numFmtId="0" fontId="15" fillId="36" borderId="6" xfId="417" applyFill="1" applyBorder="1" applyProtection="1">
      <protection locked="0"/>
    </xf>
    <xf numFmtId="0" fontId="15" fillId="0" borderId="0" xfId="417" applyFill="1" applyBorder="1" applyProtection="1">
      <protection locked="0"/>
    </xf>
    <xf numFmtId="0" fontId="33" fillId="0" borderId="0" xfId="417" applyFont="1" applyFill="1" applyBorder="1" applyAlignment="1"/>
    <xf numFmtId="0" fontId="25" fillId="36" borderId="86" xfId="417" applyFont="1" applyFill="1" applyBorder="1" applyAlignment="1">
      <alignment horizontal="center"/>
    </xf>
    <xf numFmtId="10" fontId="27" fillId="0" borderId="10" xfId="375" applyNumberFormat="1" applyFont="1" applyFill="1" applyBorder="1" applyProtection="1">
      <protection locked="0"/>
    </xf>
    <xf numFmtId="10" fontId="15" fillId="0" borderId="0" xfId="417" applyNumberFormat="1"/>
    <xf numFmtId="10" fontId="27" fillId="0" borderId="94" xfId="375" applyNumberFormat="1" applyFont="1" applyFill="1" applyBorder="1" applyProtection="1">
      <protection locked="0"/>
    </xf>
    <xf numFmtId="10" fontId="27" fillId="48" borderId="94" xfId="375" applyNumberFormat="1" applyFont="1" applyFill="1" applyBorder="1" applyProtection="1">
      <protection locked="0"/>
    </xf>
    <xf numFmtId="0" fontId="25" fillId="36" borderId="91" xfId="417" applyFont="1" applyFill="1" applyBorder="1" applyAlignment="1">
      <alignment horizontal="center"/>
    </xf>
    <xf numFmtId="0" fontId="25" fillId="0" borderId="10" xfId="417" applyFont="1" applyFill="1" applyBorder="1" applyAlignment="1">
      <alignment horizontal="center"/>
    </xf>
    <xf numFmtId="0" fontId="25" fillId="36" borderId="14" xfId="417" applyFont="1" applyFill="1" applyBorder="1" applyAlignment="1">
      <alignment horizontal="center"/>
    </xf>
    <xf numFmtId="0" fontId="20" fillId="36" borderId="14" xfId="417" applyFont="1" applyFill="1" applyBorder="1" applyAlignment="1">
      <alignment horizontal="center"/>
    </xf>
    <xf numFmtId="0" fontId="25" fillId="36" borderId="87" xfId="417" applyFont="1" applyFill="1" applyBorder="1" applyAlignment="1">
      <alignment horizontal="center"/>
    </xf>
    <xf numFmtId="0" fontId="33" fillId="0" borderId="0" xfId="419" applyFont="1">
      <alignment vertical="center"/>
    </xf>
    <xf numFmtId="0" fontId="20" fillId="0" borderId="0" xfId="419" applyAlignment="1">
      <alignment shrinkToFit="1"/>
    </xf>
    <xf numFmtId="0" fontId="20" fillId="0" borderId="0" xfId="419">
      <alignment vertical="center"/>
    </xf>
    <xf numFmtId="40" fontId="3" fillId="0" borderId="0" xfId="127" applyNumberFormat="1" applyFont="1"/>
    <xf numFmtId="0" fontId="20" fillId="54" borderId="0" xfId="419" applyFill="1" applyAlignment="1">
      <alignment shrinkToFit="1"/>
    </xf>
    <xf numFmtId="40" fontId="22" fillId="36" borderId="115" xfId="127" applyNumberFormat="1" applyFont="1" applyFill="1" applyBorder="1" applyAlignment="1">
      <alignment horizontal="center" shrinkToFit="1"/>
    </xf>
    <xf numFmtId="0" fontId="22" fillId="54" borderId="115" xfId="423" applyFont="1" applyFill="1" applyBorder="1" applyAlignment="1">
      <alignment horizontal="center" shrinkToFit="1"/>
    </xf>
    <xf numFmtId="0" fontId="0" fillId="0" borderId="0" xfId="403" applyFont="1">
      <alignment vertical="center"/>
    </xf>
    <xf numFmtId="0" fontId="0" fillId="0" borderId="120" xfId="403" applyFont="1" applyBorder="1" applyAlignment="1">
      <alignment horizontal="center" vertical="center"/>
    </xf>
    <xf numFmtId="0" fontId="20" fillId="0" borderId="120" xfId="403" applyFont="1" applyFill="1" applyBorder="1" applyAlignment="1">
      <alignment horizontal="center" vertical="center" wrapText="1"/>
    </xf>
    <xf numFmtId="0" fontId="0" fillId="0" borderId="121" xfId="403" applyFont="1" applyBorder="1" applyAlignment="1">
      <alignment horizontal="center" vertical="center"/>
    </xf>
    <xf numFmtId="38" fontId="20" fillId="0" borderId="122" xfId="367" applyFont="1" applyFill="1" applyBorder="1" applyAlignment="1">
      <alignment vertical="center"/>
    </xf>
    <xf numFmtId="197" fontId="20" fillId="0" borderId="122" xfId="367" applyNumberFormat="1" applyFont="1" applyFill="1" applyBorder="1" applyAlignment="1">
      <alignment vertical="center"/>
    </xf>
    <xf numFmtId="40" fontId="20" fillId="0" borderId="122" xfId="367" applyNumberFormat="1" applyFont="1" applyFill="1" applyBorder="1" applyAlignment="1">
      <alignment vertical="center"/>
    </xf>
    <xf numFmtId="0" fontId="0" fillId="0" borderId="117" xfId="403" applyFont="1" applyBorder="1" applyAlignment="1">
      <alignment horizontal="center" vertical="center"/>
    </xf>
    <xf numFmtId="38" fontId="20" fillId="0" borderId="123" xfId="367" applyFont="1" applyFill="1" applyBorder="1" applyAlignment="1">
      <alignment vertical="center"/>
    </xf>
    <xf numFmtId="197" fontId="20" fillId="0" borderId="123" xfId="367" applyNumberFormat="1" applyFont="1" applyFill="1" applyBorder="1" applyAlignment="1">
      <alignment vertical="center"/>
    </xf>
    <xf numFmtId="40" fontId="20" fillId="0" borderId="123" xfId="367" applyNumberFormat="1" applyFont="1" applyFill="1" applyBorder="1" applyAlignment="1">
      <alignment vertical="center"/>
    </xf>
    <xf numFmtId="38" fontId="20" fillId="0" borderId="124" xfId="367" applyFont="1" applyFill="1" applyBorder="1" applyAlignment="1">
      <alignment vertical="center"/>
    </xf>
    <xf numFmtId="197" fontId="20" fillId="0" borderId="124" xfId="367" applyNumberFormat="1" applyFont="1" applyFill="1" applyBorder="1" applyAlignment="1">
      <alignment vertical="center"/>
    </xf>
    <xf numFmtId="40" fontId="20" fillId="0" borderId="124" xfId="367" applyNumberFormat="1" applyFont="1" applyFill="1" applyBorder="1" applyAlignment="1">
      <alignment vertical="center"/>
    </xf>
    <xf numFmtId="38" fontId="20" fillId="0" borderId="125" xfId="367" applyFont="1" applyFill="1" applyBorder="1" applyAlignment="1">
      <alignment vertical="center"/>
    </xf>
    <xf numFmtId="197" fontId="20" fillId="0" borderId="125" xfId="367" applyNumberFormat="1" applyFont="1" applyFill="1" applyBorder="1" applyAlignment="1">
      <alignment vertical="center"/>
    </xf>
    <xf numFmtId="40" fontId="20" fillId="0" borderId="125" xfId="367" applyNumberFormat="1" applyFont="1" applyFill="1" applyBorder="1" applyAlignment="1">
      <alignment vertical="center"/>
    </xf>
    <xf numFmtId="38" fontId="20" fillId="0" borderId="126" xfId="367" applyFont="1" applyFill="1" applyBorder="1" applyAlignment="1">
      <alignment vertical="center"/>
    </xf>
    <xf numFmtId="197" fontId="20" fillId="0" borderId="126" xfId="367" applyNumberFormat="1" applyFont="1" applyFill="1" applyBorder="1" applyAlignment="1">
      <alignment vertical="center"/>
    </xf>
    <xf numFmtId="40" fontId="20" fillId="0" borderId="126" xfId="367" applyNumberFormat="1" applyFont="1" applyFill="1" applyBorder="1" applyAlignment="1">
      <alignment vertical="center"/>
    </xf>
    <xf numFmtId="0" fontId="0" fillId="0" borderId="118" xfId="403" applyFont="1" applyBorder="1" applyAlignment="1">
      <alignment horizontal="center" vertical="center"/>
    </xf>
    <xf numFmtId="38" fontId="20" fillId="0" borderId="127" xfId="367" applyFont="1" applyFill="1" applyBorder="1" applyAlignment="1">
      <alignment vertical="center"/>
    </xf>
    <xf numFmtId="197" fontId="20" fillId="0" borderId="127" xfId="367" applyNumberFormat="1" applyFont="1" applyFill="1" applyBorder="1" applyAlignment="1">
      <alignment vertical="center"/>
    </xf>
    <xf numFmtId="40" fontId="20" fillId="0" borderId="127" xfId="367" applyNumberFormat="1" applyFont="1" applyFill="1" applyBorder="1" applyAlignment="1">
      <alignment vertical="center"/>
    </xf>
    <xf numFmtId="38" fontId="20" fillId="0" borderId="52" xfId="367" applyFont="1" applyFill="1" applyBorder="1" applyAlignment="1">
      <alignment vertical="center"/>
    </xf>
    <xf numFmtId="38" fontId="20" fillId="0" borderId="0" xfId="367" applyFont="1" applyFill="1" applyBorder="1" applyAlignment="1">
      <alignment vertical="center"/>
    </xf>
    <xf numFmtId="38" fontId="20" fillId="0" borderId="119" xfId="367" applyFont="1" applyFill="1" applyBorder="1" applyAlignment="1">
      <alignment vertical="center"/>
    </xf>
    <xf numFmtId="0" fontId="20" fillId="0" borderId="0" xfId="418">
      <alignment vertical="center"/>
    </xf>
    <xf numFmtId="0" fontId="21" fillId="0" borderId="0" xfId="422">
      <alignment vertical="center"/>
    </xf>
    <xf numFmtId="0" fontId="21" fillId="0" borderId="0" xfId="422" applyAlignment="1">
      <alignment horizontal="right" vertical="center"/>
    </xf>
    <xf numFmtId="0" fontId="71" fillId="0" borderId="0" xfId="422" applyFont="1">
      <alignment vertical="center"/>
    </xf>
    <xf numFmtId="0" fontId="21" fillId="0" borderId="10" xfId="422" applyBorder="1" applyAlignment="1">
      <alignment vertical="center"/>
    </xf>
    <xf numFmtId="0" fontId="21" fillId="0" borderId="10" xfId="422" applyBorder="1" applyAlignment="1">
      <alignment vertical="center" wrapText="1"/>
    </xf>
    <xf numFmtId="0" fontId="21" fillId="0" borderId="65" xfId="422" applyBorder="1">
      <alignment vertical="center"/>
    </xf>
    <xf numFmtId="0" fontId="21" fillId="0" borderId="56" xfId="422" applyBorder="1">
      <alignment vertical="center"/>
    </xf>
    <xf numFmtId="0" fontId="21" fillId="0" borderId="56" xfId="422" applyFill="1" applyBorder="1">
      <alignment vertical="center"/>
    </xf>
    <xf numFmtId="0" fontId="21" fillId="0" borderId="65" xfId="422" applyFill="1" applyBorder="1">
      <alignment vertical="center"/>
    </xf>
    <xf numFmtId="0" fontId="20" fillId="36" borderId="10" xfId="416" applyFill="1" applyBorder="1" applyAlignment="1"/>
    <xf numFmtId="0" fontId="22" fillId="55" borderId="10" xfId="421" applyFont="1" applyFill="1" applyBorder="1" applyAlignment="1">
      <alignment horizontal="right"/>
    </xf>
    <xf numFmtId="220" fontId="22" fillId="55" borderId="10" xfId="376" applyNumberFormat="1" applyFont="1" applyFill="1" applyBorder="1" applyAlignment="1">
      <alignment horizontal="right"/>
    </xf>
    <xf numFmtId="0" fontId="15" fillId="36" borderId="10" xfId="416" applyFont="1" applyFill="1" applyBorder="1" applyAlignment="1"/>
    <xf numFmtId="10" fontId="25" fillId="48" borderId="94" xfId="375" applyNumberFormat="1" applyFont="1" applyFill="1" applyBorder="1" applyProtection="1">
      <protection locked="0"/>
    </xf>
    <xf numFmtId="171" fontId="27" fillId="36" borderId="10" xfId="375" applyFont="1" applyFill="1" applyBorder="1" applyAlignment="1" applyProtection="1">
      <alignment horizontal="center" shrinkToFit="1"/>
      <protection locked="0"/>
    </xf>
    <xf numFmtId="10" fontId="20" fillId="52" borderId="40" xfId="258" applyNumberFormat="1" applyFont="1" applyFill="1" applyBorder="1"/>
    <xf numFmtId="10" fontId="20" fillId="52" borderId="27" xfId="258" applyNumberFormat="1" applyFont="1" applyFill="1" applyBorder="1"/>
    <xf numFmtId="10" fontId="20" fillId="52" borderId="28" xfId="258" applyNumberFormat="1" applyFont="1" applyFill="1" applyBorder="1"/>
    <xf numFmtId="10" fontId="20" fillId="52" borderId="1" xfId="258" applyNumberFormat="1" applyFont="1" applyFill="1" applyBorder="1"/>
    <xf numFmtId="10" fontId="20" fillId="52" borderId="30" xfId="258" applyNumberFormat="1" applyFont="1" applyFill="1" applyBorder="1"/>
    <xf numFmtId="10" fontId="20" fillId="52" borderId="24" xfId="258" applyNumberFormat="1" applyFont="1" applyFill="1" applyBorder="1"/>
    <xf numFmtId="10" fontId="20" fillId="52" borderId="26" xfId="258" applyNumberFormat="1" applyFont="1" applyFill="1" applyBorder="1"/>
    <xf numFmtId="10" fontId="20" fillId="52" borderId="32" xfId="258" applyNumberFormat="1" applyFont="1" applyFill="1" applyBorder="1"/>
    <xf numFmtId="10" fontId="20" fillId="52" borderId="33" xfId="258" applyNumberFormat="1" applyFont="1" applyFill="1" applyBorder="1"/>
    <xf numFmtId="0" fontId="20" fillId="0" borderId="0" xfId="415" applyFill="1" applyBorder="1"/>
    <xf numFmtId="4" fontId="23" fillId="48" borderId="10" xfId="423" applyNumberFormat="1" applyFont="1" applyFill="1" applyBorder="1" applyAlignment="1">
      <alignment horizontal="right"/>
    </xf>
    <xf numFmtId="0" fontId="15" fillId="0" borderId="90" xfId="417" applyBorder="1" applyAlignment="1"/>
    <xf numFmtId="10" fontId="20" fillId="48" borderId="10" xfId="258" applyNumberFormat="1" applyFont="1" applyFill="1" applyBorder="1" applyProtection="1">
      <protection locked="0"/>
    </xf>
    <xf numFmtId="181" fontId="20" fillId="48" borderId="10" xfId="258" applyNumberFormat="1" applyFont="1" applyFill="1" applyBorder="1" applyProtection="1">
      <protection locked="0"/>
    </xf>
    <xf numFmtId="0" fontId="15" fillId="48" borderId="90" xfId="417" applyFill="1" applyBorder="1" applyAlignment="1"/>
    <xf numFmtId="0" fontId="15" fillId="48" borderId="10" xfId="417" applyFill="1" applyBorder="1" applyProtection="1">
      <protection locked="0"/>
    </xf>
    <xf numFmtId="181" fontId="20" fillId="0" borderId="10" xfId="258" applyNumberFormat="1" applyFont="1" applyFill="1" applyBorder="1" applyAlignment="1" applyProtection="1">
      <protection locked="0"/>
    </xf>
    <xf numFmtId="0" fontId="25" fillId="0" borderId="0" xfId="427" applyFont="1" applyFill="1" applyBorder="1" applyAlignment="1">
      <alignment vertical="center"/>
    </xf>
    <xf numFmtId="10" fontId="20" fillId="48" borderId="10" xfId="375" applyNumberFormat="1" applyFont="1" applyFill="1" applyBorder="1" applyAlignment="1" applyProtection="1">
      <alignment shrinkToFit="1"/>
      <protection locked="0"/>
    </xf>
    <xf numFmtId="0" fontId="20" fillId="48" borderId="10" xfId="417" applyFont="1" applyFill="1" applyBorder="1"/>
    <xf numFmtId="200" fontId="20" fillId="48" borderId="10" xfId="376" applyNumberFormat="1" applyFont="1" applyFill="1" applyBorder="1" applyAlignment="1" applyProtection="1">
      <alignment shrinkToFit="1"/>
      <protection locked="0"/>
    </xf>
    <xf numFmtId="40" fontId="25" fillId="0" borderId="10" xfId="376" applyNumberFormat="1" applyFont="1" applyBorder="1" applyAlignment="1"/>
    <xf numFmtId="40" fontId="23" fillId="48" borderId="10" xfId="376" applyNumberFormat="1" applyFont="1" applyFill="1" applyBorder="1" applyAlignment="1">
      <alignment horizontal="right"/>
    </xf>
    <xf numFmtId="197" fontId="23" fillId="0" borderId="94" xfId="376" applyNumberFormat="1" applyFont="1" applyFill="1" applyBorder="1" applyAlignment="1">
      <alignment horizontal="right"/>
    </xf>
    <xf numFmtId="0" fontId="15" fillId="0" borderId="0" xfId="417" applyFont="1" applyFill="1" applyBorder="1"/>
    <xf numFmtId="197" fontId="25" fillId="48" borderId="94" xfId="376" applyNumberFormat="1" applyFont="1" applyFill="1" applyBorder="1" applyAlignment="1"/>
    <xf numFmtId="14" fontId="0" fillId="0" borderId="0" xfId="0" applyNumberFormat="1"/>
    <xf numFmtId="0" fontId="0" fillId="0" borderId="0" xfId="0" quotePrefix="1"/>
    <xf numFmtId="0" fontId="0" fillId="0" borderId="134" xfId="0" applyBorder="1"/>
    <xf numFmtId="0" fontId="0" fillId="0" borderId="135" xfId="0" applyBorder="1"/>
    <xf numFmtId="2" fontId="0" fillId="0" borderId="9" xfId="0" applyNumberFormat="1" applyBorder="1"/>
    <xf numFmtId="2" fontId="0" fillId="0" borderId="17" xfId="0" applyNumberFormat="1" applyBorder="1"/>
    <xf numFmtId="2" fontId="0" fillId="0" borderId="136" xfId="0" applyNumberFormat="1" applyBorder="1"/>
    <xf numFmtId="2" fontId="0" fillId="0" borderId="137" xfId="0" applyNumberFormat="1" applyBorder="1"/>
    <xf numFmtId="0" fontId="0" fillId="0" borderId="0" xfId="0" applyAlignment="1">
      <alignment horizontal="center"/>
    </xf>
    <xf numFmtId="2" fontId="0" fillId="0" borderId="0" xfId="0" applyNumberFormat="1" applyBorder="1"/>
    <xf numFmtId="1" fontId="0" fillId="0" borderId="0" xfId="0" applyNumberFormat="1"/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wrapText="1"/>
    </xf>
    <xf numFmtId="180" fontId="0" fillId="0" borderId="10" xfId="0" applyNumberFormat="1" applyBorder="1"/>
    <xf numFmtId="0" fontId="0" fillId="0" borderId="138" xfId="0" applyBorder="1"/>
    <xf numFmtId="0" fontId="0" fillId="59" borderId="138" xfId="0" applyFill="1" applyBorder="1"/>
    <xf numFmtId="0" fontId="0" fillId="59" borderId="10" xfId="0" applyFill="1" applyBorder="1"/>
    <xf numFmtId="0" fontId="0" fillId="0" borderId="17" xfId="0" applyBorder="1"/>
    <xf numFmtId="0" fontId="0" fillId="57" borderId="139" xfId="0" applyFill="1" applyBorder="1"/>
    <xf numFmtId="0" fontId="0" fillId="0" borderId="91" xfId="0" applyBorder="1"/>
    <xf numFmtId="0" fontId="0" fillId="57" borderId="91" xfId="0" applyFill="1" applyBorder="1"/>
    <xf numFmtId="0" fontId="0" fillId="0" borderId="140" xfId="0" applyBorder="1"/>
    <xf numFmtId="0" fontId="0" fillId="0" borderId="136" xfId="0" applyBorder="1" applyAlignment="1">
      <alignment horizontal="center"/>
    </xf>
    <xf numFmtId="0" fontId="0" fillId="0" borderId="141" xfId="0" applyBorder="1"/>
    <xf numFmtId="180" fontId="0" fillId="57" borderId="141" xfId="0" applyNumberFormat="1" applyFill="1" applyBorder="1"/>
    <xf numFmtId="0" fontId="0" fillId="0" borderId="137" xfId="0" applyBorder="1"/>
    <xf numFmtId="0" fontId="0" fillId="0" borderId="10" xfId="0" applyBorder="1" applyAlignment="1">
      <alignment horizontal="center"/>
    </xf>
    <xf numFmtId="9" fontId="0" fillId="0" borderId="10" xfId="0" applyNumberFormat="1" applyBorder="1" applyAlignment="1">
      <alignment horizontal="left"/>
    </xf>
    <xf numFmtId="0" fontId="0" fillId="0" borderId="16" xfId="0" applyBorder="1" applyAlignment="1"/>
    <xf numFmtId="0" fontId="6" fillId="58" borderId="10" xfId="420" applyNumberFormat="1" applyFont="1" applyFill="1" applyBorder="1" applyAlignment="1">
      <alignment horizontal="left" vertical="center" shrinkToFit="1"/>
    </xf>
    <xf numFmtId="0" fontId="0" fillId="0" borderId="142" xfId="0" applyBorder="1"/>
    <xf numFmtId="2" fontId="0" fillId="0" borderId="143" xfId="0" applyNumberFormat="1" applyBorder="1"/>
    <xf numFmtId="2" fontId="0" fillId="0" borderId="144" xfId="0" applyNumberFormat="1" applyBorder="1"/>
    <xf numFmtId="0" fontId="0" fillId="0" borderId="145" xfId="0" applyBorder="1"/>
    <xf numFmtId="2" fontId="0" fillId="0" borderId="146" xfId="0" applyNumberFormat="1" applyBorder="1"/>
    <xf numFmtId="2" fontId="0" fillId="0" borderId="147" xfId="0" applyNumberFormat="1" applyBorder="1"/>
    <xf numFmtId="2" fontId="0" fillId="59" borderId="138" xfId="0" applyNumberFormat="1" applyFill="1" applyBorder="1"/>
    <xf numFmtId="180" fontId="0" fillId="0" borderId="0" xfId="0" applyNumberFormat="1" applyFill="1"/>
    <xf numFmtId="0" fontId="57" fillId="0" borderId="0" xfId="0" applyFont="1"/>
    <xf numFmtId="0" fontId="57" fillId="0" borderId="10" xfId="0" applyFont="1" applyBorder="1"/>
    <xf numFmtId="168" fontId="57" fillId="0" borderId="10" xfId="0" applyNumberFormat="1" applyFont="1" applyBorder="1"/>
    <xf numFmtId="0" fontId="112" fillId="0" borderId="10" xfId="220" applyFont="1" applyBorder="1"/>
    <xf numFmtId="169" fontId="112" fillId="0" borderId="10" xfId="144" applyFont="1" applyBorder="1"/>
    <xf numFmtId="202" fontId="112" fillId="0" borderId="10" xfId="147" applyNumberFormat="1" applyFont="1" applyBorder="1"/>
    <xf numFmtId="202" fontId="112" fillId="0" borderId="10" xfId="136" applyNumberFormat="1" applyFont="1" applyBorder="1"/>
    <xf numFmtId="4" fontId="57" fillId="0" borderId="0" xfId="0" applyNumberFormat="1" applyFont="1"/>
    <xf numFmtId="169" fontId="112" fillId="0" borderId="10" xfId="145" applyFont="1" applyBorder="1"/>
    <xf numFmtId="0" fontId="57" fillId="0" borderId="0" xfId="410" applyFont="1" applyAlignment="1">
      <alignment vertical="center" wrapText="1"/>
    </xf>
    <xf numFmtId="0" fontId="57" fillId="0" borderId="0" xfId="410" applyFont="1" applyFill="1" applyAlignment="1">
      <alignment vertical="center"/>
    </xf>
    <xf numFmtId="4" fontId="57" fillId="0" borderId="0" xfId="410" applyNumberFormat="1" applyFont="1" applyFill="1" applyAlignment="1">
      <alignment vertical="center"/>
    </xf>
    <xf numFmtId="3" fontId="57" fillId="0" borderId="10" xfId="0" applyNumberFormat="1" applyFont="1" applyBorder="1"/>
    <xf numFmtId="183" fontId="57" fillId="0" borderId="10" xfId="0" applyNumberFormat="1" applyFont="1" applyBorder="1"/>
    <xf numFmtId="186" fontId="57" fillId="0" borderId="0" xfId="410" applyNumberFormat="1" applyFont="1" applyAlignment="1">
      <alignment horizontal="center" vertical="center" wrapText="1"/>
    </xf>
    <xf numFmtId="3" fontId="57" fillId="0" borderId="0" xfId="410" applyNumberFormat="1" applyFont="1" applyAlignment="1">
      <alignment horizontal="center" vertical="center" wrapText="1"/>
    </xf>
    <xf numFmtId="0" fontId="57" fillId="0" borderId="0" xfId="0" applyFont="1" applyFill="1" applyBorder="1"/>
    <xf numFmtId="4" fontId="57" fillId="0" borderId="71" xfId="370" applyNumberFormat="1" applyFont="1" applyFill="1" applyBorder="1" applyAlignment="1">
      <alignment vertical="center"/>
    </xf>
    <xf numFmtId="0" fontId="57" fillId="60" borderId="0" xfId="0" applyFont="1" applyFill="1"/>
    <xf numFmtId="0" fontId="57" fillId="58" borderId="0" xfId="0" applyFont="1" applyFill="1"/>
    <xf numFmtId="2" fontId="57" fillId="60" borderId="0" xfId="0" applyNumberFormat="1" applyFont="1" applyFill="1"/>
    <xf numFmtId="2" fontId="57" fillId="58" borderId="0" xfId="0" applyNumberFormat="1" applyFont="1" applyFill="1"/>
    <xf numFmtId="0" fontId="57" fillId="58" borderId="10" xfId="0" applyFont="1" applyFill="1" applyBorder="1"/>
    <xf numFmtId="0" fontId="57" fillId="58" borderId="86" xfId="0" applyFont="1" applyFill="1" applyBorder="1" applyAlignment="1">
      <alignment horizontal="right"/>
    </xf>
    <xf numFmtId="0" fontId="57" fillId="58" borderId="84" xfId="0" applyFont="1" applyFill="1" applyBorder="1"/>
    <xf numFmtId="0" fontId="57" fillId="58" borderId="10" xfId="228" applyFont="1" applyFill="1" applyBorder="1"/>
    <xf numFmtId="0" fontId="57" fillId="58" borderId="84" xfId="228" applyFont="1" applyFill="1" applyBorder="1"/>
    <xf numFmtId="0" fontId="57" fillId="58" borderId="0" xfId="228" applyFont="1" applyFill="1"/>
    <xf numFmtId="0" fontId="57" fillId="58" borderId="10" xfId="0" applyFont="1" applyFill="1" applyBorder="1" applyAlignment="1">
      <alignment horizontal="left" vertical="center"/>
    </xf>
    <xf numFmtId="2" fontId="57" fillId="58" borderId="10" xfId="0" applyNumberFormat="1" applyFont="1" applyFill="1" applyBorder="1"/>
    <xf numFmtId="2" fontId="57" fillId="0" borderId="0" xfId="0" applyNumberFormat="1" applyFont="1"/>
    <xf numFmtId="0" fontId="57" fillId="0" borderId="0" xfId="0" applyFont="1" applyBorder="1"/>
    <xf numFmtId="2" fontId="57" fillId="0" borderId="0" xfId="0" applyNumberFormat="1" applyFont="1" applyFill="1"/>
    <xf numFmtId="2" fontId="57" fillId="59" borderId="86" xfId="0" applyNumberFormat="1" applyFont="1" applyFill="1" applyBorder="1"/>
    <xf numFmtId="0" fontId="57" fillId="59" borderId="84" xfId="0" applyFont="1" applyFill="1" applyBorder="1"/>
    <xf numFmtId="4" fontId="57" fillId="59" borderId="0" xfId="410" applyNumberFormat="1" applyFont="1" applyFill="1" applyAlignment="1">
      <alignment vertical="center"/>
    </xf>
    <xf numFmtId="0" fontId="57" fillId="59" borderId="0" xfId="0" applyFont="1" applyFill="1"/>
    <xf numFmtId="0" fontId="113" fillId="51" borderId="0" xfId="425" applyFont="1" applyFill="1" applyAlignment="1">
      <alignment horizontal="left" vertical="center"/>
    </xf>
    <xf numFmtId="0" fontId="113" fillId="51" borderId="0" xfId="425" applyFont="1" applyFill="1" applyAlignment="1">
      <alignment vertical="center"/>
    </xf>
    <xf numFmtId="0" fontId="113" fillId="51" borderId="0" xfId="425" applyFont="1" applyFill="1"/>
    <xf numFmtId="0" fontId="116" fillId="51" borderId="0" xfId="425" applyFont="1" applyFill="1" applyAlignment="1">
      <alignment vertical="center"/>
    </xf>
    <xf numFmtId="10" fontId="116" fillId="51" borderId="0" xfId="425" applyNumberFormat="1" applyFont="1" applyFill="1" applyBorder="1" applyAlignment="1">
      <alignment vertical="center"/>
    </xf>
    <xf numFmtId="10" fontId="113" fillId="51" borderId="0" xfId="425" applyNumberFormat="1" applyFont="1" applyFill="1" applyBorder="1" applyAlignment="1">
      <alignment vertical="center"/>
    </xf>
    <xf numFmtId="10" fontId="113" fillId="51" borderId="0" xfId="425" applyNumberFormat="1" applyFont="1" applyFill="1" applyBorder="1" applyAlignment="1">
      <alignment horizontal="center" vertical="center"/>
    </xf>
    <xf numFmtId="180" fontId="113" fillId="51" borderId="0" xfId="433" applyFont="1" applyFill="1" applyAlignment="1" applyProtection="1">
      <alignment horizontal="left" vertical="center"/>
    </xf>
    <xf numFmtId="175" fontId="113" fillId="51" borderId="10" xfId="431" applyNumberFormat="1" applyFont="1" applyFill="1" applyBorder="1" applyAlignment="1">
      <alignment horizontal="center" vertical="center" shrinkToFit="1"/>
    </xf>
    <xf numFmtId="180" fontId="113" fillId="51" borderId="10" xfId="433" applyFont="1" applyFill="1" applyBorder="1" applyAlignment="1" applyProtection="1">
      <alignment horizontal="left" vertical="center" shrinkToFit="1"/>
    </xf>
    <xf numFmtId="176" fontId="113" fillId="51" borderId="0" xfId="425" applyNumberFormat="1" applyFont="1" applyFill="1" applyAlignment="1">
      <alignment vertical="center"/>
    </xf>
    <xf numFmtId="0" fontId="113" fillId="36" borderId="104" xfId="425" applyFont="1" applyFill="1" applyBorder="1" applyAlignment="1">
      <alignment horizontal="center" vertical="center" wrapText="1"/>
    </xf>
    <xf numFmtId="0" fontId="113" fillId="10" borderId="10" xfId="425" applyFont="1" applyFill="1" applyBorder="1" applyAlignment="1">
      <alignment vertical="center"/>
    </xf>
    <xf numFmtId="0" fontId="113" fillId="48" borderId="10" xfId="425" applyFont="1" applyFill="1" applyBorder="1" applyAlignment="1">
      <alignment vertical="center"/>
    </xf>
    <xf numFmtId="0" fontId="113" fillId="51" borderId="22" xfId="425" applyFont="1" applyFill="1" applyBorder="1" applyAlignment="1">
      <alignment vertical="center"/>
    </xf>
    <xf numFmtId="0" fontId="113" fillId="51" borderId="61" xfId="425" applyFont="1" applyFill="1" applyBorder="1" applyAlignment="1">
      <alignment vertical="center"/>
    </xf>
    <xf numFmtId="175" fontId="113" fillId="51" borderId="0" xfId="425" applyNumberFormat="1" applyFont="1" applyFill="1" applyBorder="1" applyAlignment="1">
      <alignment horizontal="center" vertical="center"/>
    </xf>
    <xf numFmtId="180" fontId="113" fillId="51" borderId="0" xfId="433" applyFont="1" applyFill="1" applyBorder="1" applyAlignment="1" applyProtection="1">
      <alignment horizontal="left" vertical="center"/>
    </xf>
    <xf numFmtId="0" fontId="113" fillId="36" borderId="105" xfId="425" applyFont="1" applyFill="1" applyBorder="1" applyAlignment="1">
      <alignment horizontal="center" vertical="center" wrapText="1"/>
    </xf>
    <xf numFmtId="10" fontId="113" fillId="36" borderId="32" xfId="425" applyNumberFormat="1" applyFont="1" applyFill="1" applyBorder="1" applyAlignment="1">
      <alignment horizontal="center" vertical="center"/>
    </xf>
    <xf numFmtId="10" fontId="113" fillId="36" borderId="31" xfId="425" applyNumberFormat="1" applyFont="1" applyFill="1" applyBorder="1" applyAlignment="1">
      <alignment horizontal="center" vertical="center"/>
    </xf>
    <xf numFmtId="10" fontId="113" fillId="36" borderId="33" xfId="425" applyNumberFormat="1" applyFont="1" applyFill="1" applyBorder="1" applyAlignment="1">
      <alignment horizontal="center" vertical="center"/>
    </xf>
    <xf numFmtId="10" fontId="113" fillId="51" borderId="86" xfId="425" applyNumberFormat="1" applyFont="1" applyFill="1" applyBorder="1" applyAlignment="1">
      <alignment vertical="center"/>
    </xf>
    <xf numFmtId="0" fontId="113" fillId="51" borderId="6" xfId="425" applyFont="1" applyFill="1" applyBorder="1" applyAlignment="1">
      <alignment vertical="center"/>
    </xf>
    <xf numFmtId="10" fontId="113" fillId="51" borderId="6" xfId="425" applyNumberFormat="1" applyFont="1" applyFill="1" applyBorder="1" applyAlignment="1">
      <alignment vertical="center"/>
    </xf>
    <xf numFmtId="10" fontId="113" fillId="51" borderId="10" xfId="425" applyNumberFormat="1" applyFont="1" applyFill="1" applyBorder="1" applyAlignment="1">
      <alignment vertical="center"/>
    </xf>
    <xf numFmtId="10" fontId="113" fillId="48" borderId="10" xfId="425" applyNumberFormat="1" applyFont="1" applyFill="1" applyBorder="1" applyAlignment="1">
      <alignment vertical="center"/>
    </xf>
    <xf numFmtId="0" fontId="113" fillId="51" borderId="23" xfId="425" applyFont="1" applyFill="1" applyBorder="1" applyAlignment="1">
      <alignment vertical="center"/>
    </xf>
    <xf numFmtId="0" fontId="113" fillId="51" borderId="29" xfId="425" applyFont="1" applyFill="1" applyBorder="1" applyAlignment="1">
      <alignment vertical="center"/>
    </xf>
    <xf numFmtId="175" fontId="113" fillId="51" borderId="0" xfId="425" applyNumberFormat="1" applyFont="1" applyFill="1" applyBorder="1" applyAlignment="1">
      <alignment horizontal="left" vertical="center"/>
    </xf>
    <xf numFmtId="2" fontId="113" fillId="51" borderId="0" xfId="433" applyNumberFormat="1" applyFont="1" applyFill="1" applyAlignment="1" applyProtection="1">
      <alignment horizontal="left" vertical="center"/>
    </xf>
    <xf numFmtId="173" fontId="113" fillId="51" borderId="40" xfId="433" applyNumberFormat="1" applyFont="1" applyFill="1" applyBorder="1" applyAlignment="1" applyProtection="1">
      <alignment horizontal="center" vertical="center"/>
    </xf>
    <xf numFmtId="4" fontId="113" fillId="48" borderId="62" xfId="425" applyNumberFormat="1" applyFont="1" applyFill="1" applyBorder="1" applyAlignment="1">
      <alignment vertical="center"/>
    </xf>
    <xf numFmtId="0" fontId="113" fillId="51" borderId="0" xfId="425" applyFont="1" applyFill="1" applyBorder="1" applyAlignment="1">
      <alignment horizontal="center" vertical="center" wrapText="1"/>
    </xf>
    <xf numFmtId="10" fontId="113" fillId="48" borderId="43" xfId="425" applyNumberFormat="1" applyFont="1" applyFill="1" applyBorder="1" applyAlignment="1">
      <alignment vertical="center"/>
    </xf>
    <xf numFmtId="10" fontId="113" fillId="48" borderId="37" xfId="425" applyNumberFormat="1" applyFont="1" applyFill="1" applyBorder="1" applyAlignment="1">
      <alignment vertical="center"/>
    </xf>
    <xf numFmtId="10" fontId="113" fillId="48" borderId="97" xfId="425" applyNumberFormat="1" applyFont="1" applyFill="1" applyBorder="1" applyAlignment="1">
      <alignment vertical="center"/>
    </xf>
    <xf numFmtId="10" fontId="113" fillId="48" borderId="96" xfId="425" applyNumberFormat="1" applyFont="1" applyFill="1" applyBorder="1" applyAlignment="1">
      <alignment vertical="center"/>
    </xf>
    <xf numFmtId="10" fontId="113" fillId="48" borderId="72" xfId="425" applyNumberFormat="1" applyFont="1" applyFill="1" applyBorder="1" applyAlignment="1">
      <alignment vertical="center"/>
    </xf>
    <xf numFmtId="10" fontId="113" fillId="51" borderId="72" xfId="425" applyNumberFormat="1" applyFont="1" applyFill="1" applyBorder="1" applyAlignment="1">
      <alignment vertical="center"/>
    </xf>
    <xf numFmtId="10" fontId="113" fillId="48" borderId="47" xfId="425" applyNumberFormat="1" applyFont="1" applyFill="1" applyBorder="1" applyAlignment="1">
      <alignment vertical="center"/>
    </xf>
    <xf numFmtId="10" fontId="113" fillId="48" borderId="38" xfId="425" applyNumberFormat="1" applyFont="1" applyFill="1" applyBorder="1" applyAlignment="1">
      <alignment vertical="center"/>
    </xf>
    <xf numFmtId="10" fontId="113" fillId="51" borderId="47" xfId="127" applyNumberFormat="1" applyFont="1" applyFill="1" applyBorder="1" applyAlignment="1">
      <alignment shrinkToFit="1"/>
    </xf>
    <xf numFmtId="10" fontId="113" fillId="51" borderId="58" xfId="425" applyNumberFormat="1" applyFont="1" applyFill="1" applyBorder="1" applyAlignment="1">
      <alignment vertical="center"/>
    </xf>
    <xf numFmtId="10" fontId="113" fillId="51" borderId="47" xfId="425" applyNumberFormat="1" applyFont="1" applyFill="1" applyBorder="1" applyAlignment="1">
      <alignment vertical="center"/>
    </xf>
    <xf numFmtId="10" fontId="113" fillId="51" borderId="37" xfId="425" applyNumberFormat="1" applyFont="1" applyFill="1" applyBorder="1" applyAlignment="1">
      <alignment vertical="center"/>
    </xf>
    <xf numFmtId="177" fontId="113" fillId="51" borderId="10" xfId="431" applyNumberFormat="1" applyFont="1" applyFill="1" applyBorder="1" applyAlignment="1">
      <alignment horizontal="right" vertical="center"/>
    </xf>
    <xf numFmtId="177" fontId="113" fillId="51" borderId="10" xfId="433" applyNumberFormat="1" applyFont="1" applyFill="1" applyBorder="1" applyAlignment="1" applyProtection="1">
      <alignment horizontal="right" vertical="center"/>
    </xf>
    <xf numFmtId="173" fontId="113" fillId="51" borderId="1" xfId="433" applyNumberFormat="1" applyFont="1" applyFill="1" applyBorder="1" applyAlignment="1" applyProtection="1">
      <alignment horizontal="center" vertical="center"/>
    </xf>
    <xf numFmtId="10" fontId="113" fillId="48" borderId="34" xfId="425" applyNumberFormat="1" applyFont="1" applyFill="1" applyBorder="1" applyAlignment="1">
      <alignment vertical="center"/>
    </xf>
    <xf numFmtId="10" fontId="113" fillId="48" borderId="24" xfId="425" applyNumberFormat="1" applyFont="1" applyFill="1" applyBorder="1" applyAlignment="1">
      <alignment vertical="center"/>
    </xf>
    <xf numFmtId="10" fontId="113" fillId="48" borderId="99" xfId="425" applyNumberFormat="1" applyFont="1" applyFill="1" applyBorder="1" applyAlignment="1">
      <alignment vertical="center"/>
    </xf>
    <xf numFmtId="10" fontId="113" fillId="48" borderId="98" xfId="425" applyNumberFormat="1" applyFont="1" applyFill="1" applyBorder="1" applyAlignment="1">
      <alignment vertical="center"/>
    </xf>
    <xf numFmtId="10" fontId="113" fillId="48" borderId="64" xfId="425" applyNumberFormat="1" applyFont="1" applyFill="1" applyBorder="1" applyAlignment="1">
      <alignment vertical="center"/>
    </xf>
    <xf numFmtId="10" fontId="113" fillId="51" borderId="64" xfId="425" applyNumberFormat="1" applyFont="1" applyFill="1" applyBorder="1" applyAlignment="1">
      <alignment vertical="center"/>
    </xf>
    <xf numFmtId="10" fontId="113" fillId="48" borderId="1" xfId="425" applyNumberFormat="1" applyFont="1" applyFill="1" applyBorder="1" applyAlignment="1">
      <alignment vertical="center"/>
    </xf>
    <xf numFmtId="10" fontId="113" fillId="48" borderId="30" xfId="425" applyNumberFormat="1" applyFont="1" applyFill="1" applyBorder="1" applyAlignment="1">
      <alignment vertical="center"/>
    </xf>
    <xf numFmtId="10" fontId="113" fillId="51" borderId="1" xfId="127" applyNumberFormat="1" applyFont="1" applyFill="1" applyBorder="1" applyAlignment="1">
      <alignment shrinkToFit="1"/>
    </xf>
    <xf numFmtId="10" fontId="113" fillId="51" borderId="44" xfId="425" applyNumberFormat="1" applyFont="1" applyFill="1" applyBorder="1" applyAlignment="1">
      <alignment vertical="center"/>
    </xf>
    <xf numFmtId="10" fontId="113" fillId="51" borderId="1" xfId="425" applyNumberFormat="1" applyFont="1" applyFill="1" applyBorder="1" applyAlignment="1">
      <alignment vertical="center"/>
    </xf>
    <xf numFmtId="10" fontId="113" fillId="56" borderId="30" xfId="425" applyNumberFormat="1" applyFont="1" applyFill="1" applyBorder="1" applyAlignment="1">
      <alignment vertical="center" shrinkToFit="1"/>
    </xf>
    <xf numFmtId="10" fontId="113" fillId="51" borderId="24" xfId="425" applyNumberFormat="1" applyFont="1" applyFill="1" applyBorder="1" applyAlignment="1">
      <alignment vertical="center"/>
    </xf>
    <xf numFmtId="38" fontId="113" fillId="51" borderId="0" xfId="127" applyNumberFormat="1" applyFont="1" applyFill="1" applyBorder="1"/>
    <xf numFmtId="178" fontId="113" fillId="51" borderId="0" xfId="425" applyNumberFormat="1" applyFont="1" applyFill="1" applyAlignment="1">
      <alignment vertical="center"/>
    </xf>
    <xf numFmtId="197" fontId="113" fillId="51" borderId="10" xfId="127" applyNumberFormat="1" applyFont="1" applyFill="1" applyBorder="1" applyAlignment="1">
      <alignment vertical="center"/>
    </xf>
    <xf numFmtId="10" fontId="113" fillId="51" borderId="1" xfId="425" applyNumberFormat="1" applyFont="1" applyFill="1" applyBorder="1" applyAlignment="1">
      <alignment vertical="center" shrinkToFit="1"/>
    </xf>
    <xf numFmtId="178" fontId="113" fillId="51" borderId="10" xfId="433" applyNumberFormat="1" applyFont="1" applyFill="1" applyBorder="1" applyAlignment="1" applyProtection="1">
      <alignment horizontal="right" vertical="center"/>
    </xf>
    <xf numFmtId="178" fontId="113" fillId="0" borderId="10" xfId="433" applyNumberFormat="1" applyFont="1" applyFill="1" applyBorder="1" applyAlignment="1" applyProtection="1">
      <alignment horizontal="right" vertical="center"/>
    </xf>
    <xf numFmtId="177" fontId="113" fillId="0" borderId="10" xfId="431" applyNumberFormat="1" applyFont="1" applyFill="1" applyBorder="1" applyAlignment="1">
      <alignment horizontal="right" vertical="center"/>
    </xf>
    <xf numFmtId="10" fontId="113" fillId="48" borderId="100" xfId="425" applyNumberFormat="1" applyFont="1" applyFill="1" applyBorder="1" applyAlignment="1">
      <alignment vertical="center"/>
    </xf>
    <xf numFmtId="10" fontId="113" fillId="48" borderId="106" xfId="425" applyNumberFormat="1" applyFont="1" applyFill="1" applyBorder="1" applyAlignment="1">
      <alignment vertical="center"/>
    </xf>
    <xf numFmtId="10" fontId="113" fillId="51" borderId="98" xfId="425" applyNumberFormat="1" applyFont="1" applyFill="1" applyBorder="1" applyAlignment="1">
      <alignment vertical="center"/>
    </xf>
    <xf numFmtId="178" fontId="113" fillId="0" borderId="10" xfId="431" applyNumberFormat="1" applyFont="1" applyFill="1" applyBorder="1" applyAlignment="1">
      <alignment horizontal="right" vertical="center"/>
    </xf>
    <xf numFmtId="173" fontId="113" fillId="51" borderId="26" xfId="433" applyNumberFormat="1" applyFont="1" applyFill="1" applyBorder="1" applyAlignment="1" applyProtection="1">
      <alignment horizontal="center" vertical="center"/>
    </xf>
    <xf numFmtId="10" fontId="113" fillId="48" borderId="101" xfId="425" applyNumberFormat="1" applyFont="1" applyFill="1" applyBorder="1" applyAlignment="1">
      <alignment vertical="center"/>
    </xf>
    <xf numFmtId="10" fontId="113" fillId="48" borderId="102" xfId="425" applyNumberFormat="1" applyFont="1" applyFill="1" applyBorder="1" applyAlignment="1">
      <alignment vertical="center"/>
    </xf>
    <xf numFmtId="10" fontId="113" fillId="48" borderId="103" xfId="425" applyNumberFormat="1" applyFont="1" applyFill="1" applyBorder="1" applyAlignment="1">
      <alignment vertical="center"/>
    </xf>
    <xf numFmtId="10" fontId="113" fillId="48" borderId="107" xfId="425" applyNumberFormat="1" applyFont="1" applyFill="1" applyBorder="1" applyAlignment="1">
      <alignment vertical="center"/>
    </xf>
    <xf numFmtId="10" fontId="113" fillId="48" borderId="108" xfId="425" applyNumberFormat="1" applyFont="1" applyFill="1" applyBorder="1" applyAlignment="1">
      <alignment vertical="center"/>
    </xf>
    <xf numFmtId="10" fontId="113" fillId="48" borderId="109" xfId="425" applyNumberFormat="1" applyFont="1" applyFill="1" applyBorder="1" applyAlignment="1">
      <alignment vertical="center"/>
    </xf>
    <xf numFmtId="10" fontId="113" fillId="51" borderId="42" xfId="425" applyNumberFormat="1" applyFont="1" applyFill="1" applyBorder="1" applyAlignment="1">
      <alignment vertical="center"/>
    </xf>
    <xf numFmtId="10" fontId="113" fillId="48" borderId="78" xfId="425" applyNumberFormat="1" applyFont="1" applyFill="1" applyBorder="1" applyAlignment="1">
      <alignment vertical="center"/>
    </xf>
    <xf numFmtId="10" fontId="113" fillId="48" borderId="77" xfId="425" applyNumberFormat="1" applyFont="1" applyFill="1" applyBorder="1" applyAlignment="1">
      <alignment vertical="center"/>
    </xf>
    <xf numFmtId="10" fontId="113" fillId="9" borderId="77" xfId="425" applyNumberFormat="1" applyFont="1" applyFill="1" applyBorder="1" applyAlignment="1">
      <alignment vertical="center"/>
    </xf>
    <xf numFmtId="10" fontId="113" fillId="48" borderId="79" xfId="425" applyNumberFormat="1" applyFont="1" applyFill="1" applyBorder="1" applyAlignment="1">
      <alignment vertical="center"/>
    </xf>
    <xf numFmtId="0" fontId="113" fillId="51" borderId="25" xfId="425" applyFont="1" applyFill="1" applyBorder="1" applyAlignment="1">
      <alignment vertical="center"/>
    </xf>
    <xf numFmtId="0" fontId="113" fillId="51" borderId="35" xfId="425" applyFont="1" applyFill="1" applyBorder="1" applyAlignment="1">
      <alignment vertical="center"/>
    </xf>
    <xf numFmtId="178" fontId="113" fillId="51" borderId="10" xfId="431" applyNumberFormat="1" applyFont="1" applyFill="1" applyBorder="1" applyAlignment="1">
      <alignment horizontal="right" vertical="center"/>
    </xf>
    <xf numFmtId="4" fontId="113" fillId="51" borderId="0" xfId="430" applyNumberFormat="1" applyFont="1" applyFill="1" applyBorder="1"/>
    <xf numFmtId="195" fontId="113" fillId="51" borderId="0" xfId="425" applyNumberFormat="1" applyFont="1" applyFill="1" applyBorder="1" applyAlignment="1">
      <alignment horizontal="center" vertical="center"/>
    </xf>
    <xf numFmtId="179" fontId="113" fillId="51" borderId="0" xfId="425" applyNumberFormat="1" applyFont="1" applyFill="1" applyBorder="1" applyAlignment="1">
      <alignment horizontal="center" vertical="center"/>
    </xf>
    <xf numFmtId="179" fontId="113" fillId="51" borderId="0" xfId="425" applyNumberFormat="1" applyFont="1" applyFill="1" applyAlignment="1">
      <alignment vertical="center"/>
    </xf>
    <xf numFmtId="0" fontId="118" fillId="51" borderId="0" xfId="425" applyFont="1" applyFill="1" applyAlignment="1">
      <alignment vertical="center"/>
    </xf>
    <xf numFmtId="10" fontId="118" fillId="51" borderId="0" xfId="425" applyNumberFormat="1" applyFont="1" applyFill="1" applyAlignment="1">
      <alignment vertical="center"/>
    </xf>
    <xf numFmtId="0" fontId="113" fillId="48" borderId="0" xfId="0" applyFont="1" applyFill="1" applyBorder="1" applyAlignment="1"/>
    <xf numFmtId="10" fontId="113" fillId="51" borderId="26" xfId="425" applyNumberFormat="1" applyFont="1" applyFill="1" applyBorder="1" applyAlignment="1">
      <alignment vertical="center" shrinkToFit="1"/>
    </xf>
    <xf numFmtId="10" fontId="113" fillId="48" borderId="32" xfId="425" applyNumberFormat="1" applyFont="1" applyFill="1" applyBorder="1" applyAlignment="1">
      <alignment vertical="center"/>
    </xf>
    <xf numFmtId="10" fontId="113" fillId="51" borderId="31" xfId="425" applyNumberFormat="1" applyFont="1" applyFill="1" applyBorder="1" applyAlignment="1">
      <alignment vertical="center"/>
    </xf>
    <xf numFmtId="0" fontId="113" fillId="51" borderId="26" xfId="425" applyFont="1" applyFill="1" applyBorder="1" applyAlignment="1">
      <alignment vertical="center"/>
    </xf>
    <xf numFmtId="0" fontId="119" fillId="51" borderId="0" xfId="425" applyFont="1" applyFill="1" applyAlignment="1">
      <alignment vertical="center"/>
    </xf>
    <xf numFmtId="0" fontId="113" fillId="51" borderId="0" xfId="425" applyFont="1" applyFill="1" applyBorder="1" applyAlignment="1">
      <alignment vertical="center"/>
    </xf>
    <xf numFmtId="178" fontId="113" fillId="51" borderId="0" xfId="431" applyNumberFormat="1" applyFont="1" applyFill="1" applyBorder="1" applyAlignment="1">
      <alignment horizontal="right" vertical="center"/>
    </xf>
    <xf numFmtId="177" fontId="113" fillId="51" borderId="0" xfId="431" applyNumberFormat="1" applyFont="1" applyFill="1" applyBorder="1" applyAlignment="1">
      <alignment horizontal="right" vertical="center"/>
    </xf>
    <xf numFmtId="177" fontId="113" fillId="51" borderId="0" xfId="433" applyNumberFormat="1" applyFont="1" applyFill="1" applyBorder="1" applyAlignment="1" applyProtection="1">
      <alignment horizontal="right" vertical="center"/>
    </xf>
    <xf numFmtId="173" fontId="113" fillId="51" borderId="0" xfId="433" applyNumberFormat="1" applyFont="1" applyFill="1" applyBorder="1" applyAlignment="1" applyProtection="1">
      <alignment horizontal="center" vertical="center"/>
    </xf>
    <xf numFmtId="0" fontId="113" fillId="51" borderId="0" xfId="428" applyFont="1" applyFill="1" applyBorder="1"/>
    <xf numFmtId="0" fontId="113" fillId="51" borderId="0" xfId="430" applyFont="1" applyFill="1" applyBorder="1"/>
    <xf numFmtId="176" fontId="113" fillId="51" borderId="0" xfId="430" applyNumberFormat="1" applyFont="1" applyFill="1" applyBorder="1" applyAlignment="1">
      <alignment horizontal="center"/>
    </xf>
    <xf numFmtId="0" fontId="113" fillId="51" borderId="0" xfId="430" applyFont="1" applyFill="1" applyBorder="1" applyAlignment="1">
      <alignment horizontal="center"/>
    </xf>
    <xf numFmtId="0" fontId="113" fillId="51" borderId="0" xfId="425" applyFont="1" applyFill="1" applyBorder="1" applyAlignment="1">
      <alignment horizontal="center" vertical="center"/>
    </xf>
    <xf numFmtId="10" fontId="113" fillId="51" borderId="0" xfId="425" applyNumberFormat="1" applyFont="1" applyFill="1" applyBorder="1" applyAlignment="1">
      <alignment vertical="center" shrinkToFit="1"/>
    </xf>
    <xf numFmtId="10" fontId="113" fillId="48" borderId="0" xfId="425" applyNumberFormat="1" applyFont="1" applyFill="1" applyBorder="1" applyAlignment="1">
      <alignment vertical="center"/>
    </xf>
    <xf numFmtId="0" fontId="114" fillId="51" borderId="0" xfId="425" applyFont="1" applyFill="1" applyAlignment="1">
      <alignment vertical="center"/>
    </xf>
    <xf numFmtId="177" fontId="113" fillId="51" borderId="0" xfId="425" applyNumberFormat="1" applyFont="1" applyFill="1" applyAlignment="1">
      <alignment vertical="center"/>
    </xf>
    <xf numFmtId="181" fontId="113" fillId="51" borderId="0" xfId="425" applyNumberFormat="1" applyFont="1" applyFill="1" applyAlignment="1">
      <alignment vertical="center"/>
    </xf>
    <xf numFmtId="49" fontId="113" fillId="51" borderId="0" xfId="425" applyNumberFormat="1" applyFont="1" applyFill="1" applyAlignment="1">
      <alignment horizontal="center" vertical="center"/>
    </xf>
    <xf numFmtId="176" fontId="113" fillId="51" borderId="28" xfId="425" applyNumberFormat="1" applyFont="1" applyFill="1" applyBorder="1" applyAlignment="1">
      <alignment vertical="center"/>
    </xf>
    <xf numFmtId="181" fontId="113" fillId="51" borderId="130" xfId="425" applyNumberFormat="1" applyFont="1" applyFill="1" applyBorder="1" applyAlignment="1">
      <alignment vertical="center"/>
    </xf>
    <xf numFmtId="0" fontId="113" fillId="51" borderId="70" xfId="425" applyFont="1" applyFill="1" applyBorder="1" applyAlignment="1">
      <alignment horizontal="center" vertical="center"/>
    </xf>
    <xf numFmtId="0" fontId="113" fillId="51" borderId="110" xfId="425" applyFont="1" applyFill="1" applyBorder="1" applyAlignment="1">
      <alignment horizontal="center" vertical="center"/>
    </xf>
    <xf numFmtId="181" fontId="113" fillId="51" borderId="24" xfId="425" applyNumberFormat="1" applyFont="1" applyFill="1" applyBorder="1" applyAlignment="1">
      <alignment vertical="center"/>
    </xf>
    <xf numFmtId="0" fontId="113" fillId="51" borderId="23" xfId="425" applyFont="1" applyFill="1" applyBorder="1" applyAlignment="1">
      <alignment horizontal="center" vertical="center"/>
    </xf>
    <xf numFmtId="0" fontId="113" fillId="51" borderId="55" xfId="425" applyFont="1" applyFill="1" applyBorder="1" applyAlignment="1">
      <alignment vertical="center"/>
    </xf>
    <xf numFmtId="176" fontId="113" fillId="51" borderId="24" xfId="425" applyNumberFormat="1" applyFont="1" applyFill="1" applyBorder="1" applyAlignment="1">
      <alignment vertical="center"/>
    </xf>
    <xf numFmtId="38" fontId="120" fillId="51" borderId="0" xfId="425" applyNumberFormat="1" applyFont="1" applyFill="1" applyBorder="1" applyAlignment="1">
      <alignment vertical="center"/>
    </xf>
    <xf numFmtId="0" fontId="120" fillId="51" borderId="0" xfId="425" applyFont="1" applyFill="1" applyBorder="1" applyAlignment="1">
      <alignment vertical="center"/>
    </xf>
    <xf numFmtId="0" fontId="113" fillId="51" borderId="48" xfId="425" applyFont="1" applyFill="1" applyBorder="1" applyAlignment="1">
      <alignment horizontal="center" vertical="center"/>
    </xf>
    <xf numFmtId="0" fontId="113" fillId="51" borderId="49" xfId="425" applyFont="1" applyFill="1" applyBorder="1" applyAlignment="1">
      <alignment horizontal="center" vertical="center"/>
    </xf>
    <xf numFmtId="0" fontId="113" fillId="51" borderId="50" xfId="425" applyFont="1" applyFill="1" applyBorder="1" applyAlignment="1">
      <alignment horizontal="center" vertical="center"/>
    </xf>
    <xf numFmtId="0" fontId="120" fillId="51" borderId="47" xfId="425" applyFont="1" applyFill="1" applyBorder="1" applyAlignment="1">
      <alignment vertical="center"/>
    </xf>
    <xf numFmtId="0" fontId="120" fillId="51" borderId="38" xfId="425" applyFont="1" applyFill="1" applyBorder="1" applyAlignment="1">
      <alignment vertical="center"/>
    </xf>
    <xf numFmtId="178" fontId="113" fillId="51" borderId="37" xfId="425" applyNumberFormat="1" applyFont="1" applyFill="1" applyBorder="1" applyAlignment="1">
      <alignment vertical="center"/>
    </xf>
    <xf numFmtId="0" fontId="116" fillId="51" borderId="0" xfId="425" applyFont="1" applyFill="1" applyBorder="1" applyAlignment="1">
      <alignment vertical="center" shrinkToFit="1"/>
    </xf>
    <xf numFmtId="0" fontId="120" fillId="51" borderId="1" xfId="425" applyFont="1" applyFill="1" applyBorder="1" applyAlignment="1">
      <alignment vertical="center"/>
    </xf>
    <xf numFmtId="0" fontId="120" fillId="51" borderId="30" xfId="425" applyFont="1" applyFill="1" applyBorder="1" applyAlignment="1">
      <alignment vertical="center"/>
    </xf>
    <xf numFmtId="178" fontId="113" fillId="51" borderId="24" xfId="425" applyNumberFormat="1" applyFont="1" applyFill="1" applyBorder="1" applyAlignment="1">
      <alignment vertical="center"/>
    </xf>
    <xf numFmtId="0" fontId="120" fillId="51" borderId="26" xfId="425" applyFont="1" applyFill="1" applyBorder="1" applyAlignment="1">
      <alignment vertical="center"/>
    </xf>
    <xf numFmtId="0" fontId="120" fillId="51" borderId="32" xfId="425" applyFont="1" applyFill="1" applyBorder="1" applyAlignment="1">
      <alignment vertical="center"/>
    </xf>
    <xf numFmtId="178" fontId="113" fillId="51" borderId="33" xfId="425" applyNumberFormat="1" applyFont="1" applyFill="1" applyBorder="1" applyAlignment="1">
      <alignment vertical="center"/>
    </xf>
    <xf numFmtId="181" fontId="113" fillId="51" borderId="0" xfId="425" applyNumberFormat="1" applyFont="1" applyFill="1" applyBorder="1" applyAlignment="1">
      <alignment vertical="center"/>
    </xf>
    <xf numFmtId="176" fontId="113" fillId="51" borderId="0" xfId="425" applyNumberFormat="1" applyFont="1" applyFill="1" applyBorder="1" applyAlignment="1">
      <alignment vertical="center"/>
    </xf>
    <xf numFmtId="176" fontId="120" fillId="10" borderId="0" xfId="425" applyNumberFormat="1" applyFont="1" applyFill="1" applyBorder="1" applyAlignment="1">
      <alignment vertical="center"/>
    </xf>
    <xf numFmtId="182" fontId="113" fillId="51" borderId="0" xfId="425" applyNumberFormat="1" applyFont="1" applyFill="1" applyAlignment="1">
      <alignment vertical="center"/>
    </xf>
    <xf numFmtId="38" fontId="113" fillId="51" borderId="0" xfId="425" applyNumberFormat="1" applyFont="1" applyFill="1" applyAlignment="1">
      <alignment vertical="center"/>
    </xf>
    <xf numFmtId="0" fontId="113" fillId="51" borderId="0" xfId="425" applyFont="1" applyFill="1" applyAlignment="1">
      <alignment horizontal="right" vertical="center"/>
    </xf>
    <xf numFmtId="178" fontId="120" fillId="51" borderId="0" xfId="425" applyNumberFormat="1" applyFont="1" applyFill="1" applyAlignment="1">
      <alignment vertical="center"/>
    </xf>
    <xf numFmtId="0" fontId="120" fillId="36" borderId="74" xfId="425" applyFont="1" applyFill="1" applyBorder="1" applyAlignment="1">
      <alignment horizontal="center" vertical="center"/>
    </xf>
    <xf numFmtId="0" fontId="121" fillId="36" borderId="46" xfId="425" applyFont="1" applyFill="1" applyBorder="1" applyAlignment="1">
      <alignment horizontal="center" vertical="center"/>
    </xf>
    <xf numFmtId="0" fontId="113" fillId="51" borderId="32" xfId="425" applyFont="1" applyFill="1" applyBorder="1" applyAlignment="1">
      <alignment horizontal="center" vertical="center" wrapText="1"/>
    </xf>
    <xf numFmtId="0" fontId="113" fillId="51" borderId="32" xfId="425" applyFont="1" applyFill="1" applyBorder="1" applyAlignment="1">
      <alignment horizontal="center" vertical="center" shrinkToFit="1"/>
    </xf>
    <xf numFmtId="0" fontId="121" fillId="36" borderId="77" xfId="425" applyFont="1" applyFill="1" applyBorder="1" applyAlignment="1">
      <alignment horizontal="center" vertical="center" wrapText="1"/>
    </xf>
    <xf numFmtId="0" fontId="120" fillId="36" borderId="26" xfId="425" applyFont="1" applyFill="1" applyBorder="1" applyAlignment="1">
      <alignment horizontal="center" vertical="center" wrapText="1"/>
    </xf>
    <xf numFmtId="0" fontId="121" fillId="36" borderId="33" xfId="425" applyFont="1" applyFill="1" applyBorder="1" applyAlignment="1">
      <alignment horizontal="center" vertical="center" wrapText="1"/>
    </xf>
    <xf numFmtId="0" fontId="120" fillId="36" borderId="75" xfId="425" applyFont="1" applyFill="1" applyBorder="1" applyAlignment="1">
      <alignment horizontal="center" vertical="center"/>
    </xf>
    <xf numFmtId="0" fontId="120" fillId="36" borderId="76" xfId="425" applyFont="1" applyFill="1" applyBorder="1" applyAlignment="1">
      <alignment horizontal="center" vertical="center"/>
    </xf>
    <xf numFmtId="0" fontId="120" fillId="36" borderId="36" xfId="425" applyFont="1" applyFill="1" applyBorder="1" applyAlignment="1">
      <alignment horizontal="center" vertical="center"/>
    </xf>
    <xf numFmtId="0" fontId="120" fillId="36" borderId="31" xfId="425" applyFont="1" applyFill="1" applyBorder="1" applyAlignment="1">
      <alignment horizontal="center" vertical="center"/>
    </xf>
    <xf numFmtId="177" fontId="120" fillId="36" borderId="77" xfId="430" applyNumberFormat="1" applyFont="1" applyFill="1" applyBorder="1" applyAlignment="1">
      <alignment horizontal="center" vertical="center" wrapText="1"/>
    </xf>
    <xf numFmtId="0" fontId="120" fillId="36" borderId="78" xfId="425" applyFont="1" applyFill="1" applyBorder="1" applyAlignment="1">
      <alignment horizontal="center" vertical="center"/>
    </xf>
    <xf numFmtId="0" fontId="121" fillId="36" borderId="79" xfId="425" applyFont="1" applyFill="1" applyBorder="1" applyAlignment="1">
      <alignment horizontal="center" vertical="center"/>
    </xf>
    <xf numFmtId="176" fontId="116" fillId="51" borderId="0" xfId="425" applyNumberFormat="1" applyFont="1" applyFill="1" applyBorder="1" applyAlignment="1">
      <alignment vertical="center"/>
    </xf>
    <xf numFmtId="9" fontId="120" fillId="10" borderId="65" xfId="425" applyNumberFormat="1" applyFont="1" applyFill="1" applyBorder="1" applyAlignment="1">
      <alignment horizontal="center" vertical="center"/>
    </xf>
    <xf numFmtId="175" fontId="120" fillId="10" borderId="40" xfId="425" applyNumberFormat="1" applyFont="1" applyFill="1" applyBorder="1" applyAlignment="1">
      <alignment vertical="center"/>
    </xf>
    <xf numFmtId="176" fontId="120" fillId="10" borderId="27" xfId="425" applyNumberFormat="1" applyFont="1" applyFill="1" applyBorder="1" applyAlignment="1">
      <alignment vertical="center"/>
    </xf>
    <xf numFmtId="176" fontId="113" fillId="51" borderId="27" xfId="425" applyNumberFormat="1" applyFont="1" applyFill="1" applyBorder="1" applyAlignment="1">
      <alignment vertical="center"/>
    </xf>
    <xf numFmtId="187" fontId="120" fillId="10" borderId="27" xfId="425" applyNumberFormat="1" applyFont="1" applyFill="1" applyBorder="1" applyAlignment="1">
      <alignment vertical="center"/>
    </xf>
    <xf numFmtId="176" fontId="120" fillId="10" borderId="40" xfId="425" applyNumberFormat="1" applyFont="1" applyFill="1" applyBorder="1" applyAlignment="1">
      <alignment vertical="center"/>
    </xf>
    <xf numFmtId="179" fontId="120" fillId="10" borderId="22" xfId="425" applyNumberFormat="1" applyFont="1" applyFill="1" applyBorder="1" applyAlignment="1">
      <alignment horizontal="center" vertical="center"/>
    </xf>
    <xf numFmtId="179" fontId="120" fillId="10" borderId="66" xfId="430" applyNumberFormat="1" applyFont="1" applyFill="1" applyBorder="1" applyAlignment="1">
      <alignment vertical="center"/>
    </xf>
    <xf numFmtId="173" fontId="120" fillId="10" borderId="67" xfId="430" applyNumberFormat="1" applyFont="1" applyFill="1" applyBorder="1" applyAlignment="1">
      <alignment vertical="center"/>
    </xf>
    <xf numFmtId="179" fontId="120" fillId="10" borderId="39" xfId="430" applyNumberFormat="1" applyFont="1" applyFill="1" applyBorder="1" applyAlignment="1">
      <alignment vertical="center"/>
    </xf>
    <xf numFmtId="173" fontId="120" fillId="10" borderId="62" xfId="430" applyNumberFormat="1" applyFont="1" applyFill="1" applyBorder="1" applyAlignment="1">
      <alignment vertical="center"/>
    </xf>
    <xf numFmtId="179" fontId="113" fillId="10" borderId="66" xfId="430" applyNumberFormat="1" applyFont="1" applyFill="1" applyBorder="1" applyAlignment="1">
      <alignment vertical="center"/>
    </xf>
    <xf numFmtId="179" fontId="121" fillId="51" borderId="63" xfId="430" applyNumberFormat="1" applyFont="1" applyFill="1" applyBorder="1" applyAlignment="1">
      <alignment vertical="center"/>
    </xf>
    <xf numFmtId="185" fontId="120" fillId="10" borderId="40" xfId="430" applyNumberFormat="1" applyFont="1" applyFill="1" applyBorder="1" applyAlignment="1">
      <alignment vertical="center"/>
    </xf>
    <xf numFmtId="177" fontId="120" fillId="10" borderId="27" xfId="430" applyNumberFormat="1" applyFont="1" applyFill="1" applyBorder="1" applyAlignment="1">
      <alignment vertical="center"/>
    </xf>
    <xf numFmtId="179" fontId="120" fillId="10" borderId="27" xfId="430" applyNumberFormat="1" applyFont="1" applyFill="1" applyBorder="1" applyAlignment="1">
      <alignment vertical="center"/>
    </xf>
    <xf numFmtId="179" fontId="121" fillId="51" borderId="61" xfId="430" applyNumberFormat="1" applyFont="1" applyFill="1" applyBorder="1" applyAlignment="1">
      <alignment vertical="center"/>
    </xf>
    <xf numFmtId="187" fontId="120" fillId="10" borderId="40" xfId="425" applyNumberFormat="1" applyFont="1" applyFill="1" applyBorder="1" applyAlignment="1">
      <alignment horizontal="right" vertical="center"/>
    </xf>
    <xf numFmtId="176" fontId="121" fillId="51" borderId="28" xfId="425" applyNumberFormat="1" applyFont="1" applyFill="1" applyBorder="1" applyAlignment="1">
      <alignment vertical="center"/>
    </xf>
    <xf numFmtId="0" fontId="113" fillId="51" borderId="0" xfId="425" applyFont="1" applyFill="1" applyAlignment="1">
      <alignment horizontal="right"/>
    </xf>
    <xf numFmtId="9" fontId="120" fillId="10" borderId="55" xfId="425" applyNumberFormat="1" applyFont="1" applyFill="1" applyBorder="1" applyAlignment="1">
      <alignment horizontal="center" vertical="center"/>
    </xf>
    <xf numFmtId="175" fontId="120" fillId="10" borderId="1" xfId="425" applyNumberFormat="1" applyFont="1" applyFill="1" applyBorder="1" applyAlignment="1">
      <alignment vertical="center"/>
    </xf>
    <xf numFmtId="176" fontId="120" fillId="10" borderId="30" xfId="425" applyNumberFormat="1" applyFont="1" applyFill="1" applyBorder="1" applyAlignment="1">
      <alignment vertical="center"/>
    </xf>
    <xf numFmtId="176" fontId="113" fillId="51" borderId="30" xfId="425" applyNumberFormat="1" applyFont="1" applyFill="1" applyBorder="1" applyAlignment="1">
      <alignment vertical="center"/>
    </xf>
    <xf numFmtId="187" fontId="120" fillId="10" borderId="30" xfId="425" applyNumberFormat="1" applyFont="1" applyFill="1" applyBorder="1" applyAlignment="1">
      <alignment vertical="center"/>
    </xf>
    <xf numFmtId="176" fontId="120" fillId="10" borderId="1" xfId="425" applyNumberFormat="1" applyFont="1" applyFill="1" applyBorder="1" applyAlignment="1">
      <alignment vertical="center"/>
    </xf>
    <xf numFmtId="179" fontId="120" fillId="10" borderId="23" xfId="425" applyNumberFormat="1" applyFont="1" applyFill="1" applyBorder="1" applyAlignment="1">
      <alignment horizontal="center" vertical="center"/>
    </xf>
    <xf numFmtId="179" fontId="120" fillId="10" borderId="68" xfId="430" applyNumberFormat="1" applyFont="1" applyFill="1" applyBorder="1" applyAlignment="1">
      <alignment vertical="center"/>
    </xf>
    <xf numFmtId="173" fontId="120" fillId="10" borderId="69" xfId="430" applyNumberFormat="1" applyFont="1" applyFill="1" applyBorder="1" applyAlignment="1">
      <alignment vertical="center"/>
    </xf>
    <xf numFmtId="179" fontId="120" fillId="10" borderId="34" xfId="430" applyNumberFormat="1" applyFont="1" applyFill="1" applyBorder="1" applyAlignment="1">
      <alignment vertical="center"/>
    </xf>
    <xf numFmtId="173" fontId="120" fillId="10" borderId="44" xfId="430" applyNumberFormat="1" applyFont="1" applyFill="1" applyBorder="1" applyAlignment="1">
      <alignment vertical="center"/>
    </xf>
    <xf numFmtId="179" fontId="113" fillId="10" borderId="68" xfId="430" applyNumberFormat="1" applyFont="1" applyFill="1" applyBorder="1" applyAlignment="1">
      <alignment vertical="center"/>
    </xf>
    <xf numFmtId="179" fontId="121" fillId="51" borderId="64" xfId="430" applyNumberFormat="1" applyFont="1" applyFill="1" applyBorder="1" applyAlignment="1">
      <alignment vertical="center"/>
    </xf>
    <xf numFmtId="185" fontId="120" fillId="10" borderId="1" xfId="430" applyNumberFormat="1" applyFont="1" applyFill="1" applyBorder="1" applyAlignment="1">
      <alignment vertical="center"/>
    </xf>
    <xf numFmtId="177" fontId="120" fillId="10" borderId="30" xfId="430" applyNumberFormat="1" applyFont="1" applyFill="1" applyBorder="1" applyAlignment="1">
      <alignment vertical="center"/>
    </xf>
    <xf numFmtId="179" fontId="120" fillId="10" borderId="30" xfId="430" applyNumberFormat="1" applyFont="1" applyFill="1" applyBorder="1" applyAlignment="1">
      <alignment vertical="center"/>
    </xf>
    <xf numFmtId="179" fontId="121" fillId="51" borderId="29" xfId="430" applyNumberFormat="1" applyFont="1" applyFill="1" applyBorder="1" applyAlignment="1">
      <alignment vertical="center"/>
    </xf>
    <xf numFmtId="187" fontId="120" fillId="10" borderId="1" xfId="425" applyNumberFormat="1" applyFont="1" applyFill="1" applyBorder="1" applyAlignment="1">
      <alignment horizontal="right" vertical="center"/>
    </xf>
    <xf numFmtId="176" fontId="121" fillId="51" borderId="24" xfId="425" applyNumberFormat="1" applyFont="1" applyFill="1" applyBorder="1" applyAlignment="1">
      <alignment vertical="center"/>
    </xf>
    <xf numFmtId="176" fontId="113" fillId="51" borderId="45" xfId="425" applyNumberFormat="1" applyFont="1" applyFill="1" applyBorder="1" applyAlignment="1">
      <alignment vertical="center"/>
    </xf>
    <xf numFmtId="9" fontId="120" fillId="10" borderId="148" xfId="425" applyNumberFormat="1" applyFont="1" applyFill="1" applyBorder="1" applyAlignment="1">
      <alignment horizontal="center" vertical="center"/>
    </xf>
    <xf numFmtId="175" fontId="120" fillId="10" borderId="74" xfId="425" applyNumberFormat="1" applyFont="1" applyFill="1" applyBorder="1" applyAlignment="1">
      <alignment vertical="center"/>
    </xf>
    <xf numFmtId="176" fontId="120" fillId="10" borderId="45" xfId="425" applyNumberFormat="1" applyFont="1" applyFill="1" applyBorder="1" applyAlignment="1">
      <alignment vertical="center"/>
    </xf>
    <xf numFmtId="187" fontId="120" fillId="10" borderId="45" xfId="425" applyNumberFormat="1" applyFont="1" applyFill="1" applyBorder="1" applyAlignment="1">
      <alignment vertical="center"/>
    </xf>
    <xf numFmtId="176" fontId="113" fillId="51" borderId="46" xfId="425" applyNumberFormat="1" applyFont="1" applyFill="1" applyBorder="1" applyAlignment="1">
      <alignment vertical="center"/>
    </xf>
    <xf numFmtId="176" fontId="120" fillId="10" borderId="74" xfId="425" applyNumberFormat="1" applyFont="1" applyFill="1" applyBorder="1" applyAlignment="1">
      <alignment vertical="center"/>
    </xf>
    <xf numFmtId="179" fontId="120" fillId="10" borderId="110" xfId="425" applyNumberFormat="1" applyFont="1" applyFill="1" applyBorder="1" applyAlignment="1">
      <alignment horizontal="center" vertical="center"/>
    </xf>
    <xf numFmtId="179" fontId="120" fillId="10" borderId="111" xfId="430" applyNumberFormat="1" applyFont="1" applyFill="1" applyBorder="1" applyAlignment="1">
      <alignment vertical="center"/>
    </xf>
    <xf numFmtId="173" fontId="120" fillId="10" borderId="112" xfId="430" applyNumberFormat="1" applyFont="1" applyFill="1" applyBorder="1" applyAlignment="1">
      <alignment vertical="center"/>
    </xf>
    <xf numFmtId="179" fontId="120" fillId="10" borderId="51" xfId="430" applyNumberFormat="1" applyFont="1" applyFill="1" applyBorder="1" applyAlignment="1">
      <alignment vertical="center"/>
    </xf>
    <xf numFmtId="173" fontId="120" fillId="10" borderId="82" xfId="430" applyNumberFormat="1" applyFont="1" applyFill="1" applyBorder="1" applyAlignment="1">
      <alignment vertical="center"/>
    </xf>
    <xf numFmtId="179" fontId="113" fillId="10" borderId="111" xfId="430" applyNumberFormat="1" applyFont="1" applyFill="1" applyBorder="1" applyAlignment="1">
      <alignment vertical="center"/>
    </xf>
    <xf numFmtId="179" fontId="121" fillId="51" borderId="113" xfId="430" applyNumberFormat="1" applyFont="1" applyFill="1" applyBorder="1" applyAlignment="1">
      <alignment vertical="center"/>
    </xf>
    <xf numFmtId="185" fontId="120" fillId="10" borderId="74" xfId="430" applyNumberFormat="1" applyFont="1" applyFill="1" applyBorder="1" applyAlignment="1">
      <alignment vertical="center"/>
    </xf>
    <xf numFmtId="177" fontId="120" fillId="10" borderId="45" xfId="430" applyNumberFormat="1" applyFont="1" applyFill="1" applyBorder="1" applyAlignment="1">
      <alignment vertical="center"/>
    </xf>
    <xf numFmtId="179" fontId="120" fillId="10" borderId="45" xfId="430" applyNumberFormat="1" applyFont="1" applyFill="1" applyBorder="1" applyAlignment="1">
      <alignment vertical="center"/>
    </xf>
    <xf numFmtId="179" fontId="121" fillId="51" borderId="114" xfId="430" applyNumberFormat="1" applyFont="1" applyFill="1" applyBorder="1" applyAlignment="1">
      <alignment vertical="center"/>
    </xf>
    <xf numFmtId="187" fontId="120" fillId="10" borderId="74" xfId="425" applyNumberFormat="1" applyFont="1" applyFill="1" applyBorder="1" applyAlignment="1">
      <alignment horizontal="right" vertical="center"/>
    </xf>
    <xf numFmtId="176" fontId="121" fillId="51" borderId="46" xfId="425" applyNumberFormat="1" applyFont="1" applyFill="1" applyBorder="1" applyAlignment="1">
      <alignment vertical="center"/>
    </xf>
    <xf numFmtId="0" fontId="113" fillId="51" borderId="0" xfId="425" applyFont="1" applyFill="1" applyBorder="1" applyAlignment="1">
      <alignment horizontal="right"/>
    </xf>
    <xf numFmtId="0" fontId="113" fillId="58" borderId="0" xfId="425" applyFont="1" applyFill="1" applyBorder="1" applyAlignment="1">
      <alignment vertical="center" shrinkToFit="1"/>
    </xf>
    <xf numFmtId="49" fontId="113" fillId="58" borderId="0" xfId="425" applyNumberFormat="1" applyFont="1" applyFill="1" applyBorder="1" applyAlignment="1">
      <alignment horizontal="left" vertical="center"/>
    </xf>
    <xf numFmtId="176" fontId="113" fillId="58" borderId="0" xfId="425" applyNumberFormat="1" applyFont="1" applyFill="1" applyBorder="1" applyAlignment="1">
      <alignment horizontal="right" vertical="center"/>
    </xf>
    <xf numFmtId="176" fontId="113" fillId="58" borderId="0" xfId="425" applyNumberFormat="1" applyFont="1" applyFill="1" applyBorder="1" applyAlignment="1">
      <alignment vertical="center"/>
    </xf>
    <xf numFmtId="177" fontId="113" fillId="58" borderId="0" xfId="425" applyNumberFormat="1" applyFont="1" applyFill="1" applyBorder="1" applyAlignment="1">
      <alignment vertical="center"/>
    </xf>
    <xf numFmtId="177" fontId="120" fillId="58" borderId="0" xfId="425" applyNumberFormat="1" applyFont="1" applyFill="1" applyBorder="1" applyAlignment="1">
      <alignment vertical="center"/>
    </xf>
    <xf numFmtId="179" fontId="113" fillId="58" borderId="0" xfId="425" applyNumberFormat="1" applyFont="1" applyFill="1" applyBorder="1" applyAlignment="1">
      <alignment vertical="center"/>
    </xf>
    <xf numFmtId="176" fontId="121" fillId="58" borderId="0" xfId="425" applyNumberFormat="1" applyFont="1" applyFill="1" applyBorder="1" applyAlignment="1">
      <alignment vertical="center"/>
    </xf>
    <xf numFmtId="186" fontId="113" fillId="58" borderId="0" xfId="425" applyNumberFormat="1" applyFont="1" applyFill="1" applyBorder="1" applyAlignment="1">
      <alignment vertical="center"/>
    </xf>
    <xf numFmtId="9" fontId="120" fillId="10" borderId="0" xfId="425" applyNumberFormat="1" applyFont="1" applyFill="1" applyBorder="1" applyAlignment="1">
      <alignment horizontal="center" vertical="center"/>
    </xf>
    <xf numFmtId="175" fontId="120" fillId="10" borderId="0" xfId="425" applyNumberFormat="1" applyFont="1" applyFill="1" applyBorder="1" applyAlignment="1">
      <alignment vertical="center"/>
    </xf>
    <xf numFmtId="187" fontId="120" fillId="10" borderId="0" xfId="425" applyNumberFormat="1" applyFont="1" applyFill="1" applyBorder="1" applyAlignment="1">
      <alignment vertical="center"/>
    </xf>
    <xf numFmtId="179" fontId="120" fillId="10" borderId="0" xfId="425" applyNumberFormat="1" applyFont="1" applyFill="1" applyBorder="1" applyAlignment="1">
      <alignment horizontal="center" vertical="center"/>
    </xf>
    <xf numFmtId="179" fontId="120" fillId="10" borderId="0" xfId="430" applyNumberFormat="1" applyFont="1" applyFill="1" applyBorder="1" applyAlignment="1">
      <alignment vertical="center"/>
    </xf>
    <xf numFmtId="173" fontId="120" fillId="10" borderId="0" xfId="430" applyNumberFormat="1" applyFont="1" applyFill="1" applyBorder="1" applyAlignment="1">
      <alignment vertical="center"/>
    </xf>
    <xf numFmtId="179" fontId="113" fillId="10" borderId="0" xfId="430" applyNumberFormat="1" applyFont="1" applyFill="1" applyBorder="1" applyAlignment="1">
      <alignment vertical="center"/>
    </xf>
    <xf numFmtId="179" fontId="121" fillId="51" borderId="0" xfId="430" applyNumberFormat="1" applyFont="1" applyFill="1" applyBorder="1" applyAlignment="1">
      <alignment vertical="center"/>
    </xf>
    <xf numFmtId="185" fontId="120" fillId="10" borderId="0" xfId="430" applyNumberFormat="1" applyFont="1" applyFill="1" applyBorder="1" applyAlignment="1">
      <alignment vertical="center"/>
    </xf>
    <xf numFmtId="177" fontId="120" fillId="10" borderId="0" xfId="430" applyNumberFormat="1" applyFont="1" applyFill="1" applyBorder="1" applyAlignment="1">
      <alignment vertical="center"/>
    </xf>
    <xf numFmtId="187" fontId="120" fillId="10" borderId="0" xfId="425" applyNumberFormat="1" applyFont="1" applyFill="1" applyBorder="1" applyAlignment="1">
      <alignment horizontal="right" vertical="center"/>
    </xf>
    <xf numFmtId="176" fontId="121" fillId="51" borderId="0" xfId="425" applyNumberFormat="1" applyFont="1" applyFill="1" applyBorder="1" applyAlignment="1">
      <alignment vertical="center"/>
    </xf>
    <xf numFmtId="0" fontId="113" fillId="51" borderId="0" xfId="425" applyFont="1" applyFill="1" applyBorder="1"/>
    <xf numFmtId="38" fontId="120" fillId="36" borderId="80" xfId="429" applyNumberFormat="1" applyFont="1" applyFill="1" applyBorder="1" applyAlignment="1">
      <alignment horizontal="center" vertical="center"/>
    </xf>
    <xf numFmtId="38" fontId="120" fillId="36" borderId="59" xfId="429" applyNumberFormat="1" applyFont="1" applyFill="1" applyBorder="1" applyAlignment="1">
      <alignment horizontal="center" vertical="center"/>
    </xf>
    <xf numFmtId="38" fontId="120" fillId="36" borderId="59" xfId="425" applyNumberFormat="1" applyFont="1" applyFill="1" applyBorder="1" applyAlignment="1">
      <alignment horizontal="center" vertical="center"/>
    </xf>
    <xf numFmtId="38" fontId="120" fillId="36" borderId="81" xfId="429" applyNumberFormat="1" applyFont="1" applyFill="1" applyBorder="1" applyAlignment="1">
      <alignment horizontal="center" vertical="center"/>
    </xf>
    <xf numFmtId="38" fontId="120" fillId="36" borderId="77" xfId="429" applyNumberFormat="1" applyFont="1" applyFill="1" applyBorder="1" applyAlignment="1">
      <alignment horizontal="center" vertical="center"/>
    </xf>
    <xf numFmtId="9" fontId="120" fillId="36" borderId="77" xfId="0" applyNumberFormat="1" applyFont="1" applyFill="1" applyBorder="1" applyAlignment="1">
      <alignment horizontal="center" vertical="center" wrapText="1"/>
    </xf>
    <xf numFmtId="9" fontId="113" fillId="36" borderId="73" xfId="0" applyNumberFormat="1" applyFont="1" applyFill="1" applyBorder="1" applyAlignment="1">
      <alignment horizontal="center" vertical="center" wrapText="1"/>
    </xf>
    <xf numFmtId="38" fontId="120" fillId="10" borderId="40" xfId="429" applyNumberFormat="1" applyFont="1" applyFill="1" applyBorder="1" applyAlignment="1">
      <alignment horizontal="right" vertical="center"/>
    </xf>
    <xf numFmtId="38" fontId="120" fillId="10" borderId="27" xfId="429" applyNumberFormat="1" applyFont="1" applyFill="1" applyBorder="1" applyAlignment="1">
      <alignment horizontal="right" vertical="center"/>
    </xf>
    <xf numFmtId="38" fontId="120" fillId="10" borderId="28" xfId="429" applyNumberFormat="1" applyFont="1" applyFill="1" applyBorder="1" applyAlignment="1">
      <alignment horizontal="right" vertical="center"/>
    </xf>
    <xf numFmtId="38" fontId="120" fillId="48" borderId="39" xfId="429" applyNumberFormat="1" applyFont="1" applyFill="1" applyBorder="1" applyAlignment="1">
      <alignment horizontal="center" vertical="center"/>
    </xf>
    <xf numFmtId="38" fontId="120" fillId="48" borderId="27" xfId="429" applyNumberFormat="1" applyFont="1" applyFill="1" applyBorder="1" applyAlignment="1">
      <alignment horizontal="center" vertical="center"/>
    </xf>
    <xf numFmtId="38" fontId="120" fillId="48" borderId="27" xfId="425" applyNumberFormat="1" applyFont="1" applyFill="1" applyBorder="1" applyAlignment="1">
      <alignment horizontal="center" vertical="center"/>
    </xf>
    <xf numFmtId="38" fontId="113" fillId="51" borderId="1" xfId="429" applyNumberFormat="1" applyFont="1" applyFill="1" applyBorder="1" applyAlignment="1">
      <alignment vertical="center"/>
    </xf>
    <xf numFmtId="9" fontId="120" fillId="10" borderId="27" xfId="425" applyNumberFormat="1" applyFont="1" applyFill="1" applyBorder="1" applyAlignment="1">
      <alignment horizontal="center" vertical="center"/>
    </xf>
    <xf numFmtId="38" fontId="113" fillId="51" borderId="38" xfId="0" applyNumberFormat="1" applyFont="1" applyFill="1" applyBorder="1"/>
    <xf numFmtId="38" fontId="114" fillId="51" borderId="37" xfId="0" applyNumberFormat="1" applyFont="1" applyFill="1" applyBorder="1"/>
    <xf numFmtId="38" fontId="120" fillId="10" borderId="1" xfId="429" applyNumberFormat="1" applyFont="1" applyFill="1" applyBorder="1" applyAlignment="1">
      <alignment horizontal="right" vertical="center"/>
    </xf>
    <xf numFmtId="38" fontId="120" fillId="10" borderId="30" xfId="429" applyNumberFormat="1" applyFont="1" applyFill="1" applyBorder="1" applyAlignment="1">
      <alignment horizontal="right" vertical="center"/>
    </xf>
    <xf numFmtId="38" fontId="120" fillId="10" borderId="24" xfId="429" applyNumberFormat="1" applyFont="1" applyFill="1" applyBorder="1" applyAlignment="1">
      <alignment horizontal="right" vertical="center"/>
    </xf>
    <xf numFmtId="38" fontId="120" fillId="48" borderId="34" xfId="429" applyNumberFormat="1" applyFont="1" applyFill="1" applyBorder="1" applyAlignment="1">
      <alignment horizontal="center" vertical="center"/>
    </xf>
    <xf numFmtId="38" fontId="120" fillId="48" borderId="30" xfId="429" applyNumberFormat="1" applyFont="1" applyFill="1" applyBorder="1" applyAlignment="1">
      <alignment horizontal="center" vertical="center"/>
    </xf>
    <xf numFmtId="9" fontId="120" fillId="10" borderId="30" xfId="425" applyNumberFormat="1" applyFont="1" applyFill="1" applyBorder="1" applyAlignment="1">
      <alignment horizontal="center" vertical="center"/>
    </xf>
    <xf numFmtId="176" fontId="113" fillId="51" borderId="0" xfId="425" applyNumberFormat="1" applyFont="1" applyFill="1" applyAlignment="1">
      <alignment horizontal="right" vertical="center"/>
    </xf>
    <xf numFmtId="175" fontId="113" fillId="51" borderId="0" xfId="425" applyNumberFormat="1" applyFont="1" applyFill="1" applyAlignment="1">
      <alignment vertical="center"/>
    </xf>
    <xf numFmtId="49" fontId="113" fillId="51" borderId="0" xfId="0" applyNumberFormat="1" applyFont="1" applyFill="1" applyBorder="1" applyAlignment="1">
      <alignment horizontal="center" vertical="center" wrapText="1"/>
    </xf>
    <xf numFmtId="178" fontId="113" fillId="10" borderId="133" xfId="425" applyNumberFormat="1" applyFont="1" applyFill="1" applyBorder="1" applyAlignment="1">
      <alignment vertical="center"/>
    </xf>
    <xf numFmtId="178" fontId="113" fillId="10" borderId="34" xfId="425" applyNumberFormat="1" applyFont="1" applyFill="1" applyBorder="1" applyAlignment="1">
      <alignment vertical="center"/>
    </xf>
    <xf numFmtId="0" fontId="113" fillId="0" borderId="0" xfId="425" applyFont="1" applyFill="1" applyBorder="1" applyAlignment="1">
      <alignment vertical="center"/>
    </xf>
    <xf numFmtId="181" fontId="113" fillId="0" borderId="0" xfId="425" applyNumberFormat="1" applyFont="1" applyFill="1" applyBorder="1" applyAlignment="1">
      <alignment horizontal="center" vertical="center"/>
    </xf>
    <xf numFmtId="0" fontId="115" fillId="0" borderId="0" xfId="425" applyFont="1" applyFill="1"/>
    <xf numFmtId="0" fontId="113" fillId="51" borderId="61" xfId="430" applyFont="1" applyFill="1" applyBorder="1" applyAlignment="1">
      <alignment vertical="center"/>
    </xf>
    <xf numFmtId="0" fontId="113" fillId="51" borderId="39" xfId="430" applyFont="1" applyFill="1" applyBorder="1" applyAlignment="1">
      <alignment vertical="center"/>
    </xf>
    <xf numFmtId="0" fontId="113" fillId="51" borderId="29" xfId="430" applyFont="1" applyFill="1" applyBorder="1" applyAlignment="1">
      <alignment vertical="center"/>
    </xf>
    <xf numFmtId="0" fontId="113" fillId="51" borderId="34" xfId="430" applyFont="1" applyFill="1" applyBorder="1" applyAlignment="1">
      <alignment vertical="center"/>
    </xf>
    <xf numFmtId="0" fontId="113" fillId="0" borderId="29" xfId="430" applyFont="1" applyFill="1" applyBorder="1" applyAlignment="1">
      <alignment vertical="center"/>
    </xf>
    <xf numFmtId="0" fontId="113" fillId="0" borderId="34" xfId="430" applyFont="1" applyFill="1" applyBorder="1" applyAlignment="1">
      <alignment vertical="center"/>
    </xf>
    <xf numFmtId="0" fontId="113" fillId="0" borderId="35" xfId="430" applyFont="1" applyFill="1" applyBorder="1" applyAlignment="1">
      <alignment vertical="center"/>
    </xf>
    <xf numFmtId="0" fontId="113" fillId="0" borderId="36" xfId="430" applyFont="1" applyFill="1" applyBorder="1" applyAlignment="1">
      <alignment vertical="center"/>
    </xf>
    <xf numFmtId="4" fontId="113" fillId="48" borderId="30" xfId="127" applyNumberFormat="1" applyFont="1" applyFill="1" applyBorder="1" applyAlignment="1">
      <alignment vertical="center"/>
    </xf>
    <xf numFmtId="4" fontId="113" fillId="48" borderId="44" xfId="127" applyNumberFormat="1" applyFont="1" applyFill="1" applyBorder="1" applyAlignment="1">
      <alignment vertical="center"/>
    </xf>
    <xf numFmtId="40" fontId="113" fillId="51" borderId="30" xfId="127" applyNumberFormat="1" applyFont="1" applyFill="1" applyBorder="1" applyAlignment="1">
      <alignment vertical="center"/>
    </xf>
    <xf numFmtId="40" fontId="113" fillId="51" borderId="44" xfId="127" applyNumberFormat="1" applyFont="1" applyFill="1" applyBorder="1" applyAlignment="1">
      <alignment vertical="center"/>
    </xf>
    <xf numFmtId="38" fontId="113" fillId="51" borderId="24" xfId="127" applyNumberFormat="1" applyFont="1" applyFill="1" applyBorder="1" applyAlignment="1">
      <alignment vertical="center"/>
    </xf>
    <xf numFmtId="197" fontId="113" fillId="51" borderId="30" xfId="127" applyNumberFormat="1" applyFont="1" applyFill="1" applyBorder="1" applyAlignment="1">
      <alignment vertical="center"/>
    </xf>
    <xf numFmtId="197" fontId="113" fillId="51" borderId="32" xfId="127" applyNumberFormat="1" applyFont="1" applyFill="1" applyBorder="1" applyAlignment="1">
      <alignment vertical="center"/>
    </xf>
    <xf numFmtId="38" fontId="113" fillId="51" borderId="33" xfId="127" applyNumberFormat="1" applyFont="1" applyFill="1" applyBorder="1" applyAlignment="1">
      <alignment vertical="center"/>
    </xf>
    <xf numFmtId="0" fontId="113" fillId="0" borderId="70" xfId="425" applyFont="1" applyFill="1" applyBorder="1" applyAlignment="1">
      <alignment horizontal="center" vertical="center"/>
    </xf>
    <xf numFmtId="181" fontId="113" fillId="0" borderId="38" xfId="425" applyNumberFormat="1" applyFont="1" applyFill="1" applyBorder="1" applyAlignment="1">
      <alignment vertical="center"/>
    </xf>
    <xf numFmtId="10" fontId="113" fillId="0" borderId="37" xfId="425" applyNumberFormat="1" applyFont="1" applyFill="1" applyBorder="1" applyAlignment="1">
      <alignment vertical="center"/>
    </xf>
    <xf numFmtId="0" fontId="113" fillId="0" borderId="38" xfId="425" applyFont="1" applyFill="1" applyBorder="1" applyAlignment="1">
      <alignment horizontal="center" vertical="center" shrinkToFit="1"/>
    </xf>
    <xf numFmtId="173" fontId="113" fillId="0" borderId="82" xfId="425" applyNumberFormat="1" applyFont="1" applyFill="1" applyBorder="1" applyAlignment="1">
      <alignment horizontal="center" vertical="center"/>
    </xf>
    <xf numFmtId="179" fontId="113" fillId="0" borderId="45" xfId="425" applyNumberFormat="1" applyFont="1" applyFill="1" applyBorder="1" applyAlignment="1">
      <alignment vertical="center"/>
    </xf>
    <xf numFmtId="179" fontId="113" fillId="0" borderId="30" xfId="425" applyNumberFormat="1" applyFont="1" applyFill="1" applyBorder="1" applyAlignment="1">
      <alignment vertical="center"/>
    </xf>
    <xf numFmtId="177" fontId="113" fillId="0" borderId="30" xfId="425" applyNumberFormat="1" applyFont="1" applyFill="1" applyBorder="1" applyAlignment="1">
      <alignment horizontal="right" vertical="center"/>
    </xf>
    <xf numFmtId="9" fontId="113" fillId="0" borderId="30" xfId="425" applyNumberFormat="1" applyFont="1" applyFill="1" applyBorder="1" applyAlignment="1">
      <alignment vertical="center"/>
    </xf>
    <xf numFmtId="176" fontId="113" fillId="0" borderId="158" xfId="425" applyNumberFormat="1" applyFont="1" applyFill="1" applyBorder="1" applyAlignment="1">
      <alignment vertical="center"/>
    </xf>
    <xf numFmtId="178" fontId="113" fillId="0" borderId="34" xfId="425" applyNumberFormat="1" applyFont="1" applyFill="1" applyBorder="1" applyAlignment="1">
      <alignment vertical="center"/>
    </xf>
    <xf numFmtId="0" fontId="113" fillId="0" borderId="23" xfId="425" applyFont="1" applyFill="1" applyBorder="1" applyAlignment="1">
      <alignment horizontal="center" vertical="center"/>
    </xf>
    <xf numFmtId="179" fontId="113" fillId="0" borderId="1" xfId="425" applyNumberFormat="1" applyFont="1" applyFill="1" applyBorder="1" applyAlignment="1">
      <alignment vertical="center"/>
    </xf>
    <xf numFmtId="173" fontId="113" fillId="0" borderId="31" xfId="425" applyNumberFormat="1" applyFont="1" applyFill="1" applyBorder="1" applyAlignment="1">
      <alignment horizontal="center" vertical="center"/>
    </xf>
    <xf numFmtId="179" fontId="113" fillId="0" borderId="26" xfId="425" applyNumberFormat="1" applyFont="1" applyFill="1" applyBorder="1" applyAlignment="1">
      <alignment vertical="center"/>
    </xf>
    <xf numFmtId="179" fontId="113" fillId="0" borderId="32" xfId="425" applyNumberFormat="1" applyFont="1" applyFill="1" applyBorder="1" applyAlignment="1">
      <alignment vertical="center"/>
    </xf>
    <xf numFmtId="177" fontId="120" fillId="0" borderId="32" xfId="425" applyNumberFormat="1" applyFont="1" applyFill="1" applyBorder="1" applyAlignment="1">
      <alignment vertical="center"/>
    </xf>
    <xf numFmtId="9" fontId="113" fillId="0" borderId="32" xfId="425" applyNumberFormat="1" applyFont="1" applyFill="1" applyBorder="1" applyAlignment="1">
      <alignment vertical="center"/>
    </xf>
    <xf numFmtId="176" fontId="113" fillId="0" borderId="161" xfId="425" applyNumberFormat="1" applyFont="1" applyFill="1" applyBorder="1" applyAlignment="1">
      <alignment vertical="center"/>
    </xf>
    <xf numFmtId="178" fontId="113" fillId="0" borderId="36" xfId="425" applyNumberFormat="1" applyFont="1" applyFill="1" applyBorder="1" applyAlignment="1">
      <alignment vertical="center"/>
    </xf>
    <xf numFmtId="175" fontId="113" fillId="62" borderId="23" xfId="425" applyNumberFormat="1" applyFont="1" applyFill="1" applyBorder="1" applyAlignment="1">
      <alignment horizontal="left" vertical="center"/>
    </xf>
    <xf numFmtId="0" fontId="113" fillId="62" borderId="29" xfId="425" applyFont="1" applyFill="1" applyBorder="1" applyAlignment="1">
      <alignment vertical="center"/>
    </xf>
    <xf numFmtId="0" fontId="113" fillId="62" borderId="23" xfId="425" applyFont="1" applyFill="1" applyBorder="1" applyAlignment="1">
      <alignment vertical="center"/>
    </xf>
    <xf numFmtId="173" fontId="113" fillId="51" borderId="131" xfId="433" applyNumberFormat="1" applyFont="1" applyFill="1" applyBorder="1" applyAlignment="1" applyProtection="1">
      <alignment horizontal="center" vertical="center" wrapText="1"/>
    </xf>
    <xf numFmtId="173" fontId="113" fillId="51" borderId="78" xfId="433" applyNumberFormat="1" applyFont="1" applyFill="1" applyBorder="1" applyAlignment="1" applyProtection="1">
      <alignment horizontal="center" vertical="center"/>
    </xf>
    <xf numFmtId="0" fontId="124" fillId="58" borderId="0" xfId="0" applyFont="1" applyFill="1"/>
    <xf numFmtId="4" fontId="57" fillId="58" borderId="86" xfId="0" applyNumberFormat="1" applyFont="1" applyFill="1" applyBorder="1"/>
    <xf numFmtId="0" fontId="57" fillId="58" borderId="6" xfId="0" applyFont="1" applyFill="1" applyBorder="1" applyAlignment="1">
      <alignment horizontal="right"/>
    </xf>
    <xf numFmtId="4" fontId="57" fillId="61" borderId="86" xfId="228" applyNumberFormat="1" applyFont="1" applyFill="1" applyBorder="1"/>
    <xf numFmtId="4" fontId="112" fillId="61" borderId="86" xfId="238" applyNumberFormat="1" applyFont="1" applyFill="1" applyBorder="1">
      <alignment vertical="center"/>
    </xf>
    <xf numFmtId="4" fontId="57" fillId="61" borderId="86" xfId="0" applyNumberFormat="1" applyFont="1" applyFill="1" applyBorder="1" applyAlignment="1">
      <alignment vertical="center"/>
    </xf>
    <xf numFmtId="0" fontId="57" fillId="61" borderId="6" xfId="228" applyFont="1" applyFill="1" applyBorder="1" applyAlignment="1">
      <alignment horizontal="right"/>
    </xf>
    <xf numFmtId="0" fontId="57" fillId="58" borderId="87" xfId="228" applyFont="1" applyFill="1" applyBorder="1"/>
    <xf numFmtId="0" fontId="57" fillId="0" borderId="87" xfId="0" applyFont="1" applyBorder="1"/>
    <xf numFmtId="4" fontId="57" fillId="61" borderId="41" xfId="228" applyNumberFormat="1" applyFont="1" applyFill="1" applyBorder="1"/>
    <xf numFmtId="0" fontId="57" fillId="61" borderId="16" xfId="228" applyFont="1" applyFill="1" applyBorder="1" applyAlignment="1">
      <alignment horizontal="right"/>
    </xf>
    <xf numFmtId="0" fontId="57" fillId="58" borderId="42" xfId="228" applyFont="1" applyFill="1" applyBorder="1"/>
    <xf numFmtId="4" fontId="57" fillId="58" borderId="41" xfId="0" applyNumberFormat="1" applyFont="1" applyFill="1" applyBorder="1"/>
    <xf numFmtId="0" fontId="57" fillId="58" borderId="16" xfId="0" applyFont="1" applyFill="1" applyBorder="1" applyAlignment="1">
      <alignment horizontal="right"/>
    </xf>
    <xf numFmtId="0" fontId="57" fillId="58" borderId="120" xfId="0" applyFont="1" applyFill="1" applyBorder="1"/>
    <xf numFmtId="0" fontId="57" fillId="58" borderId="162" xfId="0" applyFont="1" applyFill="1" applyBorder="1"/>
    <xf numFmtId="2" fontId="57" fillId="61" borderId="0" xfId="0" applyNumberFormat="1" applyFont="1" applyFill="1"/>
    <xf numFmtId="0" fontId="57" fillId="0" borderId="0" xfId="0" applyFont="1" applyFill="1"/>
    <xf numFmtId="0" fontId="124" fillId="0" borderId="0" xfId="0" applyFont="1" applyFill="1"/>
    <xf numFmtId="0" fontId="57" fillId="0" borderId="0" xfId="0" applyFont="1" applyFill="1" applyAlignment="1">
      <alignment wrapText="1"/>
    </xf>
    <xf numFmtId="180" fontId="57" fillId="0" borderId="0" xfId="0" applyNumberFormat="1" applyFont="1" applyFill="1"/>
    <xf numFmtId="0" fontId="57" fillId="0" borderId="0" xfId="0" applyFont="1" applyFill="1" applyAlignment="1">
      <alignment horizontal="center"/>
    </xf>
    <xf numFmtId="178" fontId="113" fillId="51" borderId="86" xfId="431" applyNumberFormat="1" applyFont="1" applyFill="1" applyBorder="1" applyAlignment="1">
      <alignment vertical="center"/>
    </xf>
    <xf numFmtId="178" fontId="113" fillId="51" borderId="84" xfId="431" applyNumberFormat="1" applyFont="1" applyFill="1" applyBorder="1" applyAlignment="1">
      <alignment vertical="center"/>
    </xf>
    <xf numFmtId="0" fontId="113" fillId="51" borderId="22" xfId="425" applyFont="1" applyFill="1" applyBorder="1" applyAlignment="1">
      <alignment horizontal="center" vertical="center"/>
    </xf>
    <xf numFmtId="175" fontId="113" fillId="0" borderId="86" xfId="431" applyNumberFormat="1" applyFont="1" applyFill="1" applyBorder="1" applyAlignment="1">
      <alignment vertical="center" shrinkToFit="1"/>
    </xf>
    <xf numFmtId="175" fontId="113" fillId="0" borderId="84" xfId="431" applyNumberFormat="1" applyFont="1" applyFill="1" applyBorder="1" applyAlignment="1">
      <alignment vertical="center" shrinkToFit="1"/>
    </xf>
    <xf numFmtId="178" fontId="113" fillId="0" borderId="86" xfId="431" applyNumberFormat="1" applyFont="1" applyFill="1" applyBorder="1" applyAlignment="1">
      <alignment vertical="center"/>
    </xf>
    <xf numFmtId="178" fontId="113" fillId="0" borderId="84" xfId="431" applyNumberFormat="1" applyFont="1" applyFill="1" applyBorder="1" applyAlignment="1">
      <alignment vertical="center"/>
    </xf>
    <xf numFmtId="175" fontId="113" fillId="51" borderId="86" xfId="431" applyNumberFormat="1" applyFont="1" applyFill="1" applyBorder="1" applyAlignment="1">
      <alignment vertical="center" shrinkToFit="1"/>
    </xf>
    <xf numFmtId="175" fontId="113" fillId="51" borderId="84" xfId="431" applyNumberFormat="1" applyFont="1" applyFill="1" applyBorder="1" applyAlignment="1">
      <alignment vertical="center" shrinkToFit="1"/>
    </xf>
    <xf numFmtId="0" fontId="120" fillId="36" borderId="71" xfId="425" applyFont="1" applyFill="1" applyBorder="1" applyAlignment="1">
      <alignment horizontal="center" vertical="center"/>
    </xf>
    <xf numFmtId="0" fontId="113" fillId="51" borderId="0" xfId="425" applyFont="1" applyFill="1" applyAlignment="1">
      <alignment horizontal="center" vertical="center"/>
    </xf>
    <xf numFmtId="38" fontId="120" fillId="36" borderId="77" xfId="429" applyNumberFormat="1" applyFont="1" applyFill="1" applyBorder="1" applyAlignment="1">
      <alignment horizontal="center" vertical="center" wrapText="1"/>
    </xf>
    <xf numFmtId="38" fontId="120" fillId="36" borderId="45" xfId="429" applyNumberFormat="1" applyFont="1" applyFill="1" applyBorder="1" applyAlignment="1">
      <alignment horizontal="center" vertical="center" wrapText="1"/>
    </xf>
    <xf numFmtId="0" fontId="113" fillId="51" borderId="53" xfId="425" applyFont="1" applyFill="1" applyBorder="1" applyAlignment="1">
      <alignment horizontal="center" vertical="center" wrapText="1"/>
    </xf>
    <xf numFmtId="0" fontId="113" fillId="51" borderId="89" xfId="425" applyFont="1" applyFill="1" applyBorder="1" applyAlignment="1">
      <alignment horizontal="center" vertical="center" wrapText="1"/>
    </xf>
    <xf numFmtId="0" fontId="113" fillId="51" borderId="41" xfId="425" applyFont="1" applyFill="1" applyBorder="1" applyAlignment="1">
      <alignment horizontal="center" vertical="center" wrapText="1"/>
    </xf>
    <xf numFmtId="0" fontId="113" fillId="51" borderId="54" xfId="425" applyFont="1" applyFill="1" applyBorder="1" applyAlignment="1">
      <alignment horizontal="center" vertical="center" wrapText="1"/>
    </xf>
    <xf numFmtId="0" fontId="113" fillId="51" borderId="28" xfId="425" applyFont="1" applyFill="1" applyBorder="1" applyAlignment="1">
      <alignment horizontal="center" vertical="center" wrapText="1"/>
    </xf>
    <xf numFmtId="0" fontId="113" fillId="51" borderId="81" xfId="425" applyFont="1" applyFill="1" applyBorder="1" applyAlignment="1">
      <alignment horizontal="center" vertical="center" wrapText="1"/>
    </xf>
    <xf numFmtId="0" fontId="113" fillId="51" borderId="129" xfId="425" applyFont="1" applyFill="1" applyBorder="1" applyAlignment="1">
      <alignment horizontal="center" vertical="center" wrapText="1"/>
    </xf>
    <xf numFmtId="0" fontId="113" fillId="51" borderId="133" xfId="425" applyFont="1" applyFill="1" applyBorder="1" applyAlignment="1">
      <alignment horizontal="center" vertical="center" wrapText="1"/>
    </xf>
    <xf numFmtId="0" fontId="113" fillId="51" borderId="73" xfId="425" applyFont="1" applyFill="1" applyBorder="1" applyAlignment="1">
      <alignment horizontal="center" vertical="center" wrapText="1"/>
    </xf>
    <xf numFmtId="0" fontId="113" fillId="51" borderId="16" xfId="425" applyFont="1" applyFill="1" applyBorder="1" applyAlignment="1">
      <alignment horizontal="center" vertical="center" wrapText="1"/>
    </xf>
    <xf numFmtId="0" fontId="113" fillId="51" borderId="132" xfId="425" applyFont="1" applyFill="1" applyBorder="1" applyAlignment="1">
      <alignment horizontal="center" vertical="center" wrapText="1"/>
    </xf>
    <xf numFmtId="0" fontId="113" fillId="51" borderId="77" xfId="425" applyFont="1" applyFill="1" applyBorder="1" applyAlignment="1">
      <alignment horizontal="center" vertical="center" wrapText="1"/>
    </xf>
    <xf numFmtId="0" fontId="113" fillId="51" borderId="130" xfId="425" applyFont="1" applyFill="1" applyBorder="1" applyAlignment="1">
      <alignment horizontal="center" vertical="center" wrapText="1"/>
    </xf>
    <xf numFmtId="0" fontId="113" fillId="51" borderId="79" xfId="425" applyFont="1" applyFill="1" applyBorder="1" applyAlignment="1">
      <alignment horizontal="center" vertical="center" wrapText="1"/>
    </xf>
    <xf numFmtId="49" fontId="113" fillId="51" borderId="59" xfId="425" applyNumberFormat="1" applyFont="1" applyFill="1" applyBorder="1" applyAlignment="1">
      <alignment horizontal="center" vertical="center" wrapText="1"/>
    </xf>
    <xf numFmtId="49" fontId="113" fillId="51" borderId="39" xfId="425" applyNumberFormat="1" applyFont="1" applyFill="1" applyBorder="1" applyAlignment="1">
      <alignment horizontal="center" vertical="center"/>
    </xf>
    <xf numFmtId="49" fontId="113" fillId="51" borderId="0" xfId="425" applyNumberFormat="1" applyFont="1" applyFill="1" applyBorder="1" applyAlignment="1">
      <alignment horizontal="center" vertical="center"/>
    </xf>
    <xf numFmtId="49" fontId="113" fillId="51" borderId="119" xfId="425" applyNumberFormat="1" applyFont="1" applyFill="1" applyBorder="1" applyAlignment="1">
      <alignment horizontal="center" vertical="center"/>
    </xf>
    <xf numFmtId="0" fontId="113" fillId="51" borderId="24" xfId="425" applyFont="1" applyFill="1" applyBorder="1" applyAlignment="1">
      <alignment horizontal="center" vertical="center" wrapText="1"/>
    </xf>
    <xf numFmtId="49" fontId="113" fillId="51" borderId="45" xfId="425" applyNumberFormat="1" applyFont="1" applyFill="1" applyBorder="1" applyAlignment="1">
      <alignment horizontal="center" vertical="center" wrapText="1"/>
    </xf>
    <xf numFmtId="0" fontId="120" fillId="36" borderId="77" xfId="425" applyFont="1" applyFill="1" applyBorder="1" applyAlignment="1">
      <alignment horizontal="center" vertical="center" wrapText="1"/>
    </xf>
    <xf numFmtId="0" fontId="113" fillId="51" borderId="25" xfId="425" applyFont="1" applyFill="1" applyBorder="1" applyAlignment="1">
      <alignment horizontal="center" vertical="center"/>
    </xf>
    <xf numFmtId="178" fontId="113" fillId="51" borderId="6" xfId="431" applyNumberFormat="1" applyFont="1" applyFill="1" applyBorder="1" applyAlignment="1">
      <alignment vertical="center"/>
    </xf>
    <xf numFmtId="178" fontId="113" fillId="0" borderId="6" xfId="431" applyNumberFormat="1" applyFont="1" applyFill="1" applyBorder="1" applyAlignment="1">
      <alignment vertical="center"/>
    </xf>
    <xf numFmtId="175" fontId="113" fillId="0" borderId="6" xfId="431" applyNumberFormat="1" applyFont="1" applyFill="1" applyBorder="1" applyAlignment="1">
      <alignment vertical="center" shrinkToFit="1"/>
    </xf>
    <xf numFmtId="175" fontId="113" fillId="51" borderId="6" xfId="431" applyNumberFormat="1" applyFont="1" applyFill="1" applyBorder="1" applyAlignment="1">
      <alignment vertical="center" shrinkToFit="1"/>
    </xf>
    <xf numFmtId="49" fontId="113" fillId="10" borderId="0" xfId="425" applyNumberFormat="1" applyFont="1" applyFill="1" applyBorder="1" applyAlignment="1">
      <alignment horizontal="center" vertical="center"/>
    </xf>
    <xf numFmtId="0" fontId="113" fillId="51" borderId="63" xfId="425" applyFont="1" applyFill="1" applyBorder="1" applyAlignment="1">
      <alignment vertical="center"/>
    </xf>
    <xf numFmtId="0" fontId="113" fillId="51" borderId="45" xfId="425" applyFont="1" applyFill="1" applyBorder="1" applyAlignment="1">
      <alignment horizontal="center" vertical="center" wrapText="1"/>
    </xf>
    <xf numFmtId="0" fontId="113" fillId="51" borderId="89" xfId="425" applyFont="1" applyFill="1" applyBorder="1" applyAlignment="1">
      <alignment horizontal="center" vertical="center" wrapText="1"/>
    </xf>
    <xf numFmtId="180" fontId="113" fillId="51" borderId="10" xfId="433" applyFont="1" applyFill="1" applyBorder="1" applyAlignment="1" applyProtection="1">
      <alignment horizontal="center" vertical="center" shrinkToFit="1"/>
    </xf>
    <xf numFmtId="0" fontId="116" fillId="0" borderId="0" xfId="425" applyFont="1" applyFill="1" applyAlignment="1">
      <alignment vertical="center"/>
    </xf>
    <xf numFmtId="0" fontId="113" fillId="0" borderId="0" xfId="425" applyFont="1" applyFill="1" applyAlignment="1">
      <alignment vertical="center"/>
    </xf>
    <xf numFmtId="0" fontId="120" fillId="0" borderId="0" xfId="425" applyFont="1" applyFill="1" applyAlignment="1">
      <alignment vertical="center"/>
    </xf>
    <xf numFmtId="181" fontId="113" fillId="0" borderId="30" xfId="425" applyNumberFormat="1" applyFont="1" applyFill="1" applyBorder="1" applyAlignment="1">
      <alignment vertical="center"/>
    </xf>
    <xf numFmtId="181" fontId="113" fillId="0" borderId="24" xfId="425" applyNumberFormat="1" applyFont="1" applyFill="1" applyBorder="1" applyAlignment="1">
      <alignment vertical="center"/>
    </xf>
    <xf numFmtId="0" fontId="113" fillId="0" borderId="0" xfId="425" applyFont="1" applyFill="1" applyBorder="1" applyAlignment="1">
      <alignment vertical="center"/>
    </xf>
    <xf numFmtId="0" fontId="113" fillId="0" borderId="0" xfId="425" applyFont="1" applyFill="1" applyBorder="1" applyAlignment="1">
      <alignment horizontal="center" vertical="center"/>
    </xf>
    <xf numFmtId="170" fontId="113" fillId="0" borderId="0" xfId="425" applyNumberFormat="1" applyFont="1" applyFill="1" applyBorder="1" applyAlignment="1">
      <alignment vertical="center"/>
    </xf>
    <xf numFmtId="181" fontId="113" fillId="0" borderId="0" xfId="425" applyNumberFormat="1" applyFont="1" applyFill="1" applyBorder="1" applyAlignment="1">
      <alignment vertical="center"/>
    </xf>
    <xf numFmtId="188" fontId="113" fillId="0" borderId="0" xfId="425" applyNumberFormat="1" applyFont="1" applyFill="1" applyBorder="1" applyAlignment="1">
      <alignment vertical="center"/>
    </xf>
    <xf numFmtId="189" fontId="113" fillId="0" borderId="0" xfId="425" applyNumberFormat="1" applyFont="1" applyFill="1" applyBorder="1" applyAlignment="1">
      <alignment vertical="center"/>
    </xf>
    <xf numFmtId="190" fontId="113" fillId="0" borderId="0" xfId="425" applyNumberFormat="1" applyFont="1" applyFill="1" applyBorder="1" applyAlignment="1">
      <alignment vertical="center" shrinkToFit="1"/>
    </xf>
    <xf numFmtId="191" fontId="113" fillId="0" borderId="0" xfId="425" applyNumberFormat="1" applyFont="1" applyFill="1" applyBorder="1" applyAlignment="1">
      <alignment vertical="center"/>
    </xf>
    <xf numFmtId="0" fontId="113" fillId="51" borderId="0" xfId="425" applyFont="1" applyFill="1" applyBorder="1" applyAlignment="1">
      <alignment vertical="center" shrinkToFit="1"/>
    </xf>
    <xf numFmtId="170" fontId="113" fillId="51" borderId="0" xfId="425" applyNumberFormat="1" applyFont="1" applyFill="1" applyBorder="1" applyAlignment="1">
      <alignment vertical="center"/>
    </xf>
    <xf numFmtId="191" fontId="113" fillId="51" borderId="0" xfId="425" applyNumberFormat="1" applyFont="1" applyFill="1" applyBorder="1" applyAlignment="1">
      <alignment vertical="center"/>
    </xf>
    <xf numFmtId="0" fontId="113" fillId="51" borderId="0" xfId="425" applyFont="1" applyFill="1" applyBorder="1" applyAlignment="1">
      <alignment vertical="center" shrinkToFit="1"/>
    </xf>
    <xf numFmtId="192" fontId="113" fillId="51" borderId="0" xfId="425" applyNumberFormat="1" applyFont="1" applyFill="1" applyBorder="1" applyAlignment="1">
      <alignment vertical="center"/>
    </xf>
    <xf numFmtId="193" fontId="113" fillId="51" borderId="0" xfId="425" applyNumberFormat="1" applyFont="1" applyFill="1" applyBorder="1" applyAlignment="1">
      <alignment vertical="center"/>
    </xf>
    <xf numFmtId="181" fontId="113" fillId="51" borderId="0" xfId="425" applyNumberFormat="1" applyFont="1" applyFill="1" applyBorder="1" applyAlignment="1">
      <alignment horizontal="right" vertical="center"/>
    </xf>
    <xf numFmtId="0" fontId="113" fillId="0" borderId="56" xfId="425" applyFont="1" applyFill="1" applyBorder="1" applyAlignment="1">
      <alignment horizontal="center" vertical="center"/>
    </xf>
    <xf numFmtId="0" fontId="113" fillId="0" borderId="55" xfId="425" applyFont="1" applyFill="1" applyBorder="1" applyAlignment="1">
      <alignment horizontal="center" vertical="center"/>
    </xf>
    <xf numFmtId="38" fontId="120" fillId="0" borderId="0" xfId="425" applyNumberFormat="1" applyFont="1" applyFill="1" applyBorder="1" applyAlignment="1">
      <alignment vertical="center"/>
    </xf>
    <xf numFmtId="0" fontId="120" fillId="0" borderId="0" xfId="425" applyFont="1" applyFill="1" applyBorder="1" applyAlignment="1">
      <alignment vertical="center"/>
    </xf>
    <xf numFmtId="49" fontId="113" fillId="0" borderId="0" xfId="425" applyNumberFormat="1" applyFont="1" applyFill="1" applyBorder="1" applyAlignment="1">
      <alignment horizontal="center" vertical="center"/>
    </xf>
    <xf numFmtId="0" fontId="113" fillId="0" borderId="0" xfId="425" applyFont="1" applyFill="1" applyBorder="1" applyAlignment="1">
      <alignment horizontal="center" vertical="center" wrapText="1"/>
    </xf>
    <xf numFmtId="0" fontId="113" fillId="0" borderId="25" xfId="425" applyFont="1" applyFill="1" applyBorder="1" applyAlignment="1">
      <alignment horizontal="center" vertical="center"/>
    </xf>
    <xf numFmtId="196" fontId="120" fillId="51" borderId="89" xfId="425" applyNumberFormat="1" applyFont="1" applyFill="1" applyBorder="1" applyAlignment="1">
      <alignment vertical="center"/>
    </xf>
    <xf numFmtId="0" fontId="116" fillId="0" borderId="0" xfId="425" applyFont="1" applyFill="1" applyBorder="1" applyAlignment="1">
      <alignment vertical="center"/>
    </xf>
    <xf numFmtId="0" fontId="116" fillId="0" borderId="0" xfId="425" applyFont="1" applyFill="1" applyBorder="1" applyAlignment="1">
      <alignment horizontal="left" vertical="center"/>
    </xf>
    <xf numFmtId="186" fontId="113" fillId="0" borderId="0" xfId="425" applyNumberFormat="1" applyFont="1" applyFill="1" applyBorder="1" applyAlignment="1">
      <alignment horizontal="center" vertical="center" shrinkToFit="1"/>
    </xf>
    <xf numFmtId="0" fontId="113" fillId="0" borderId="0" xfId="0" applyFont="1" applyFill="1" applyBorder="1" applyAlignment="1">
      <alignment horizontal="center" vertical="center"/>
    </xf>
    <xf numFmtId="186" fontId="113" fillId="0" borderId="0" xfId="425" applyNumberFormat="1" applyFont="1" applyFill="1" applyBorder="1" applyAlignment="1">
      <alignment horizontal="center" vertical="center" wrapText="1"/>
    </xf>
    <xf numFmtId="174" fontId="113" fillId="0" borderId="0" xfId="0" applyNumberFormat="1" applyFont="1" applyFill="1" applyBorder="1" applyAlignment="1">
      <alignment horizontal="center" vertical="center"/>
    </xf>
    <xf numFmtId="0" fontId="114" fillId="0" borderId="0" xfId="0" applyFont="1" applyFill="1" applyBorder="1" applyAlignment="1">
      <alignment horizontal="center" vertical="center"/>
    </xf>
    <xf numFmtId="38" fontId="113" fillId="0" borderId="0" xfId="425" applyNumberFormat="1" applyFont="1" applyFill="1" applyBorder="1" applyAlignment="1">
      <alignment horizontal="center" vertical="center" wrapText="1"/>
    </xf>
    <xf numFmtId="0" fontId="113" fillId="0" borderId="0" xfId="0" applyFont="1" applyFill="1" applyBorder="1" applyAlignment="1">
      <alignment vertical="center"/>
    </xf>
    <xf numFmtId="186" fontId="113" fillId="0" borderId="0" xfId="0" applyNumberFormat="1" applyFont="1" applyFill="1" applyBorder="1" applyAlignment="1">
      <alignment vertical="center"/>
    </xf>
    <xf numFmtId="176" fontId="113" fillId="0" borderId="0" xfId="0" applyNumberFormat="1" applyFont="1" applyFill="1" applyBorder="1" applyAlignment="1">
      <alignment horizontal="right" vertical="center"/>
    </xf>
    <xf numFmtId="178" fontId="113" fillId="0" borderId="0" xfId="0" applyNumberFormat="1" applyFont="1" applyFill="1" applyBorder="1" applyAlignment="1">
      <alignment vertical="center"/>
    </xf>
    <xf numFmtId="174" fontId="113" fillId="0" borderId="0" xfId="0" applyNumberFormat="1" applyFont="1" applyFill="1" applyBorder="1" applyAlignment="1">
      <alignment vertical="center"/>
    </xf>
    <xf numFmtId="176" fontId="114" fillId="0" borderId="0" xfId="0" applyNumberFormat="1" applyFont="1" applyFill="1" applyBorder="1" applyAlignment="1">
      <alignment vertical="center"/>
    </xf>
    <xf numFmtId="176" fontId="113" fillId="0" borderId="0" xfId="425" applyNumberFormat="1" applyFont="1" applyFill="1" applyBorder="1" applyAlignment="1">
      <alignment horizontal="center" vertical="center"/>
    </xf>
    <xf numFmtId="10" fontId="113" fillId="0" borderId="24" xfId="425" applyNumberFormat="1" applyFont="1" applyFill="1" applyBorder="1" applyAlignment="1">
      <alignment vertical="center"/>
    </xf>
    <xf numFmtId="0" fontId="113" fillId="0" borderId="30" xfId="425" applyFont="1" applyFill="1" applyBorder="1" applyAlignment="1">
      <alignment horizontal="center" vertical="center" shrinkToFit="1"/>
    </xf>
    <xf numFmtId="173" fontId="113" fillId="0" borderId="44" xfId="425" applyNumberFormat="1" applyFont="1" applyFill="1" applyBorder="1" applyAlignment="1">
      <alignment horizontal="center" vertical="center"/>
    </xf>
    <xf numFmtId="177" fontId="120" fillId="0" borderId="30" xfId="425" applyNumberFormat="1" applyFont="1" applyFill="1" applyBorder="1" applyAlignment="1">
      <alignment vertical="center"/>
    </xf>
    <xf numFmtId="0" fontId="113" fillId="0" borderId="0" xfId="425" applyNumberFormat="1" applyFont="1" applyFill="1" applyBorder="1" applyAlignment="1">
      <alignment vertical="center"/>
    </xf>
    <xf numFmtId="0" fontId="113" fillId="0" borderId="0" xfId="425" applyNumberFormat="1" applyFont="1" applyFill="1" applyBorder="1" applyAlignment="1">
      <alignment vertical="center" shrinkToFit="1"/>
    </xf>
    <xf numFmtId="175" fontId="113" fillId="0" borderId="0" xfId="425" applyNumberFormat="1" applyFont="1" applyFill="1" applyBorder="1" applyAlignment="1">
      <alignment vertical="center"/>
    </xf>
    <xf numFmtId="175" fontId="113" fillId="0" borderId="0" xfId="425" applyNumberFormat="1" applyFont="1" applyFill="1" applyBorder="1" applyAlignment="1">
      <alignment horizontal="right" vertical="center"/>
    </xf>
    <xf numFmtId="0" fontId="113" fillId="0" borderId="0" xfId="425" applyFont="1" applyFill="1" applyBorder="1" applyAlignment="1">
      <alignment horizontal="center" vertical="center" shrinkToFit="1"/>
    </xf>
    <xf numFmtId="178" fontId="113" fillId="0" borderId="0" xfId="425" applyNumberFormat="1" applyFont="1" applyFill="1" applyBorder="1" applyAlignment="1">
      <alignment horizontal="left" vertical="center"/>
    </xf>
    <xf numFmtId="0" fontId="113" fillId="0" borderId="0" xfId="425" applyFont="1" applyFill="1" applyBorder="1" applyAlignment="1">
      <alignment horizontal="left" vertical="center"/>
    </xf>
    <xf numFmtId="173" fontId="113" fillId="0" borderId="0" xfId="425" applyNumberFormat="1" applyFont="1" applyFill="1" applyBorder="1" applyAlignment="1">
      <alignment horizontal="center" vertical="center"/>
    </xf>
    <xf numFmtId="179" fontId="113" fillId="0" borderId="0" xfId="425" applyNumberFormat="1" applyFont="1" applyFill="1" applyBorder="1" applyAlignment="1">
      <alignment vertical="center"/>
    </xf>
    <xf numFmtId="177" fontId="120" fillId="0" borderId="0" xfId="425" applyNumberFormat="1" applyFont="1" applyFill="1" applyBorder="1" applyAlignment="1">
      <alignment vertical="center"/>
    </xf>
    <xf numFmtId="9" fontId="113" fillId="0" borderId="0" xfId="425" applyNumberFormat="1" applyFont="1" applyFill="1" applyBorder="1" applyAlignment="1">
      <alignment vertical="center"/>
    </xf>
    <xf numFmtId="178" fontId="113" fillId="0" borderId="0" xfId="425" applyNumberFormat="1" applyFont="1" applyFill="1" applyBorder="1" applyAlignment="1">
      <alignment vertical="center"/>
    </xf>
    <xf numFmtId="176" fontId="113" fillId="0" borderId="0" xfId="425" applyNumberFormat="1" applyFont="1" applyFill="1" applyBorder="1" applyAlignment="1">
      <alignment vertical="center"/>
    </xf>
    <xf numFmtId="185" fontId="113" fillId="0" borderId="0" xfId="425" applyNumberFormat="1" applyFont="1" applyFill="1" applyBorder="1" applyAlignment="1">
      <alignment vertical="center"/>
    </xf>
    <xf numFmtId="179" fontId="121" fillId="0" borderId="0" xfId="425" applyNumberFormat="1" applyFont="1" applyFill="1" applyBorder="1" applyAlignment="1">
      <alignment vertical="center"/>
    </xf>
    <xf numFmtId="179" fontId="113" fillId="0" borderId="47" xfId="425" applyNumberFormat="1" applyFont="1" applyFill="1" applyBorder="1" applyAlignment="1">
      <alignment vertical="center"/>
    </xf>
    <xf numFmtId="178" fontId="113" fillId="0" borderId="51" xfId="425" applyNumberFormat="1" applyFont="1" applyFill="1" applyBorder="1" applyAlignment="1">
      <alignment vertical="center"/>
    </xf>
    <xf numFmtId="185" fontId="113" fillId="0" borderId="30" xfId="425" applyNumberFormat="1" applyFont="1" applyFill="1" applyBorder="1" applyAlignment="1">
      <alignment vertical="center"/>
    </xf>
    <xf numFmtId="185" fontId="113" fillId="0" borderId="44" xfId="425" applyNumberFormat="1" applyFont="1" applyFill="1" applyBorder="1" applyAlignment="1">
      <alignment vertical="center"/>
    </xf>
    <xf numFmtId="179" fontId="121" fillId="0" borderId="158" xfId="425" applyNumberFormat="1" applyFont="1" applyFill="1" applyBorder="1" applyAlignment="1">
      <alignment vertical="center"/>
    </xf>
    <xf numFmtId="181" fontId="113" fillId="0" borderId="32" xfId="425" applyNumberFormat="1" applyFont="1" applyFill="1" applyBorder="1" applyAlignment="1">
      <alignment vertical="center"/>
    </xf>
    <xf numFmtId="181" fontId="113" fillId="0" borderId="33" xfId="425" applyNumberFormat="1" applyFont="1" applyFill="1" applyBorder="1" applyAlignment="1">
      <alignment vertical="center"/>
    </xf>
    <xf numFmtId="0" fontId="113" fillId="0" borderId="32" xfId="425" applyFont="1" applyFill="1" applyBorder="1" applyAlignment="1">
      <alignment horizontal="center" vertical="center" shrinkToFit="1"/>
    </xf>
    <xf numFmtId="178" fontId="113" fillId="0" borderId="31" xfId="425" applyNumberFormat="1" applyFont="1" applyFill="1" applyBorder="1" applyAlignment="1">
      <alignment horizontal="left" vertical="center"/>
    </xf>
    <xf numFmtId="0" fontId="113" fillId="0" borderId="36" xfId="425" applyFont="1" applyFill="1" applyBorder="1" applyAlignment="1">
      <alignment horizontal="left" vertical="center"/>
    </xf>
    <xf numFmtId="185" fontId="113" fillId="0" borderId="32" xfId="425" applyNumberFormat="1" applyFont="1" applyFill="1" applyBorder="1" applyAlignment="1">
      <alignment vertical="center"/>
    </xf>
    <xf numFmtId="0" fontId="113" fillId="51" borderId="72" xfId="425" applyFont="1" applyFill="1" applyBorder="1" applyAlignment="1">
      <alignment vertical="center"/>
    </xf>
    <xf numFmtId="0" fontId="113" fillId="51" borderId="64" xfId="425" applyFont="1" applyFill="1" applyBorder="1" applyAlignment="1">
      <alignment vertical="center"/>
    </xf>
    <xf numFmtId="0" fontId="113" fillId="51" borderId="166" xfId="425" applyFont="1" applyFill="1" applyBorder="1" applyAlignment="1">
      <alignment vertical="center"/>
    </xf>
    <xf numFmtId="196" fontId="113" fillId="51" borderId="0" xfId="425" applyNumberFormat="1" applyFont="1" applyFill="1" applyBorder="1" applyAlignment="1">
      <alignment vertical="center"/>
    </xf>
    <xf numFmtId="175" fontId="113" fillId="0" borderId="0" xfId="425" applyNumberFormat="1" applyFont="1" applyFill="1" applyBorder="1" applyAlignment="1">
      <alignment horizontal="center" vertical="center"/>
    </xf>
    <xf numFmtId="175" fontId="113" fillId="0" borderId="0" xfId="425" applyNumberFormat="1" applyFont="1" applyFill="1" applyBorder="1" applyAlignment="1">
      <alignment horizontal="left" vertical="center"/>
    </xf>
    <xf numFmtId="38" fontId="113" fillId="0" borderId="0" xfId="425" applyNumberFormat="1" applyFont="1" applyFill="1" applyBorder="1" applyAlignment="1">
      <alignment vertical="center"/>
    </xf>
    <xf numFmtId="195" fontId="113" fillId="0" borderId="0" xfId="425" applyNumberFormat="1" applyFont="1" applyFill="1" applyBorder="1" applyAlignment="1">
      <alignment vertical="center"/>
    </xf>
    <xf numFmtId="196" fontId="113" fillId="0" borderId="0" xfId="425" applyNumberFormat="1" applyFont="1" applyFill="1" applyBorder="1" applyAlignment="1">
      <alignment vertical="center"/>
    </xf>
    <xf numFmtId="221" fontId="117" fillId="0" borderId="0" xfId="127" applyNumberFormat="1" applyFont="1" applyFill="1" applyBorder="1" applyAlignment="1">
      <alignment horizontal="right"/>
    </xf>
    <xf numFmtId="40" fontId="117" fillId="0" borderId="0" xfId="127" applyNumberFormat="1" applyFont="1" applyFill="1" applyBorder="1" applyAlignment="1">
      <alignment horizontal="right"/>
    </xf>
    <xf numFmtId="195" fontId="113" fillId="0" borderId="0" xfId="425" applyNumberFormat="1" applyFont="1" applyFill="1" applyBorder="1" applyAlignment="1">
      <alignment horizontal="center" vertical="center"/>
    </xf>
    <xf numFmtId="179" fontId="113" fillId="0" borderId="0" xfId="425" applyNumberFormat="1" applyFont="1" applyFill="1" applyBorder="1" applyAlignment="1">
      <alignment horizontal="center" vertical="center"/>
    </xf>
    <xf numFmtId="176" fontId="120" fillId="0" borderId="55" xfId="425" applyNumberFormat="1" applyFont="1" applyFill="1" applyBorder="1" applyAlignment="1">
      <alignment vertical="center"/>
    </xf>
    <xf numFmtId="186" fontId="120" fillId="0" borderId="1" xfId="425" applyNumberFormat="1" applyFont="1" applyFill="1" applyBorder="1" applyAlignment="1">
      <alignment vertical="center"/>
    </xf>
    <xf numFmtId="186" fontId="120" fillId="0" borderId="64" xfId="425" applyNumberFormat="1" applyFont="1" applyFill="1" applyBorder="1" applyAlignment="1">
      <alignment vertical="center"/>
    </xf>
    <xf numFmtId="186" fontId="120" fillId="0" borderId="34" xfId="425" applyNumberFormat="1" applyFont="1" applyFill="1" applyBorder="1" applyAlignment="1">
      <alignment vertical="center"/>
    </xf>
    <xf numFmtId="176" fontId="120" fillId="0" borderId="0" xfId="425" applyNumberFormat="1" applyFont="1" applyFill="1" applyBorder="1" applyAlignment="1">
      <alignment vertical="center"/>
    </xf>
    <xf numFmtId="186" fontId="120" fillId="0" borderId="0" xfId="425" applyNumberFormat="1" applyFont="1" applyFill="1" applyBorder="1" applyAlignment="1">
      <alignment vertical="center"/>
    </xf>
    <xf numFmtId="196" fontId="120" fillId="51" borderId="0" xfId="425" applyNumberFormat="1" applyFont="1" applyFill="1" applyBorder="1" applyAlignment="1">
      <alignment vertical="center"/>
    </xf>
    <xf numFmtId="196" fontId="113" fillId="51" borderId="0" xfId="425" applyNumberFormat="1" applyFont="1" applyFill="1" applyBorder="1" applyAlignment="1">
      <alignment horizontal="center" vertical="center"/>
    </xf>
    <xf numFmtId="176" fontId="120" fillId="0" borderId="56" xfId="425" applyNumberFormat="1" applyFont="1" applyFill="1" applyBorder="1" applyAlignment="1">
      <alignment vertical="center"/>
    </xf>
    <xf numFmtId="186" fontId="120" fillId="0" borderId="26" xfId="425" applyNumberFormat="1" applyFont="1" applyFill="1" applyBorder="1" applyAlignment="1">
      <alignment vertical="center"/>
    </xf>
    <xf numFmtId="186" fontId="120" fillId="0" borderId="83" xfId="425" applyNumberFormat="1" applyFont="1" applyFill="1" applyBorder="1" applyAlignment="1">
      <alignment vertical="center"/>
    </xf>
    <xf numFmtId="186" fontId="120" fillId="0" borderId="36" xfId="425" applyNumberFormat="1" applyFont="1" applyFill="1" applyBorder="1" applyAlignment="1">
      <alignment vertical="center"/>
    </xf>
    <xf numFmtId="177" fontId="113" fillId="51" borderId="0" xfId="425" applyNumberFormat="1" applyFont="1" applyFill="1" applyBorder="1" applyAlignment="1">
      <alignment vertical="center"/>
    </xf>
    <xf numFmtId="0" fontId="114" fillId="0" borderId="0" xfId="425" applyFont="1" applyFill="1" applyBorder="1" applyAlignment="1">
      <alignment vertical="center"/>
    </xf>
    <xf numFmtId="176" fontId="113" fillId="0" borderId="0" xfId="425" applyNumberFormat="1" applyFont="1" applyFill="1" applyBorder="1" applyAlignment="1">
      <alignment horizontal="right" vertical="center"/>
    </xf>
    <xf numFmtId="177" fontId="113" fillId="0" borderId="0" xfId="425" applyNumberFormat="1" applyFont="1" applyFill="1" applyBorder="1" applyAlignment="1">
      <alignment vertical="center"/>
    </xf>
    <xf numFmtId="0" fontId="120" fillId="0" borderId="0" xfId="425" applyFont="1" applyFill="1" applyBorder="1" applyAlignment="1">
      <alignment horizontal="center" vertical="center"/>
    </xf>
    <xf numFmtId="0" fontId="122" fillId="0" borderId="0" xfId="425" applyFont="1" applyFill="1" applyBorder="1" applyAlignment="1">
      <alignment horizontal="center" vertical="center" wrapText="1"/>
    </xf>
    <xf numFmtId="173" fontId="113" fillId="0" borderId="0" xfId="425" applyNumberFormat="1" applyFont="1" applyFill="1" applyBorder="1" applyAlignment="1">
      <alignment horizontal="center" vertical="center" shrinkToFit="1"/>
    </xf>
    <xf numFmtId="173" fontId="122" fillId="0" borderId="0" xfId="425" applyNumberFormat="1" applyFont="1" applyFill="1" applyBorder="1" applyAlignment="1">
      <alignment horizontal="center" vertical="center" shrinkToFit="1"/>
    </xf>
    <xf numFmtId="176" fontId="113" fillId="0" borderId="0" xfId="425" applyNumberFormat="1" applyFont="1" applyFill="1" applyBorder="1" applyAlignment="1">
      <alignment vertical="center" shrinkToFit="1"/>
    </xf>
    <xf numFmtId="175" fontId="120" fillId="0" borderId="0" xfId="425" applyNumberFormat="1" applyFont="1" applyFill="1" applyBorder="1" applyAlignment="1">
      <alignment vertical="center" shrinkToFit="1"/>
    </xf>
    <xf numFmtId="181" fontId="120" fillId="0" borderId="0" xfId="425" applyNumberFormat="1" applyFont="1" applyFill="1" applyBorder="1" applyAlignment="1">
      <alignment vertical="center"/>
    </xf>
    <xf numFmtId="40" fontId="113" fillId="0" borderId="0" xfId="425" applyNumberFormat="1" applyFont="1" applyFill="1" applyBorder="1" applyAlignment="1">
      <alignment vertical="center"/>
    </xf>
    <xf numFmtId="240" fontId="113" fillId="0" borderId="0" xfId="425" applyNumberFormat="1" applyFont="1" applyFill="1" applyBorder="1" applyAlignment="1">
      <alignment vertical="center"/>
    </xf>
    <xf numFmtId="173" fontId="121" fillId="0" borderId="0" xfId="425" applyNumberFormat="1" applyFont="1" applyFill="1" applyBorder="1" applyAlignment="1">
      <alignment horizontal="center" vertical="center" shrinkToFit="1"/>
    </xf>
    <xf numFmtId="173" fontId="123" fillId="0" borderId="0" xfId="425" applyNumberFormat="1" applyFont="1" applyFill="1" applyBorder="1" applyAlignment="1">
      <alignment horizontal="center" vertical="center" shrinkToFit="1"/>
    </xf>
    <xf numFmtId="173" fontId="122" fillId="0" borderId="0" xfId="425" applyNumberFormat="1" applyFont="1" applyFill="1" applyBorder="1" applyAlignment="1">
      <alignment horizontal="center" vertical="center"/>
    </xf>
    <xf numFmtId="0" fontId="113" fillId="0" borderId="0" xfId="425" applyFont="1" applyFill="1" applyBorder="1" applyAlignment="1">
      <alignment vertical="center" shrinkToFit="1"/>
    </xf>
    <xf numFmtId="38" fontId="113" fillId="0" borderId="0" xfId="425" applyNumberFormat="1" applyFont="1" applyFill="1" applyBorder="1" applyAlignment="1">
      <alignment vertical="center" wrapText="1"/>
    </xf>
    <xf numFmtId="0" fontId="122" fillId="0" borderId="0" xfId="425" applyFont="1" applyFill="1" applyBorder="1" applyAlignment="1">
      <alignment horizontal="center" vertical="center"/>
    </xf>
    <xf numFmtId="176" fontId="113" fillId="0" borderId="0" xfId="425" applyNumberFormat="1" applyFont="1" applyFill="1" applyBorder="1" applyAlignment="1">
      <alignment horizontal="center" vertical="center" wrapText="1"/>
    </xf>
    <xf numFmtId="218" fontId="113" fillId="0" borderId="0" xfId="425" applyNumberFormat="1" applyFont="1" applyFill="1" applyBorder="1" applyAlignment="1">
      <alignment horizontal="center" vertical="center"/>
    </xf>
    <xf numFmtId="186" fontId="113" fillId="0" borderId="0" xfId="425" applyNumberFormat="1" applyFont="1" applyFill="1" applyBorder="1" applyAlignment="1">
      <alignment horizontal="center" vertical="center"/>
    </xf>
    <xf numFmtId="177" fontId="113" fillId="0" borderId="0" xfId="425" applyNumberFormat="1" applyFont="1" applyFill="1" applyBorder="1" applyAlignment="1">
      <alignment horizontal="right" vertical="center"/>
    </xf>
    <xf numFmtId="175" fontId="120" fillId="0" borderId="0" xfId="425" applyNumberFormat="1" applyFont="1" applyFill="1" applyBorder="1" applyAlignment="1">
      <alignment horizontal="center" vertical="center"/>
    </xf>
    <xf numFmtId="187" fontId="113" fillId="0" borderId="0" xfId="425" applyNumberFormat="1" applyFont="1" applyFill="1" applyBorder="1" applyAlignment="1">
      <alignment horizontal="center" vertical="center" shrinkToFit="1"/>
    </xf>
    <xf numFmtId="197" fontId="113" fillId="0" borderId="0" xfId="127" applyNumberFormat="1" applyFont="1" applyFill="1" applyBorder="1" applyAlignment="1">
      <alignment horizontal="center" vertical="center"/>
    </xf>
    <xf numFmtId="176" fontId="115" fillId="0" borderId="0" xfId="425" applyNumberFormat="1" applyFont="1" applyFill="1" applyBorder="1" applyAlignment="1">
      <alignment vertical="center"/>
    </xf>
    <xf numFmtId="173" fontId="115" fillId="0" borderId="0" xfId="425" applyNumberFormat="1" applyFont="1" applyFill="1" applyBorder="1" applyAlignment="1">
      <alignment horizontal="left" vertical="center"/>
    </xf>
    <xf numFmtId="0" fontId="115" fillId="0" borderId="0" xfId="425" applyFont="1" applyFill="1" applyBorder="1" applyAlignment="1">
      <alignment vertical="center"/>
    </xf>
    <xf numFmtId="38" fontId="115" fillId="0" borderId="0" xfId="425" applyNumberFormat="1" applyFont="1" applyFill="1" applyBorder="1" applyAlignment="1">
      <alignment vertical="center"/>
    </xf>
    <xf numFmtId="40" fontId="115" fillId="0" borderId="0" xfId="127" applyNumberFormat="1" applyFont="1" applyFill="1" applyBorder="1" applyAlignment="1">
      <alignment horizontal="center" vertical="center"/>
    </xf>
    <xf numFmtId="40" fontId="115" fillId="0" borderId="0" xfId="425" applyNumberFormat="1" applyFont="1" applyFill="1" applyBorder="1" applyAlignment="1">
      <alignment horizontal="center" vertical="center"/>
    </xf>
    <xf numFmtId="0" fontId="115" fillId="0" borderId="0" xfId="425" applyFont="1" applyFill="1" applyBorder="1" applyAlignment="1">
      <alignment vertical="center" shrinkToFit="1"/>
    </xf>
    <xf numFmtId="178" fontId="115" fillId="0" borderId="0" xfId="425" applyNumberFormat="1" applyFont="1" applyFill="1" applyBorder="1" applyAlignment="1">
      <alignment horizontal="center" vertical="center"/>
    </xf>
    <xf numFmtId="174" fontId="113" fillId="0" borderId="0" xfId="425" applyNumberFormat="1" applyFont="1" applyFill="1" applyBorder="1" applyAlignment="1">
      <alignment horizontal="center" vertical="center"/>
    </xf>
    <xf numFmtId="176" fontId="115" fillId="0" borderId="0" xfId="425" applyNumberFormat="1" applyFont="1" applyFill="1" applyBorder="1" applyAlignment="1">
      <alignment horizontal="center" vertical="center"/>
    </xf>
    <xf numFmtId="173" fontId="113" fillId="0" borderId="0" xfId="425" applyNumberFormat="1" applyFont="1" applyFill="1" applyBorder="1" applyAlignment="1">
      <alignment horizontal="left" vertical="center"/>
    </xf>
    <xf numFmtId="178" fontId="113" fillId="0" borderId="0" xfId="425" applyNumberFormat="1" applyFont="1" applyFill="1" applyBorder="1" applyAlignment="1">
      <alignment horizontal="center" vertical="center"/>
    </xf>
    <xf numFmtId="176" fontId="113" fillId="0" borderId="0" xfId="432" applyNumberFormat="1" applyFont="1" applyFill="1" applyBorder="1" applyAlignment="1">
      <alignment horizontal="left" vertical="center" shrinkToFit="1"/>
    </xf>
    <xf numFmtId="173" fontId="113" fillId="0" borderId="0" xfId="432" applyNumberFormat="1" applyFont="1" applyFill="1" applyBorder="1" applyAlignment="1">
      <alignment horizontal="left" vertical="center"/>
    </xf>
    <xf numFmtId="0" fontId="113" fillId="0" borderId="0" xfId="432" applyFont="1" applyFill="1" applyBorder="1" applyAlignment="1">
      <alignment vertical="center"/>
    </xf>
    <xf numFmtId="38" fontId="113" fillId="0" borderId="0" xfId="432" applyNumberFormat="1" applyFont="1" applyFill="1" applyBorder="1" applyAlignment="1">
      <alignment vertical="center"/>
    </xf>
    <xf numFmtId="49" fontId="113" fillId="0" borderId="0" xfId="425" applyNumberFormat="1" applyFont="1" applyFill="1" applyBorder="1" applyAlignment="1">
      <alignment horizontal="left" vertical="center"/>
    </xf>
    <xf numFmtId="176" fontId="121" fillId="0" borderId="0" xfId="425" applyNumberFormat="1" applyFont="1" applyFill="1" applyBorder="1" applyAlignment="1">
      <alignment vertical="center"/>
    </xf>
    <xf numFmtId="186" fontId="113" fillId="0" borderId="0" xfId="425" applyNumberFormat="1" applyFont="1" applyFill="1" applyBorder="1" applyAlignment="1">
      <alignment vertical="center"/>
    </xf>
    <xf numFmtId="176" fontId="116" fillId="0" borderId="0" xfId="425" applyNumberFormat="1" applyFont="1" applyFill="1" applyBorder="1" applyAlignment="1">
      <alignment vertical="center"/>
    </xf>
    <xf numFmtId="0" fontId="113" fillId="0" borderId="47" xfId="425" applyFont="1" applyFill="1" applyBorder="1" applyAlignment="1">
      <alignment vertical="center" shrinkToFit="1"/>
    </xf>
    <xf numFmtId="176" fontId="113" fillId="0" borderId="38" xfId="425" applyNumberFormat="1" applyFont="1" applyFill="1" applyBorder="1" applyAlignment="1">
      <alignment horizontal="right" vertical="center" shrinkToFit="1"/>
    </xf>
    <xf numFmtId="176" fontId="113" fillId="0" borderId="1" xfId="425" applyNumberFormat="1" applyFont="1" applyFill="1" applyBorder="1" applyAlignment="1">
      <alignment vertical="center"/>
    </xf>
    <xf numFmtId="0" fontId="113" fillId="0" borderId="1" xfId="425" applyFont="1" applyFill="1" applyBorder="1" applyAlignment="1">
      <alignment vertical="center" shrinkToFit="1"/>
    </xf>
    <xf numFmtId="176" fontId="113" fillId="0" borderId="30" xfId="425" applyNumberFormat="1" applyFont="1" applyFill="1" applyBorder="1" applyAlignment="1">
      <alignment horizontal="right" vertical="center"/>
    </xf>
    <xf numFmtId="0" fontId="113" fillId="0" borderId="26" xfId="425" applyFont="1" applyFill="1" applyBorder="1" applyAlignment="1">
      <alignment vertical="center" shrinkToFit="1"/>
    </xf>
    <xf numFmtId="176" fontId="113" fillId="0" borderId="32" xfId="425" applyNumberFormat="1" applyFont="1" applyFill="1" applyBorder="1" applyAlignment="1">
      <alignment horizontal="right" vertical="center"/>
    </xf>
    <xf numFmtId="176" fontId="114" fillId="0" borderId="0" xfId="425" applyNumberFormat="1" applyFont="1" applyFill="1" applyBorder="1" applyAlignment="1">
      <alignment vertical="center"/>
    </xf>
    <xf numFmtId="10" fontId="113" fillId="0" borderId="0" xfId="425" applyNumberFormat="1" applyFont="1" applyFill="1" applyBorder="1" applyAlignment="1">
      <alignment vertical="center"/>
    </xf>
    <xf numFmtId="176" fontId="113" fillId="0" borderId="0" xfId="425" applyNumberFormat="1" applyFont="1" applyFill="1" applyBorder="1" applyAlignment="1">
      <alignment horizontal="center" vertical="center"/>
    </xf>
    <xf numFmtId="0" fontId="113" fillId="0" borderId="63" xfId="425" applyFont="1" applyFill="1" applyBorder="1" applyAlignment="1">
      <alignment vertical="center"/>
    </xf>
    <xf numFmtId="49" fontId="113" fillId="0" borderId="33" xfId="425" applyNumberFormat="1" applyFont="1" applyFill="1" applyBorder="1" applyAlignment="1">
      <alignment vertical="center" wrapText="1"/>
    </xf>
    <xf numFmtId="38" fontId="113" fillId="51" borderId="0" xfId="127" applyFont="1" applyFill="1" applyBorder="1" applyAlignment="1">
      <alignment vertical="center"/>
    </xf>
    <xf numFmtId="175" fontId="113" fillId="62" borderId="29" xfId="425" applyNumberFormat="1" applyFont="1" applyFill="1" applyBorder="1" applyAlignment="1">
      <alignment horizontal="left" vertical="center"/>
    </xf>
    <xf numFmtId="49" fontId="113" fillId="51" borderId="54" xfId="425" applyNumberFormat="1" applyFont="1" applyFill="1" applyBorder="1" applyAlignment="1">
      <alignment vertical="center"/>
    </xf>
    <xf numFmtId="49" fontId="113" fillId="51" borderId="0" xfId="425" applyNumberFormat="1" applyFont="1" applyFill="1" applyBorder="1" applyAlignment="1">
      <alignment vertical="center"/>
    </xf>
    <xf numFmtId="0" fontId="113" fillId="51" borderId="61" xfId="425" applyFont="1" applyFill="1" applyBorder="1" applyAlignment="1">
      <alignment vertical="center"/>
    </xf>
    <xf numFmtId="178" fontId="113" fillId="0" borderId="29" xfId="425" applyNumberFormat="1" applyFont="1" applyFill="1" applyBorder="1" applyAlignment="1">
      <alignment horizontal="left" vertical="center"/>
    </xf>
    <xf numFmtId="0" fontId="113" fillId="0" borderId="35" xfId="425" applyNumberFormat="1" applyFont="1" applyFill="1" applyBorder="1" applyAlignment="1">
      <alignment vertical="center"/>
    </xf>
    <xf numFmtId="49" fontId="113" fillId="51" borderId="16" xfId="425" applyNumberFormat="1" applyFont="1" applyFill="1" applyBorder="1" applyAlignment="1">
      <alignment vertical="center"/>
    </xf>
    <xf numFmtId="175" fontId="113" fillId="0" borderId="110" xfId="425" applyNumberFormat="1" applyFont="1" applyFill="1" applyBorder="1" applyAlignment="1">
      <alignment vertical="center"/>
    </xf>
    <xf numFmtId="175" fontId="113" fillId="0" borderId="23" xfId="425" applyNumberFormat="1" applyFont="1" applyFill="1" applyBorder="1" applyAlignment="1">
      <alignment vertical="center"/>
    </xf>
    <xf numFmtId="175" fontId="113" fillId="0" borderId="25" xfId="425" applyNumberFormat="1" applyFont="1" applyFill="1" applyBorder="1" applyAlignment="1">
      <alignment vertical="center"/>
    </xf>
    <xf numFmtId="0" fontId="113" fillId="51" borderId="91" xfId="425" applyFont="1" applyFill="1" applyBorder="1" applyAlignment="1">
      <alignment vertical="center"/>
    </xf>
    <xf numFmtId="49" fontId="113" fillId="51" borderId="87" xfId="425" applyNumberFormat="1" applyFont="1" applyFill="1" applyBorder="1" applyAlignment="1">
      <alignment horizontal="center" vertical="center"/>
    </xf>
    <xf numFmtId="175" fontId="113" fillId="0" borderId="148" xfId="425" applyNumberFormat="1" applyFont="1" applyFill="1" applyBorder="1" applyAlignment="1">
      <alignment vertical="center"/>
    </xf>
    <xf numFmtId="175" fontId="113" fillId="0" borderId="55" xfId="425" applyNumberFormat="1" applyFont="1" applyFill="1" applyBorder="1" applyAlignment="1">
      <alignment vertical="center"/>
    </xf>
    <xf numFmtId="175" fontId="113" fillId="0" borderId="56" xfId="425" applyNumberFormat="1" applyFont="1" applyFill="1" applyBorder="1" applyAlignment="1">
      <alignment vertical="center"/>
    </xf>
    <xf numFmtId="49" fontId="113" fillId="51" borderId="91" xfId="425" applyNumberFormat="1" applyFont="1" applyFill="1" applyBorder="1" applyAlignment="1">
      <alignment horizontal="center" vertical="center" wrapText="1"/>
    </xf>
    <xf numFmtId="49" fontId="113" fillId="51" borderId="14" xfId="425" applyNumberFormat="1" applyFont="1" applyFill="1" applyBorder="1" applyAlignment="1">
      <alignment horizontal="center" vertical="center" wrapText="1"/>
    </xf>
    <xf numFmtId="0" fontId="113" fillId="51" borderId="23" xfId="425" applyFont="1" applyFill="1" applyBorder="1" applyAlignment="1">
      <alignment horizontal="center" vertical="center"/>
    </xf>
    <xf numFmtId="49" fontId="113" fillId="51" borderId="53" xfId="425" applyNumberFormat="1" applyFont="1" applyFill="1" applyBorder="1" applyAlignment="1">
      <alignment vertical="center"/>
    </xf>
    <xf numFmtId="0" fontId="113" fillId="51" borderId="52" xfId="425" applyFont="1" applyFill="1" applyBorder="1" applyAlignment="1">
      <alignment vertical="center"/>
    </xf>
    <xf numFmtId="49" fontId="113" fillId="51" borderId="89" xfId="425" applyNumberFormat="1" applyFont="1" applyFill="1" applyBorder="1" applyAlignment="1">
      <alignment vertical="center"/>
    </xf>
    <xf numFmtId="49" fontId="113" fillId="51" borderId="41" xfId="425" applyNumberFormat="1" applyFont="1" applyFill="1" applyBorder="1" applyAlignment="1">
      <alignment vertical="center"/>
    </xf>
    <xf numFmtId="49" fontId="113" fillId="51" borderId="42" xfId="425" applyNumberFormat="1" applyFont="1" applyFill="1" applyBorder="1" applyAlignment="1">
      <alignment horizontal="center" vertical="center"/>
    </xf>
    <xf numFmtId="0" fontId="113" fillId="51" borderId="119" xfId="425" applyFont="1" applyFill="1" applyBorder="1" applyAlignment="1">
      <alignment vertical="center"/>
    </xf>
    <xf numFmtId="0" fontId="113" fillId="0" borderId="64" xfId="425" applyNumberFormat="1" applyFont="1" applyFill="1" applyBorder="1" applyAlignment="1">
      <alignment vertical="center" shrinkToFit="1"/>
    </xf>
    <xf numFmtId="0" fontId="113" fillId="0" borderId="83" xfId="425" applyNumberFormat="1" applyFont="1" applyFill="1" applyBorder="1" applyAlignment="1">
      <alignment vertical="center" shrinkToFit="1"/>
    </xf>
    <xf numFmtId="49" fontId="113" fillId="51" borderId="14" xfId="425" applyNumberFormat="1" applyFont="1" applyFill="1" applyBorder="1" applyAlignment="1">
      <alignment vertical="center"/>
    </xf>
    <xf numFmtId="49" fontId="113" fillId="51" borderId="87" xfId="425" applyNumberFormat="1" applyFont="1" applyFill="1" applyBorder="1" applyAlignment="1">
      <alignment vertical="center"/>
    </xf>
    <xf numFmtId="178" fontId="113" fillId="0" borderId="23" xfId="425" applyNumberFormat="1" applyFont="1" applyFill="1" applyBorder="1" applyAlignment="1">
      <alignment horizontal="left" vertical="center"/>
    </xf>
    <xf numFmtId="0" fontId="113" fillId="0" borderId="25" xfId="425" applyNumberFormat="1" applyFont="1" applyFill="1" applyBorder="1" applyAlignment="1">
      <alignment vertical="center"/>
    </xf>
    <xf numFmtId="0" fontId="113" fillId="0" borderId="22" xfId="425" applyFont="1" applyFill="1" applyBorder="1" applyAlignment="1">
      <alignment horizontal="center" vertical="center" wrapText="1"/>
    </xf>
    <xf numFmtId="178" fontId="113" fillId="0" borderId="55" xfId="425" applyNumberFormat="1" applyFont="1" applyFill="1" applyBorder="1" applyAlignment="1">
      <alignment horizontal="left" vertical="center"/>
    </xf>
    <xf numFmtId="0" fontId="113" fillId="0" borderId="23" xfId="425" applyNumberFormat="1" applyFont="1" applyFill="1" applyBorder="1" applyAlignment="1">
      <alignment vertical="center"/>
    </xf>
    <xf numFmtId="178" fontId="113" fillId="0" borderId="65" xfId="425" applyNumberFormat="1" applyFont="1" applyFill="1" applyBorder="1" applyAlignment="1">
      <alignment horizontal="left" vertical="center"/>
    </xf>
    <xf numFmtId="0" fontId="113" fillId="0" borderId="22" xfId="425" applyNumberFormat="1" applyFont="1" applyFill="1" applyBorder="1" applyAlignment="1">
      <alignment vertical="center"/>
    </xf>
    <xf numFmtId="0" fontId="113" fillId="0" borderId="61" xfId="425" applyNumberFormat="1" applyFont="1" applyFill="1" applyBorder="1" applyAlignment="1">
      <alignment vertical="center"/>
    </xf>
    <xf numFmtId="175" fontId="113" fillId="0" borderId="65" xfId="425" applyNumberFormat="1" applyFont="1" applyFill="1" applyBorder="1" applyAlignment="1">
      <alignment vertical="center"/>
    </xf>
    <xf numFmtId="187" fontId="113" fillId="0" borderId="65" xfId="425" applyNumberFormat="1" applyFont="1" applyFill="1" applyBorder="1" applyAlignment="1">
      <alignment vertical="center"/>
    </xf>
    <xf numFmtId="0" fontId="113" fillId="0" borderId="61" xfId="425" applyFont="1" applyFill="1" applyBorder="1" applyAlignment="1">
      <alignment vertical="center"/>
    </xf>
    <xf numFmtId="0" fontId="113" fillId="0" borderId="29" xfId="425" applyNumberFormat="1" applyFont="1" applyFill="1" applyBorder="1" applyAlignment="1">
      <alignment vertical="center"/>
    </xf>
    <xf numFmtId="0" fontId="113" fillId="0" borderId="64" xfId="425" applyFont="1" applyFill="1" applyBorder="1" applyAlignment="1">
      <alignment vertical="center"/>
    </xf>
    <xf numFmtId="0" fontId="113" fillId="51" borderId="91" xfId="425" applyFont="1" applyFill="1" applyBorder="1" applyAlignment="1">
      <alignment horizontal="center" vertical="center"/>
    </xf>
    <xf numFmtId="0" fontId="113" fillId="51" borderId="14" xfId="425" applyFont="1" applyFill="1" applyBorder="1" applyAlignment="1">
      <alignment horizontal="center" vertical="center"/>
    </xf>
    <xf numFmtId="49" fontId="113" fillId="51" borderId="52" xfId="425" applyNumberFormat="1" applyFont="1" applyFill="1" applyBorder="1" applyAlignment="1">
      <alignment horizontal="center" vertical="center" wrapText="1"/>
    </xf>
    <xf numFmtId="49" fontId="113" fillId="51" borderId="119" xfId="425" applyNumberFormat="1" applyFont="1" applyFill="1" applyBorder="1" applyAlignment="1">
      <alignment horizontal="center" vertical="center" wrapText="1"/>
    </xf>
    <xf numFmtId="175" fontId="113" fillId="0" borderId="64" xfId="425" applyNumberFormat="1" applyFont="1" applyFill="1" applyBorder="1" applyAlignment="1">
      <alignment vertical="center"/>
    </xf>
    <xf numFmtId="175" fontId="113" fillId="0" borderId="113" xfId="425" applyNumberFormat="1" applyFont="1" applyFill="1" applyBorder="1" applyAlignment="1">
      <alignment vertical="center"/>
    </xf>
    <xf numFmtId="175" fontId="113" fillId="0" borderId="83" xfId="425" applyNumberFormat="1" applyFont="1" applyFill="1" applyBorder="1" applyAlignment="1">
      <alignment vertical="center"/>
    </xf>
    <xf numFmtId="49" fontId="113" fillId="51" borderId="14" xfId="425" quotePrefix="1" applyNumberFormat="1" applyFont="1" applyFill="1" applyBorder="1" applyAlignment="1">
      <alignment horizontal="center" vertical="center" wrapText="1"/>
    </xf>
    <xf numFmtId="0" fontId="113" fillId="51" borderId="61" xfId="425" applyFont="1" applyFill="1" applyBorder="1" applyAlignment="1">
      <alignment vertical="center" wrapText="1"/>
    </xf>
    <xf numFmtId="0" fontId="113" fillId="51" borderId="63" xfId="425" applyFont="1" applyFill="1" applyBorder="1" applyAlignment="1">
      <alignment vertical="center" wrapText="1"/>
    </xf>
    <xf numFmtId="176" fontId="120" fillId="0" borderId="23" xfId="425" applyNumberFormat="1" applyFont="1" applyFill="1" applyBorder="1" applyAlignment="1">
      <alignment vertical="center"/>
    </xf>
    <xf numFmtId="176" fontId="120" fillId="0" borderId="25" xfId="425" applyNumberFormat="1" applyFont="1" applyFill="1" applyBorder="1" applyAlignment="1">
      <alignment vertical="center"/>
    </xf>
    <xf numFmtId="0" fontId="120" fillId="36" borderId="22" xfId="425" applyFont="1" applyFill="1" applyBorder="1" applyAlignment="1">
      <alignment horizontal="center" vertical="center" wrapText="1"/>
    </xf>
    <xf numFmtId="0" fontId="120" fillId="36" borderId="110" xfId="425" applyFont="1" applyFill="1" applyBorder="1" applyAlignment="1">
      <alignment horizontal="center" vertical="center" wrapText="1"/>
    </xf>
    <xf numFmtId="0" fontId="120" fillId="36" borderId="41" xfId="425" applyFont="1" applyFill="1" applyBorder="1" applyAlignment="1">
      <alignment horizontal="center" vertical="center" wrapText="1"/>
    </xf>
    <xf numFmtId="9" fontId="120" fillId="10" borderId="22" xfId="425" applyNumberFormat="1" applyFont="1" applyFill="1" applyBorder="1" applyAlignment="1">
      <alignment horizontal="center" vertical="center"/>
    </xf>
    <xf numFmtId="9" fontId="120" fillId="10" borderId="23" xfId="425" applyNumberFormat="1" applyFont="1" applyFill="1" applyBorder="1" applyAlignment="1">
      <alignment horizontal="center" vertical="center"/>
    </xf>
    <xf numFmtId="9" fontId="120" fillId="10" borderId="110" xfId="425" applyNumberFormat="1" applyFont="1" applyFill="1" applyBorder="1" applyAlignment="1">
      <alignment horizontal="center" vertical="center"/>
    </xf>
    <xf numFmtId="177" fontId="113" fillId="51" borderId="114" xfId="425" applyNumberFormat="1" applyFont="1" applyFill="1" applyBorder="1" applyAlignment="1">
      <alignment horizontal="center" vertical="center" wrapText="1"/>
    </xf>
    <xf numFmtId="49" fontId="113" fillId="0" borderId="95" xfId="425" applyNumberFormat="1" applyFont="1" applyFill="1" applyBorder="1" applyAlignment="1">
      <alignment vertical="center" wrapText="1"/>
    </xf>
    <xf numFmtId="0" fontId="114" fillId="0" borderId="0" xfId="0" applyFont="1" applyFill="1" applyBorder="1" applyAlignment="1">
      <alignment horizontal="center" vertical="center" wrapText="1"/>
    </xf>
    <xf numFmtId="38" fontId="113" fillId="0" borderId="30" xfId="127" applyFont="1" applyFill="1" applyBorder="1" applyAlignment="1">
      <alignment vertical="center"/>
    </xf>
    <xf numFmtId="38" fontId="120" fillId="36" borderId="0" xfId="429" applyNumberFormat="1" applyFont="1" applyFill="1" applyBorder="1" applyAlignment="1">
      <alignment horizontal="center" vertical="center" wrapText="1"/>
    </xf>
    <xf numFmtId="38" fontId="120" fillId="36" borderId="16" xfId="429" applyNumberFormat="1" applyFont="1" applyFill="1" applyBorder="1" applyAlignment="1">
      <alignment horizontal="center" vertical="center" wrapText="1"/>
    </xf>
    <xf numFmtId="38" fontId="120" fillId="10" borderId="39" xfId="429" applyNumberFormat="1" applyFont="1" applyFill="1" applyBorder="1" applyAlignment="1">
      <alignment horizontal="right" vertical="center"/>
    </xf>
    <xf numFmtId="38" fontId="120" fillId="10" borderId="34" xfId="429" applyNumberFormat="1" applyFont="1" applyFill="1" applyBorder="1" applyAlignment="1">
      <alignment horizontal="right" vertical="center"/>
    </xf>
    <xf numFmtId="40" fontId="113" fillId="59" borderId="159" xfId="127" applyNumberFormat="1" applyFont="1" applyFill="1" applyBorder="1" applyAlignment="1">
      <alignment vertical="center"/>
    </xf>
    <xf numFmtId="38" fontId="113" fillId="0" borderId="27" xfId="127" applyNumberFormat="1" applyFont="1" applyFill="1" applyBorder="1" applyAlignment="1">
      <alignment vertical="center"/>
    </xf>
    <xf numFmtId="0" fontId="125" fillId="51" borderId="0" xfId="425" applyFont="1" applyFill="1" applyAlignment="1">
      <alignment horizontal="left" vertical="center"/>
    </xf>
    <xf numFmtId="0" fontId="121" fillId="51" borderId="0" xfId="425" applyFont="1" applyFill="1" applyAlignment="1">
      <alignment vertical="center"/>
    </xf>
    <xf numFmtId="176" fontId="115" fillId="0" borderId="0" xfId="425" applyNumberFormat="1" applyFont="1" applyFill="1" applyAlignment="1">
      <alignment vertical="center"/>
    </xf>
    <xf numFmtId="0" fontId="113" fillId="0" borderId="0" xfId="0" applyFont="1"/>
    <xf numFmtId="0" fontId="113" fillId="51" borderId="86" xfId="425" applyFont="1" applyFill="1" applyBorder="1" applyAlignment="1">
      <alignment vertical="center"/>
    </xf>
    <xf numFmtId="0" fontId="126" fillId="0" borderId="0" xfId="423" applyFont="1" applyFill="1" applyBorder="1" applyAlignment="1">
      <alignment horizontal="left" shrinkToFit="1"/>
    </xf>
    <xf numFmtId="175" fontId="113" fillId="51" borderId="0" xfId="431" applyNumberFormat="1" applyFont="1" applyFill="1" applyBorder="1" applyAlignment="1">
      <alignment vertical="center" shrinkToFit="1"/>
    </xf>
    <xf numFmtId="0" fontId="113" fillId="0" borderId="55" xfId="425" applyNumberFormat="1" applyFont="1" applyFill="1" applyBorder="1" applyAlignment="1">
      <alignment vertical="center" shrinkToFit="1"/>
    </xf>
    <xf numFmtId="0" fontId="113" fillId="0" borderId="148" xfId="425" applyNumberFormat="1" applyFont="1" applyFill="1" applyBorder="1" applyAlignment="1">
      <alignment vertical="center" shrinkToFit="1"/>
    </xf>
    <xf numFmtId="0" fontId="113" fillId="0" borderId="56" xfId="425" applyNumberFormat="1" applyFont="1" applyFill="1" applyBorder="1" applyAlignment="1">
      <alignment vertical="center" shrinkToFit="1"/>
    </xf>
    <xf numFmtId="176" fontId="113" fillId="0" borderId="0" xfId="425" applyNumberFormat="1" applyFont="1" applyFill="1" applyBorder="1" applyAlignment="1">
      <alignment horizontal="left" vertical="center"/>
    </xf>
    <xf numFmtId="176" fontId="113" fillId="51" borderId="0" xfId="425" applyNumberFormat="1" applyFont="1" applyFill="1" applyAlignment="1">
      <alignment horizontal="left" vertical="center"/>
    </xf>
    <xf numFmtId="38" fontId="113" fillId="0" borderId="1" xfId="127" applyFont="1" applyFill="1" applyBorder="1" applyAlignment="1">
      <alignment vertical="center"/>
    </xf>
    <xf numFmtId="40" fontId="113" fillId="0" borderId="27" xfId="127" applyNumberFormat="1" applyFont="1" applyFill="1" applyBorder="1" applyAlignment="1">
      <alignment vertical="center"/>
    </xf>
    <xf numFmtId="40" fontId="113" fillId="0" borderId="1" xfId="127" applyNumberFormat="1" applyFont="1" applyFill="1" applyBorder="1" applyAlignment="1">
      <alignment vertical="center"/>
    </xf>
    <xf numFmtId="40" fontId="113" fillId="0" borderId="30" xfId="127" applyNumberFormat="1" applyFont="1" applyFill="1" applyBorder="1" applyAlignment="1">
      <alignment vertical="center"/>
    </xf>
    <xf numFmtId="40" fontId="113" fillId="0" borderId="45" xfId="127" applyNumberFormat="1" applyFont="1" applyFill="1" applyBorder="1" applyAlignment="1">
      <alignment vertical="center"/>
    </xf>
    <xf numFmtId="175" fontId="113" fillId="51" borderId="86" xfId="431" applyNumberFormat="1" applyFont="1" applyFill="1" applyBorder="1" applyAlignment="1">
      <alignment vertical="center"/>
    </xf>
    <xf numFmtId="175" fontId="113" fillId="51" borderId="6" xfId="431" applyNumberFormat="1" applyFont="1" applyFill="1" applyBorder="1" applyAlignment="1">
      <alignment vertical="center"/>
    </xf>
    <xf numFmtId="175" fontId="113" fillId="51" borderId="84" xfId="431" applyNumberFormat="1" applyFont="1" applyFill="1" applyBorder="1" applyAlignment="1">
      <alignment vertical="center"/>
    </xf>
    <xf numFmtId="49" fontId="113" fillId="51" borderId="53" xfId="425" applyNumberFormat="1" applyFont="1" applyFill="1" applyBorder="1" applyAlignment="1">
      <alignment horizontal="center" vertical="center" wrapText="1"/>
    </xf>
    <xf numFmtId="0" fontId="113" fillId="51" borderId="22" xfId="425" applyFont="1" applyFill="1" applyBorder="1" applyAlignment="1">
      <alignment vertical="center" wrapText="1"/>
    </xf>
    <xf numFmtId="175" fontId="113" fillId="0" borderId="1" xfId="425" applyNumberFormat="1" applyFont="1" applyFill="1" applyBorder="1" applyAlignment="1">
      <alignment horizontal="right" vertical="center"/>
    </xf>
    <xf numFmtId="175" fontId="113" fillId="0" borderId="47" xfId="425" applyNumberFormat="1" applyFont="1" applyFill="1" applyBorder="1" applyAlignment="1">
      <alignment horizontal="right" vertical="center"/>
    </xf>
    <xf numFmtId="175" fontId="113" fillId="0" borderId="26" xfId="425" applyNumberFormat="1" applyFont="1" applyFill="1" applyBorder="1" applyAlignment="1">
      <alignment horizontal="right" vertical="center"/>
    </xf>
    <xf numFmtId="49" fontId="113" fillId="0" borderId="53" xfId="425" applyNumberFormat="1" applyFont="1" applyFill="1" applyBorder="1" applyAlignment="1">
      <alignment vertical="center"/>
    </xf>
    <xf numFmtId="49" fontId="113" fillId="0" borderId="89" xfId="425" applyNumberFormat="1" applyFont="1" applyFill="1" applyBorder="1" applyAlignment="1">
      <alignment vertical="center" wrapText="1"/>
    </xf>
    <xf numFmtId="49" fontId="113" fillId="0" borderId="41" xfId="425" applyNumberFormat="1" applyFont="1" applyFill="1" applyBorder="1" applyAlignment="1">
      <alignment horizontal="center" vertical="center" wrapText="1"/>
    </xf>
    <xf numFmtId="0" fontId="113" fillId="0" borderId="53" xfId="425" applyFont="1" applyFill="1" applyBorder="1" applyAlignment="1">
      <alignment vertical="center"/>
    </xf>
    <xf numFmtId="0" fontId="113" fillId="0" borderId="54" xfId="425" applyFont="1" applyFill="1" applyBorder="1" applyAlignment="1">
      <alignment vertical="center"/>
    </xf>
    <xf numFmtId="0" fontId="113" fillId="0" borderId="52" xfId="425" applyFont="1" applyFill="1" applyBorder="1" applyAlignment="1">
      <alignment vertical="center"/>
    </xf>
    <xf numFmtId="0" fontId="113" fillId="0" borderId="119" xfId="425" applyFont="1" applyFill="1" applyBorder="1" applyAlignment="1">
      <alignment vertical="center" wrapText="1"/>
    </xf>
    <xf numFmtId="0" fontId="113" fillId="0" borderId="42" xfId="425" applyFont="1" applyFill="1" applyBorder="1" applyAlignment="1">
      <alignment horizontal="center" vertical="center" wrapText="1"/>
    </xf>
    <xf numFmtId="0" fontId="113" fillId="0" borderId="119" xfId="425" applyFont="1" applyFill="1" applyBorder="1" applyAlignment="1">
      <alignment horizontal="center" vertical="center" wrapText="1"/>
    </xf>
    <xf numFmtId="187" fontId="113" fillId="0" borderId="55" xfId="425" applyNumberFormat="1" applyFont="1" applyFill="1" applyBorder="1" applyAlignment="1">
      <alignment vertical="center"/>
    </xf>
    <xf numFmtId="38" fontId="113" fillId="0" borderId="64" xfId="127" applyFont="1" applyFill="1" applyBorder="1" applyAlignment="1">
      <alignment vertical="center"/>
    </xf>
    <xf numFmtId="181" fontId="113" fillId="0" borderId="1" xfId="258" applyNumberFormat="1" applyFont="1" applyFill="1" applyBorder="1" applyAlignment="1">
      <alignment horizontal="right" vertical="center"/>
    </xf>
    <xf numFmtId="175" fontId="113" fillId="0" borderId="55" xfId="425" applyNumberFormat="1" applyFont="1" applyFill="1" applyBorder="1" applyAlignment="1">
      <alignment horizontal="center" vertical="center"/>
    </xf>
    <xf numFmtId="38" fontId="113" fillId="0" borderId="23" xfId="127" applyFont="1" applyFill="1" applyBorder="1" applyAlignment="1">
      <alignment vertical="center"/>
    </xf>
    <xf numFmtId="40" fontId="113" fillId="59" borderId="160" xfId="127" applyNumberFormat="1" applyFont="1" applyFill="1" applyBorder="1" applyAlignment="1">
      <alignment vertical="center"/>
    </xf>
    <xf numFmtId="40" fontId="113" fillId="59" borderId="158" xfId="127" applyNumberFormat="1" applyFont="1" applyFill="1" applyBorder="1" applyAlignment="1">
      <alignment vertical="center"/>
    </xf>
    <xf numFmtId="179" fontId="113" fillId="0" borderId="55" xfId="425" applyNumberFormat="1" applyFont="1" applyFill="1" applyBorder="1" applyAlignment="1">
      <alignment vertical="center"/>
    </xf>
    <xf numFmtId="38" fontId="113" fillId="0" borderId="55" xfId="127" applyFont="1" applyFill="1" applyBorder="1" applyAlignment="1">
      <alignment vertical="center"/>
    </xf>
    <xf numFmtId="177" fontId="113" fillId="0" borderId="55" xfId="425" applyNumberFormat="1" applyFont="1" applyFill="1" applyBorder="1" applyAlignment="1">
      <alignment horizontal="left" vertical="center"/>
    </xf>
    <xf numFmtId="9" fontId="113" fillId="0" borderId="1" xfId="425" applyNumberFormat="1" applyFont="1" applyFill="1" applyBorder="1" applyAlignment="1">
      <alignment vertical="center"/>
    </xf>
    <xf numFmtId="197" fontId="113" fillId="0" borderId="55" xfId="127" applyNumberFormat="1" applyFont="1" applyFill="1" applyBorder="1" applyAlignment="1">
      <alignment vertical="center"/>
    </xf>
    <xf numFmtId="177" fontId="113" fillId="0" borderId="55" xfId="425" applyNumberFormat="1" applyFont="1" applyFill="1" applyBorder="1" applyAlignment="1">
      <alignment vertical="center"/>
    </xf>
    <xf numFmtId="177" fontId="113" fillId="51" borderId="82" xfId="425" applyNumberFormat="1" applyFont="1" applyFill="1" applyBorder="1" applyAlignment="1">
      <alignment vertical="center"/>
    </xf>
    <xf numFmtId="177" fontId="113" fillId="51" borderId="44" xfId="425" applyNumberFormat="1" applyFont="1" applyFill="1" applyBorder="1" applyAlignment="1">
      <alignment vertical="center"/>
    </xf>
    <xf numFmtId="177" fontId="113" fillId="51" borderId="29" xfId="425" applyNumberFormat="1" applyFont="1" applyFill="1" applyBorder="1" applyAlignment="1">
      <alignment vertical="center"/>
    </xf>
    <xf numFmtId="177" fontId="113" fillId="51" borderId="62" xfId="425" applyNumberFormat="1" applyFont="1" applyFill="1" applyBorder="1" applyAlignment="1">
      <alignment vertical="center"/>
    </xf>
    <xf numFmtId="177" fontId="113" fillId="51" borderId="61" xfId="425" applyNumberFormat="1" applyFont="1" applyFill="1" applyBorder="1" applyAlignment="1">
      <alignment vertical="center"/>
    </xf>
    <xf numFmtId="177" fontId="113" fillId="51" borderId="54" xfId="425" applyNumberFormat="1" applyFont="1" applyFill="1" applyBorder="1" applyAlignment="1">
      <alignment vertical="center"/>
    </xf>
    <xf numFmtId="38" fontId="0" fillId="0" borderId="10" xfId="127" applyFont="1" applyBorder="1"/>
    <xf numFmtId="178" fontId="113" fillId="0" borderId="44" xfId="425" applyNumberFormat="1" applyFont="1" applyFill="1" applyBorder="1" applyAlignment="1">
      <alignment vertical="center"/>
    </xf>
    <xf numFmtId="178" fontId="113" fillId="0" borderId="58" xfId="425" applyNumberFormat="1" applyFont="1" applyFill="1" applyBorder="1" applyAlignment="1">
      <alignment vertical="center"/>
    </xf>
    <xf numFmtId="38" fontId="113" fillId="0" borderId="44" xfId="127" applyFont="1" applyFill="1" applyBorder="1" applyAlignment="1">
      <alignment vertical="center"/>
    </xf>
    <xf numFmtId="178" fontId="113" fillId="0" borderId="31" xfId="425" applyNumberFormat="1" applyFont="1" applyFill="1" applyBorder="1" applyAlignment="1">
      <alignment vertical="center"/>
    </xf>
    <xf numFmtId="185" fontId="113" fillId="0" borderId="31" xfId="425" applyNumberFormat="1" applyFont="1" applyFill="1" applyBorder="1" applyAlignment="1">
      <alignment vertical="center"/>
    </xf>
    <xf numFmtId="179" fontId="113" fillId="59" borderId="167" xfId="425" applyNumberFormat="1" applyFont="1" applyFill="1" applyBorder="1" applyAlignment="1">
      <alignment horizontal="center" vertical="center" wrapText="1"/>
    </xf>
    <xf numFmtId="179" fontId="113" fillId="59" borderId="168" xfId="425" applyNumberFormat="1" applyFont="1" applyFill="1" applyBorder="1" applyAlignment="1">
      <alignment horizontal="center" vertical="center" wrapText="1"/>
    </xf>
    <xf numFmtId="179" fontId="113" fillId="59" borderId="159" xfId="425" applyNumberFormat="1" applyFont="1" applyFill="1" applyBorder="1" applyAlignment="1">
      <alignment vertical="center"/>
    </xf>
    <xf numFmtId="179" fontId="113" fillId="59" borderId="160" xfId="425" applyNumberFormat="1" applyFont="1" applyFill="1" applyBorder="1" applyAlignment="1">
      <alignment vertical="center"/>
    </xf>
    <xf numFmtId="179" fontId="113" fillId="59" borderId="158" xfId="425" applyNumberFormat="1" applyFont="1" applyFill="1" applyBorder="1" applyAlignment="1">
      <alignment vertical="center"/>
    </xf>
    <xf numFmtId="179" fontId="113" fillId="0" borderId="158" xfId="425" applyNumberFormat="1" applyFont="1" applyFill="1" applyBorder="1" applyAlignment="1">
      <alignment vertical="center"/>
    </xf>
    <xf numFmtId="179" fontId="113" fillId="0" borderId="161" xfId="425" applyNumberFormat="1" applyFont="1" applyFill="1" applyBorder="1" applyAlignment="1">
      <alignment vertical="center"/>
    </xf>
    <xf numFmtId="3" fontId="113" fillId="51" borderId="119" xfId="425" applyNumberFormat="1" applyFont="1" applyFill="1" applyBorder="1" applyAlignment="1">
      <alignment vertical="center"/>
    </xf>
    <xf numFmtId="179" fontId="121" fillId="0" borderId="161" xfId="425" applyNumberFormat="1" applyFont="1" applyFill="1" applyBorder="1" applyAlignment="1">
      <alignment vertical="center"/>
    </xf>
    <xf numFmtId="0" fontId="120" fillId="0" borderId="0" xfId="425" applyFont="1" applyFill="1" applyBorder="1" applyAlignment="1">
      <alignment horizontal="center" vertical="center" wrapText="1"/>
    </xf>
    <xf numFmtId="178" fontId="113" fillId="0" borderId="57" xfId="425" applyNumberFormat="1" applyFont="1" applyFill="1" applyBorder="1" applyAlignment="1">
      <alignment vertical="center"/>
    </xf>
    <xf numFmtId="178" fontId="113" fillId="0" borderId="55" xfId="425" applyNumberFormat="1" applyFont="1" applyFill="1" applyBorder="1" applyAlignment="1">
      <alignment vertical="center"/>
    </xf>
    <xf numFmtId="178" fontId="113" fillId="0" borderId="56" xfId="425" applyNumberFormat="1" applyFont="1" applyFill="1" applyBorder="1" applyAlignment="1">
      <alignment vertical="center"/>
    </xf>
    <xf numFmtId="49" fontId="113" fillId="51" borderId="89" xfId="425" applyNumberFormat="1" applyFont="1" applyFill="1" applyBorder="1" applyAlignment="1">
      <alignment horizontal="center" vertical="center" wrapText="1"/>
    </xf>
    <xf numFmtId="49" fontId="113" fillId="51" borderId="89" xfId="425" applyNumberFormat="1" applyFont="1" applyFill="1" applyBorder="1" applyAlignment="1">
      <alignment vertical="center" wrapText="1"/>
    </xf>
    <xf numFmtId="178" fontId="113" fillId="0" borderId="22" xfId="425" applyNumberFormat="1" applyFont="1" applyFill="1" applyBorder="1" applyAlignment="1">
      <alignment vertical="center"/>
    </xf>
    <xf numFmtId="178" fontId="113" fillId="0" borderId="70" xfId="425" applyNumberFormat="1" applyFont="1" applyFill="1" applyBorder="1" applyAlignment="1">
      <alignment vertical="center"/>
    </xf>
    <xf numFmtId="0" fontId="127" fillId="51" borderId="0" xfId="425" applyFont="1" applyFill="1" applyBorder="1" applyAlignment="1">
      <alignment vertical="center"/>
    </xf>
    <xf numFmtId="9" fontId="113" fillId="0" borderId="27" xfId="258" applyFont="1" applyFill="1" applyBorder="1" applyAlignment="1">
      <alignment vertical="center"/>
    </xf>
    <xf numFmtId="9" fontId="113" fillId="0" borderId="30" xfId="258" applyFont="1" applyFill="1" applyBorder="1" applyAlignment="1">
      <alignment vertical="center"/>
    </xf>
    <xf numFmtId="197" fontId="0" fillId="59" borderId="138" xfId="127" applyNumberFormat="1" applyFont="1" applyFill="1" applyBorder="1"/>
    <xf numFmtId="49" fontId="113" fillId="63" borderId="53" xfId="425" applyNumberFormat="1" applyFont="1" applyFill="1" applyBorder="1" applyAlignment="1">
      <alignment horizontal="center" vertical="center" wrapText="1"/>
    </xf>
    <xf numFmtId="49" fontId="113" fillId="63" borderId="89" xfId="425" applyNumberFormat="1" applyFont="1" applyFill="1" applyBorder="1" applyAlignment="1">
      <alignment horizontal="center" vertical="center"/>
    </xf>
    <xf numFmtId="49" fontId="113" fillId="63" borderId="41" xfId="425" applyNumberFormat="1" applyFont="1" applyFill="1" applyBorder="1" applyAlignment="1">
      <alignment horizontal="center" vertical="center"/>
    </xf>
    <xf numFmtId="38" fontId="113" fillId="63" borderId="89" xfId="127" applyFont="1" applyFill="1" applyBorder="1" applyAlignment="1">
      <alignment vertical="center"/>
    </xf>
    <xf numFmtId="38" fontId="113" fillId="63" borderId="23" xfId="127" applyFont="1" applyFill="1" applyBorder="1" applyAlignment="1">
      <alignment vertical="center"/>
    </xf>
    <xf numFmtId="10" fontId="113" fillId="63" borderId="28" xfId="425" applyNumberFormat="1" applyFont="1" applyFill="1" applyBorder="1" applyAlignment="1">
      <alignment vertical="center"/>
    </xf>
    <xf numFmtId="10" fontId="113" fillId="63" borderId="24" xfId="425" applyNumberFormat="1" applyFont="1" applyFill="1" applyBorder="1" applyAlignment="1">
      <alignment vertical="center"/>
    </xf>
    <xf numFmtId="49" fontId="113" fillId="63" borderId="0" xfId="425" applyNumberFormat="1" applyFont="1" applyFill="1" applyBorder="1" applyAlignment="1">
      <alignment horizontal="center" vertical="center"/>
    </xf>
    <xf numFmtId="49" fontId="113" fillId="63" borderId="80" xfId="425" applyNumberFormat="1" applyFont="1" applyFill="1" applyBorder="1" applyAlignment="1">
      <alignment horizontal="center" vertical="center"/>
    </xf>
    <xf numFmtId="0" fontId="113" fillId="63" borderId="27" xfId="425" applyFont="1" applyFill="1" applyBorder="1" applyAlignment="1">
      <alignment horizontal="center" vertical="center" shrinkToFit="1"/>
    </xf>
    <xf numFmtId="0" fontId="113" fillId="63" borderId="30" xfId="425" applyFont="1" applyFill="1" applyBorder="1" applyAlignment="1">
      <alignment horizontal="center" vertical="center" shrinkToFit="1"/>
    </xf>
    <xf numFmtId="173" fontId="113" fillId="63" borderId="62" xfId="425" applyNumberFormat="1" applyFont="1" applyFill="1" applyBorder="1" applyAlignment="1">
      <alignment horizontal="center" vertical="center"/>
    </xf>
    <xf numFmtId="173" fontId="113" fillId="63" borderId="58" xfId="425" applyNumberFormat="1" applyFont="1" applyFill="1" applyBorder="1" applyAlignment="1">
      <alignment horizontal="center" vertical="center"/>
    </xf>
    <xf numFmtId="173" fontId="113" fillId="63" borderId="82" xfId="425" applyNumberFormat="1" applyFont="1" applyFill="1" applyBorder="1" applyAlignment="1">
      <alignment horizontal="center" vertical="center"/>
    </xf>
    <xf numFmtId="173" fontId="113" fillId="63" borderId="44" xfId="425" applyNumberFormat="1" applyFont="1" applyFill="1" applyBorder="1" applyAlignment="1">
      <alignment horizontal="center" vertical="center"/>
    </xf>
    <xf numFmtId="49" fontId="113" fillId="63" borderId="74" xfId="425" applyNumberFormat="1" applyFont="1" applyFill="1" applyBorder="1" applyAlignment="1">
      <alignment horizontal="center" vertical="center" wrapText="1"/>
    </xf>
    <xf numFmtId="49" fontId="113" fillId="63" borderId="45" xfId="425" applyNumberFormat="1" applyFont="1" applyFill="1" applyBorder="1" applyAlignment="1">
      <alignment horizontal="center" vertical="center" wrapText="1"/>
    </xf>
    <xf numFmtId="49" fontId="113" fillId="63" borderId="60" xfId="425" applyNumberFormat="1" applyFont="1" applyFill="1" applyBorder="1" applyAlignment="1">
      <alignment vertical="center" wrapText="1"/>
    </xf>
    <xf numFmtId="49" fontId="113" fillId="63" borderId="59" xfId="425" applyNumberFormat="1" applyFont="1" applyFill="1" applyBorder="1" applyAlignment="1">
      <alignment vertical="center" wrapText="1"/>
    </xf>
    <xf numFmtId="49" fontId="113" fillId="63" borderId="60" xfId="425" applyNumberFormat="1" applyFont="1" applyFill="1" applyBorder="1" applyAlignment="1">
      <alignment horizontal="center" vertical="center" wrapText="1"/>
    </xf>
    <xf numFmtId="49" fontId="113" fillId="63" borderId="59" xfId="425" applyNumberFormat="1" applyFont="1" applyFill="1" applyBorder="1" applyAlignment="1">
      <alignment horizontal="center" vertical="center" wrapText="1"/>
    </xf>
    <xf numFmtId="40" fontId="113" fillId="63" borderId="40" xfId="127" applyNumberFormat="1" applyFont="1" applyFill="1" applyBorder="1" applyAlignment="1">
      <alignment vertical="center"/>
    </xf>
    <xf numFmtId="40" fontId="113" fillId="63" borderId="27" xfId="127" applyNumberFormat="1" applyFont="1" applyFill="1" applyBorder="1" applyAlignment="1">
      <alignment vertical="center"/>
    </xf>
    <xf numFmtId="40" fontId="113" fillId="63" borderId="1" xfId="127" applyNumberFormat="1" applyFont="1" applyFill="1" applyBorder="1" applyAlignment="1">
      <alignment vertical="center"/>
    </xf>
    <xf numFmtId="40" fontId="113" fillId="63" borderId="30" xfId="127" applyNumberFormat="1" applyFont="1" applyFill="1" applyBorder="1" applyAlignment="1">
      <alignment vertical="center"/>
    </xf>
    <xf numFmtId="40" fontId="113" fillId="63" borderId="74" xfId="127" applyNumberFormat="1" applyFont="1" applyFill="1" applyBorder="1" applyAlignment="1">
      <alignment vertical="center"/>
    </xf>
    <xf numFmtId="40" fontId="113" fillId="63" borderId="45" xfId="127" applyNumberFormat="1" applyFont="1" applyFill="1" applyBorder="1" applyAlignment="1">
      <alignment vertical="center"/>
    </xf>
    <xf numFmtId="177" fontId="113" fillId="63" borderId="45" xfId="425" applyNumberFormat="1" applyFont="1" applyFill="1" applyBorder="1" applyAlignment="1">
      <alignment horizontal="center" vertical="center" wrapText="1"/>
    </xf>
    <xf numFmtId="177" fontId="113" fillId="63" borderId="82" xfId="425" applyNumberFormat="1" applyFont="1" applyFill="1" applyBorder="1" applyAlignment="1">
      <alignment horizontal="center" vertical="center" wrapText="1"/>
    </xf>
    <xf numFmtId="185" fontId="113" fillId="63" borderId="27" xfId="425" applyNumberFormat="1" applyFont="1" applyFill="1" applyBorder="1" applyAlignment="1">
      <alignment vertical="center"/>
    </xf>
    <xf numFmtId="185" fontId="113" fillId="63" borderId="62" xfId="425" applyNumberFormat="1" applyFont="1" applyFill="1" applyBorder="1" applyAlignment="1">
      <alignment vertical="center"/>
    </xf>
    <xf numFmtId="185" fontId="113" fillId="63" borderId="38" xfId="425" applyNumberFormat="1" applyFont="1" applyFill="1" applyBorder="1" applyAlignment="1">
      <alignment vertical="center"/>
    </xf>
    <xf numFmtId="185" fontId="113" fillId="63" borderId="58" xfId="425" applyNumberFormat="1" applyFont="1" applyFill="1" applyBorder="1" applyAlignment="1">
      <alignment vertical="center"/>
    </xf>
    <xf numFmtId="185" fontId="113" fillId="63" borderId="30" xfId="425" applyNumberFormat="1" applyFont="1" applyFill="1" applyBorder="1" applyAlignment="1">
      <alignment vertical="center"/>
    </xf>
    <xf numFmtId="185" fontId="113" fillId="63" borderId="44" xfId="425" applyNumberFormat="1" applyFont="1" applyFill="1" applyBorder="1" applyAlignment="1">
      <alignment vertical="center"/>
    </xf>
    <xf numFmtId="49" fontId="113" fillId="63" borderId="129" xfId="425" applyNumberFormat="1" applyFont="1" applyFill="1" applyBorder="1" applyAlignment="1">
      <alignment horizontal="center" vertical="center" wrapText="1"/>
    </xf>
    <xf numFmtId="49" fontId="113" fillId="63" borderId="128" xfId="425" applyNumberFormat="1" applyFont="1" applyFill="1" applyBorder="1" applyAlignment="1">
      <alignment horizontal="center" vertical="center" wrapText="1"/>
    </xf>
    <xf numFmtId="9" fontId="113" fillId="63" borderId="30" xfId="425" applyNumberFormat="1" applyFont="1" applyFill="1" applyBorder="1" applyAlignment="1">
      <alignment vertical="center"/>
    </xf>
    <xf numFmtId="49" fontId="113" fillId="63" borderId="128" xfId="425" applyNumberFormat="1" applyFont="1" applyFill="1" applyBorder="1" applyAlignment="1">
      <alignment vertical="center" wrapText="1"/>
    </xf>
    <xf numFmtId="178" fontId="113" fillId="63" borderId="62" xfId="425" applyNumberFormat="1" applyFont="1" applyFill="1" applyBorder="1" applyAlignment="1">
      <alignment vertical="center"/>
    </xf>
    <xf numFmtId="178" fontId="113" fillId="63" borderId="44" xfId="425" applyNumberFormat="1" applyFont="1" applyFill="1" applyBorder="1" applyAlignment="1">
      <alignment vertical="center"/>
    </xf>
    <xf numFmtId="178" fontId="113" fillId="63" borderId="58" xfId="425" applyNumberFormat="1" applyFont="1" applyFill="1" applyBorder="1" applyAlignment="1">
      <alignment vertical="center"/>
    </xf>
    <xf numFmtId="177" fontId="113" fillId="63" borderId="132" xfId="425" applyNumberFormat="1" applyFont="1" applyFill="1" applyBorder="1" applyAlignment="1">
      <alignment horizontal="center" vertical="center" wrapText="1"/>
    </xf>
    <xf numFmtId="177" fontId="113" fillId="63" borderId="59" xfId="425" applyNumberFormat="1" applyFont="1" applyFill="1" applyBorder="1" applyAlignment="1">
      <alignment horizontal="center" vertical="center" wrapText="1"/>
    </xf>
    <xf numFmtId="177" fontId="113" fillId="63" borderId="59" xfId="425" applyNumberFormat="1" applyFont="1" applyFill="1" applyBorder="1" applyAlignment="1">
      <alignment vertical="center" wrapText="1"/>
    </xf>
    <xf numFmtId="177" fontId="113" fillId="63" borderId="77" xfId="425" applyNumberFormat="1" applyFont="1" applyFill="1" applyBorder="1" applyAlignment="1">
      <alignment horizontal="center" vertical="center" wrapText="1"/>
    </xf>
    <xf numFmtId="177" fontId="113" fillId="63" borderId="27" xfId="425" applyNumberFormat="1" applyFont="1" applyFill="1" applyBorder="1" applyAlignment="1">
      <alignment vertical="center"/>
    </xf>
    <xf numFmtId="177" fontId="113" fillId="63" borderId="30" xfId="425" applyNumberFormat="1" applyFont="1" applyFill="1" applyBorder="1" applyAlignment="1">
      <alignment horizontal="right" vertical="center"/>
    </xf>
    <xf numFmtId="176" fontId="113" fillId="0" borderId="22" xfId="425" applyNumberFormat="1" applyFont="1" applyFill="1" applyBorder="1" applyAlignment="1">
      <alignment vertical="center"/>
    </xf>
    <xf numFmtId="176" fontId="113" fillId="0" borderId="70" xfId="425" applyNumberFormat="1" applyFont="1" applyFill="1" applyBorder="1" applyAlignment="1">
      <alignment vertical="center"/>
    </xf>
    <xf numFmtId="0" fontId="113" fillId="63" borderId="40" xfId="425" applyFont="1" applyFill="1" applyBorder="1" applyAlignment="1">
      <alignment horizontal="center" vertical="center" shrinkToFit="1"/>
    </xf>
    <xf numFmtId="0" fontId="113" fillId="63" borderId="47" xfId="425" applyFont="1" applyFill="1" applyBorder="1" applyAlignment="1">
      <alignment horizontal="center" vertical="center" shrinkToFit="1"/>
    </xf>
    <xf numFmtId="9" fontId="113" fillId="0" borderId="27" xfId="258" applyFont="1" applyFill="1" applyBorder="1" applyAlignment="1">
      <alignment horizontal="right" vertical="center" shrinkToFit="1"/>
    </xf>
    <xf numFmtId="0" fontId="113" fillId="51" borderId="22" xfId="425" applyFont="1" applyFill="1" applyBorder="1" applyAlignment="1">
      <alignment horizontal="left" vertical="center"/>
    </xf>
    <xf numFmtId="179" fontId="113" fillId="0" borderId="27" xfId="425" applyNumberFormat="1" applyFont="1" applyFill="1" applyBorder="1" applyAlignment="1">
      <alignment vertical="center"/>
    </xf>
    <xf numFmtId="176" fontId="113" fillId="51" borderId="119" xfId="425" applyNumberFormat="1" applyFont="1" applyFill="1" applyBorder="1" applyAlignment="1">
      <alignment horizontal="center" vertical="center" wrapText="1"/>
    </xf>
    <xf numFmtId="176" fontId="113" fillId="51" borderId="42" xfId="425" applyNumberFormat="1" applyFont="1" applyFill="1" applyBorder="1" applyAlignment="1">
      <alignment horizontal="center" vertical="center" wrapText="1"/>
    </xf>
    <xf numFmtId="49" fontId="113" fillId="0" borderId="72" xfId="425" applyNumberFormat="1" applyFont="1" applyFill="1" applyBorder="1" applyAlignment="1">
      <alignment horizontal="left" vertical="center"/>
    </xf>
    <xf numFmtId="49" fontId="113" fillId="0" borderId="64" xfId="425" applyNumberFormat="1" applyFont="1" applyFill="1" applyBorder="1" applyAlignment="1">
      <alignment horizontal="left" vertical="center"/>
    </xf>
    <xf numFmtId="49" fontId="113" fillId="0" borderId="83" xfId="425" applyNumberFormat="1" applyFont="1" applyFill="1" applyBorder="1" applyAlignment="1">
      <alignment horizontal="left" vertical="center"/>
    </xf>
    <xf numFmtId="176" fontId="121" fillId="0" borderId="0" xfId="425" applyNumberFormat="1" applyFont="1" applyFill="1" applyBorder="1" applyAlignment="1">
      <alignment horizontal="center" vertical="center" wrapText="1"/>
    </xf>
    <xf numFmtId="182" fontId="113" fillId="0" borderId="0" xfId="425" applyNumberFormat="1" applyFont="1" applyFill="1" applyBorder="1" applyAlignment="1">
      <alignment vertical="center"/>
    </xf>
    <xf numFmtId="176" fontId="113" fillId="0" borderId="47" xfId="425" applyNumberFormat="1" applyFont="1" applyFill="1" applyBorder="1" applyAlignment="1">
      <alignment horizontal="right" vertical="center" shrinkToFit="1"/>
    </xf>
    <xf numFmtId="176" fontId="113" fillId="0" borderId="37" xfId="425" applyNumberFormat="1" applyFont="1" applyFill="1" applyBorder="1" applyAlignment="1">
      <alignment horizontal="right" vertical="center"/>
    </xf>
    <xf numFmtId="176" fontId="113" fillId="0" borderId="1" xfId="425" applyNumberFormat="1" applyFont="1" applyFill="1" applyBorder="1" applyAlignment="1">
      <alignment horizontal="right" vertical="center"/>
    </xf>
    <xf numFmtId="176" fontId="113" fillId="0" borderId="24" xfId="425" applyNumberFormat="1" applyFont="1" applyFill="1" applyBorder="1" applyAlignment="1">
      <alignment horizontal="right" vertical="center"/>
    </xf>
    <xf numFmtId="176" fontId="113" fillId="0" borderId="26" xfId="425" applyNumberFormat="1" applyFont="1" applyFill="1" applyBorder="1" applyAlignment="1">
      <alignment horizontal="right" vertical="center"/>
    </xf>
    <xf numFmtId="176" fontId="113" fillId="0" borderId="33" xfId="425" applyNumberFormat="1" applyFont="1" applyFill="1" applyBorder="1" applyAlignment="1">
      <alignment horizontal="right" vertical="center"/>
    </xf>
    <xf numFmtId="176" fontId="113" fillId="0" borderId="131" xfId="425" applyNumberFormat="1" applyFont="1" applyFill="1" applyBorder="1" applyAlignment="1">
      <alignment vertical="center"/>
    </xf>
    <xf numFmtId="176" fontId="121" fillId="0" borderId="28" xfId="425" applyNumberFormat="1" applyFont="1" applyFill="1" applyBorder="1" applyAlignment="1">
      <alignment vertical="center"/>
    </xf>
    <xf numFmtId="176" fontId="121" fillId="0" borderId="24" xfId="425" applyNumberFormat="1" applyFont="1" applyFill="1" applyBorder="1" applyAlignment="1">
      <alignment vertical="center"/>
    </xf>
    <xf numFmtId="0" fontId="113" fillId="51" borderId="30" xfId="425" applyFont="1" applyFill="1" applyBorder="1" applyAlignment="1">
      <alignment horizontal="center" vertical="center" wrapText="1"/>
    </xf>
    <xf numFmtId="0" fontId="113" fillId="0" borderId="38" xfId="425" applyNumberFormat="1" applyFont="1" applyFill="1" applyBorder="1" applyAlignment="1">
      <alignment vertical="center"/>
    </xf>
    <xf numFmtId="49" fontId="113" fillId="0" borderId="30" xfId="425" applyNumberFormat="1" applyFont="1" applyFill="1" applyBorder="1" applyAlignment="1">
      <alignment horizontal="left" vertical="center"/>
    </xf>
    <xf numFmtId="49" fontId="113" fillId="0" borderId="32" xfId="425" applyNumberFormat="1" applyFont="1" applyFill="1" applyBorder="1" applyAlignment="1">
      <alignment horizontal="left" vertical="center"/>
    </xf>
    <xf numFmtId="40" fontId="113" fillId="63" borderId="38" xfId="127" applyNumberFormat="1" applyFont="1" applyFill="1" applyBorder="1" applyAlignment="1">
      <alignment vertical="center"/>
    </xf>
    <xf numFmtId="40" fontId="113" fillId="0" borderId="63" xfId="127" applyNumberFormat="1" applyFont="1" applyFill="1" applyBorder="1" applyAlignment="1">
      <alignment vertical="center"/>
    </xf>
    <xf numFmtId="9" fontId="113" fillId="0" borderId="30" xfId="258" applyFont="1" applyFill="1" applyBorder="1" applyAlignment="1">
      <alignment horizontal="right" vertical="center" shrinkToFit="1"/>
    </xf>
    <xf numFmtId="40" fontId="113" fillId="0" borderId="64" xfId="127" applyNumberFormat="1" applyFont="1" applyFill="1" applyBorder="1" applyAlignment="1">
      <alignment vertical="center"/>
    </xf>
    <xf numFmtId="40" fontId="113" fillId="0" borderId="158" xfId="127" applyNumberFormat="1" applyFont="1" applyFill="1" applyBorder="1" applyAlignment="1">
      <alignment vertical="center"/>
    </xf>
    <xf numFmtId="0" fontId="113" fillId="0" borderId="119" xfId="425" applyFont="1" applyFill="1" applyBorder="1" applyAlignment="1">
      <alignment vertical="center"/>
    </xf>
    <xf numFmtId="40" fontId="113" fillId="0" borderId="23" xfId="127" applyNumberFormat="1" applyFont="1" applyFill="1" applyBorder="1" applyAlignment="1">
      <alignment vertical="center"/>
    </xf>
    <xf numFmtId="179" fontId="121" fillId="0" borderId="159" xfId="425" applyNumberFormat="1" applyFont="1" applyFill="1" applyBorder="1" applyAlignment="1">
      <alignment vertical="center"/>
    </xf>
    <xf numFmtId="179" fontId="121" fillId="0" borderId="160" xfId="425" applyNumberFormat="1" applyFont="1" applyFill="1" applyBorder="1" applyAlignment="1">
      <alignment vertical="center"/>
    </xf>
    <xf numFmtId="176" fontId="113" fillId="0" borderId="27" xfId="430" applyNumberFormat="1" applyFont="1" applyFill="1" applyBorder="1" applyAlignment="1">
      <alignment horizontal="center" vertical="center"/>
    </xf>
    <xf numFmtId="0" fontId="113" fillId="0" borderId="27" xfId="430" applyFont="1" applyFill="1" applyBorder="1" applyAlignment="1">
      <alignment horizontal="center" vertical="center"/>
    </xf>
    <xf numFmtId="0" fontId="113" fillId="0" borderId="27" xfId="430" applyFont="1" applyFill="1" applyBorder="1" applyAlignment="1">
      <alignment vertical="center"/>
    </xf>
    <xf numFmtId="183" fontId="113" fillId="0" borderId="27" xfId="430" applyNumberFormat="1" applyFont="1" applyFill="1" applyBorder="1" applyAlignment="1">
      <alignment vertical="center"/>
    </xf>
    <xf numFmtId="176" fontId="113" fillId="0" borderId="30" xfId="430" applyNumberFormat="1" applyFont="1" applyFill="1" applyBorder="1" applyAlignment="1">
      <alignment horizontal="center" vertical="center"/>
    </xf>
    <xf numFmtId="0" fontId="113" fillId="0" borderId="30" xfId="430" applyFont="1" applyFill="1" applyBorder="1" applyAlignment="1">
      <alignment horizontal="center" vertical="center"/>
    </xf>
    <xf numFmtId="0" fontId="113" fillId="0" borderId="30" xfId="430" applyFont="1" applyFill="1" applyBorder="1" applyAlignment="1">
      <alignment vertical="center"/>
    </xf>
    <xf numFmtId="183" fontId="113" fillId="0" borderId="30" xfId="430" applyNumberFormat="1" applyFont="1" applyFill="1" applyBorder="1" applyAlignment="1">
      <alignment vertical="center"/>
    </xf>
    <xf numFmtId="4" fontId="113" fillId="0" borderId="30" xfId="430" applyNumberFormat="1" applyFont="1" applyFill="1" applyBorder="1" applyAlignment="1">
      <alignment vertical="center"/>
    </xf>
    <xf numFmtId="176" fontId="113" fillId="0" borderId="32" xfId="430" applyNumberFormat="1" applyFont="1" applyFill="1" applyBorder="1" applyAlignment="1">
      <alignment horizontal="center" vertical="center"/>
    </xf>
    <xf numFmtId="0" fontId="113" fillId="0" borderId="32" xfId="430" applyFont="1" applyFill="1" applyBorder="1" applyAlignment="1">
      <alignment horizontal="center" vertical="center"/>
    </xf>
    <xf numFmtId="0" fontId="113" fillId="0" borderId="32" xfId="430" applyFont="1" applyFill="1" applyBorder="1" applyAlignment="1">
      <alignment vertical="center"/>
    </xf>
    <xf numFmtId="4" fontId="113" fillId="0" borderId="32" xfId="430" applyNumberFormat="1" applyFont="1" applyFill="1" applyBorder="1" applyAlignment="1">
      <alignment vertical="center"/>
    </xf>
    <xf numFmtId="0" fontId="113" fillId="63" borderId="89" xfId="425" applyFont="1" applyFill="1" applyBorder="1" applyAlignment="1">
      <alignment horizontal="center" vertical="center" wrapText="1"/>
    </xf>
    <xf numFmtId="0" fontId="113" fillId="63" borderId="0" xfId="425" applyFont="1" applyFill="1" applyBorder="1" applyAlignment="1">
      <alignment horizontal="center" vertical="center" wrapText="1"/>
    </xf>
    <xf numFmtId="0" fontId="113" fillId="63" borderId="41" xfId="425" applyFont="1" applyFill="1" applyBorder="1" applyAlignment="1">
      <alignment horizontal="center" vertical="center" wrapText="1"/>
    </xf>
    <xf numFmtId="0" fontId="113" fillId="63" borderId="16" xfId="425" applyFont="1" applyFill="1" applyBorder="1" applyAlignment="1">
      <alignment horizontal="center" vertical="center" wrapText="1"/>
    </xf>
    <xf numFmtId="38" fontId="113" fillId="63" borderId="131" xfId="127" applyFont="1" applyFill="1" applyBorder="1" applyAlignment="1">
      <alignment vertical="center"/>
    </xf>
    <xf numFmtId="38" fontId="113" fillId="63" borderId="52" xfId="127" applyFont="1" applyFill="1" applyBorder="1" applyAlignment="1">
      <alignment vertical="center"/>
    </xf>
    <xf numFmtId="38" fontId="113" fillId="63" borderId="1" xfId="127" applyFont="1" applyFill="1" applyBorder="1" applyAlignment="1">
      <alignment vertical="center"/>
    </xf>
    <xf numFmtId="38" fontId="113" fillId="63" borderId="64" xfId="127" applyFont="1" applyFill="1" applyBorder="1" applyAlignment="1">
      <alignment vertical="center"/>
    </xf>
    <xf numFmtId="49" fontId="113" fillId="63" borderId="91" xfId="425" applyNumberFormat="1" applyFont="1" applyFill="1" applyBorder="1" applyAlignment="1">
      <alignment vertical="center"/>
    </xf>
    <xf numFmtId="49" fontId="113" fillId="63" borderId="0" xfId="425" applyNumberFormat="1" applyFont="1" applyFill="1" applyAlignment="1">
      <alignment horizontal="center" vertical="center"/>
    </xf>
    <xf numFmtId="49" fontId="113" fillId="63" borderId="14" xfId="425" applyNumberFormat="1" applyFont="1" applyFill="1" applyBorder="1" applyAlignment="1">
      <alignment vertical="center" wrapText="1"/>
    </xf>
    <xf numFmtId="49" fontId="113" fillId="63" borderId="14" xfId="425" applyNumberFormat="1" applyFont="1" applyFill="1" applyBorder="1" applyAlignment="1">
      <alignment horizontal="center" vertical="center" wrapText="1"/>
    </xf>
    <xf numFmtId="38" fontId="113" fillId="63" borderId="91" xfId="127" applyFont="1" applyFill="1" applyBorder="1" applyAlignment="1">
      <alignment vertical="center"/>
    </xf>
    <xf numFmtId="38" fontId="113" fillId="63" borderId="55" xfId="127" applyFont="1" applyFill="1" applyBorder="1" applyAlignment="1">
      <alignment vertical="center"/>
    </xf>
    <xf numFmtId="49" fontId="113" fillId="63" borderId="43" xfId="425" applyNumberFormat="1" applyFont="1" applyFill="1" applyBorder="1" applyAlignment="1">
      <alignment horizontal="center" vertical="center" wrapText="1"/>
    </xf>
    <xf numFmtId="49" fontId="113" fillId="63" borderId="80" xfId="425" applyNumberFormat="1" applyFont="1" applyFill="1" applyBorder="1" applyAlignment="1">
      <alignment horizontal="center" vertical="center" wrapText="1"/>
    </xf>
    <xf numFmtId="49" fontId="113" fillId="63" borderId="36" xfId="425" applyNumberFormat="1" applyFont="1" applyFill="1" applyBorder="1" applyAlignment="1">
      <alignment horizontal="center" vertical="center" wrapText="1"/>
    </xf>
    <xf numFmtId="178" fontId="113" fillId="63" borderId="133" xfId="425" applyNumberFormat="1" applyFont="1" applyFill="1" applyBorder="1" applyAlignment="1">
      <alignment vertical="center"/>
    </xf>
    <xf numFmtId="178" fontId="113" fillId="63" borderId="34" xfId="425" applyNumberFormat="1" applyFont="1" applyFill="1" applyBorder="1" applyAlignment="1">
      <alignment vertical="center"/>
    </xf>
    <xf numFmtId="38" fontId="113" fillId="0" borderId="52" xfId="127" applyFont="1" applyFill="1" applyBorder="1" applyAlignment="1">
      <alignment vertical="center"/>
    </xf>
    <xf numFmtId="40" fontId="113" fillId="0" borderId="53" xfId="127" applyNumberFormat="1" applyFont="1" applyFill="1" applyBorder="1" applyAlignment="1">
      <alignment vertical="center"/>
    </xf>
    <xf numFmtId="49" fontId="113" fillId="0" borderId="37" xfId="425" applyNumberFormat="1" applyFont="1" applyFill="1" applyBorder="1" applyAlignment="1">
      <alignment horizontal="center" vertical="center" wrapText="1"/>
    </xf>
    <xf numFmtId="0" fontId="24" fillId="0" borderId="10" xfId="423" applyFont="1" applyFill="1" applyBorder="1" applyAlignment="1">
      <alignment horizontal="left" shrinkToFit="1"/>
    </xf>
    <xf numFmtId="0" fontId="25" fillId="36" borderId="10" xfId="417" applyFont="1" applyFill="1" applyBorder="1" applyAlignment="1">
      <alignment horizontal="center" vertical="top"/>
    </xf>
    <xf numFmtId="0" fontId="11" fillId="36" borderId="91" xfId="417" applyFont="1" applyFill="1" applyBorder="1" applyAlignment="1">
      <alignment horizontal="center" vertical="center" wrapText="1"/>
    </xf>
    <xf numFmtId="0" fontId="11" fillId="36" borderId="14" xfId="417" applyFont="1" applyFill="1" applyBorder="1" applyAlignment="1">
      <alignment horizontal="center" vertical="center"/>
    </xf>
    <xf numFmtId="0" fontId="11" fillId="36" borderId="87" xfId="417" applyFont="1" applyFill="1" applyBorder="1" applyAlignment="1">
      <alignment horizontal="center" vertical="center"/>
    </xf>
    <xf numFmtId="0" fontId="15" fillId="0" borderId="10" xfId="417" applyBorder="1" applyAlignment="1">
      <alignment horizontal="center" vertical="top"/>
    </xf>
    <xf numFmtId="0" fontId="15" fillId="0" borderId="91" xfId="417" applyBorder="1" applyAlignment="1">
      <alignment horizontal="center" vertical="top"/>
    </xf>
    <xf numFmtId="0" fontId="15" fillId="0" borderId="14" xfId="417" applyBorder="1" applyAlignment="1">
      <alignment horizontal="center" vertical="top"/>
    </xf>
    <xf numFmtId="0" fontId="15" fillId="0" borderId="87" xfId="417" applyBorder="1" applyAlignment="1">
      <alignment horizontal="center" vertical="top"/>
    </xf>
    <xf numFmtId="0" fontId="15" fillId="36" borderId="10" xfId="417" applyFill="1" applyBorder="1" applyAlignment="1">
      <alignment horizontal="center"/>
    </xf>
    <xf numFmtId="0" fontId="22" fillId="36" borderId="149" xfId="423" applyFont="1" applyFill="1" applyBorder="1" applyAlignment="1">
      <alignment horizontal="center"/>
    </xf>
    <xf numFmtId="0" fontId="22" fillId="36" borderId="150" xfId="423" applyFont="1" applyFill="1" applyBorder="1" applyAlignment="1">
      <alignment horizontal="center"/>
    </xf>
    <xf numFmtId="171" fontId="27" fillId="36" borderId="86" xfId="375" applyFont="1" applyFill="1" applyBorder="1" applyAlignment="1" applyProtection="1">
      <alignment horizontal="center"/>
      <protection locked="0"/>
    </xf>
    <xf numFmtId="171" fontId="27" fillId="36" borderId="84" xfId="375" applyFont="1" applyFill="1" applyBorder="1" applyAlignment="1" applyProtection="1">
      <alignment horizontal="center"/>
      <protection locked="0"/>
    </xf>
    <xf numFmtId="0" fontId="27" fillId="36" borderId="86" xfId="375" applyNumberFormat="1" applyFont="1" applyFill="1" applyBorder="1" applyAlignment="1" applyProtection="1">
      <alignment horizontal="center" shrinkToFit="1"/>
      <protection locked="0"/>
    </xf>
    <xf numFmtId="0" fontId="27" fillId="36" borderId="84" xfId="375" applyNumberFormat="1" applyFont="1" applyFill="1" applyBorder="1" applyAlignment="1" applyProtection="1">
      <alignment horizontal="center" shrinkToFit="1"/>
      <protection locked="0"/>
    </xf>
    <xf numFmtId="10" fontId="29" fillId="0" borderId="91" xfId="424" applyNumberFormat="1" applyFont="1" applyFill="1" applyBorder="1" applyAlignment="1" applyProtection="1">
      <alignment horizontal="center" vertical="center" wrapText="1"/>
      <protection locked="0"/>
    </xf>
    <xf numFmtId="10" fontId="29" fillId="0" borderId="14" xfId="424" applyNumberFormat="1" applyFont="1" applyFill="1" applyBorder="1" applyAlignment="1" applyProtection="1">
      <alignment horizontal="center" vertical="center" wrapText="1"/>
      <protection locked="0"/>
    </xf>
    <xf numFmtId="10" fontId="29" fillId="0" borderId="87" xfId="424" applyNumberFormat="1" applyFont="1" applyFill="1" applyBorder="1" applyAlignment="1" applyProtection="1">
      <alignment horizontal="center" vertical="center" wrapText="1"/>
      <protection locked="0"/>
    </xf>
    <xf numFmtId="171" fontId="33" fillId="36" borderId="91" xfId="375" applyFont="1" applyFill="1" applyBorder="1" applyAlignment="1" applyProtection="1">
      <alignment horizontal="center" vertical="center" shrinkToFit="1"/>
      <protection locked="0"/>
    </xf>
    <xf numFmtId="171" fontId="33" fillId="36" borderId="87" xfId="375" applyFont="1" applyFill="1" applyBorder="1" applyAlignment="1" applyProtection="1">
      <alignment horizontal="center" vertical="center" shrinkToFit="1"/>
      <protection locked="0"/>
    </xf>
    <xf numFmtId="171" fontId="27" fillId="36" borderId="53" xfId="375" applyFont="1" applyFill="1" applyBorder="1" applyAlignment="1" applyProtection="1">
      <alignment horizontal="center"/>
      <protection locked="0"/>
    </xf>
    <xf numFmtId="171" fontId="27" fillId="36" borderId="52" xfId="375" applyFont="1" applyFill="1" applyBorder="1" applyAlignment="1" applyProtection="1">
      <alignment horizontal="center"/>
      <protection locked="0"/>
    </xf>
    <xf numFmtId="0" fontId="22" fillId="36" borderId="10" xfId="423" applyFont="1" applyFill="1" applyBorder="1" applyAlignment="1">
      <alignment horizontal="center"/>
    </xf>
    <xf numFmtId="0" fontId="24" fillId="0" borderId="10" xfId="423" applyFont="1" applyFill="1" applyBorder="1" applyAlignment="1">
      <alignment horizontal="center" vertical="top"/>
    </xf>
    <xf numFmtId="0" fontId="25" fillId="0" borderId="10" xfId="417" applyFont="1" applyFill="1" applyBorder="1" applyAlignment="1">
      <alignment horizontal="center"/>
    </xf>
    <xf numFmtId="0" fontId="25" fillId="0" borderId="91" xfId="417" applyFont="1" applyFill="1" applyBorder="1" applyAlignment="1">
      <alignment horizontal="center" vertical="center" textRotation="255"/>
    </xf>
    <xf numFmtId="0" fontId="0" fillId="0" borderId="14" xfId="0" applyFill="1" applyBorder="1" applyAlignment="1">
      <alignment horizontal="center" vertical="center" textRotation="255"/>
    </xf>
    <xf numFmtId="0" fontId="0" fillId="0" borderId="87" xfId="0" applyFill="1" applyBorder="1" applyAlignment="1">
      <alignment horizontal="center" vertical="center" textRotation="255"/>
    </xf>
    <xf numFmtId="0" fontId="25" fillId="36" borderId="10" xfId="417" applyFont="1" applyFill="1" applyBorder="1" applyAlignment="1">
      <alignment horizontal="center"/>
    </xf>
    <xf numFmtId="10" fontId="29" fillId="48" borderId="91" xfId="424" applyNumberFormat="1" applyFont="1" applyFill="1" applyBorder="1" applyAlignment="1" applyProtection="1">
      <alignment horizontal="center" vertical="center" wrapText="1"/>
      <protection locked="0"/>
    </xf>
    <xf numFmtId="10" fontId="29" fillId="48" borderId="14" xfId="424" applyNumberFormat="1" applyFont="1" applyFill="1" applyBorder="1" applyAlignment="1" applyProtection="1">
      <alignment horizontal="center" vertical="center" wrapText="1"/>
      <protection locked="0"/>
    </xf>
    <xf numFmtId="10" fontId="29" fillId="48" borderId="87" xfId="424" applyNumberFormat="1" applyFont="1" applyFill="1" applyBorder="1" applyAlignment="1" applyProtection="1">
      <alignment horizontal="center" vertical="center" wrapText="1"/>
      <protection locked="0"/>
    </xf>
    <xf numFmtId="10" fontId="29" fillId="48" borderId="91" xfId="424" applyNumberFormat="1" applyFont="1" applyFill="1" applyBorder="1" applyAlignment="1" applyProtection="1">
      <alignment horizontal="right" vertical="center"/>
      <protection locked="0"/>
    </xf>
    <xf numFmtId="10" fontId="29" fillId="48" borderId="87" xfId="424" applyNumberFormat="1" applyFont="1" applyFill="1" applyBorder="1" applyAlignment="1" applyProtection="1">
      <alignment horizontal="right" vertical="center"/>
      <protection locked="0"/>
    </xf>
    <xf numFmtId="171" fontId="11" fillId="36" borderId="86" xfId="375" applyFont="1" applyFill="1" applyBorder="1" applyAlignment="1" applyProtection="1">
      <alignment horizontal="center"/>
      <protection locked="0"/>
    </xf>
    <xf numFmtId="171" fontId="11" fillId="36" borderId="84" xfId="375" applyFont="1" applyFill="1" applyBorder="1" applyAlignment="1" applyProtection="1">
      <alignment horizontal="center"/>
      <protection locked="0"/>
    </xf>
    <xf numFmtId="10" fontId="20" fillId="48" borderId="86" xfId="258" applyNumberFormat="1" applyFont="1" applyFill="1" applyBorder="1" applyAlignment="1" applyProtection="1">
      <alignment horizontal="center"/>
      <protection locked="0"/>
    </xf>
    <xf numFmtId="10" fontId="20" fillId="48" borderId="84" xfId="258" applyNumberFormat="1" applyFont="1" applyFill="1" applyBorder="1" applyAlignment="1" applyProtection="1">
      <alignment horizontal="center"/>
      <protection locked="0"/>
    </xf>
    <xf numFmtId="181" fontId="20" fillId="0" borderId="86" xfId="258" applyNumberFormat="1" applyFont="1" applyBorder="1" applyAlignment="1" applyProtection="1">
      <alignment horizontal="center"/>
      <protection locked="0"/>
    </xf>
    <xf numFmtId="181" fontId="20" fillId="0" borderId="84" xfId="258" applyNumberFormat="1" applyFont="1" applyBorder="1" applyAlignment="1" applyProtection="1">
      <alignment horizontal="center"/>
      <protection locked="0"/>
    </xf>
    <xf numFmtId="0" fontId="15" fillId="0" borderId="86" xfId="417" applyBorder="1" applyAlignment="1">
      <alignment horizontal="center"/>
    </xf>
    <xf numFmtId="0" fontId="15" fillId="0" borderId="84" xfId="417" applyBorder="1" applyAlignment="1">
      <alignment horizontal="center"/>
    </xf>
    <xf numFmtId="10" fontId="29" fillId="0" borderId="91" xfId="424" applyNumberFormat="1" applyFont="1" applyFill="1" applyBorder="1" applyAlignment="1" applyProtection="1">
      <alignment horizontal="right" vertical="center"/>
      <protection locked="0"/>
    </xf>
    <xf numFmtId="10" fontId="29" fillId="0" borderId="87" xfId="424" applyNumberFormat="1" applyFont="1" applyFill="1" applyBorder="1" applyAlignment="1" applyProtection="1">
      <alignment horizontal="right" vertical="center"/>
      <protection locked="0"/>
    </xf>
    <xf numFmtId="0" fontId="0" fillId="0" borderId="10" xfId="0" applyBorder="1" applyAlignment="1">
      <alignment horizontal="center" vertical="top"/>
    </xf>
    <xf numFmtId="0" fontId="3" fillId="36" borderId="10" xfId="0" applyFont="1" applyFill="1" applyBorder="1" applyAlignment="1">
      <alignment horizontal="center" vertical="center" textRotation="255"/>
    </xf>
    <xf numFmtId="0" fontId="25" fillId="36" borderId="10" xfId="0" applyFont="1" applyFill="1" applyBorder="1" applyAlignment="1">
      <alignment horizontal="center" vertical="top"/>
    </xf>
    <xf numFmtId="0" fontId="25" fillId="36" borderId="10" xfId="0" applyFont="1" applyFill="1" applyBorder="1" applyAlignment="1">
      <alignment horizontal="center"/>
    </xf>
    <xf numFmtId="171" fontId="25" fillId="36" borderId="86" xfId="375" applyFont="1" applyFill="1" applyBorder="1" applyAlignment="1" applyProtection="1">
      <alignment horizontal="center" shrinkToFit="1"/>
      <protection locked="0"/>
    </xf>
    <xf numFmtId="171" fontId="25" fillId="36" borderId="84" xfId="375" applyFont="1" applyFill="1" applyBorder="1" applyAlignment="1" applyProtection="1">
      <alignment horizontal="center" shrinkToFit="1"/>
      <protection locked="0"/>
    </xf>
    <xf numFmtId="171" fontId="27" fillId="36" borderId="10" xfId="375" applyFont="1" applyFill="1" applyBorder="1" applyAlignment="1" applyProtection="1">
      <alignment horizontal="center"/>
      <protection locked="0"/>
    </xf>
    <xf numFmtId="171" fontId="25" fillId="36" borderId="53" xfId="375" applyFont="1" applyFill="1" applyBorder="1" applyAlignment="1" applyProtection="1">
      <alignment horizontal="center" shrinkToFit="1"/>
      <protection locked="0"/>
    </xf>
    <xf numFmtId="171" fontId="25" fillId="36" borderId="52" xfId="375" applyFont="1" applyFill="1" applyBorder="1" applyAlignment="1" applyProtection="1">
      <alignment horizontal="center" shrinkToFit="1"/>
      <protection locked="0"/>
    </xf>
    <xf numFmtId="0" fontId="0" fillId="36" borderId="10" xfId="0" applyFill="1" applyBorder="1" applyAlignment="1">
      <alignment horizontal="center"/>
    </xf>
    <xf numFmtId="0" fontId="0" fillId="36" borderId="86" xfId="0" applyFill="1" applyBorder="1" applyAlignment="1">
      <alignment horizontal="center"/>
    </xf>
    <xf numFmtId="0" fontId="0" fillId="36" borderId="6" xfId="0" applyFill="1" applyBorder="1" applyAlignment="1">
      <alignment horizontal="center"/>
    </xf>
    <xf numFmtId="0" fontId="0" fillId="36" borderId="84" xfId="0" applyFill="1" applyBorder="1" applyAlignment="1">
      <alignment horizontal="center"/>
    </xf>
    <xf numFmtId="171" fontId="20" fillId="36" borderId="10" xfId="375" applyFont="1" applyFill="1" applyBorder="1" applyAlignment="1" applyProtection="1">
      <alignment horizontal="center"/>
      <protection locked="0"/>
    </xf>
    <xf numFmtId="175" fontId="113" fillId="0" borderId="44" xfId="425" applyNumberFormat="1" applyFont="1" applyFill="1" applyBorder="1" applyAlignment="1">
      <alignment horizontal="left" vertical="center" shrinkToFit="1"/>
    </xf>
    <xf numFmtId="175" fontId="113" fillId="0" borderId="34" xfId="425" applyNumberFormat="1" applyFont="1" applyFill="1" applyBorder="1" applyAlignment="1">
      <alignment horizontal="left" vertical="center" shrinkToFit="1"/>
    </xf>
    <xf numFmtId="0" fontId="113" fillId="0" borderId="0" xfId="425" applyFont="1" applyFill="1" applyBorder="1" applyAlignment="1">
      <alignment horizontal="center" vertical="center"/>
    </xf>
    <xf numFmtId="14" fontId="113" fillId="62" borderId="44" xfId="425" applyNumberFormat="1" applyFont="1" applyFill="1" applyBorder="1" applyAlignment="1">
      <alignment horizontal="center" vertical="center"/>
    </xf>
    <xf numFmtId="14" fontId="113" fillId="62" borderId="29" xfId="425" applyNumberFormat="1" applyFont="1" applyFill="1" applyBorder="1" applyAlignment="1">
      <alignment horizontal="center" vertical="center"/>
    </xf>
    <xf numFmtId="14" fontId="113" fillId="62" borderId="64" xfId="425" applyNumberFormat="1" applyFont="1" applyFill="1" applyBorder="1" applyAlignment="1">
      <alignment horizontal="center" vertical="center"/>
    </xf>
    <xf numFmtId="175" fontId="113" fillId="10" borderId="44" xfId="425" applyNumberFormat="1" applyFont="1" applyFill="1" applyBorder="1" applyAlignment="1">
      <alignment horizontal="center" vertical="center"/>
    </xf>
    <xf numFmtId="175" fontId="113" fillId="10" borderId="29" xfId="425" applyNumberFormat="1" applyFont="1" applyFill="1" applyBorder="1" applyAlignment="1">
      <alignment horizontal="center" vertical="center"/>
    </xf>
    <xf numFmtId="175" fontId="113" fillId="10" borderId="64" xfId="425" applyNumberFormat="1" applyFont="1" applyFill="1" applyBorder="1" applyAlignment="1">
      <alignment horizontal="center" vertical="center"/>
    </xf>
    <xf numFmtId="181" fontId="113" fillId="10" borderId="31" xfId="425" applyNumberFormat="1" applyFont="1" applyFill="1" applyBorder="1" applyAlignment="1">
      <alignment horizontal="center" vertical="center"/>
    </xf>
    <xf numFmtId="181" fontId="113" fillId="10" borderId="35" xfId="425" applyNumberFormat="1" applyFont="1" applyFill="1" applyBorder="1" applyAlignment="1">
      <alignment horizontal="center" vertical="center"/>
    </xf>
    <xf numFmtId="181" fontId="113" fillId="10" borderId="83" xfId="425" applyNumberFormat="1" applyFont="1" applyFill="1" applyBorder="1" applyAlignment="1">
      <alignment horizontal="center" vertical="center"/>
    </xf>
    <xf numFmtId="175" fontId="113" fillId="63" borderId="62" xfId="425" applyNumberFormat="1" applyFont="1" applyFill="1" applyBorder="1" applyAlignment="1">
      <alignment horizontal="left" vertical="center" shrinkToFit="1"/>
    </xf>
    <xf numFmtId="175" fontId="113" fillId="63" borderId="39" xfId="425" applyNumberFormat="1" applyFont="1" applyFill="1" applyBorder="1" applyAlignment="1">
      <alignment horizontal="left" vertical="center" shrinkToFit="1"/>
    </xf>
    <xf numFmtId="175" fontId="113" fillId="63" borderId="44" xfId="425" applyNumberFormat="1" applyFont="1" applyFill="1" applyBorder="1" applyAlignment="1">
      <alignment horizontal="left" vertical="center" shrinkToFit="1"/>
    </xf>
    <xf numFmtId="175" fontId="113" fillId="63" borderId="34" xfId="425" applyNumberFormat="1" applyFont="1" applyFill="1" applyBorder="1" applyAlignment="1">
      <alignment horizontal="left" vertical="center" shrinkToFit="1"/>
    </xf>
    <xf numFmtId="38" fontId="113" fillId="36" borderId="24" xfId="0" applyNumberFormat="1" applyFont="1" applyFill="1" applyBorder="1" applyAlignment="1">
      <alignment horizontal="center" vertical="center" wrapText="1"/>
    </xf>
    <xf numFmtId="38" fontId="113" fillId="36" borderId="33" xfId="0" applyNumberFormat="1" applyFont="1" applyFill="1" applyBorder="1" applyAlignment="1">
      <alignment horizontal="center" vertical="center" wrapText="1"/>
    </xf>
    <xf numFmtId="38" fontId="113" fillId="36" borderId="70" xfId="429" applyNumberFormat="1" applyFont="1" applyFill="1" applyBorder="1" applyAlignment="1">
      <alignment horizontal="center" vertical="center" wrapText="1"/>
    </xf>
    <xf numFmtId="38" fontId="113" fillId="36" borderId="71" xfId="429" applyNumberFormat="1" applyFont="1" applyFill="1" applyBorder="1" applyAlignment="1">
      <alignment horizontal="center" vertical="center" wrapText="1"/>
    </xf>
    <xf numFmtId="38" fontId="113" fillId="36" borderId="72" xfId="429" applyNumberFormat="1" applyFont="1" applyFill="1" applyBorder="1" applyAlignment="1">
      <alignment horizontal="center" vertical="center" wrapText="1"/>
    </xf>
    <xf numFmtId="38" fontId="113" fillId="36" borderId="44" xfId="0" applyNumberFormat="1" applyFont="1" applyFill="1" applyBorder="1" applyAlignment="1">
      <alignment horizontal="center" vertical="center" wrapText="1"/>
    </xf>
    <xf numFmtId="38" fontId="113" fillId="36" borderId="34" xfId="0" applyNumberFormat="1" applyFont="1" applyFill="1" applyBorder="1" applyAlignment="1">
      <alignment horizontal="center" vertical="center" wrapText="1"/>
    </xf>
    <xf numFmtId="0" fontId="113" fillId="36" borderId="40" xfId="425" applyFont="1" applyFill="1" applyBorder="1" applyAlignment="1">
      <alignment horizontal="center" vertical="center" wrapText="1"/>
    </xf>
    <xf numFmtId="0" fontId="113" fillId="36" borderId="27" xfId="425" applyFont="1" applyFill="1" applyBorder="1" applyAlignment="1">
      <alignment horizontal="center" vertical="center" wrapText="1"/>
    </xf>
    <xf numFmtId="0" fontId="113" fillId="36" borderId="28" xfId="425" applyFont="1" applyFill="1" applyBorder="1" applyAlignment="1">
      <alignment horizontal="center" vertical="center" wrapText="1"/>
    </xf>
    <xf numFmtId="0" fontId="113" fillId="36" borderId="22" xfId="430" applyFont="1" applyFill="1" applyBorder="1" applyAlignment="1">
      <alignment horizontal="center" vertical="center"/>
    </xf>
    <xf numFmtId="0" fontId="113" fillId="36" borderId="61" xfId="430" applyFont="1" applyFill="1" applyBorder="1" applyAlignment="1">
      <alignment horizontal="center" vertical="center"/>
    </xf>
    <xf numFmtId="0" fontId="113" fillId="36" borderId="63" xfId="430" applyFont="1" applyFill="1" applyBorder="1" applyAlignment="1">
      <alignment horizontal="center" vertical="center"/>
    </xf>
    <xf numFmtId="0" fontId="113" fillId="36" borderId="68" xfId="425" applyFont="1" applyFill="1" applyBorder="1" applyAlignment="1">
      <alignment horizontal="center" vertical="center"/>
    </xf>
    <xf numFmtId="0" fontId="113" fillId="36" borderId="69" xfId="425" applyFont="1" applyFill="1" applyBorder="1" applyAlignment="1">
      <alignment horizontal="center" vertical="center"/>
    </xf>
    <xf numFmtId="177" fontId="120" fillId="36" borderId="45" xfId="430" applyNumberFormat="1" applyFont="1" applyFill="1" applyBorder="1" applyAlignment="1">
      <alignment horizontal="center" vertical="center" wrapText="1"/>
    </xf>
    <xf numFmtId="0" fontId="114" fillId="0" borderId="0" xfId="0" applyFont="1" applyFill="1" applyBorder="1" applyAlignment="1">
      <alignment horizontal="center" vertical="center" wrapText="1"/>
    </xf>
    <xf numFmtId="186" fontId="113" fillId="0" borderId="0" xfId="425" applyNumberFormat="1" applyFont="1" applyFill="1" applyBorder="1" applyAlignment="1">
      <alignment horizontal="center" vertical="center" wrapText="1"/>
    </xf>
    <xf numFmtId="0" fontId="113" fillId="0" borderId="0" xfId="0" applyFont="1" applyFill="1" applyBorder="1" applyAlignment="1">
      <alignment horizontal="center" vertical="center"/>
    </xf>
    <xf numFmtId="0" fontId="114" fillId="36" borderId="86" xfId="425" applyFont="1" applyFill="1" applyBorder="1" applyAlignment="1">
      <alignment vertical="center"/>
    </xf>
    <xf numFmtId="0" fontId="114" fillId="36" borderId="6" xfId="425" applyFont="1" applyFill="1" applyBorder="1" applyAlignment="1">
      <alignment vertical="center"/>
    </xf>
    <xf numFmtId="0" fontId="114" fillId="36" borderId="84" xfId="425" applyFont="1" applyFill="1" applyBorder="1" applyAlignment="1">
      <alignment vertical="center"/>
    </xf>
    <xf numFmtId="0" fontId="120" fillId="36" borderId="23" xfId="425" applyFont="1" applyFill="1" applyBorder="1" applyAlignment="1">
      <alignment horizontal="center" vertical="center" wrapText="1"/>
    </xf>
    <xf numFmtId="0" fontId="120" fillId="36" borderId="25" xfId="425" applyFont="1" applyFill="1" applyBorder="1" applyAlignment="1">
      <alignment horizontal="center" vertical="center" wrapText="1"/>
    </xf>
    <xf numFmtId="0" fontId="113" fillId="36" borderId="34" xfId="425" applyFont="1" applyFill="1" applyBorder="1" applyAlignment="1">
      <alignment horizontal="center" vertical="center"/>
    </xf>
    <xf numFmtId="0" fontId="113" fillId="36" borderId="44" xfId="425" applyFont="1" applyFill="1" applyBorder="1" applyAlignment="1">
      <alignment horizontal="center" vertical="center"/>
    </xf>
    <xf numFmtId="0" fontId="121" fillId="36" borderId="151" xfId="425" applyFont="1" applyFill="1" applyBorder="1" applyAlignment="1">
      <alignment horizontal="center" vertical="center" wrapText="1"/>
    </xf>
    <xf numFmtId="0" fontId="121" fillId="36" borderId="152" xfId="425" applyFont="1" applyFill="1" applyBorder="1" applyAlignment="1">
      <alignment horizontal="center" vertical="center" wrapText="1"/>
    </xf>
    <xf numFmtId="0" fontId="120" fillId="36" borderId="70" xfId="425" applyFont="1" applyFill="1" applyBorder="1" applyAlignment="1">
      <alignment horizontal="center" vertical="center"/>
    </xf>
    <xf numFmtId="0" fontId="120" fillId="36" borderId="71" xfId="425" applyFont="1" applyFill="1" applyBorder="1" applyAlignment="1">
      <alignment horizontal="center" vertical="center"/>
    </xf>
    <xf numFmtId="0" fontId="120" fillId="36" borderId="72" xfId="425" applyFont="1" applyFill="1" applyBorder="1" applyAlignment="1">
      <alignment horizontal="center" vertical="center"/>
    </xf>
    <xf numFmtId="0" fontId="113" fillId="36" borderId="1" xfId="425" applyFont="1" applyFill="1" applyBorder="1" applyAlignment="1">
      <alignment horizontal="center" vertical="center" wrapText="1"/>
    </xf>
    <xf numFmtId="0" fontId="113" fillId="36" borderId="24" xfId="425" applyFont="1" applyFill="1" applyBorder="1" applyAlignment="1">
      <alignment horizontal="center" vertical="center" wrapText="1"/>
    </xf>
    <xf numFmtId="0" fontId="113" fillId="0" borderId="0" xfId="425" applyFont="1" applyFill="1" applyBorder="1" applyAlignment="1">
      <alignment vertical="center" shrinkToFit="1"/>
    </xf>
    <xf numFmtId="0" fontId="113" fillId="51" borderId="0" xfId="425" applyFont="1" applyFill="1" applyBorder="1" applyAlignment="1">
      <alignment vertical="center" shrinkToFit="1"/>
    </xf>
    <xf numFmtId="0" fontId="113" fillId="36" borderId="44" xfId="425" applyFont="1" applyFill="1" applyBorder="1" applyAlignment="1">
      <alignment horizontal="center" vertical="center" wrapText="1"/>
    </xf>
    <xf numFmtId="0" fontId="113" fillId="36" borderId="29" xfId="425" applyFont="1" applyFill="1" applyBorder="1" applyAlignment="1">
      <alignment horizontal="center" vertical="center" wrapText="1"/>
    </xf>
    <xf numFmtId="0" fontId="113" fillId="36" borderId="34" xfId="425" applyFont="1" applyFill="1" applyBorder="1" applyAlignment="1">
      <alignment horizontal="center" vertical="center" wrapText="1"/>
    </xf>
    <xf numFmtId="0" fontId="113" fillId="0" borderId="0" xfId="425" applyFont="1" applyFill="1" applyBorder="1" applyAlignment="1">
      <alignment horizontal="center" vertical="center" wrapText="1"/>
    </xf>
    <xf numFmtId="0" fontId="113" fillId="0" borderId="0" xfId="0" applyFont="1" applyFill="1" applyBorder="1" applyAlignment="1">
      <alignment horizontal="center" vertical="center" wrapText="1"/>
    </xf>
    <xf numFmtId="176" fontId="113" fillId="0" borderId="0" xfId="425" applyNumberFormat="1" applyFont="1" applyFill="1" applyBorder="1" applyAlignment="1">
      <alignment horizontal="center" vertical="center"/>
    </xf>
    <xf numFmtId="0" fontId="113" fillId="51" borderId="74" xfId="425" applyFont="1" applyFill="1" applyBorder="1" applyAlignment="1">
      <alignment horizontal="center" vertical="center" wrapText="1"/>
    </xf>
    <xf numFmtId="0" fontId="113" fillId="51" borderId="60" xfId="425" applyFont="1" applyFill="1" applyBorder="1" applyAlignment="1">
      <alignment horizontal="center" vertical="center" wrapText="1"/>
    </xf>
    <xf numFmtId="0" fontId="113" fillId="51" borderId="78" xfId="425" applyFont="1" applyFill="1" applyBorder="1" applyAlignment="1">
      <alignment horizontal="center" vertical="center" wrapText="1"/>
    </xf>
    <xf numFmtId="0" fontId="113" fillId="36" borderId="22" xfId="425" applyFont="1" applyFill="1" applyBorder="1" applyAlignment="1">
      <alignment horizontal="center" vertical="center" wrapText="1"/>
    </xf>
    <xf numFmtId="0" fontId="113" fillId="36" borderId="61" xfId="425" applyFont="1" applyFill="1" applyBorder="1" applyAlignment="1">
      <alignment horizontal="center" vertical="center" wrapText="1"/>
    </xf>
    <xf numFmtId="0" fontId="113" fillId="36" borderId="63" xfId="425" applyFont="1" applyFill="1" applyBorder="1" applyAlignment="1">
      <alignment horizontal="center" vertical="center" wrapText="1"/>
    </xf>
    <xf numFmtId="0" fontId="121" fillId="36" borderId="46" xfId="425" applyFont="1" applyFill="1" applyBorder="1" applyAlignment="1">
      <alignment horizontal="center" vertical="center" wrapText="1"/>
    </xf>
    <xf numFmtId="0" fontId="121" fillId="36" borderId="79" xfId="425" applyFont="1" applyFill="1" applyBorder="1" applyAlignment="1">
      <alignment horizontal="center" vertical="center" wrapText="1"/>
    </xf>
    <xf numFmtId="0" fontId="120" fillId="36" borderId="65" xfId="425" applyFont="1" applyFill="1" applyBorder="1" applyAlignment="1">
      <alignment horizontal="center" vertical="center" wrapText="1"/>
    </xf>
    <xf numFmtId="0" fontId="120" fillId="36" borderId="55" xfId="425" applyFont="1" applyFill="1" applyBorder="1" applyAlignment="1">
      <alignment horizontal="center" vertical="center" wrapText="1"/>
    </xf>
    <xf numFmtId="0" fontId="120" fillId="36" borderId="56" xfId="425" applyFont="1" applyFill="1" applyBorder="1" applyAlignment="1">
      <alignment horizontal="center" vertical="center" wrapText="1"/>
    </xf>
    <xf numFmtId="176" fontId="120" fillId="36" borderId="45" xfId="425" applyNumberFormat="1" applyFont="1" applyFill="1" applyBorder="1" applyAlignment="1">
      <alignment horizontal="center" vertical="center" wrapText="1"/>
    </xf>
    <xf numFmtId="176" fontId="120" fillId="36" borderId="77" xfId="425" applyNumberFormat="1" applyFont="1" applyFill="1" applyBorder="1" applyAlignment="1">
      <alignment horizontal="center" vertical="center" wrapText="1"/>
    </xf>
    <xf numFmtId="38" fontId="120" fillId="36" borderId="45" xfId="429" applyNumberFormat="1" applyFont="1" applyFill="1" applyBorder="1" applyAlignment="1">
      <alignment horizontal="center" vertical="center" wrapText="1"/>
    </xf>
    <xf numFmtId="38" fontId="120" fillId="36" borderId="77" xfId="429" applyNumberFormat="1" applyFont="1" applyFill="1" applyBorder="1" applyAlignment="1">
      <alignment horizontal="center" vertical="center" wrapText="1"/>
    </xf>
    <xf numFmtId="38" fontId="120" fillId="36" borderId="30" xfId="425" applyNumberFormat="1" applyFont="1" applyFill="1" applyBorder="1" applyAlignment="1">
      <alignment horizontal="center" vertical="center" wrapText="1"/>
    </xf>
    <xf numFmtId="38" fontId="120" fillId="36" borderId="32" xfId="425" applyNumberFormat="1" applyFont="1" applyFill="1" applyBorder="1" applyAlignment="1">
      <alignment horizontal="center" vertical="center" wrapText="1"/>
    </xf>
    <xf numFmtId="0" fontId="120" fillId="36" borderId="74" xfId="425" applyFont="1" applyFill="1" applyBorder="1" applyAlignment="1">
      <alignment horizontal="center" vertical="center" wrapText="1"/>
    </xf>
    <xf numFmtId="0" fontId="120" fillId="36" borderId="78" xfId="425" applyFont="1" applyFill="1" applyBorder="1" applyAlignment="1">
      <alignment horizontal="center" vertical="center" wrapText="1"/>
    </xf>
    <xf numFmtId="38" fontId="120" fillId="36" borderId="47" xfId="429" applyNumberFormat="1" applyFont="1" applyFill="1" applyBorder="1" applyAlignment="1">
      <alignment horizontal="center" vertical="center" wrapText="1"/>
    </xf>
    <xf numFmtId="38" fontId="120" fillId="36" borderId="38" xfId="429" applyNumberFormat="1" applyFont="1" applyFill="1" applyBorder="1" applyAlignment="1">
      <alignment horizontal="center" vertical="center" wrapText="1"/>
    </xf>
    <xf numFmtId="38" fontId="120" fillId="36" borderId="37" xfId="429" applyNumberFormat="1" applyFont="1" applyFill="1" applyBorder="1" applyAlignment="1">
      <alignment horizontal="center" vertical="center" wrapText="1"/>
    </xf>
    <xf numFmtId="0" fontId="116" fillId="0" borderId="0" xfId="425" applyFont="1" applyFill="1" applyBorder="1" applyAlignment="1">
      <alignment horizontal="center" vertical="center" wrapText="1"/>
    </xf>
    <xf numFmtId="0" fontId="113" fillId="63" borderId="74" xfId="425" applyFont="1" applyFill="1" applyBorder="1" applyAlignment="1">
      <alignment horizontal="center" vertical="center" wrapText="1"/>
    </xf>
    <xf numFmtId="0" fontId="113" fillId="63" borderId="60" xfId="425" applyFont="1" applyFill="1" applyBorder="1" applyAlignment="1">
      <alignment horizontal="center" vertical="center" wrapText="1"/>
    </xf>
    <xf numFmtId="0" fontId="113" fillId="63" borderId="78" xfId="425" applyFont="1" applyFill="1" applyBorder="1" applyAlignment="1">
      <alignment horizontal="center" vertical="center" wrapText="1"/>
    </xf>
    <xf numFmtId="173" fontId="113" fillId="0" borderId="0" xfId="425" applyNumberFormat="1" applyFont="1" applyFill="1" applyBorder="1" applyAlignment="1">
      <alignment horizontal="center" vertical="center" shrinkToFit="1"/>
    </xf>
    <xf numFmtId="0" fontId="113" fillId="0" borderId="0" xfId="425" applyFont="1" applyFill="1" applyBorder="1" applyAlignment="1">
      <alignment horizontal="center" vertical="center" shrinkToFit="1"/>
    </xf>
    <xf numFmtId="0" fontId="113" fillId="51" borderId="22" xfId="425" applyFont="1" applyFill="1" applyBorder="1" applyAlignment="1">
      <alignment horizontal="center" vertical="center"/>
    </xf>
    <xf numFmtId="0" fontId="113" fillId="51" borderId="61" xfId="425" applyFont="1" applyFill="1" applyBorder="1" applyAlignment="1">
      <alignment horizontal="center" vertical="center"/>
    </xf>
    <xf numFmtId="0" fontId="113" fillId="51" borderId="63" xfId="425" applyFont="1" applyFill="1" applyBorder="1" applyAlignment="1">
      <alignment horizontal="center" vertical="center"/>
    </xf>
    <xf numFmtId="176" fontId="113" fillId="0" borderId="0" xfId="425" applyNumberFormat="1" applyFont="1" applyFill="1" applyBorder="1" applyAlignment="1">
      <alignment horizontal="center" vertical="center" wrapText="1"/>
    </xf>
    <xf numFmtId="181" fontId="113" fillId="51" borderId="82" xfId="425" applyNumberFormat="1" applyFont="1" applyFill="1" applyBorder="1" applyAlignment="1">
      <alignment horizontal="center" vertical="center" wrapText="1"/>
    </xf>
    <xf numFmtId="181" fontId="113" fillId="51" borderId="128" xfId="425" applyNumberFormat="1" applyFont="1" applyFill="1" applyBorder="1" applyAlignment="1">
      <alignment horizontal="center" vertical="center" wrapText="1"/>
    </xf>
    <xf numFmtId="181" fontId="113" fillId="51" borderId="73" xfId="425" applyNumberFormat="1" applyFont="1" applyFill="1" applyBorder="1" applyAlignment="1">
      <alignment horizontal="center" vertical="center" wrapText="1"/>
    </xf>
    <xf numFmtId="176" fontId="121" fillId="51" borderId="46" xfId="425" applyNumberFormat="1" applyFont="1" applyFill="1" applyBorder="1" applyAlignment="1">
      <alignment horizontal="center" vertical="center" wrapText="1"/>
    </xf>
    <xf numFmtId="176" fontId="121" fillId="51" borderId="95" xfId="425" applyNumberFormat="1" applyFont="1" applyFill="1" applyBorder="1" applyAlignment="1">
      <alignment horizontal="center" vertical="center" wrapText="1"/>
    </xf>
    <xf numFmtId="176" fontId="121" fillId="51" borderId="79" xfId="425" applyNumberFormat="1" applyFont="1" applyFill="1" applyBorder="1" applyAlignment="1">
      <alignment horizontal="center" vertical="center" wrapText="1"/>
    </xf>
    <xf numFmtId="0" fontId="113" fillId="51" borderId="53" xfId="425" applyFont="1" applyFill="1" applyBorder="1" applyAlignment="1">
      <alignment horizontal="center" vertical="center" wrapText="1"/>
    </xf>
    <xf numFmtId="0" fontId="113" fillId="51" borderId="89" xfId="425" applyFont="1" applyFill="1" applyBorder="1" applyAlignment="1">
      <alignment horizontal="center" vertical="center" wrapText="1"/>
    </xf>
    <xf numFmtId="0" fontId="113" fillId="51" borderId="41" xfId="425" applyFont="1" applyFill="1" applyBorder="1" applyAlignment="1">
      <alignment horizontal="center" vertical="center" wrapText="1"/>
    </xf>
    <xf numFmtId="38" fontId="113" fillId="0" borderId="0" xfId="425" applyNumberFormat="1" applyFont="1" applyFill="1" applyBorder="1" applyAlignment="1">
      <alignment horizontal="center" vertical="center" wrapText="1"/>
    </xf>
    <xf numFmtId="0" fontId="114" fillId="51" borderId="0" xfId="425" applyFont="1" applyFill="1" applyAlignment="1">
      <alignment horizontal="left" vertical="top"/>
    </xf>
    <xf numFmtId="0" fontId="114" fillId="51" borderId="16" xfId="425" applyFont="1" applyFill="1" applyBorder="1" applyAlignment="1">
      <alignment horizontal="left" vertical="top"/>
    </xf>
    <xf numFmtId="10" fontId="113" fillId="62" borderId="44" xfId="425" applyNumberFormat="1" applyFont="1" applyFill="1" applyBorder="1" applyAlignment="1">
      <alignment horizontal="center" vertical="center"/>
    </xf>
    <xf numFmtId="10" fontId="113" fillId="62" borderId="29" xfId="425" applyNumberFormat="1" applyFont="1" applyFill="1" applyBorder="1" applyAlignment="1">
      <alignment horizontal="center" vertical="center"/>
    </xf>
    <xf numFmtId="10" fontId="113" fillId="62" borderId="64" xfId="425" applyNumberFormat="1" applyFont="1" applyFill="1" applyBorder="1" applyAlignment="1">
      <alignment horizontal="center" vertical="center"/>
    </xf>
    <xf numFmtId="49" fontId="113" fillId="51" borderId="22" xfId="425" applyNumberFormat="1" applyFont="1" applyFill="1" applyBorder="1" applyAlignment="1">
      <alignment horizontal="center" vertical="center"/>
    </xf>
    <xf numFmtId="49" fontId="113" fillId="51" borderId="61" xfId="425" applyNumberFormat="1" applyFont="1" applyFill="1" applyBorder="1" applyAlignment="1">
      <alignment horizontal="center" vertical="center"/>
    </xf>
    <xf numFmtId="49" fontId="113" fillId="51" borderId="39" xfId="425" applyNumberFormat="1" applyFont="1" applyFill="1" applyBorder="1" applyAlignment="1">
      <alignment horizontal="center" vertical="center"/>
    </xf>
    <xf numFmtId="0" fontId="113" fillId="51" borderId="91" xfId="425" applyFont="1" applyFill="1" applyBorder="1" applyAlignment="1">
      <alignment horizontal="center" vertical="center" wrapText="1"/>
    </xf>
    <xf numFmtId="0" fontId="113" fillId="51" borderId="14" xfId="425" applyFont="1" applyFill="1" applyBorder="1" applyAlignment="1">
      <alignment horizontal="center" vertical="center" wrapText="1"/>
    </xf>
    <xf numFmtId="0" fontId="113" fillId="51" borderId="22" xfId="425" applyFont="1" applyFill="1" applyBorder="1" applyAlignment="1">
      <alignment horizontal="center" vertical="center" wrapText="1"/>
    </xf>
    <xf numFmtId="0" fontId="113" fillId="51" borderId="23" xfId="425" applyFont="1" applyFill="1" applyBorder="1" applyAlignment="1">
      <alignment horizontal="center" vertical="center"/>
    </xf>
    <xf numFmtId="0" fontId="113" fillId="51" borderId="110" xfId="425" applyFont="1" applyFill="1" applyBorder="1" applyAlignment="1">
      <alignment horizontal="center" vertical="center"/>
    </xf>
    <xf numFmtId="0" fontId="113" fillId="51" borderId="45" xfId="425" applyFont="1" applyFill="1" applyBorder="1" applyAlignment="1">
      <alignment horizontal="center" vertical="center" wrapText="1"/>
    </xf>
    <xf numFmtId="0" fontId="113" fillId="51" borderId="59" xfId="425" applyFont="1" applyFill="1" applyBorder="1" applyAlignment="1">
      <alignment horizontal="center" vertical="center" wrapText="1"/>
    </xf>
    <xf numFmtId="243" fontId="113" fillId="61" borderId="44" xfId="425" applyNumberFormat="1" applyFont="1" applyFill="1" applyBorder="1" applyAlignment="1">
      <alignment horizontal="center" vertical="center"/>
    </xf>
    <xf numFmtId="243" fontId="113" fillId="61" borderId="29" xfId="425" applyNumberFormat="1" applyFont="1" applyFill="1" applyBorder="1" applyAlignment="1">
      <alignment horizontal="center" vertical="center"/>
    </xf>
    <xf numFmtId="243" fontId="113" fillId="61" borderId="64" xfId="425" applyNumberFormat="1" applyFont="1" applyFill="1" applyBorder="1" applyAlignment="1">
      <alignment horizontal="center" vertical="center"/>
    </xf>
    <xf numFmtId="49" fontId="113" fillId="51" borderId="74" xfId="425" applyNumberFormat="1" applyFont="1" applyFill="1" applyBorder="1" applyAlignment="1">
      <alignment horizontal="center" vertical="center" wrapText="1"/>
    </xf>
    <xf numFmtId="49" fontId="113" fillId="51" borderId="60" xfId="425" applyNumberFormat="1" applyFont="1" applyFill="1" applyBorder="1" applyAlignment="1">
      <alignment horizontal="center" vertical="center" wrapText="1"/>
    </xf>
    <xf numFmtId="49" fontId="113" fillId="51" borderId="78" xfId="425" applyNumberFormat="1" applyFont="1" applyFill="1" applyBorder="1" applyAlignment="1">
      <alignment horizontal="center" vertical="center" wrapText="1"/>
    </xf>
    <xf numFmtId="38" fontId="120" fillId="36" borderId="60" xfId="429" applyNumberFormat="1" applyFont="1" applyFill="1" applyBorder="1" applyAlignment="1">
      <alignment horizontal="center" vertical="center" wrapText="1"/>
    </xf>
    <xf numFmtId="38" fontId="120" fillId="36" borderId="78" xfId="429" applyNumberFormat="1" applyFont="1" applyFill="1" applyBorder="1" applyAlignment="1">
      <alignment horizontal="center" vertical="center" wrapText="1"/>
    </xf>
    <xf numFmtId="38" fontId="113" fillId="36" borderId="1" xfId="429" applyNumberFormat="1" applyFont="1" applyFill="1" applyBorder="1" applyAlignment="1">
      <alignment horizontal="center" vertical="center" wrapText="1"/>
    </xf>
    <xf numFmtId="38" fontId="113" fillId="36" borderId="26" xfId="429" applyNumberFormat="1" applyFont="1" applyFill="1" applyBorder="1" applyAlignment="1">
      <alignment horizontal="center" vertical="center" wrapText="1"/>
    </xf>
    <xf numFmtId="38" fontId="120" fillId="36" borderId="95" xfId="429" applyNumberFormat="1" applyFont="1" applyFill="1" applyBorder="1" applyAlignment="1">
      <alignment horizontal="center" vertical="center" wrapText="1"/>
    </xf>
    <xf numFmtId="38" fontId="120" fillId="36" borderId="79" xfId="429" applyNumberFormat="1" applyFont="1" applyFill="1" applyBorder="1" applyAlignment="1">
      <alignment horizontal="center" vertical="center" wrapText="1"/>
    </xf>
    <xf numFmtId="173" fontId="121" fillId="0" borderId="0" xfId="425" applyNumberFormat="1" applyFont="1" applyFill="1" applyBorder="1" applyAlignment="1">
      <alignment horizontal="center" vertical="center" wrapText="1"/>
    </xf>
    <xf numFmtId="173" fontId="113" fillId="0" borderId="0" xfId="425" applyNumberFormat="1" applyFont="1" applyFill="1" applyBorder="1" applyAlignment="1">
      <alignment horizontal="center" vertical="center" wrapText="1"/>
    </xf>
    <xf numFmtId="38" fontId="120" fillId="36" borderId="82" xfId="429" applyNumberFormat="1" applyFont="1" applyFill="1" applyBorder="1" applyAlignment="1">
      <alignment horizontal="center" vertical="center" wrapText="1"/>
    </xf>
    <xf numFmtId="38" fontId="120" fillId="36" borderId="73" xfId="429" applyNumberFormat="1" applyFont="1" applyFill="1" applyBorder="1" applyAlignment="1">
      <alignment horizontal="center" vertical="center" wrapText="1"/>
    </xf>
    <xf numFmtId="38" fontId="120" fillId="36" borderId="59" xfId="429" applyNumberFormat="1" applyFont="1" applyFill="1" applyBorder="1" applyAlignment="1">
      <alignment horizontal="center" vertical="center" wrapText="1"/>
    </xf>
    <xf numFmtId="176" fontId="113" fillId="0" borderId="0" xfId="432" applyNumberFormat="1" applyFont="1" applyFill="1" applyBorder="1" applyAlignment="1">
      <alignment horizontal="left" vertical="center" shrinkToFit="1"/>
    </xf>
    <xf numFmtId="0" fontId="113" fillId="0" borderId="0" xfId="425" applyFont="1" applyFill="1" applyBorder="1" applyAlignment="1">
      <alignment horizontal="left" vertical="center"/>
    </xf>
    <xf numFmtId="0" fontId="113" fillId="63" borderId="24" xfId="425" applyFont="1" applyFill="1" applyBorder="1" applyAlignment="1">
      <alignment horizontal="center" vertical="center" wrapText="1"/>
    </xf>
    <xf numFmtId="0" fontId="113" fillId="63" borderId="46" xfId="425" applyFont="1" applyFill="1" applyBorder="1" applyAlignment="1">
      <alignment horizontal="center" vertical="center" wrapText="1"/>
    </xf>
    <xf numFmtId="0" fontId="113" fillId="51" borderId="62" xfId="425" applyFont="1" applyFill="1" applyBorder="1" applyAlignment="1">
      <alignment vertical="center"/>
    </xf>
    <xf numFmtId="0" fontId="113" fillId="51" borderId="61" xfId="425" applyFont="1" applyFill="1" applyBorder="1" applyAlignment="1">
      <alignment vertical="center"/>
    </xf>
    <xf numFmtId="0" fontId="113" fillId="51" borderId="63" xfId="425" applyFont="1" applyFill="1" applyBorder="1" applyAlignment="1">
      <alignment vertical="center"/>
    </xf>
    <xf numFmtId="49" fontId="113" fillId="63" borderId="54" xfId="425" applyNumberFormat="1" applyFont="1" applyFill="1" applyBorder="1" applyAlignment="1">
      <alignment horizontal="center" vertical="center"/>
    </xf>
    <xf numFmtId="49" fontId="113" fillId="63" borderId="133" xfId="425" applyNumberFormat="1" applyFont="1" applyFill="1" applyBorder="1" applyAlignment="1">
      <alignment horizontal="center" vertical="center"/>
    </xf>
    <xf numFmtId="49" fontId="113" fillId="63" borderId="71" xfId="425" applyNumberFormat="1" applyFont="1" applyFill="1" applyBorder="1" applyAlignment="1">
      <alignment horizontal="center" vertical="center"/>
    </xf>
    <xf numFmtId="49" fontId="113" fillId="63" borderId="43" xfId="425" applyNumberFormat="1" applyFont="1" applyFill="1" applyBorder="1" applyAlignment="1">
      <alignment horizontal="center" vertical="center"/>
    </xf>
    <xf numFmtId="49" fontId="113" fillId="63" borderId="62" xfId="425" applyNumberFormat="1" applyFont="1" applyFill="1" applyBorder="1" applyAlignment="1">
      <alignment horizontal="center" vertical="center" wrapText="1"/>
    </xf>
    <xf numFmtId="49" fontId="113" fillId="63" borderId="44" xfId="425" applyNumberFormat="1" applyFont="1" applyFill="1" applyBorder="1" applyAlignment="1">
      <alignment horizontal="center" vertical="center" wrapText="1"/>
    </xf>
    <xf numFmtId="49" fontId="113" fillId="63" borderId="82" xfId="425" applyNumberFormat="1" applyFont="1" applyFill="1" applyBorder="1" applyAlignment="1">
      <alignment horizontal="center" vertical="center" wrapText="1"/>
    </xf>
    <xf numFmtId="175" fontId="113" fillId="62" borderId="44" xfId="425" applyNumberFormat="1" applyFont="1" applyFill="1" applyBorder="1" applyAlignment="1">
      <alignment horizontal="center" vertical="center"/>
    </xf>
    <xf numFmtId="175" fontId="113" fillId="62" borderId="29" xfId="425" applyNumberFormat="1" applyFont="1" applyFill="1" applyBorder="1" applyAlignment="1">
      <alignment horizontal="center" vertical="center"/>
    </xf>
    <xf numFmtId="175" fontId="113" fillId="62" borderId="64" xfId="425" applyNumberFormat="1" applyFont="1" applyFill="1" applyBorder="1" applyAlignment="1">
      <alignment horizontal="center" vertical="center"/>
    </xf>
    <xf numFmtId="0" fontId="113" fillId="36" borderId="132" xfId="425" applyFont="1" applyFill="1" applyBorder="1" applyAlignment="1">
      <alignment horizontal="center" vertical="center" wrapText="1"/>
    </xf>
    <xf numFmtId="0" fontId="113" fillId="36" borderId="77" xfId="425" applyFont="1" applyFill="1" applyBorder="1" applyAlignment="1">
      <alignment horizontal="center" vertical="center" wrapText="1"/>
    </xf>
    <xf numFmtId="0" fontId="113" fillId="36" borderId="130" xfId="425" applyFont="1" applyFill="1" applyBorder="1" applyAlignment="1">
      <alignment horizontal="center" vertical="center" wrapText="1"/>
    </xf>
    <xf numFmtId="0" fontId="113" fillId="36" borderId="79" xfId="425" applyFont="1" applyFill="1" applyBorder="1" applyAlignment="1">
      <alignment horizontal="center" vertical="center" wrapText="1"/>
    </xf>
    <xf numFmtId="10" fontId="113" fillId="36" borderId="27" xfId="425" applyNumberFormat="1" applyFont="1" applyFill="1" applyBorder="1" applyAlignment="1">
      <alignment horizontal="center" vertical="center"/>
    </xf>
    <xf numFmtId="10" fontId="113" fillId="36" borderId="28" xfId="425" applyNumberFormat="1" applyFont="1" applyFill="1" applyBorder="1" applyAlignment="1">
      <alignment horizontal="center" vertical="center"/>
    </xf>
    <xf numFmtId="49" fontId="113" fillId="36" borderId="40" xfId="425" applyNumberFormat="1" applyFont="1" applyFill="1" applyBorder="1" applyAlignment="1">
      <alignment horizontal="center" vertical="center"/>
    </xf>
    <xf numFmtId="49" fontId="113" fillId="36" borderId="26" xfId="425" applyNumberFormat="1" applyFont="1" applyFill="1" applyBorder="1" applyAlignment="1">
      <alignment horizontal="center" vertical="center"/>
    </xf>
    <xf numFmtId="0" fontId="113" fillId="36" borderId="131" xfId="425" applyFont="1" applyFill="1" applyBorder="1" applyAlignment="1">
      <alignment horizontal="center" vertical="center" wrapText="1"/>
    </xf>
    <xf numFmtId="0" fontId="113" fillId="36" borderId="78" xfId="425" applyFont="1" applyFill="1" applyBorder="1" applyAlignment="1">
      <alignment horizontal="center" vertical="center" wrapText="1"/>
    </xf>
    <xf numFmtId="49" fontId="113" fillId="63" borderId="59" xfId="425" applyNumberFormat="1" applyFont="1" applyFill="1" applyBorder="1" applyAlignment="1">
      <alignment horizontal="center" vertical="center"/>
    </xf>
    <xf numFmtId="10" fontId="113" fillId="36" borderId="62" xfId="425" applyNumberFormat="1" applyFont="1" applyFill="1" applyBorder="1" applyAlignment="1">
      <alignment horizontal="center" vertical="center"/>
    </xf>
    <xf numFmtId="0" fontId="113" fillId="36" borderId="52" xfId="425" applyFont="1" applyFill="1" applyBorder="1" applyAlignment="1">
      <alignment horizontal="center" vertical="center" wrapText="1"/>
    </xf>
    <xf numFmtId="0" fontId="113" fillId="36" borderId="42" xfId="425" applyFont="1" applyFill="1" applyBorder="1" applyAlignment="1">
      <alignment horizontal="center" vertical="center" wrapText="1"/>
    </xf>
    <xf numFmtId="0" fontId="113" fillId="36" borderId="153" xfId="425" applyFont="1" applyFill="1" applyBorder="1" applyAlignment="1">
      <alignment horizontal="center" vertical="center" wrapText="1"/>
    </xf>
    <xf numFmtId="0" fontId="113" fillId="36" borderId="36" xfId="425" applyFont="1" applyFill="1" applyBorder="1" applyAlignment="1">
      <alignment horizontal="center" vertical="center" wrapText="1"/>
    </xf>
    <xf numFmtId="0" fontId="113" fillId="36" borderId="154" xfId="425" applyFont="1" applyFill="1" applyBorder="1" applyAlignment="1">
      <alignment horizontal="center" vertical="center" wrapText="1"/>
    </xf>
    <xf numFmtId="0" fontId="113" fillId="36" borderId="33" xfId="425" applyFont="1" applyFill="1" applyBorder="1" applyAlignment="1">
      <alignment horizontal="center" vertical="center" wrapText="1"/>
    </xf>
    <xf numFmtId="0" fontId="113" fillId="36" borderId="165" xfId="425" applyFont="1" applyFill="1" applyBorder="1" applyAlignment="1">
      <alignment vertical="center"/>
    </xf>
    <xf numFmtId="0" fontId="113" fillId="36" borderId="42" xfId="425" applyFont="1" applyFill="1" applyBorder="1" applyAlignment="1">
      <alignment vertical="center"/>
    </xf>
    <xf numFmtId="0" fontId="113" fillId="36" borderId="155" xfId="425" applyFont="1" applyFill="1" applyBorder="1" applyAlignment="1">
      <alignment horizontal="center" vertical="center" wrapText="1"/>
    </xf>
    <xf numFmtId="0" fontId="113" fillId="36" borderId="156" xfId="425" applyFont="1" applyFill="1" applyBorder="1" applyAlignment="1">
      <alignment horizontal="center" vertical="center" wrapText="1"/>
    </xf>
    <xf numFmtId="38" fontId="120" fillId="36" borderId="1" xfId="425" applyNumberFormat="1" applyFont="1" applyFill="1" applyBorder="1" applyAlignment="1">
      <alignment horizontal="center" vertical="center" wrapText="1"/>
    </xf>
    <xf numFmtId="38" fontId="120" fillId="36" borderId="26" xfId="425" applyNumberFormat="1" applyFont="1" applyFill="1" applyBorder="1" applyAlignment="1">
      <alignment horizontal="center" vertical="center" wrapText="1"/>
    </xf>
    <xf numFmtId="177" fontId="121" fillId="36" borderId="114" xfId="430" applyNumberFormat="1" applyFont="1" applyFill="1" applyBorder="1" applyAlignment="1">
      <alignment horizontal="center" vertical="center" wrapText="1"/>
    </xf>
    <xf numFmtId="177" fontId="121" fillId="36" borderId="16" xfId="430" applyNumberFormat="1" applyFont="1" applyFill="1" applyBorder="1" applyAlignment="1">
      <alignment horizontal="center" vertical="center" wrapText="1"/>
    </xf>
    <xf numFmtId="0" fontId="113" fillId="0" borderId="0" xfId="425" applyFont="1" applyFill="1" applyBorder="1" applyAlignment="1">
      <alignment vertical="center"/>
    </xf>
    <xf numFmtId="181" fontId="113" fillId="0" borderId="0" xfId="425" applyNumberFormat="1" applyFont="1" applyFill="1" applyBorder="1" applyAlignment="1">
      <alignment horizontal="center" vertical="center" wrapText="1"/>
    </xf>
    <xf numFmtId="0" fontId="120" fillId="0" borderId="0" xfId="425" applyFont="1" applyFill="1" applyBorder="1" applyAlignment="1">
      <alignment horizontal="center" vertical="center" wrapText="1"/>
    </xf>
    <xf numFmtId="0" fontId="120" fillId="0" borderId="0" xfId="425" applyFont="1" applyFill="1" applyBorder="1" applyAlignment="1">
      <alignment horizontal="center" vertical="center"/>
    </xf>
    <xf numFmtId="49" fontId="113" fillId="51" borderId="62" xfId="425" applyNumberFormat="1" applyFont="1" applyFill="1" applyBorder="1" applyAlignment="1">
      <alignment horizontal="center" vertical="center"/>
    </xf>
    <xf numFmtId="49" fontId="113" fillId="59" borderId="167" xfId="425" applyNumberFormat="1" applyFont="1" applyFill="1" applyBorder="1" applyAlignment="1">
      <alignment horizontal="center" vertical="center" wrapText="1"/>
    </xf>
    <xf numFmtId="49" fontId="113" fillId="59" borderId="168" xfId="425" applyNumberFormat="1" applyFont="1" applyFill="1" applyBorder="1" applyAlignment="1">
      <alignment horizontal="center" vertical="center" wrapText="1"/>
    </xf>
    <xf numFmtId="49" fontId="113" fillId="59" borderId="169" xfId="425" applyNumberFormat="1" applyFont="1" applyFill="1" applyBorder="1" applyAlignment="1">
      <alignment horizontal="center" vertical="center" wrapText="1"/>
    </xf>
    <xf numFmtId="49" fontId="113" fillId="51" borderId="170" xfId="425" applyNumberFormat="1" applyFont="1" applyFill="1" applyBorder="1" applyAlignment="1">
      <alignment horizontal="center" vertical="center" wrapText="1"/>
    </xf>
    <xf numFmtId="49" fontId="113" fillId="51" borderId="171" xfId="425" applyNumberFormat="1" applyFont="1" applyFill="1" applyBorder="1" applyAlignment="1">
      <alignment horizontal="center" vertical="center" wrapText="1"/>
    </xf>
    <xf numFmtId="49" fontId="113" fillId="51" borderId="172" xfId="425" applyNumberFormat="1" applyFont="1" applyFill="1" applyBorder="1" applyAlignment="1">
      <alignment horizontal="center" vertical="center" wrapText="1"/>
    </xf>
    <xf numFmtId="179" fontId="121" fillId="0" borderId="167" xfId="425" applyNumberFormat="1" applyFont="1" applyFill="1" applyBorder="1" applyAlignment="1">
      <alignment horizontal="center" vertical="center" wrapText="1"/>
    </xf>
    <xf numFmtId="179" fontId="121" fillId="0" borderId="168" xfId="425" applyNumberFormat="1" applyFont="1" applyFill="1" applyBorder="1" applyAlignment="1">
      <alignment horizontal="center" vertical="center" wrapText="1"/>
    </xf>
    <xf numFmtId="179" fontId="121" fillId="0" borderId="169" xfId="425" applyNumberFormat="1" applyFont="1" applyFill="1" applyBorder="1" applyAlignment="1">
      <alignment horizontal="center" vertical="center" wrapText="1"/>
    </xf>
    <xf numFmtId="0" fontId="113" fillId="51" borderId="132" xfId="425" applyFont="1" applyFill="1" applyBorder="1" applyAlignment="1">
      <alignment horizontal="center" vertical="center" wrapText="1"/>
    </xf>
    <xf numFmtId="0" fontId="113" fillId="51" borderId="77" xfId="425" applyFont="1" applyFill="1" applyBorder="1" applyAlignment="1">
      <alignment horizontal="center" vertical="center" wrapText="1"/>
    </xf>
    <xf numFmtId="0" fontId="113" fillId="51" borderId="0" xfId="425" applyFont="1" applyFill="1" applyAlignment="1">
      <alignment horizontal="right" vertical="center"/>
    </xf>
    <xf numFmtId="0" fontId="0" fillId="0" borderId="10" xfId="0" applyBorder="1" applyAlignment="1">
      <alignment horizontal="center"/>
    </xf>
    <xf numFmtId="0" fontId="0" fillId="0" borderId="86" xfId="0" applyBorder="1" applyAlignment="1">
      <alignment horizontal="center" wrapText="1"/>
    </xf>
    <xf numFmtId="0" fontId="0" fillId="0" borderId="84" xfId="0" applyBorder="1" applyAlignment="1">
      <alignment horizontal="center" wrapText="1"/>
    </xf>
    <xf numFmtId="0" fontId="0" fillId="0" borderId="13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57" xfId="0" applyBorder="1" applyAlignment="1">
      <alignment horizontal="center"/>
    </xf>
    <xf numFmtId="0" fontId="57" fillId="58" borderId="163" xfId="0" applyFont="1" applyFill="1" applyBorder="1" applyAlignment="1">
      <alignment horizontal="center"/>
    </xf>
    <xf numFmtId="0" fontId="57" fillId="58" borderId="164" xfId="0" applyFont="1" applyFill="1" applyBorder="1" applyAlignment="1">
      <alignment horizontal="center"/>
    </xf>
    <xf numFmtId="0" fontId="57" fillId="58" borderId="162" xfId="0" applyFont="1" applyFill="1" applyBorder="1" applyAlignment="1">
      <alignment horizontal="center"/>
    </xf>
    <xf numFmtId="0" fontId="113" fillId="0" borderId="27" xfId="258" applyNumberFormat="1" applyFont="1" applyFill="1" applyBorder="1" applyAlignment="1">
      <alignment vertical="center"/>
    </xf>
    <xf numFmtId="10" fontId="113" fillId="0" borderId="40" xfId="258" applyNumberFormat="1" applyFont="1" applyFill="1" applyBorder="1" applyAlignment="1">
      <alignment horizontal="right" vertical="center"/>
    </xf>
    <xf numFmtId="10" fontId="113" fillId="63" borderId="27" xfId="425" applyNumberFormat="1" applyFont="1" applyFill="1" applyBorder="1" applyAlignment="1">
      <alignment vertical="center"/>
    </xf>
  </cellXfs>
  <cellStyles count="450">
    <cellStyle name="_x0001_" xfId="1" xr:uid="{00000000-0005-0000-0000-000000000000}"/>
    <cellStyle name="､@ｯ・laroux" xfId="2" xr:uid="{00000000-0005-0000-0000-000001000000}"/>
    <cellStyle name="??" xfId="3" xr:uid="{00000000-0005-0000-0000-000002000000}"/>
    <cellStyle name="?? [0.00]_Book2 ??? 2" xfId="4" xr:uid="{00000000-0005-0000-0000-000003000000}"/>
    <cellStyle name="???? [0.00]_Person" xfId="5" xr:uid="{00000000-0005-0000-0000-000004000000}"/>
    <cellStyle name="????????????????? [0]_Person" xfId="6" xr:uid="{00000000-0005-0000-0000-000005000000}"/>
    <cellStyle name="??????????????????? [0]_Person" xfId="7" xr:uid="{00000000-0005-0000-0000-000006000000}"/>
    <cellStyle name="???????????????????_Person" xfId="8" xr:uid="{00000000-0005-0000-0000-000007000000}"/>
    <cellStyle name="?????????????????_Person" xfId="9" xr:uid="{00000000-0005-0000-0000-000008000000}"/>
    <cellStyle name="????_Person" xfId="10" xr:uid="{00000000-0005-0000-0000-000009000000}"/>
    <cellStyle name="??_~1507251" xfId="11" xr:uid="{00000000-0005-0000-0000-00000A000000}"/>
    <cellStyle name="???_ArticleMacro" xfId="12" xr:uid="{00000000-0005-0000-0000-00000B000000}"/>
    <cellStyle name="?…?a唇?e_laroux" xfId="13" xr:uid="{00000000-0005-0000-0000-00000C000000}"/>
    <cellStyle name="?W準_?}?E-1001" xfId="14" xr:uid="{00000000-0005-0000-0000-00000D000000}"/>
    <cellStyle name="?_ArticleMacro" xfId="15" xr:uid="{00000000-0005-0000-0000-00000E000000}"/>
    <cellStyle name="_080401RNB007_THDパッド設計基準2" xfId="16" xr:uid="{00000000-0005-0000-0000-00000F000000}"/>
    <cellStyle name="_120327原価計算" xfId="17" xr:uid="{00000000-0005-0000-0000-000010000000}"/>
    <cellStyle name="_120423原価計算" xfId="18" xr:uid="{00000000-0005-0000-0000-000011000000}"/>
    <cellStyle name="_2013.2.20最新データまとめ" xfId="19" xr:uid="{00000000-0005-0000-0000-000012000000}"/>
    <cellStyle name="_2013.2.20最新データまとめ_N-BOX 現状PL_2013.2.21" xfId="20" xr:uid="{00000000-0005-0000-0000-000013000000}"/>
    <cellStyle name="_2013.2.20最新データまとめ_N-BOX 現状PL_2013.3.22" xfId="21" xr:uid="{00000000-0005-0000-0000-000014000000}"/>
    <cellStyle name="_2013.2.20最新データまとめ_N-BOX 現状PL_2013.4.22" xfId="22" xr:uid="{00000000-0005-0000-0000-000015000000}"/>
    <cellStyle name="_2013.2.20最新データまとめ_N-BOX 現状PL_2013.5.24" xfId="23" xr:uid="{00000000-0005-0000-0000-000016000000}"/>
    <cellStyle name="_2013.2.20最新データまとめ_N-BOX 現状PL_2013.6.24" xfId="24" xr:uid="{00000000-0005-0000-0000-000017000000}"/>
    <cellStyle name="_2013.2.20最新データまとめ_N-BOX 現状PL_2013.7.15" xfId="25" xr:uid="{00000000-0005-0000-0000-000018000000}"/>
    <cellStyle name="_2013.2.20最新データまとめ_PL120510" xfId="26" xr:uid="{00000000-0005-0000-0000-000019000000}"/>
    <cellStyle name="_FBサイズ見積り" xfId="27" xr:uid="{00000000-0005-0000-0000-00001A000000}"/>
    <cellStyle name="_HMB-077 原低施策表" xfId="28" xr:uid="{00000000-0005-0000-0000-00001B000000}"/>
    <cellStyle name="_HMB-077_回路分析（白鳥）-3" xfId="29" xr:uid="{00000000-0005-0000-0000-00001C000000}"/>
    <cellStyle name="_HMB-077_回路分析（白鳥）-6" xfId="30" xr:uid="{00000000-0005-0000-0000-00001D000000}"/>
    <cellStyle name="_HMB077_基板面積算出シート（090619検討）" xfId="31" xr:uid="{00000000-0005-0000-0000-00001E000000}"/>
    <cellStyle name="_N-BOX 現状PL_2012.06.05" xfId="32" xr:uid="{00000000-0005-0000-0000-00001F000000}"/>
    <cellStyle name="_N-BOX 現状PL_2012.07.18" xfId="33" xr:uid="{00000000-0005-0000-0000-000020000000}"/>
    <cellStyle name="_N-BOX 現状PL_2012.09.21" xfId="34" xr:uid="{00000000-0005-0000-0000-000021000000}"/>
    <cellStyle name="_N-BOX 現状PL_2012.10.2" xfId="35" xr:uid="{00000000-0005-0000-0000-000022000000}"/>
    <cellStyle name="_N-BOX 現状PL_2012.11.26" xfId="36" xr:uid="{00000000-0005-0000-0000-000023000000}"/>
    <cellStyle name="_N-BOX 現状PL_2012.12.21" xfId="37" xr:uid="{00000000-0005-0000-0000-000024000000}"/>
    <cellStyle name="_N-BOX 現状PL_2013.1.24" xfId="38" xr:uid="{00000000-0005-0000-0000-000025000000}"/>
    <cellStyle name="_N-BOX 現状PL_2013.1.29" xfId="39" xr:uid="{00000000-0005-0000-0000-000026000000}"/>
    <cellStyle name="_N-BOX 現状PL_2013.2.20" xfId="40" xr:uid="{00000000-0005-0000-0000-000027000000}"/>
    <cellStyle name="_N-BOX 現状PL_2013.2.21" xfId="41" xr:uid="{00000000-0005-0000-0000-000028000000}"/>
    <cellStyle name="_RNB007_MCPCB設計フォーマット20070222" xfId="42" xr:uid="{00000000-0005-0000-0000-000029000000}"/>
    <cellStyle name="_RNB007_MCPCB設計フォーマット20070222_080401RNB007_THDパッド設計基準2" xfId="43" xr:uid="{00000000-0005-0000-0000-00002A000000}"/>
    <cellStyle name="_RNB007_MCPCB設計フォーマット20070222_FBサイズ見積り" xfId="44" xr:uid="{00000000-0005-0000-0000-00002B000000}"/>
    <cellStyle name="_RNB007_MCPCB設計フォーマット20070222_HMB-077_回路分析（白鳥）-3" xfId="45" xr:uid="{00000000-0005-0000-0000-00002C000000}"/>
    <cellStyle name="_RNB007_MCPCB設計フォーマット20070222_HMB-077_回路分析（白鳥）-6" xfId="46" xr:uid="{00000000-0005-0000-0000-00002D000000}"/>
    <cellStyle name="_RNB007_MCPCB設計フォーマット20070222_HMB077_基板面積算出シート（090619検討）" xfId="47" xr:uid="{00000000-0005-0000-0000-00002E000000}"/>
    <cellStyle name="_RNB007_MCPCB設計フォーマット20070222_ホンダ新軽 I／Oリスト塚原改訂090714" xfId="48" xr:uid="{00000000-0005-0000-0000-00002F000000}"/>
    <cellStyle name="_RNB007_MCPCB設計フォーマット20070222_ホンダ新軽MCPCB設計フォーマットv1.10_081024" xfId="49" xr:uid="{00000000-0005-0000-0000-000030000000}"/>
    <cellStyle name="_RNB007_MCPCB設計フォーマット20070227" xfId="50" xr:uid="{00000000-0005-0000-0000-000031000000}"/>
    <cellStyle name="_RNB007_MCPCB設計フォーマット20070227_080401RNB007_THDパッド設計基準2" xfId="51" xr:uid="{00000000-0005-0000-0000-000032000000}"/>
    <cellStyle name="_RNB007_MCPCB設計フォーマット20070227_FBサイズ見積り" xfId="52" xr:uid="{00000000-0005-0000-0000-000033000000}"/>
    <cellStyle name="_RNB007_MCPCB設計フォーマット20070227_HMB-077_回路分析（白鳥）-3" xfId="53" xr:uid="{00000000-0005-0000-0000-000034000000}"/>
    <cellStyle name="_RNB007_MCPCB設計フォーマット20070227_HMB-077_回路分析（白鳥）-6" xfId="54" xr:uid="{00000000-0005-0000-0000-000035000000}"/>
    <cellStyle name="_RNB007_MCPCB設計フォーマット20070227_HMB077_基板面積算出シート（090619検討）" xfId="55" xr:uid="{00000000-0005-0000-0000-000036000000}"/>
    <cellStyle name="_RNB007_MCPCB設計フォーマット20070227_ホンダ新軽 I／Oリスト塚原改訂090714" xfId="56" xr:uid="{00000000-0005-0000-0000-000037000000}"/>
    <cellStyle name="_RNB007_MCPCB設計フォーマット20070227_ホンダ新軽MCPCB設計フォーマットv1.10_081024" xfId="57" xr:uid="{00000000-0005-0000-0000-000038000000}"/>
    <cellStyle name="_RNB007_MCPCB設計フォーマット20070328" xfId="58" xr:uid="{00000000-0005-0000-0000-000039000000}"/>
    <cellStyle name="_RNB007_MCPCB設計フォーマット20070328_080401RNB007_THDパッド設計基準2" xfId="59" xr:uid="{00000000-0005-0000-0000-00003A000000}"/>
    <cellStyle name="_RNB007_MCPCB設計フォーマット20070328_FBサイズ見積り" xfId="60" xr:uid="{00000000-0005-0000-0000-00003B000000}"/>
    <cellStyle name="_RNB007_MCPCB設計フォーマット20070328_HMB-077_回路分析（白鳥）-3" xfId="61" xr:uid="{00000000-0005-0000-0000-00003C000000}"/>
    <cellStyle name="_RNB007_MCPCB設計フォーマット20070328_HMB-077_回路分析（白鳥）-6" xfId="62" xr:uid="{00000000-0005-0000-0000-00003D000000}"/>
    <cellStyle name="_RNB007_MCPCB設計フォーマット20070328_HMB077_基板面積算出シート（090619検討）" xfId="63" xr:uid="{00000000-0005-0000-0000-00003E000000}"/>
    <cellStyle name="_RNB007_MCPCB設計フォーマット20070328_ホンダ新軽 I／Oリスト塚原改訂090714" xfId="64" xr:uid="{00000000-0005-0000-0000-00003F000000}"/>
    <cellStyle name="_RNB007_MCPCB設計フォーマット20070328_ホンダ新軽MCPCB設計フォーマットv1.10_081024" xfId="65" xr:uid="{00000000-0005-0000-0000-000040000000}"/>
    <cellStyle name="_アライメント一括挿入冶具スケジュールSTEP3" xfId="66" xr:uid="{00000000-0005-0000-0000-000041000000}"/>
    <cellStyle name="_ｽﾃｨｯｸ入れ替えｽｹｼﾞｭｰﾙ2" xfId="67" xr:uid="{00000000-0005-0000-0000-000042000000}"/>
    <cellStyle name="_ホンダ新軽 I／Oリスト塚原改訂090714" xfId="68" xr:uid="{00000000-0005-0000-0000-000043000000}"/>
    <cellStyle name="_ホンダ新軽MCPCB設計フォーマットv1.10_081024" xfId="69" xr:uid="{00000000-0005-0000-0000-000044000000}"/>
    <cellStyle name="’E‰Y [0.00]_laroux" xfId="70" xr:uid="{00000000-0005-0000-0000-000045000000}"/>
    <cellStyle name="’E‰Y_laroux" xfId="71" xr:uid="{00000000-0005-0000-0000-000046000000}"/>
    <cellStyle name="」」" xfId="72" xr:uid="{00000000-0005-0000-0000-000047000000}"/>
    <cellStyle name="W_zzæ" xfId="73" xr:uid="{00000000-0005-0000-0000-000048000000}"/>
    <cellStyle name="0.000" xfId="74" xr:uid="{00000000-0005-0000-0000-000049000000}"/>
    <cellStyle name="1" xfId="75" xr:uid="{00000000-0005-0000-0000-00004A000000}"/>
    <cellStyle name="1_091216 BMS算出 前提数量、見積提示方法、議事録 rev1【送付】" xfId="76" xr:uid="{00000000-0005-0000-0000-00004B000000}"/>
    <cellStyle name="121" xfId="77" xr:uid="{00000000-0005-0000-0000-00004C000000}"/>
    <cellStyle name="20% - Accent1" xfId="78" xr:uid="{00000000-0005-0000-0000-00004D000000}"/>
    <cellStyle name="20% - Accent2" xfId="80" xr:uid="{00000000-0005-0000-0000-00004E000000}"/>
    <cellStyle name="20% - Accent3" xfId="82" xr:uid="{00000000-0005-0000-0000-00004F000000}"/>
    <cellStyle name="20% - Accent4" xfId="84" xr:uid="{00000000-0005-0000-0000-000050000000}"/>
    <cellStyle name="20% - Accent5" xfId="86" xr:uid="{00000000-0005-0000-0000-000051000000}"/>
    <cellStyle name="20% - Accent6" xfId="88" xr:uid="{00000000-0005-0000-0000-000052000000}"/>
    <cellStyle name="20% - アクセント 1 2" xfId="79" xr:uid="{00000000-0005-0000-0000-000054000000}"/>
    <cellStyle name="20% - アクセント 2 2" xfId="81" xr:uid="{00000000-0005-0000-0000-000056000000}"/>
    <cellStyle name="20% - アクセント 3 2" xfId="83" xr:uid="{00000000-0005-0000-0000-000058000000}"/>
    <cellStyle name="20% - アクセント 4 2" xfId="85" xr:uid="{00000000-0005-0000-0000-00005A000000}"/>
    <cellStyle name="20% - アクセント 5 2" xfId="87" xr:uid="{00000000-0005-0000-0000-00005C000000}"/>
    <cellStyle name="20% - アクセント 6 2" xfId="89" xr:uid="{00000000-0005-0000-0000-00005E000000}"/>
    <cellStyle name="40% - Accent1" xfId="90" xr:uid="{00000000-0005-0000-0000-00005F000000}"/>
    <cellStyle name="40% - Accent2" xfId="92" xr:uid="{00000000-0005-0000-0000-000060000000}"/>
    <cellStyle name="40% - Accent3" xfId="94" xr:uid="{00000000-0005-0000-0000-000061000000}"/>
    <cellStyle name="40% - Accent4" xfId="96" xr:uid="{00000000-0005-0000-0000-000062000000}"/>
    <cellStyle name="40% - Accent5" xfId="98" xr:uid="{00000000-0005-0000-0000-000063000000}"/>
    <cellStyle name="40% - Accent6" xfId="100" xr:uid="{00000000-0005-0000-0000-000064000000}"/>
    <cellStyle name="40% - アクセント 1 2" xfId="91" xr:uid="{00000000-0005-0000-0000-000066000000}"/>
    <cellStyle name="40% - アクセント 2 2" xfId="93" xr:uid="{00000000-0005-0000-0000-000068000000}"/>
    <cellStyle name="40% - アクセント 3 2" xfId="95" xr:uid="{00000000-0005-0000-0000-00006A000000}"/>
    <cellStyle name="40% - アクセント 4 2" xfId="97" xr:uid="{00000000-0005-0000-0000-00006C000000}"/>
    <cellStyle name="40% - アクセント 5 2" xfId="99" xr:uid="{00000000-0005-0000-0000-00006E000000}"/>
    <cellStyle name="40% - アクセント 6 2" xfId="101" xr:uid="{00000000-0005-0000-0000-000070000000}"/>
    <cellStyle name="60% - Accent1" xfId="102" xr:uid="{00000000-0005-0000-0000-000071000000}"/>
    <cellStyle name="60% - Accent2" xfId="104" xr:uid="{00000000-0005-0000-0000-000072000000}"/>
    <cellStyle name="60% - Accent3" xfId="106" xr:uid="{00000000-0005-0000-0000-000073000000}"/>
    <cellStyle name="60% - Accent4" xfId="108" xr:uid="{00000000-0005-0000-0000-000074000000}"/>
    <cellStyle name="60% - Accent5" xfId="110" xr:uid="{00000000-0005-0000-0000-000075000000}"/>
    <cellStyle name="60% - Accent6" xfId="112" xr:uid="{00000000-0005-0000-0000-000076000000}"/>
    <cellStyle name="60% - アクセント 1 2" xfId="103" xr:uid="{00000000-0005-0000-0000-000078000000}"/>
    <cellStyle name="60% - アクセント 2 2" xfId="105" xr:uid="{00000000-0005-0000-0000-00007A000000}"/>
    <cellStyle name="60% - アクセント 3 2" xfId="107" xr:uid="{00000000-0005-0000-0000-00007C000000}"/>
    <cellStyle name="60% - アクセント 4 2" xfId="109" xr:uid="{00000000-0005-0000-0000-00007E000000}"/>
    <cellStyle name="60% - アクセント 5 2" xfId="111" xr:uid="{00000000-0005-0000-0000-000080000000}"/>
    <cellStyle name="60% - アクセント 6 2" xfId="113" xr:uid="{00000000-0005-0000-0000-000082000000}"/>
    <cellStyle name="Accent1" xfId="305" xr:uid="{00000000-0005-0000-0000-000083000000}"/>
    <cellStyle name="Accent2" xfId="307" xr:uid="{00000000-0005-0000-0000-000084000000}"/>
    <cellStyle name="Accent3" xfId="309" xr:uid="{00000000-0005-0000-0000-000085000000}"/>
    <cellStyle name="Accent4" xfId="311" xr:uid="{00000000-0005-0000-0000-000086000000}"/>
    <cellStyle name="Accent5" xfId="313" xr:uid="{00000000-0005-0000-0000-000087000000}"/>
    <cellStyle name="Accent6" xfId="315" xr:uid="{00000000-0005-0000-0000-000088000000}"/>
    <cellStyle name="args.style" xfId="114" xr:uid="{00000000-0005-0000-0000-000089000000}"/>
    <cellStyle name="AutoFormat-Optionen" xfId="115" xr:uid="{00000000-0005-0000-0000-00008A000000}"/>
    <cellStyle name="Bad" xfId="357" xr:uid="{00000000-0005-0000-0000-00008B000000}"/>
    <cellStyle name="Calc Currency (0)" xfId="116" xr:uid="{00000000-0005-0000-0000-00008C000000}"/>
    <cellStyle name="Calc Currency (2)" xfId="117" xr:uid="{00000000-0005-0000-0000-00008D000000}"/>
    <cellStyle name="Calc Percent (0)" xfId="118" xr:uid="{00000000-0005-0000-0000-00008E000000}"/>
    <cellStyle name="Calc Percent (1)" xfId="119" xr:uid="{00000000-0005-0000-0000-00008F000000}"/>
    <cellStyle name="Calc Percent (1) 2" xfId="120" xr:uid="{00000000-0005-0000-0000-000090000000}"/>
    <cellStyle name="Calc Percent (2)" xfId="121" xr:uid="{00000000-0005-0000-0000-000091000000}"/>
    <cellStyle name="Calc Percent (2) 2" xfId="122" xr:uid="{00000000-0005-0000-0000-000092000000}"/>
    <cellStyle name="Calc Units (0)" xfId="123" xr:uid="{00000000-0005-0000-0000-000093000000}"/>
    <cellStyle name="Calc Units (1)" xfId="124" xr:uid="{00000000-0005-0000-0000-000094000000}"/>
    <cellStyle name="Calc Units (1) 2" xfId="125" xr:uid="{00000000-0005-0000-0000-000095000000}"/>
    <cellStyle name="Calc Units (2)" xfId="126" xr:uid="{00000000-0005-0000-0000-000096000000}"/>
    <cellStyle name="Calculation" xfId="361" xr:uid="{00000000-0005-0000-0000-000097000000}"/>
    <cellStyle name="Check Cell" xfId="329" xr:uid="{00000000-0005-0000-0000-000098000000}"/>
    <cellStyle name="Comma [0]" xfId="127" builtinId="6"/>
    <cellStyle name="Comma [0] 2" xfId="128" xr:uid="{00000000-0005-0000-0000-000099000000}"/>
    <cellStyle name="Comma [0] 2 2" xfId="129" xr:uid="{00000000-0005-0000-0000-00009A000000}"/>
    <cellStyle name="Comma [0] 2 3" xfId="130" xr:uid="{00000000-0005-0000-0000-00009B000000}"/>
    <cellStyle name="Comma [0] 3" xfId="131" xr:uid="{00000000-0005-0000-0000-00009C000000}"/>
    <cellStyle name="Comma [0] 3 2" xfId="132" xr:uid="{00000000-0005-0000-0000-00009D000000}"/>
    <cellStyle name="Comma [0] 4" xfId="133" xr:uid="{00000000-0005-0000-0000-00009E000000}"/>
    <cellStyle name="Comma [0] 5" xfId="134" xr:uid="{00000000-0005-0000-0000-00009F000000}"/>
    <cellStyle name="Comma [00]" xfId="135" xr:uid="{00000000-0005-0000-0000-0000A0000000}"/>
    <cellStyle name="Comma 10" xfId="136" xr:uid="{00000000-0005-0000-0000-0000A1000000}"/>
    <cellStyle name="Comma 11" xfId="137" xr:uid="{00000000-0005-0000-0000-0000A2000000}"/>
    <cellStyle name="Comma 12" xfId="138" xr:uid="{00000000-0005-0000-0000-0000A3000000}"/>
    <cellStyle name="Comma 13" xfId="139" xr:uid="{00000000-0005-0000-0000-0000A4000000}"/>
    <cellStyle name="Comma 2" xfId="140" xr:uid="{00000000-0005-0000-0000-0000A5000000}"/>
    <cellStyle name="Comma 3" xfId="141" xr:uid="{00000000-0005-0000-0000-0000A6000000}"/>
    <cellStyle name="Comma 4" xfId="142" xr:uid="{00000000-0005-0000-0000-0000A7000000}"/>
    <cellStyle name="Comma 5" xfId="143" xr:uid="{00000000-0005-0000-0000-0000A8000000}"/>
    <cellStyle name="Comma 6" xfId="144" xr:uid="{00000000-0005-0000-0000-0000A9000000}"/>
    <cellStyle name="Comma 7" xfId="145" xr:uid="{00000000-0005-0000-0000-0000AA000000}"/>
    <cellStyle name="Comma 8" xfId="146" xr:uid="{00000000-0005-0000-0000-0000AB000000}"/>
    <cellStyle name="Comma 9" xfId="147" xr:uid="{00000000-0005-0000-0000-0000AC000000}"/>
    <cellStyle name="comma zerodec" xfId="148" xr:uid="{00000000-0005-0000-0000-0000AD000000}"/>
    <cellStyle name="Comma0" xfId="149" xr:uid="{00000000-0005-0000-0000-0000AE000000}"/>
    <cellStyle name="Copied" xfId="150" xr:uid="{00000000-0005-0000-0000-0000AF000000}"/>
    <cellStyle name="COST1" xfId="151" xr:uid="{00000000-0005-0000-0000-0000B0000000}"/>
    <cellStyle name="Currency (0)" xfId="152" xr:uid="{00000000-0005-0000-0000-0000B1000000}"/>
    <cellStyle name="Currency [0] 2" xfId="153" xr:uid="{00000000-0005-0000-0000-0000B2000000}"/>
    <cellStyle name="Currency [00]" xfId="154" xr:uid="{00000000-0005-0000-0000-0000B3000000}"/>
    <cellStyle name="Currency 2" xfId="155" xr:uid="{00000000-0005-0000-0000-0000B4000000}"/>
    <cellStyle name="Currency 3" xfId="156" xr:uid="{00000000-0005-0000-0000-0000B5000000}"/>
    <cellStyle name="Currency0" xfId="157" xr:uid="{00000000-0005-0000-0000-0000B6000000}"/>
    <cellStyle name="Currency1" xfId="158" xr:uid="{00000000-0005-0000-0000-0000B7000000}"/>
    <cellStyle name="Date" xfId="159" xr:uid="{00000000-0005-0000-0000-0000B8000000}"/>
    <cellStyle name="Date Short" xfId="160" xr:uid="{00000000-0005-0000-0000-0000B9000000}"/>
    <cellStyle name="Dollar (zero dec)" xfId="161" xr:uid="{00000000-0005-0000-0000-0000BA000000}"/>
    <cellStyle name="e" xfId="162" xr:uid="{00000000-0005-0000-0000-0000BB000000}"/>
    <cellStyle name="e_090720.12.5M 新軽リレーボックス 引合い報告書（部品）" xfId="163" xr:uid="{00000000-0005-0000-0000-0000BC000000}"/>
    <cellStyle name="e_090721△2.12.5M 新軽リレーボックス 引合い報告書（部品）" xfId="164" xr:uid="{00000000-0005-0000-0000-0000BD000000}"/>
    <cellStyle name="e_コピー12.5M 新軽リレーボックス 引合い報告書（部品）" xfId="165" xr:uid="{00000000-0005-0000-0000-0000BE000000}"/>
    <cellStyle name="e_本田2CP【受注検討会議資料】080218 (2)" xfId="166" xr:uid="{00000000-0005-0000-0000-0000BF000000}"/>
    <cellStyle name="e_本田2CP【受注検討会議資料】080218 (2)_090720.12.5M 新軽リレーボックス 引合い報告書（部品）" xfId="167" xr:uid="{00000000-0005-0000-0000-0000C0000000}"/>
    <cellStyle name="e_本田2CP【受注検討会議資料】080218 (2)_090721△2.12.5M 新軽リレーボックス 引合い報告書（部品）" xfId="168" xr:uid="{00000000-0005-0000-0000-0000C1000000}"/>
    <cellStyle name="e_本田2CP【受注検討会議資料】080218 (2)_コピー12.5M 新軽リレーボックス 引合い報告書（部品）" xfId="169" xr:uid="{00000000-0005-0000-0000-0000C2000000}"/>
    <cellStyle name="e_本田2CP【受注検討会議資料】080218 (2)_本田2CP【受注検討会議資料】Δ1 080218【提出資料】" xfId="170" xr:uid="{00000000-0005-0000-0000-0000C3000000}"/>
    <cellStyle name="e_本田2CP【受注検討会議資料】080218 (2)_本田2CP【受注検討会議資料】Δ1 080218【提出資料】_090720.12.5M 新軽リレーボックス 引合い報告書（部品）" xfId="171" xr:uid="{00000000-0005-0000-0000-0000C4000000}"/>
    <cellStyle name="e_本田2CP【受注検討会議資料】080218 (2)_本田2CP【受注検討会議資料】Δ1 080218【提出資料】_090721△2.12.5M 新軽リレーボックス 引合い報告書（部品）" xfId="172" xr:uid="{00000000-0005-0000-0000-0000C5000000}"/>
    <cellStyle name="e_本田2CP【受注検討会議資料】080218 (2)_本田2CP【受注検討会議資料】Δ1 080218【提出資料】_コピー12.5M 新軽リレーボックス 引合い報告書（部品）" xfId="173" xr:uid="{00000000-0005-0000-0000-0000C6000000}"/>
    <cellStyle name="Enter Currency (0)" xfId="174" xr:uid="{00000000-0005-0000-0000-0000C7000000}"/>
    <cellStyle name="Enter Currency (2)" xfId="175" xr:uid="{00000000-0005-0000-0000-0000C8000000}"/>
    <cellStyle name="Enter Units (0)" xfId="176" xr:uid="{00000000-0005-0000-0000-0000C9000000}"/>
    <cellStyle name="Enter Units (1)" xfId="177" xr:uid="{00000000-0005-0000-0000-0000CA000000}"/>
    <cellStyle name="Enter Units (1) 2" xfId="178" xr:uid="{00000000-0005-0000-0000-0000CB000000}"/>
    <cellStyle name="Enter Units (2)" xfId="179" xr:uid="{00000000-0005-0000-0000-0000CC000000}"/>
    <cellStyle name="Entered" xfId="180" xr:uid="{00000000-0005-0000-0000-0000CD000000}"/>
    <cellStyle name="entry" xfId="181" xr:uid="{00000000-0005-0000-0000-0000CE000000}"/>
    <cellStyle name="Euro" xfId="182" xr:uid="{00000000-0005-0000-0000-0000CF000000}"/>
    <cellStyle name="Explanatory Text" xfId="393" xr:uid="{00000000-0005-0000-0000-0000D0000000}"/>
    <cellStyle name="Fixed" xfId="183" xr:uid="{00000000-0005-0000-0000-0000D1000000}"/>
    <cellStyle name="Good" xfId="439" xr:uid="{00000000-0005-0000-0000-0000D2000000}"/>
    <cellStyle name="Grey" xfId="184" xr:uid="{00000000-0005-0000-0000-0000D3000000}"/>
    <cellStyle name="HC" xfId="185" xr:uid="{00000000-0005-0000-0000-0000D4000000}"/>
    <cellStyle name="Header1" xfId="186" xr:uid="{00000000-0005-0000-0000-0000D5000000}"/>
    <cellStyle name="Header2" xfId="187" xr:uid="{00000000-0005-0000-0000-0000D6000000}"/>
    <cellStyle name="Heading" xfId="188" xr:uid="{00000000-0005-0000-0000-0000D7000000}"/>
    <cellStyle name="Heading 1" xfId="377" xr:uid="{00000000-0005-0000-0000-0000D8000000}"/>
    <cellStyle name="Heading 2" xfId="379" xr:uid="{00000000-0005-0000-0000-0000D9000000}"/>
    <cellStyle name="Heading 3" xfId="381" xr:uid="{00000000-0005-0000-0000-0000DA000000}"/>
    <cellStyle name="Heading 4" xfId="383" xr:uid="{00000000-0005-0000-0000-0000DB000000}"/>
    <cellStyle name="HIDARI太罫" xfId="189" xr:uid="{00000000-0005-0000-0000-0000DC000000}"/>
    <cellStyle name="Hyperlink 2" xfId="190" xr:uid="{00000000-0005-0000-0000-0000DD000000}"/>
    <cellStyle name="Hyperlink 3" xfId="191" xr:uid="{00000000-0005-0000-0000-0000DE000000}"/>
    <cellStyle name="Input" xfId="401" xr:uid="{00000000-0005-0000-0000-0000DF000000}"/>
    <cellStyle name="Input [yellow]" xfId="192" xr:uid="{00000000-0005-0000-0000-0000E0000000}"/>
    <cellStyle name="Input Cells" xfId="193" xr:uid="{00000000-0005-0000-0000-0000E1000000}"/>
    <cellStyle name="Link Currency (0)" xfId="194" xr:uid="{00000000-0005-0000-0000-0000E2000000}"/>
    <cellStyle name="Link Currency (2)" xfId="195" xr:uid="{00000000-0005-0000-0000-0000E3000000}"/>
    <cellStyle name="Link Units (0)" xfId="196" xr:uid="{00000000-0005-0000-0000-0000E4000000}"/>
    <cellStyle name="Link Units (1)" xfId="197" xr:uid="{00000000-0005-0000-0000-0000E5000000}"/>
    <cellStyle name="Link Units (1) 2" xfId="198" xr:uid="{00000000-0005-0000-0000-0000E6000000}"/>
    <cellStyle name="Link Units (2)" xfId="199" xr:uid="{00000000-0005-0000-0000-0000E7000000}"/>
    <cellStyle name="Linked Cell" xfId="345" xr:uid="{00000000-0005-0000-0000-0000E8000000}"/>
    <cellStyle name="Linked Cells" xfId="200" xr:uid="{00000000-0005-0000-0000-0000E9000000}"/>
    <cellStyle name="MH" xfId="201" xr:uid="{00000000-0005-0000-0000-0000EA000000}"/>
    <cellStyle name="Millares [0]_PERSONAL" xfId="202" xr:uid="{00000000-0005-0000-0000-0000EB000000}"/>
    <cellStyle name="Millares_PERSONAL" xfId="203" xr:uid="{00000000-0005-0000-0000-0000EC000000}"/>
    <cellStyle name="Milliers [0]_!!!GO" xfId="204" xr:uid="{00000000-0005-0000-0000-0000ED000000}"/>
    <cellStyle name="Milliers_!!!GO" xfId="205" xr:uid="{00000000-0005-0000-0000-0000EE000000}"/>
    <cellStyle name="Moeda [0]_aola" xfId="206" xr:uid="{00000000-0005-0000-0000-0000EF000000}"/>
    <cellStyle name="Moeda_aola" xfId="207" xr:uid="{00000000-0005-0000-0000-0000F0000000}"/>
    <cellStyle name="Moneda [0]_laroux" xfId="208" xr:uid="{00000000-0005-0000-0000-0000F1000000}"/>
    <cellStyle name="Moneda_laroux" xfId="209" xr:uid="{00000000-0005-0000-0000-0000F2000000}"/>
    <cellStyle name="Monétaire [0]_!!!GO" xfId="210" xr:uid="{00000000-0005-0000-0000-0000F3000000}"/>
    <cellStyle name="Monétaire_!!!GO" xfId="211" xr:uid="{00000000-0005-0000-0000-0000F4000000}"/>
    <cellStyle name="Mon騁aire [0]_AR1194" xfId="212" xr:uid="{00000000-0005-0000-0000-0000F5000000}"/>
    <cellStyle name="Mon騁aire_AR1194" xfId="213" xr:uid="{00000000-0005-0000-0000-0000F6000000}"/>
    <cellStyle name="Neutral" xfId="333" xr:uid="{00000000-0005-0000-0000-0000F7000000}"/>
    <cellStyle name="no dec" xfId="214" xr:uid="{00000000-0005-0000-0000-0000F8000000}"/>
    <cellStyle name="Non défini" xfId="215" xr:uid="{00000000-0005-0000-0000-0000F9000000}"/>
    <cellStyle name="Normal" xfId="0" builtinId="0"/>
    <cellStyle name="Normal - Style1" xfId="216" xr:uid="{00000000-0005-0000-0000-0000FA000000}"/>
    <cellStyle name="Normal - Style1 2" xfId="217" xr:uid="{00000000-0005-0000-0000-0000FB000000}"/>
    <cellStyle name="Normal - Style1 3" xfId="218" xr:uid="{00000000-0005-0000-0000-0000FC000000}"/>
    <cellStyle name="Normal - ｵ鮖蘯ｺ1" xfId="219" xr:uid="{00000000-0005-0000-0000-0000FD000000}"/>
    <cellStyle name="Normal 10" xfId="220" xr:uid="{00000000-0005-0000-0000-0000FE000000}"/>
    <cellStyle name="Normal 11" xfId="221" xr:uid="{00000000-0005-0000-0000-0000FF000000}"/>
    <cellStyle name="Normal 12" xfId="222" xr:uid="{00000000-0005-0000-0000-000000010000}"/>
    <cellStyle name="Normal 13" xfId="223" xr:uid="{00000000-0005-0000-0000-000001010000}"/>
    <cellStyle name="Normal 14" xfId="224" xr:uid="{00000000-0005-0000-0000-000002010000}"/>
    <cellStyle name="Normal 15" xfId="225" xr:uid="{00000000-0005-0000-0000-000003010000}"/>
    <cellStyle name="Normal 16" xfId="226" xr:uid="{00000000-0005-0000-0000-000004010000}"/>
    <cellStyle name="Normal 17" xfId="227" xr:uid="{00000000-0005-0000-0000-000005010000}"/>
    <cellStyle name="Normal 17 2" xfId="228" xr:uid="{00000000-0005-0000-0000-000006010000}"/>
    <cellStyle name="Normal 18" xfId="229" xr:uid="{00000000-0005-0000-0000-000007010000}"/>
    <cellStyle name="Normal 19" xfId="230" xr:uid="{00000000-0005-0000-0000-000008010000}"/>
    <cellStyle name="Normal 2" xfId="231" xr:uid="{00000000-0005-0000-0000-000009010000}"/>
    <cellStyle name="Normal 2 2" xfId="232" xr:uid="{00000000-0005-0000-0000-00000A010000}"/>
    <cellStyle name="Normal 2 3" xfId="233" xr:uid="{00000000-0005-0000-0000-00000B010000}"/>
    <cellStyle name="Normal 2_091110　Ford CD4 FFC" xfId="234" xr:uid="{00000000-0005-0000-0000-00000C010000}"/>
    <cellStyle name="Normal 20" xfId="235" xr:uid="{00000000-0005-0000-0000-00000D010000}"/>
    <cellStyle name="Normal 21" xfId="236" xr:uid="{00000000-0005-0000-0000-00000E010000}"/>
    <cellStyle name="Normal 22" xfId="237" xr:uid="{00000000-0005-0000-0000-00000F010000}"/>
    <cellStyle name="Normal 23" xfId="238" xr:uid="{00000000-0005-0000-0000-000010010000}"/>
    <cellStyle name="Normal 24" xfId="239" xr:uid="{00000000-0005-0000-0000-000011010000}"/>
    <cellStyle name="Normal 3" xfId="240" xr:uid="{00000000-0005-0000-0000-000012010000}"/>
    <cellStyle name="Normal 3 2" xfId="241" xr:uid="{00000000-0005-0000-0000-000013010000}"/>
    <cellStyle name="Normal 4" xfId="242" xr:uid="{00000000-0005-0000-0000-000014010000}"/>
    <cellStyle name="Normal 4 2" xfId="243" xr:uid="{00000000-0005-0000-0000-000015010000}"/>
    <cellStyle name="Normal 5" xfId="244" xr:uid="{00000000-0005-0000-0000-000016010000}"/>
    <cellStyle name="Normal 5 2" xfId="245" xr:uid="{00000000-0005-0000-0000-000017010000}"/>
    <cellStyle name="Normal 6" xfId="246" xr:uid="{00000000-0005-0000-0000-000018010000}"/>
    <cellStyle name="Normal 7" xfId="247" xr:uid="{00000000-0005-0000-0000-000019010000}"/>
    <cellStyle name="Normal 8" xfId="248" xr:uid="{00000000-0005-0000-0000-00001A010000}"/>
    <cellStyle name="Normal 9" xfId="249" xr:uid="{00000000-0005-0000-0000-00001B010000}"/>
    <cellStyle name="Normalny_HPL INT2003200416102003 (version 3)" xfId="250" xr:uid="{00000000-0005-0000-0000-00001C010000}"/>
    <cellStyle name="Note" xfId="343" xr:uid="{00000000-0005-0000-0000-00001D010000}"/>
    <cellStyle name="Œ…‹æØ‚è [0.00]_laroux" xfId="251" xr:uid="{00000000-0005-0000-0000-00001E010000}"/>
    <cellStyle name="Œ…‹æØ‚è_laroux" xfId="252" xr:uid="{00000000-0005-0000-0000-00001F010000}"/>
    <cellStyle name="oft Excel]_x000a__x000d_Comment=open=/f を指定すると、ユーザー定義関数を関数貼り付けの一覧に登録することができます。_x000a__x000d_Maximized" xfId="253" xr:uid="{00000000-0005-0000-0000-000020010000}"/>
    <cellStyle name="oft Excel]_x000a__x000d_Comment=open=/f を指定すると、ユーザー定義関数を関数貼り付けの一覧に登録することができます。_x000a__x000d_Maximized 2" xfId="254" xr:uid="{00000000-0005-0000-0000-000021010000}"/>
    <cellStyle name="oft Excel]_x000d__x000a_Comment=open=/f を指定すると、ユーザー定義関数を関数貼り付けの一覧に登録することができます。_x000d__x000a_Maximized" xfId="255" xr:uid="{00000000-0005-0000-0000-000022010000}"/>
    <cellStyle name="oft Excel]_x000d__x000a_Comment=open=/f を指定すると、ユーザー定義関数を関数貼り付けの一覧に登録することができます。_x000d__x000a_Maximized 2" xfId="256" xr:uid="{00000000-0005-0000-0000-000023010000}"/>
    <cellStyle name="Output" xfId="389" xr:uid="{00000000-0005-0000-0000-000024010000}"/>
    <cellStyle name="per.style" xfId="257" xr:uid="{00000000-0005-0000-0000-000025010000}"/>
    <cellStyle name="Percent" xfId="258" builtinId="5"/>
    <cellStyle name="Percent (0)" xfId="259" xr:uid="{00000000-0005-0000-0000-000026010000}"/>
    <cellStyle name="Percent (0) 2" xfId="260" xr:uid="{00000000-0005-0000-0000-000027010000}"/>
    <cellStyle name="Percent [0]" xfId="261" xr:uid="{00000000-0005-0000-0000-000028010000}"/>
    <cellStyle name="Percent [0] 2" xfId="262" xr:uid="{00000000-0005-0000-0000-000029010000}"/>
    <cellStyle name="Percent [00]" xfId="263" xr:uid="{00000000-0005-0000-0000-00002A010000}"/>
    <cellStyle name="Percent [00] 2" xfId="264" xr:uid="{00000000-0005-0000-0000-00002B010000}"/>
    <cellStyle name="Percent [2]" xfId="265" xr:uid="{00000000-0005-0000-0000-00002C010000}"/>
    <cellStyle name="Percent [2] 2" xfId="266" xr:uid="{00000000-0005-0000-0000-00002D010000}"/>
    <cellStyle name="Percent 2" xfId="267" xr:uid="{00000000-0005-0000-0000-00002E010000}"/>
    <cellStyle name="Percent 2 2" xfId="268" xr:uid="{00000000-0005-0000-0000-00002F010000}"/>
    <cellStyle name="Percent 3" xfId="269" xr:uid="{00000000-0005-0000-0000-000030010000}"/>
    <cellStyle name="Percent 4" xfId="270" xr:uid="{00000000-0005-0000-0000-000031010000}"/>
    <cellStyle name="Percent 5" xfId="271" xr:uid="{00000000-0005-0000-0000-000032010000}"/>
    <cellStyle name="PrePop Currency (0)" xfId="272" xr:uid="{00000000-0005-0000-0000-000033010000}"/>
    <cellStyle name="PrePop Currency (2)" xfId="273" xr:uid="{00000000-0005-0000-0000-000034010000}"/>
    <cellStyle name="PrePop Units (0)" xfId="274" xr:uid="{00000000-0005-0000-0000-000035010000}"/>
    <cellStyle name="PrePop Units (1)" xfId="275" xr:uid="{00000000-0005-0000-0000-000036010000}"/>
    <cellStyle name="PrePop Units (1) 2" xfId="276" xr:uid="{00000000-0005-0000-0000-000037010000}"/>
    <cellStyle name="PrePop Units (2)" xfId="277" xr:uid="{00000000-0005-0000-0000-000038010000}"/>
    <cellStyle name="price" xfId="278" xr:uid="{00000000-0005-0000-0000-000039010000}"/>
    <cellStyle name="pricing" xfId="279" xr:uid="{00000000-0005-0000-0000-00003A010000}"/>
    <cellStyle name="pricing 2" xfId="280" xr:uid="{00000000-0005-0000-0000-00003B010000}"/>
    <cellStyle name="PSChar" xfId="281" xr:uid="{00000000-0005-0000-0000-00003C010000}"/>
    <cellStyle name="Quantity" xfId="282" xr:uid="{00000000-0005-0000-0000-00003D010000}"/>
    <cellStyle name="revised" xfId="283" xr:uid="{00000000-0005-0000-0000-00003E010000}"/>
    <cellStyle name="RevList" xfId="284" xr:uid="{00000000-0005-0000-0000-00003F010000}"/>
    <cellStyle name="RevList 2" xfId="285" xr:uid="{00000000-0005-0000-0000-000040010000}"/>
    <cellStyle name="Scientific" xfId="286" xr:uid="{00000000-0005-0000-0000-000041010000}"/>
    <cellStyle name="section" xfId="287" xr:uid="{00000000-0005-0000-0000-000042010000}"/>
    <cellStyle name="Separador de milhares [0]_Person" xfId="288" xr:uid="{00000000-0005-0000-0000-000043010000}"/>
    <cellStyle name="Separador de milhares_Person" xfId="289" xr:uid="{00000000-0005-0000-0000-000044010000}"/>
    <cellStyle name="special" xfId="290" xr:uid="{00000000-0005-0000-0000-000045010000}"/>
    <cellStyle name="Standard_Basisblatt_aktuell_12.10.01_EUR_DCZins_CBD-DC_P2R" xfId="291" xr:uid="{00000000-0005-0000-0000-000046010000}"/>
    <cellStyle name="Style 1" xfId="292" xr:uid="{00000000-0005-0000-0000-000047010000}"/>
    <cellStyle name="subhead" xfId="293" xr:uid="{00000000-0005-0000-0000-000048010000}"/>
    <cellStyle name="Subtotal" xfId="294" xr:uid="{00000000-0005-0000-0000-000049010000}"/>
    <cellStyle name="Taitle" xfId="295" xr:uid="{00000000-0005-0000-0000-00004A010000}"/>
    <cellStyle name="Text Indent A" xfId="296" xr:uid="{00000000-0005-0000-0000-00004B010000}"/>
    <cellStyle name="Text Indent B" xfId="297" xr:uid="{00000000-0005-0000-0000-00004C010000}"/>
    <cellStyle name="Text Indent B 2" xfId="298" xr:uid="{00000000-0005-0000-0000-00004D010000}"/>
    <cellStyle name="Text Indent C" xfId="299" xr:uid="{00000000-0005-0000-0000-00004E010000}"/>
    <cellStyle name="Text Indent C 2" xfId="300" xr:uid="{00000000-0005-0000-0000-00004F010000}"/>
    <cellStyle name="Tickmark" xfId="301" xr:uid="{00000000-0005-0000-0000-000050010000}"/>
    <cellStyle name="title" xfId="327" xr:uid="{00000000-0005-0000-0000-000051010000}"/>
    <cellStyle name="Total" xfId="386" xr:uid="{00000000-0005-0000-0000-000052010000}"/>
    <cellStyle name="_x0018_urrency_FY97COB1." xfId="302" xr:uid="{00000000-0005-0000-0000-000053010000}"/>
    <cellStyle name="wakasa" xfId="303" xr:uid="{00000000-0005-0000-0000-000054010000}"/>
    <cellStyle name="Warning Text" xfId="363" xr:uid="{00000000-0005-0000-0000-000055010000}"/>
    <cellStyle name="yosan_irenai" xfId="304" xr:uid="{00000000-0005-0000-0000-000056010000}"/>
    <cellStyle name="アクセント 1 2" xfId="306" xr:uid="{00000000-0005-0000-0000-000058010000}"/>
    <cellStyle name="アクセント 2 2" xfId="308" xr:uid="{00000000-0005-0000-0000-00005A010000}"/>
    <cellStyle name="アクセント 3 2" xfId="310" xr:uid="{00000000-0005-0000-0000-00005C010000}"/>
    <cellStyle name="アクセント 4 2" xfId="312" xr:uid="{00000000-0005-0000-0000-00005E010000}"/>
    <cellStyle name="アクセント 5 2" xfId="314" xr:uid="{00000000-0005-0000-0000-000060010000}"/>
    <cellStyle name="アクセント 6 2" xfId="316" xr:uid="{00000000-0005-0000-0000-000062010000}"/>
    <cellStyle name="カテNo." xfId="317" xr:uid="{00000000-0005-0000-0000-000063010000}"/>
    <cellStyle name="カラムMA" xfId="318" xr:uid="{00000000-0005-0000-0000-000064010000}"/>
    <cellStyle name="カラムSA" xfId="319" xr:uid="{00000000-0005-0000-0000-000065010000}"/>
    <cellStyle name="ｹ鮗ﾐﾀｲ_ｰ豼ｵﾁ･" xfId="320" xr:uid="{00000000-0005-0000-0000-000066010000}"/>
    <cellStyle name="ゴシック" xfId="321" xr:uid="{00000000-0005-0000-0000-000067010000}"/>
    <cellStyle name="ｻ｡ｵﾔ_｢ﾒﾇ ﾊﾇﾂ ﾋﾁﾇﾂ 爿遑" xfId="322" xr:uid="{00000000-0005-0000-0000-000068010000}"/>
    <cellStyle name="ｻｲｽﾞ9" xfId="323" xr:uid="{00000000-0005-0000-0000-000069010000}"/>
    <cellStyle name="スタイル 1" xfId="324" xr:uid="{00000000-0005-0000-0000-00006A010000}"/>
    <cellStyle name="スタイル 1 2" xfId="325" xr:uid="{00000000-0005-0000-0000-00006B010000}"/>
    <cellStyle name="スタイル 2" xfId="326" xr:uid="{00000000-0005-0000-0000-00006C010000}"/>
    <cellStyle name="タイトル 2" xfId="328" xr:uid="{00000000-0005-0000-0000-00006E010000}"/>
    <cellStyle name="チェック セル 2" xfId="330" xr:uid="{00000000-0005-0000-0000-000070010000}"/>
    <cellStyle name="ﾄﾞｸｶ [0]_ｰ霾ｹ" xfId="331" xr:uid="{00000000-0005-0000-0000-000071010000}"/>
    <cellStyle name="ﾄﾞｸｶ_ｰ霾ｹ" xfId="332" xr:uid="{00000000-0005-0000-0000-000072010000}"/>
    <cellStyle name="どちらでもない 2" xfId="334" xr:uid="{00000000-0005-0000-0000-000074010000}"/>
    <cellStyle name="ﾅ・ｭ [0]_ｰ霾ｹ" xfId="335" xr:uid="{00000000-0005-0000-0000-000075010000}"/>
    <cellStyle name="ﾅ・ｭ_ｰ霾ｹ" xfId="336" xr:uid="{00000000-0005-0000-0000-000076010000}"/>
    <cellStyle name="ﾇ･ﾁﾘ_ｰ霾ｹ" xfId="337" xr:uid="{00000000-0005-0000-0000-000077010000}"/>
    <cellStyle name="パーセント 2" xfId="338" xr:uid="{00000000-0005-0000-0000-000079010000}"/>
    <cellStyle name="パーセント 2 2" xfId="339" xr:uid="{00000000-0005-0000-0000-00007A010000}"/>
    <cellStyle name="パーセント 3" xfId="340" xr:uid="{00000000-0005-0000-0000-00007B010000}"/>
    <cellStyle name="パーセント 4" xfId="341" xr:uid="{00000000-0005-0000-0000-00007C010000}"/>
    <cellStyle name="まとめフォーマット" xfId="342" xr:uid="{00000000-0005-0000-0000-00007D010000}"/>
    <cellStyle name="メモ 2" xfId="344" xr:uid="{00000000-0005-0000-0000-00007F010000}"/>
    <cellStyle name="リンク セル 2" xfId="346" xr:uid="{00000000-0005-0000-0000-000081010000}"/>
    <cellStyle name="เครื่องหมายจุลภาค [0]_Person" xfId="347" xr:uid="{00000000-0005-0000-0000-000082010000}"/>
    <cellStyle name="เครื่องหมายจุลภาค_Person" xfId="348" xr:uid="{00000000-0005-0000-0000-000083010000}"/>
    <cellStyle name="เครื่องหมายสกุลเงิน [0]_Person" xfId="349" xr:uid="{00000000-0005-0000-0000-000084010000}"/>
    <cellStyle name="เครื่องหมายสกุลเงิน_Person" xfId="350" xr:uid="{00000000-0005-0000-0000-000085010000}"/>
    <cellStyle name="ปกติ_Person" xfId="351" xr:uid="{00000000-0005-0000-0000-000086010000}"/>
    <cellStyle name="? [0.00]_ArticleMacro" xfId="352" xr:uid="{00000000-0005-0000-0000-000087010000}"/>
    <cellStyle name="?_ArticleMacro" xfId="353" xr:uid="{00000000-0005-0000-0000-000088010000}"/>
    <cellStyle name=" [0.00]_ArticleMacro" xfId="354" xr:uid="{00000000-0005-0000-0000-000089010000}"/>
    <cellStyle name="_ArticleMacro" xfId="355" xr:uid="{00000000-0005-0000-0000-00008A010000}"/>
    <cellStyle name="?_0-1" xfId="356" xr:uid="{00000000-0005-0000-0000-00008B010000}"/>
    <cellStyle name="뷭?_BOOKSHIP" xfId="441" xr:uid="{00000000-0005-0000-0000-0000E2010000}"/>
    <cellStyle name="쉼표 [0]_CWW_TR_재료비_STF(04.7.20)" xfId="446" xr:uid="{00000000-0005-0000-0000-0000E7010000}"/>
    <cellStyle name="콤마 [0]_(급)전세" xfId="447" xr:uid="{00000000-0005-0000-0000-0000E8010000}"/>
    <cellStyle name="콤마_(급)전세" xfId="448" xr:uid="{00000000-0005-0000-0000-0000E9010000}"/>
    <cellStyle name="표준_Book1" xfId="449" xr:uid="{00000000-0005-0000-0000-0000EA010000}"/>
    <cellStyle name="入力 2" xfId="402" xr:uid="{00000000-0005-0000-0000-0000BA010000}"/>
    <cellStyle name="出力 2" xfId="390" xr:uid="{00000000-0005-0000-0000-0000AE010000}"/>
    <cellStyle name="千位分隔[0] 2" xfId="395" xr:uid="{00000000-0005-0000-0000-0000B3010000}"/>
    <cellStyle name="千位分隔[0]_hutao chengben" xfId="396" xr:uid="{00000000-0005-0000-0000-0000B4010000}"/>
    <cellStyle name="右太罫" xfId="359" xr:uid="{00000000-0005-0000-0000-00008E010000}"/>
    <cellStyle name="大島１" xfId="397" xr:uid="{00000000-0005-0000-0000-0000B5010000}"/>
    <cellStyle name="大島標準" xfId="398" xr:uid="{00000000-0005-0000-0000-0000B6010000}"/>
    <cellStyle name="左太罫" xfId="385" xr:uid="{00000000-0005-0000-0000-0000A9010000}"/>
    <cellStyle name="常规 2" xfId="391" xr:uid="{00000000-0005-0000-0000-0000AF010000}"/>
    <cellStyle name="常规_２３８Ｌ受注製品一覧表" xfId="392" xr:uid="{00000000-0005-0000-0000-0000B0010000}"/>
    <cellStyle name="悪い 2" xfId="358" xr:uid="{00000000-0005-0000-0000-00008D010000}"/>
    <cellStyle name="服部" xfId="435" xr:uid="{00000000-0005-0000-0000-0000DC010000}"/>
    <cellStyle name="未定義" xfId="436" xr:uid="{00000000-0005-0000-0000-0000DD010000}"/>
    <cellStyle name="桁区切り [0.0]" xfId="365" xr:uid="{00000000-0005-0000-0000-000095010000}"/>
    <cellStyle name="桁区切り [0.00] 2" xfId="366" xr:uid="{00000000-0005-0000-0000-000096010000}"/>
    <cellStyle name="桁区切り 2" xfId="367" xr:uid="{00000000-0005-0000-0000-000097010000}"/>
    <cellStyle name="桁区切り 2 2" xfId="368" xr:uid="{00000000-0005-0000-0000-000098010000}"/>
    <cellStyle name="桁区切り 2 3" xfId="369" xr:uid="{00000000-0005-0000-0000-000099010000}"/>
    <cellStyle name="桁区切り 2 3 2" xfId="370" xr:uid="{00000000-0005-0000-0000-00009A010000}"/>
    <cellStyle name="桁区切り 3" xfId="371" xr:uid="{00000000-0005-0000-0000-00009B010000}"/>
    <cellStyle name="桁区切り 3 2" xfId="372" xr:uid="{00000000-0005-0000-0000-00009C010000}"/>
    <cellStyle name="桁区切り 3 3" xfId="373" xr:uid="{00000000-0005-0000-0000-00009D010000}"/>
    <cellStyle name="桁区切り_070424_製品系統別PL表その２" xfId="374" xr:uid="{00000000-0005-0000-0000-00009E010000}"/>
    <cellStyle name="桁区切り_2008_08予算_製品系統別PL表" xfId="375" xr:uid="{00000000-0005-0000-0000-00009F010000}"/>
    <cellStyle name="桁区切り_2011見積諸元" xfId="376" xr:uid="{00000000-0005-0000-0000-0000A0010000}"/>
    <cellStyle name="標準 2" xfId="403" xr:uid="{00000000-0005-0000-0000-0000BC010000}"/>
    <cellStyle name="標準 2 2" xfId="404" xr:uid="{00000000-0005-0000-0000-0000BD010000}"/>
    <cellStyle name="標準 2 3" xfId="405" xr:uid="{00000000-0005-0000-0000-0000BE010000}"/>
    <cellStyle name="標準 2 4" xfId="406" xr:uid="{00000000-0005-0000-0000-0000BF010000}"/>
    <cellStyle name="標準 2_【引合報告書】_N・L-PF_アルミ防食端子" xfId="407" xr:uid="{00000000-0005-0000-0000-0000C0010000}"/>
    <cellStyle name="標準 3" xfId="408" xr:uid="{00000000-0005-0000-0000-0000C1010000}"/>
    <cellStyle name="標準 3 2" xfId="409" xr:uid="{00000000-0005-0000-0000-0000C2010000}"/>
    <cellStyle name="標準 4" xfId="410" xr:uid="{00000000-0005-0000-0000-0000C3010000}"/>
    <cellStyle name="標準 4 2" xfId="411" xr:uid="{00000000-0005-0000-0000-0000C4010000}"/>
    <cellStyle name="標準 5" xfId="412" xr:uid="{00000000-0005-0000-0000-0000C5010000}"/>
    <cellStyle name="標準 6" xfId="413" xr:uid="{00000000-0005-0000-0000-0000C6010000}"/>
    <cellStyle name="標準 7" xfId="414" xr:uid="{00000000-0005-0000-0000-0000C7010000}"/>
    <cellStyle name="標準_05通貨レ-ト" xfId="415" xr:uid="{00000000-0005-0000-0000-0000C8010000}"/>
    <cellStyle name="標準_2010見積原価手順書" xfId="416" xr:uid="{00000000-0005-0000-0000-0000C9010000}"/>
    <cellStyle name="標準_2011見積諸元" xfId="417" xr:uid="{00000000-0005-0000-0000-0000CA010000}"/>
    <cellStyle name="標準_720A向け検討コネクタ一覧（見積り用）_⊿1" xfId="418" xr:uid="{00000000-0005-0000-0000-0000CB010000}"/>
    <cellStyle name="標準_Book2" xfId="419" xr:uid="{00000000-0005-0000-0000-0000CC010000}"/>
    <cellStyle name="標準_partslist2" xfId="420" xr:uid="{00000000-0005-0000-0000-0000CD010000}"/>
    <cellStyle name="標準_Sheet1" xfId="421" xr:uid="{00000000-0005-0000-0000-0000CE010000}"/>
    <cellStyle name="標準_Sheet1 (2)" xfId="422" xr:uid="{00000000-0005-0000-0000-0000CF010000}"/>
    <cellStyle name="標準_Sheet2" xfId="423" xr:uid="{00000000-0005-0000-0000-0000D0010000}"/>
    <cellStyle name="標準_成形部材見積もり" xfId="425" xr:uid="{00000000-0005-0000-0000-0000D2010000}"/>
    <cellStyle name="標準_成形部材見積もり_11年度見積原価フォーマット原紙 トヨタ自給化コネクタ1" xfId="426" xr:uid="{00000000-0005-0000-0000-0000D3010000}"/>
    <cellStyle name="標準_成形部材見積もり_13年緒元計算" xfId="427" xr:uid="{00000000-0005-0000-0000-0000D4010000}"/>
    <cellStyle name="標準_成形部材見積もり_HI-06025 TMB-078 室内JB FF-Lコンペ仕様_HI-06105 スズキ殿向部品内製化（提案）新規コネクタ_MYA-07072-1 HMB-069(‘11Mシビック）分割タイプRB一式" xfId="428" xr:uid="{00000000-0005-0000-0000-0000D5010000}"/>
    <cellStyle name="標準_成形部材見積もり_HI-06025 TMB-078 室内JB FF-Lコンペ仕様_HI-06108 SZB-050エンジンルームRB 1次設試仕様" xfId="429" xr:uid="{00000000-0005-0000-0000-0000D6010000}"/>
    <cellStyle name="標準_成形部材見積もり_HI-06025 TMB-078 室内JB FF-Lコンペ仕様_MYA-07072-1 HMB-069(‘11Mシビック）分割タイプRB一式" xfId="430" xr:uid="{00000000-0005-0000-0000-0000D7010000}"/>
    <cellStyle name="標準_成形部材見積もり_MYA-09015-1 他社スライドドアコネクタ部品見積（ＦＡＶ）" xfId="431" xr:uid="{00000000-0005-0000-0000-0000D8010000}"/>
    <cellStyle name="標準_成形部材見積もり_MYA-10051-0　GS30内製コネクタ見積り" xfId="432" xr:uid="{00000000-0005-0000-0000-0000D9010000}"/>
    <cellStyle name="標準_滋賀配賦計算案20080206" xfId="424" xr:uid="{00000000-0005-0000-0000-0000D1010000}"/>
    <cellStyle name="標準_直接加工費" xfId="433" xr:uid="{00000000-0005-0000-0000-0000DA010000}"/>
    <cellStyle name="標準G" xfId="434" xr:uid="{00000000-0005-0000-0000-0000DB010000}"/>
    <cellStyle name="無題1" xfId="437" xr:uid="{00000000-0005-0000-0000-0000DE010000}"/>
    <cellStyle name="無題2" xfId="438" xr:uid="{00000000-0005-0000-0000-0000DF010000}"/>
    <cellStyle name="爨ﾃﾗ靉ｧﾋﾁﾒﾂｨﾘﾅﾀﾒ､ [0]_PERSONAL" xfId="442" xr:uid="{00000000-0005-0000-0000-0000E3010000}"/>
    <cellStyle name="爨ﾃﾗ靉ｧﾋﾁﾒﾂｨﾘﾅﾀﾒ､_PERSONAL" xfId="443" xr:uid="{00000000-0005-0000-0000-0000E4010000}"/>
    <cellStyle name="爨ﾃﾗ靉ｧﾋﾁﾒﾂﾊ｡ﾘﾅ爰ﾔｹ [0]_PERSONAL" xfId="444" xr:uid="{00000000-0005-0000-0000-0000E5010000}"/>
    <cellStyle name="爨ﾃﾗ靉ｧﾋﾁﾒﾂﾊ｡ﾘﾅ爰ﾔｹ_PERSONAL" xfId="445" xr:uid="{00000000-0005-0000-0000-0000E6010000}"/>
    <cellStyle name="良い 2" xfId="440" xr:uid="{00000000-0005-0000-0000-0000E1010000}"/>
    <cellStyle name="英文" xfId="360" xr:uid="{00000000-0005-0000-0000-00008F010000}"/>
    <cellStyle name="見出し 1 2" xfId="378" xr:uid="{00000000-0005-0000-0000-0000A2010000}"/>
    <cellStyle name="見出し 2 2" xfId="380" xr:uid="{00000000-0005-0000-0000-0000A4010000}"/>
    <cellStyle name="見出し 3 2" xfId="382" xr:uid="{00000000-0005-0000-0000-0000A6010000}"/>
    <cellStyle name="見出し 4 2" xfId="384" xr:uid="{00000000-0005-0000-0000-0000A8010000}"/>
    <cellStyle name="計算 2" xfId="362" xr:uid="{00000000-0005-0000-0000-000091010000}"/>
    <cellStyle name="説明文 2" xfId="394" xr:uid="{00000000-0005-0000-0000-0000B2010000}"/>
    <cellStyle name="警告文 2" xfId="364" xr:uid="{00000000-0005-0000-0000-000093010000}"/>
    <cellStyle name="通貨 2" xfId="399" xr:uid="{00000000-0005-0000-0000-0000B7010000}"/>
    <cellStyle name="通貨 3" xfId="400" xr:uid="{00000000-0005-0000-0000-0000B8010000}"/>
    <cellStyle name="集計 2" xfId="387" xr:uid="{00000000-0005-0000-0000-0000AB010000}"/>
    <cellStyle name="集計要項" xfId="388" xr:uid="{00000000-0005-0000-0000-0000AC01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66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26" Type="http://schemas.openxmlformats.org/officeDocument/2006/relationships/externalLink" Target="externalLinks/externalLink13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8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5" Type="http://schemas.openxmlformats.org/officeDocument/2006/relationships/externalLink" Target="externalLinks/externalLink12.xml"/><Relationship Id="rId33" Type="http://schemas.openxmlformats.org/officeDocument/2006/relationships/externalLink" Target="externalLinks/externalLink20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externalLink" Target="externalLinks/externalLink7.xml"/><Relationship Id="rId29" Type="http://schemas.openxmlformats.org/officeDocument/2006/relationships/externalLink" Target="externalLinks/externalLink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1.xml"/><Relationship Id="rId32" Type="http://schemas.openxmlformats.org/officeDocument/2006/relationships/externalLink" Target="externalLinks/externalLink19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externalLink" Target="externalLinks/externalLink10.xml"/><Relationship Id="rId28" Type="http://schemas.openxmlformats.org/officeDocument/2006/relationships/externalLink" Target="externalLinks/externalLink15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6.xml"/><Relationship Id="rId31" Type="http://schemas.openxmlformats.org/officeDocument/2006/relationships/externalLink" Target="externalLinks/externalLink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externalLink" Target="externalLinks/externalLink9.xml"/><Relationship Id="rId27" Type="http://schemas.openxmlformats.org/officeDocument/2006/relationships/externalLink" Target="externalLinks/externalLink14.xml"/><Relationship Id="rId30" Type="http://schemas.openxmlformats.org/officeDocument/2006/relationships/externalLink" Target="externalLinks/externalLink17.xml"/><Relationship Id="rId35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571500</xdr:colOff>
      <xdr:row>122</xdr:row>
      <xdr:rowOff>0</xdr:rowOff>
    </xdr:from>
    <xdr:to>
      <xdr:col>6</xdr:col>
      <xdr:colOff>0</xdr:colOff>
      <xdr:row>125</xdr:row>
      <xdr:rowOff>104775</xdr:rowOff>
    </xdr:to>
    <xdr:sp macro="" textlink="">
      <xdr:nvSpPr>
        <xdr:cNvPr id="43297" name="AutoShape 1">
          <a:extLst>
            <a:ext uri="{FF2B5EF4-FFF2-40B4-BE49-F238E27FC236}">
              <a16:creationId xmlns:a16="http://schemas.microsoft.com/office/drawing/2014/main" id="{00000000-0008-0000-0000-000021A90000}"/>
            </a:ext>
          </a:extLst>
        </xdr:cNvPr>
        <xdr:cNvSpPr>
          <a:spLocks noChangeArrowheads="1"/>
        </xdr:cNvSpPr>
      </xdr:nvSpPr>
      <xdr:spPr bwMode="auto">
        <a:xfrm>
          <a:off x="3629025" y="21440775"/>
          <a:ext cx="152400" cy="561975"/>
        </a:xfrm>
        <a:prstGeom prst="upArrow">
          <a:avLst>
            <a:gd name="adj1" fmla="val 50000"/>
            <a:gd name="adj2" fmla="val 92188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247650</xdr:colOff>
      <xdr:row>124</xdr:row>
      <xdr:rowOff>95250</xdr:rowOff>
    </xdr:from>
    <xdr:to>
      <xdr:col>6</xdr:col>
      <xdr:colOff>352425</xdr:colOff>
      <xdr:row>127</xdr:row>
      <xdr:rowOff>85725</xdr:rowOff>
    </xdr:to>
    <xdr:sp macro="" textlink="">
      <xdr:nvSpPr>
        <xdr:cNvPr id="3074" name="Text Box 2">
          <a:extLst>
            <a:ext uri="{FF2B5EF4-FFF2-40B4-BE49-F238E27FC236}">
              <a16:creationId xmlns:a16="http://schemas.microsoft.com/office/drawing/2014/main" id="{00000000-0008-0000-0000-0000020C0000}"/>
            </a:ext>
          </a:extLst>
        </xdr:cNvPr>
        <xdr:cNvSpPr txBox="1">
          <a:spLocks noChangeArrowheads="1"/>
        </xdr:cNvSpPr>
      </xdr:nvSpPr>
      <xdr:spPr bwMode="auto">
        <a:xfrm>
          <a:off x="3305175" y="21840825"/>
          <a:ext cx="828675" cy="4476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海外拠点</a:t>
          </a:r>
        </a:p>
      </xdr:txBody>
    </xdr:sp>
    <xdr:clientData/>
  </xdr:twoCellAnchor>
  <xdr:twoCellAnchor>
    <xdr:from>
      <xdr:col>2</xdr:col>
      <xdr:colOff>0</xdr:colOff>
      <xdr:row>77</xdr:row>
      <xdr:rowOff>0</xdr:rowOff>
    </xdr:from>
    <xdr:to>
      <xdr:col>2</xdr:col>
      <xdr:colOff>0</xdr:colOff>
      <xdr:row>77</xdr:row>
      <xdr:rowOff>0</xdr:rowOff>
    </xdr:to>
    <xdr:sp macro="" textlink="">
      <xdr:nvSpPr>
        <xdr:cNvPr id="43299" name="AutoShape 3">
          <a:extLst>
            <a:ext uri="{FF2B5EF4-FFF2-40B4-BE49-F238E27FC236}">
              <a16:creationId xmlns:a16="http://schemas.microsoft.com/office/drawing/2014/main" id="{00000000-0008-0000-0000-000023A90000}"/>
            </a:ext>
          </a:extLst>
        </xdr:cNvPr>
        <xdr:cNvSpPr>
          <a:spLocks noChangeArrowheads="1"/>
        </xdr:cNvSpPr>
      </xdr:nvSpPr>
      <xdr:spPr bwMode="auto">
        <a:xfrm>
          <a:off x="1000125" y="13554075"/>
          <a:ext cx="0" cy="0"/>
        </a:xfrm>
        <a:prstGeom prst="rightArrow">
          <a:avLst>
            <a:gd name="adj1" fmla="val 55000"/>
            <a:gd name="adj2" fmla="val -2147483648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80</xdr:row>
      <xdr:rowOff>0</xdr:rowOff>
    </xdr:from>
    <xdr:to>
      <xdr:col>2</xdr:col>
      <xdr:colOff>0</xdr:colOff>
      <xdr:row>80</xdr:row>
      <xdr:rowOff>0</xdr:rowOff>
    </xdr:to>
    <xdr:sp macro="" textlink="">
      <xdr:nvSpPr>
        <xdr:cNvPr id="43300" name="AutoShape 4">
          <a:extLst>
            <a:ext uri="{FF2B5EF4-FFF2-40B4-BE49-F238E27FC236}">
              <a16:creationId xmlns:a16="http://schemas.microsoft.com/office/drawing/2014/main" id="{00000000-0008-0000-0000-000024A90000}"/>
            </a:ext>
          </a:extLst>
        </xdr:cNvPr>
        <xdr:cNvSpPr>
          <a:spLocks noChangeArrowheads="1"/>
        </xdr:cNvSpPr>
      </xdr:nvSpPr>
      <xdr:spPr bwMode="auto">
        <a:xfrm>
          <a:off x="1000125" y="14068425"/>
          <a:ext cx="0" cy="0"/>
        </a:xfrm>
        <a:prstGeom prst="rightArrow">
          <a:avLst>
            <a:gd name="adj1" fmla="val 55000"/>
            <a:gd name="adj2" fmla="val -2147483648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666750</xdr:colOff>
      <xdr:row>49</xdr:row>
      <xdr:rowOff>152400</xdr:rowOff>
    </xdr:from>
    <xdr:to>
      <xdr:col>10</xdr:col>
      <xdr:colOff>0</xdr:colOff>
      <xdr:row>58</xdr:row>
      <xdr:rowOff>57150</xdr:rowOff>
    </xdr:to>
    <xdr:sp macro="" textlink="">
      <xdr:nvSpPr>
        <xdr:cNvPr id="3077" name="Text Box 5">
          <a:extLst>
            <a:ext uri="{FF2B5EF4-FFF2-40B4-BE49-F238E27FC236}">
              <a16:creationId xmlns:a16="http://schemas.microsoft.com/office/drawing/2014/main" id="{00000000-0008-0000-0000-0000050C0000}"/>
            </a:ext>
          </a:extLst>
        </xdr:cNvPr>
        <xdr:cNvSpPr txBox="1">
          <a:spLocks noChangeArrowheads="1"/>
        </xdr:cNvSpPr>
      </xdr:nvSpPr>
      <xdr:spPr bwMode="auto">
        <a:xfrm>
          <a:off x="3724275" y="8782050"/>
          <a:ext cx="2971800" cy="1447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工場販直費：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　・工場から</a:t>
          </a: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SC</a:t>
          </a:r>
          <a:r>
            <a:rPr lang="ja-JP" altLang="en-US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・倉庫・ﾕｰｻﾞまでの輸送費</a:t>
          </a:r>
        </a:p>
        <a:p>
          <a:pPr algn="l" rtl="0">
            <a:defRPr sz="1000"/>
          </a:pPr>
          <a:r>
            <a:rPr lang="ja-JP" altLang="en-US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　・段ボール等の梱包資材費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　・工場内の出荷に関わる費用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営業販直費：</a:t>
          </a:r>
        </a:p>
        <a:p>
          <a:pPr algn="l" rtl="0">
            <a:defRPr sz="1000"/>
          </a:pPr>
          <a:r>
            <a:rPr lang="ja-JP" altLang="en-US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　・国内向け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　　⇒各</a:t>
          </a: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SC</a:t>
          </a:r>
          <a:r>
            <a:rPr lang="ja-JP" altLang="en-US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発生経費</a:t>
          </a:r>
        </a:p>
      </xdr:txBody>
    </xdr:sp>
    <xdr:clientData/>
  </xdr:twoCellAnchor>
  <xdr:twoCellAnchor>
    <xdr:from>
      <xdr:col>0</xdr:col>
      <xdr:colOff>295275</xdr:colOff>
      <xdr:row>391</xdr:row>
      <xdr:rowOff>38100</xdr:rowOff>
    </xdr:from>
    <xdr:to>
      <xdr:col>8</xdr:col>
      <xdr:colOff>123825</xdr:colOff>
      <xdr:row>392</xdr:row>
      <xdr:rowOff>114300</xdr:rowOff>
    </xdr:to>
    <xdr:sp macro="" textlink="">
      <xdr:nvSpPr>
        <xdr:cNvPr id="3078" name="Text Box 6">
          <a:extLst>
            <a:ext uri="{FF2B5EF4-FFF2-40B4-BE49-F238E27FC236}">
              <a16:creationId xmlns:a16="http://schemas.microsoft.com/office/drawing/2014/main" id="{00000000-0008-0000-0000-0000060C0000}"/>
            </a:ext>
          </a:extLst>
        </xdr:cNvPr>
        <xdr:cNvSpPr txBox="1">
          <a:spLocks noChangeArrowheads="1"/>
        </xdr:cNvSpPr>
      </xdr:nvSpPr>
      <xdr:spPr bwMode="auto">
        <a:xfrm>
          <a:off x="295275" y="66817875"/>
          <a:ext cx="5143500" cy="2286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古河</a:t>
          </a: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AS</a:t>
          </a:r>
          <a:r>
            <a:rPr lang="ja-JP" altLang="en-US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は、売値に対して上記比率の口銭を古河電工へ支払う。</a:t>
          </a:r>
        </a:p>
      </xdr:txBody>
    </xdr:sp>
    <xdr:clientData/>
  </xdr:twoCellAnchor>
  <xdr:twoCellAnchor>
    <xdr:from>
      <xdr:col>2</xdr:col>
      <xdr:colOff>0</xdr:colOff>
      <xdr:row>81</xdr:row>
      <xdr:rowOff>0</xdr:rowOff>
    </xdr:from>
    <xdr:to>
      <xdr:col>2</xdr:col>
      <xdr:colOff>0</xdr:colOff>
      <xdr:row>81</xdr:row>
      <xdr:rowOff>0</xdr:rowOff>
    </xdr:to>
    <xdr:sp macro="" textlink="">
      <xdr:nvSpPr>
        <xdr:cNvPr id="43303" name="AutoShape 12">
          <a:extLst>
            <a:ext uri="{FF2B5EF4-FFF2-40B4-BE49-F238E27FC236}">
              <a16:creationId xmlns:a16="http://schemas.microsoft.com/office/drawing/2014/main" id="{00000000-0008-0000-0000-000027A90000}"/>
            </a:ext>
          </a:extLst>
        </xdr:cNvPr>
        <xdr:cNvSpPr>
          <a:spLocks noChangeArrowheads="1"/>
        </xdr:cNvSpPr>
      </xdr:nvSpPr>
      <xdr:spPr bwMode="auto">
        <a:xfrm>
          <a:off x="1000125" y="14239875"/>
          <a:ext cx="0" cy="0"/>
        </a:xfrm>
        <a:prstGeom prst="rightArrow">
          <a:avLst>
            <a:gd name="adj1" fmla="val 55000"/>
            <a:gd name="adj2" fmla="val -2147483648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114300</xdr:colOff>
      <xdr:row>124</xdr:row>
      <xdr:rowOff>95250</xdr:rowOff>
    </xdr:from>
    <xdr:to>
      <xdr:col>10</xdr:col>
      <xdr:colOff>257175</xdr:colOff>
      <xdr:row>127</xdr:row>
      <xdr:rowOff>66675</xdr:rowOff>
    </xdr:to>
    <xdr:sp macro="" textlink="">
      <xdr:nvSpPr>
        <xdr:cNvPr id="3086" name="Text Box 14">
          <a:extLst>
            <a:ext uri="{FF2B5EF4-FFF2-40B4-BE49-F238E27FC236}">
              <a16:creationId xmlns:a16="http://schemas.microsoft.com/office/drawing/2014/main" id="{00000000-0008-0000-0000-00000E0C0000}"/>
            </a:ext>
          </a:extLst>
        </xdr:cNvPr>
        <xdr:cNvSpPr txBox="1">
          <a:spLocks noChangeArrowheads="1"/>
        </xdr:cNvSpPr>
      </xdr:nvSpPr>
      <xdr:spPr bwMode="auto">
        <a:xfrm>
          <a:off x="6124575" y="21840825"/>
          <a:ext cx="828675" cy="428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海外顧客</a:t>
          </a:r>
        </a:p>
      </xdr:txBody>
    </xdr:sp>
    <xdr:clientData/>
  </xdr:twoCellAnchor>
  <xdr:twoCellAnchor>
    <xdr:from>
      <xdr:col>1</xdr:col>
      <xdr:colOff>142875</xdr:colOff>
      <xdr:row>120</xdr:row>
      <xdr:rowOff>28575</xdr:rowOff>
    </xdr:from>
    <xdr:to>
      <xdr:col>2</xdr:col>
      <xdr:colOff>285750</xdr:colOff>
      <xdr:row>122</xdr:row>
      <xdr:rowOff>19050</xdr:rowOff>
    </xdr:to>
    <xdr:sp macro="" textlink="">
      <xdr:nvSpPr>
        <xdr:cNvPr id="3087" name="Text Box 15">
          <a:extLst>
            <a:ext uri="{FF2B5EF4-FFF2-40B4-BE49-F238E27FC236}">
              <a16:creationId xmlns:a16="http://schemas.microsoft.com/office/drawing/2014/main" id="{00000000-0008-0000-0000-00000F0C0000}"/>
            </a:ext>
          </a:extLst>
        </xdr:cNvPr>
        <xdr:cNvSpPr txBox="1">
          <a:spLocks noChangeArrowheads="1"/>
        </xdr:cNvSpPr>
      </xdr:nvSpPr>
      <xdr:spPr bwMode="auto">
        <a:xfrm>
          <a:off x="457200" y="21126450"/>
          <a:ext cx="828675" cy="333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古河</a:t>
          </a: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AS</a:t>
          </a:r>
        </a:p>
      </xdr:txBody>
    </xdr:sp>
    <xdr:clientData/>
  </xdr:twoCellAnchor>
  <xdr:twoCellAnchor>
    <xdr:from>
      <xdr:col>5</xdr:col>
      <xdr:colOff>247650</xdr:colOff>
      <xdr:row>120</xdr:row>
      <xdr:rowOff>0</xdr:rowOff>
    </xdr:from>
    <xdr:to>
      <xdr:col>6</xdr:col>
      <xdr:colOff>352425</xdr:colOff>
      <xdr:row>121</xdr:row>
      <xdr:rowOff>161925</xdr:rowOff>
    </xdr:to>
    <xdr:sp macro="" textlink="">
      <xdr:nvSpPr>
        <xdr:cNvPr id="3088" name="Text Box 16">
          <a:extLst>
            <a:ext uri="{FF2B5EF4-FFF2-40B4-BE49-F238E27FC236}">
              <a16:creationId xmlns:a16="http://schemas.microsoft.com/office/drawing/2014/main" id="{00000000-0008-0000-0000-0000100C0000}"/>
            </a:ext>
          </a:extLst>
        </xdr:cNvPr>
        <xdr:cNvSpPr txBox="1">
          <a:spLocks noChangeArrowheads="1"/>
        </xdr:cNvSpPr>
      </xdr:nvSpPr>
      <xdr:spPr bwMode="auto">
        <a:xfrm>
          <a:off x="3305175" y="21097875"/>
          <a:ext cx="828675" cy="333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古河電工</a:t>
          </a:r>
        </a:p>
      </xdr:txBody>
    </xdr:sp>
    <xdr:clientData/>
  </xdr:twoCellAnchor>
  <xdr:twoCellAnchor>
    <xdr:from>
      <xdr:col>2</xdr:col>
      <xdr:colOff>333375</xdr:colOff>
      <xdr:row>120</xdr:row>
      <xdr:rowOff>142875</xdr:rowOff>
    </xdr:from>
    <xdr:to>
      <xdr:col>5</xdr:col>
      <xdr:colOff>219075</xdr:colOff>
      <xdr:row>121</xdr:row>
      <xdr:rowOff>76200</xdr:rowOff>
    </xdr:to>
    <xdr:sp macro="" textlink="">
      <xdr:nvSpPr>
        <xdr:cNvPr id="43307" name="AutoShape 17">
          <a:extLst>
            <a:ext uri="{FF2B5EF4-FFF2-40B4-BE49-F238E27FC236}">
              <a16:creationId xmlns:a16="http://schemas.microsoft.com/office/drawing/2014/main" id="{00000000-0008-0000-0000-00002BA90000}"/>
            </a:ext>
          </a:extLst>
        </xdr:cNvPr>
        <xdr:cNvSpPr>
          <a:spLocks noChangeArrowheads="1"/>
        </xdr:cNvSpPr>
      </xdr:nvSpPr>
      <xdr:spPr bwMode="auto">
        <a:xfrm>
          <a:off x="1333500" y="21240750"/>
          <a:ext cx="1943100" cy="104775"/>
        </a:xfrm>
        <a:prstGeom prst="leftArrow">
          <a:avLst>
            <a:gd name="adj1" fmla="val 53333"/>
            <a:gd name="adj2" fmla="val 254571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76200</xdr:colOff>
      <xdr:row>122</xdr:row>
      <xdr:rowOff>28575</xdr:rowOff>
    </xdr:from>
    <xdr:to>
      <xdr:col>7</xdr:col>
      <xdr:colOff>285750</xdr:colOff>
      <xdr:row>124</xdr:row>
      <xdr:rowOff>57150</xdr:rowOff>
    </xdr:to>
    <xdr:sp macro="" textlink="">
      <xdr:nvSpPr>
        <xdr:cNvPr id="3090" name="Text Box 18">
          <a:extLst>
            <a:ext uri="{FF2B5EF4-FFF2-40B4-BE49-F238E27FC236}">
              <a16:creationId xmlns:a16="http://schemas.microsoft.com/office/drawing/2014/main" id="{00000000-0008-0000-0000-0000120C0000}"/>
            </a:ext>
          </a:extLst>
        </xdr:cNvPr>
        <xdr:cNvSpPr txBox="1">
          <a:spLocks noChangeArrowheads="1"/>
        </xdr:cNvSpPr>
      </xdr:nvSpPr>
      <xdr:spPr bwMode="auto">
        <a:xfrm>
          <a:off x="3857625" y="21469350"/>
          <a:ext cx="1047750" cy="3333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ロイヤルティ　</a:t>
          </a:r>
        </a:p>
        <a:p>
          <a:pPr algn="l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　</a:t>
          </a:r>
          <a:r>
            <a:rPr lang="en-US" altLang="ja-JP" sz="9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(</a:t>
          </a:r>
          <a:r>
            <a:rPr lang="ja-JP" altLang="en-US" sz="9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売上の一部</a:t>
          </a:r>
          <a:r>
            <a:rPr lang="en-US" altLang="ja-JP" sz="9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)</a:t>
          </a:r>
        </a:p>
      </xdr:txBody>
    </xdr:sp>
    <xdr:clientData/>
  </xdr:twoCellAnchor>
  <xdr:twoCellAnchor>
    <xdr:from>
      <xdr:col>2</xdr:col>
      <xdr:colOff>581025</xdr:colOff>
      <xdr:row>121</xdr:row>
      <xdr:rowOff>114300</xdr:rowOff>
    </xdr:from>
    <xdr:to>
      <xdr:col>5</xdr:col>
      <xdr:colOff>142875</xdr:colOff>
      <xdr:row>123</xdr:row>
      <xdr:rowOff>9525</xdr:rowOff>
    </xdr:to>
    <xdr:sp macro="" textlink="">
      <xdr:nvSpPr>
        <xdr:cNvPr id="3091" name="Text Box 19">
          <a:extLst>
            <a:ext uri="{FF2B5EF4-FFF2-40B4-BE49-F238E27FC236}">
              <a16:creationId xmlns:a16="http://schemas.microsoft.com/office/drawing/2014/main" id="{00000000-0008-0000-0000-0000130C0000}"/>
            </a:ext>
          </a:extLst>
        </xdr:cNvPr>
        <xdr:cNvSpPr txBox="1">
          <a:spLocks noChangeArrowheads="1"/>
        </xdr:cNvSpPr>
      </xdr:nvSpPr>
      <xdr:spPr bwMode="auto">
        <a:xfrm>
          <a:off x="1581150" y="21383625"/>
          <a:ext cx="1619250" cy="2190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ロイヤルティ収入</a:t>
          </a:r>
        </a:p>
      </xdr:txBody>
    </xdr:sp>
    <xdr:clientData/>
  </xdr:twoCellAnchor>
  <xdr:twoCellAnchor>
    <xdr:from>
      <xdr:col>6</xdr:col>
      <xdr:colOff>485775</xdr:colOff>
      <xdr:row>125</xdr:row>
      <xdr:rowOff>57150</xdr:rowOff>
    </xdr:from>
    <xdr:to>
      <xdr:col>9</xdr:col>
      <xdr:colOff>123825</xdr:colOff>
      <xdr:row>126</xdr:row>
      <xdr:rowOff>66675</xdr:rowOff>
    </xdr:to>
    <xdr:sp macro="" textlink="">
      <xdr:nvSpPr>
        <xdr:cNvPr id="43310" name="AutoShape 20">
          <a:extLst>
            <a:ext uri="{FF2B5EF4-FFF2-40B4-BE49-F238E27FC236}">
              <a16:creationId xmlns:a16="http://schemas.microsoft.com/office/drawing/2014/main" id="{00000000-0008-0000-0000-00002EA90000}"/>
            </a:ext>
          </a:extLst>
        </xdr:cNvPr>
        <xdr:cNvSpPr>
          <a:spLocks noChangeArrowheads="1"/>
        </xdr:cNvSpPr>
      </xdr:nvSpPr>
      <xdr:spPr bwMode="auto">
        <a:xfrm flipH="1">
          <a:off x="4267200" y="21955125"/>
          <a:ext cx="1866900" cy="161925"/>
        </a:xfrm>
        <a:prstGeom prst="leftArrow">
          <a:avLst>
            <a:gd name="adj1" fmla="val 52380"/>
            <a:gd name="adj2" fmla="val 248096"/>
          </a:avLst>
        </a:prstGeom>
        <a:solidFill>
          <a:srgbClr val="0000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104775</xdr:colOff>
      <xdr:row>124</xdr:row>
      <xdr:rowOff>66675</xdr:rowOff>
    </xdr:from>
    <xdr:to>
      <xdr:col>8</xdr:col>
      <xdr:colOff>238125</xdr:colOff>
      <xdr:row>125</xdr:row>
      <xdr:rowOff>123825</xdr:rowOff>
    </xdr:to>
    <xdr:sp macro="" textlink="">
      <xdr:nvSpPr>
        <xdr:cNvPr id="3093" name="Text Box 21">
          <a:extLst>
            <a:ext uri="{FF2B5EF4-FFF2-40B4-BE49-F238E27FC236}">
              <a16:creationId xmlns:a16="http://schemas.microsoft.com/office/drawing/2014/main" id="{00000000-0008-0000-0000-0000150C0000}"/>
            </a:ext>
          </a:extLst>
        </xdr:cNvPr>
        <xdr:cNvSpPr txBox="1">
          <a:spLocks noChangeArrowheads="1"/>
        </xdr:cNvSpPr>
      </xdr:nvSpPr>
      <xdr:spPr bwMode="auto">
        <a:xfrm>
          <a:off x="4724400" y="21812250"/>
          <a:ext cx="828675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出荷</a:t>
          </a:r>
        </a:p>
      </xdr:txBody>
    </xdr:sp>
    <xdr:clientData/>
  </xdr:twoCellAnchor>
  <xdr:twoCellAnchor>
    <xdr:from>
      <xdr:col>1</xdr:col>
      <xdr:colOff>342900</xdr:colOff>
      <xdr:row>122</xdr:row>
      <xdr:rowOff>114300</xdr:rowOff>
    </xdr:from>
    <xdr:to>
      <xdr:col>5</xdr:col>
      <xdr:colOff>133350</xdr:colOff>
      <xdr:row>127</xdr:row>
      <xdr:rowOff>19050</xdr:rowOff>
    </xdr:to>
    <xdr:sp macro="" textlink="">
      <xdr:nvSpPr>
        <xdr:cNvPr id="43312" name="AutoShape 22">
          <a:extLst>
            <a:ext uri="{FF2B5EF4-FFF2-40B4-BE49-F238E27FC236}">
              <a16:creationId xmlns:a16="http://schemas.microsoft.com/office/drawing/2014/main" id="{00000000-0008-0000-0000-000030A90000}"/>
            </a:ext>
          </a:extLst>
        </xdr:cNvPr>
        <xdr:cNvSpPr>
          <a:spLocks noChangeArrowheads="1"/>
        </xdr:cNvSpPr>
      </xdr:nvSpPr>
      <xdr:spPr bwMode="auto">
        <a:xfrm flipV="1">
          <a:off x="657225" y="21555075"/>
          <a:ext cx="2533650" cy="666750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2147483646 w 21600"/>
            <a:gd name="T5" fmla="*/ 2147483646 h 21600"/>
            <a:gd name="T6" fmla="*/ 2147483646 w 21600"/>
            <a:gd name="T7" fmla="*/ 2147483646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3927 h 21600"/>
            <a:gd name="T14" fmla="*/ 20450 w 21600"/>
            <a:gd name="T15" fmla="*/ 8231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8351" y="0"/>
              </a:lnTo>
              <a:lnTo>
                <a:pt x="18351" y="3927"/>
              </a:lnTo>
              <a:lnTo>
                <a:pt x="12427" y="3927"/>
              </a:lnTo>
              <a:cubicBezTo>
                <a:pt x="5564" y="3927"/>
                <a:pt x="0" y="7612"/>
                <a:pt x="0" y="12158"/>
              </a:cubicBezTo>
              <a:lnTo>
                <a:pt x="0" y="21600"/>
              </a:lnTo>
              <a:lnTo>
                <a:pt x="4399" y="21600"/>
              </a:lnTo>
              <a:lnTo>
                <a:pt x="4399" y="12158"/>
              </a:lnTo>
              <a:cubicBezTo>
                <a:pt x="4399" y="9989"/>
                <a:pt x="7993" y="8231"/>
                <a:pt x="12427" y="8231"/>
              </a:cubicBezTo>
              <a:lnTo>
                <a:pt x="18351" y="8231"/>
              </a:lnTo>
              <a:lnTo>
                <a:pt x="18351" y="12158"/>
              </a:lnTo>
              <a:lnTo>
                <a:pt x="21600" y="6079"/>
              </a:lnTo>
              <a:close/>
            </a:path>
          </a:pathLst>
        </a:custGeom>
        <a:solidFill>
          <a:srgbClr val="0000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600075</xdr:colOff>
      <xdr:row>124</xdr:row>
      <xdr:rowOff>19050</xdr:rowOff>
    </xdr:from>
    <xdr:to>
      <xdr:col>4</xdr:col>
      <xdr:colOff>57150</xdr:colOff>
      <xdr:row>125</xdr:row>
      <xdr:rowOff>76200</xdr:rowOff>
    </xdr:to>
    <xdr:sp macro="" textlink="">
      <xdr:nvSpPr>
        <xdr:cNvPr id="3095" name="Text Box 23">
          <a:extLst>
            <a:ext uri="{FF2B5EF4-FFF2-40B4-BE49-F238E27FC236}">
              <a16:creationId xmlns:a16="http://schemas.microsoft.com/office/drawing/2014/main" id="{00000000-0008-0000-0000-0000170C0000}"/>
            </a:ext>
          </a:extLst>
        </xdr:cNvPr>
        <xdr:cNvSpPr txBox="1">
          <a:spLocks noChangeArrowheads="1"/>
        </xdr:cNvSpPr>
      </xdr:nvSpPr>
      <xdr:spPr bwMode="auto">
        <a:xfrm>
          <a:off x="1600200" y="21764625"/>
          <a:ext cx="828675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支援作業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76</xdr:row>
      <xdr:rowOff>0</xdr:rowOff>
    </xdr:from>
    <xdr:to>
      <xdr:col>2</xdr:col>
      <xdr:colOff>0</xdr:colOff>
      <xdr:row>76</xdr:row>
      <xdr:rowOff>0</xdr:rowOff>
    </xdr:to>
    <xdr:sp macro="" textlink="">
      <xdr:nvSpPr>
        <xdr:cNvPr id="44117" name="AutoShape 1">
          <a:extLst>
            <a:ext uri="{FF2B5EF4-FFF2-40B4-BE49-F238E27FC236}">
              <a16:creationId xmlns:a16="http://schemas.microsoft.com/office/drawing/2014/main" id="{00000000-0008-0000-0100-000055AC0000}"/>
            </a:ext>
          </a:extLst>
        </xdr:cNvPr>
        <xdr:cNvSpPr>
          <a:spLocks noChangeArrowheads="1"/>
        </xdr:cNvSpPr>
      </xdr:nvSpPr>
      <xdr:spPr bwMode="auto">
        <a:xfrm>
          <a:off x="1000125" y="13382625"/>
          <a:ext cx="0" cy="0"/>
        </a:xfrm>
        <a:prstGeom prst="rightArrow">
          <a:avLst>
            <a:gd name="adj1" fmla="val 55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79</xdr:row>
      <xdr:rowOff>0</xdr:rowOff>
    </xdr:from>
    <xdr:to>
      <xdr:col>2</xdr:col>
      <xdr:colOff>0</xdr:colOff>
      <xdr:row>79</xdr:row>
      <xdr:rowOff>0</xdr:rowOff>
    </xdr:to>
    <xdr:sp macro="" textlink="">
      <xdr:nvSpPr>
        <xdr:cNvPr id="44118" name="AutoShape 2">
          <a:extLst>
            <a:ext uri="{FF2B5EF4-FFF2-40B4-BE49-F238E27FC236}">
              <a16:creationId xmlns:a16="http://schemas.microsoft.com/office/drawing/2014/main" id="{00000000-0008-0000-0100-000056AC0000}"/>
            </a:ext>
          </a:extLst>
        </xdr:cNvPr>
        <xdr:cNvSpPr>
          <a:spLocks noChangeArrowheads="1"/>
        </xdr:cNvSpPr>
      </xdr:nvSpPr>
      <xdr:spPr bwMode="auto">
        <a:xfrm>
          <a:off x="1000125" y="13896975"/>
          <a:ext cx="0" cy="0"/>
        </a:xfrm>
        <a:prstGeom prst="rightArrow">
          <a:avLst>
            <a:gd name="adj1" fmla="val 55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666750</xdr:colOff>
      <xdr:row>49</xdr:row>
      <xdr:rowOff>152400</xdr:rowOff>
    </xdr:from>
    <xdr:to>
      <xdr:col>10</xdr:col>
      <xdr:colOff>0</xdr:colOff>
      <xdr:row>58</xdr:row>
      <xdr:rowOff>57150</xdr:rowOff>
    </xdr:to>
    <xdr:sp macro="" textlink="">
      <xdr:nvSpPr>
        <xdr:cNvPr id="8195" name="Text Box 3">
          <a:extLst>
            <a:ext uri="{FF2B5EF4-FFF2-40B4-BE49-F238E27FC236}">
              <a16:creationId xmlns:a16="http://schemas.microsoft.com/office/drawing/2014/main" id="{00000000-0008-0000-0100-000003200000}"/>
            </a:ext>
          </a:extLst>
        </xdr:cNvPr>
        <xdr:cNvSpPr txBox="1">
          <a:spLocks noChangeArrowheads="1"/>
        </xdr:cNvSpPr>
      </xdr:nvSpPr>
      <xdr:spPr bwMode="auto">
        <a:xfrm>
          <a:off x="3724275" y="8782050"/>
          <a:ext cx="2971800" cy="1447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工場販直費：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・工場から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SC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・倉庫・ﾕｰｻﾞまでの輸送費</a:t>
          </a:r>
        </a:p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・段ボール等の梱包資材費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・工場内の出荷に関わる費用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営業販直費：</a:t>
          </a:r>
        </a:p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・国内向け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⇒各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SC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発生経費</a:t>
          </a:r>
        </a:p>
      </xdr:txBody>
    </xdr:sp>
    <xdr:clientData/>
  </xdr:twoCellAnchor>
  <xdr:twoCellAnchor>
    <xdr:from>
      <xdr:col>0</xdr:col>
      <xdr:colOff>295275</xdr:colOff>
      <xdr:row>314</xdr:row>
      <xdr:rowOff>38100</xdr:rowOff>
    </xdr:from>
    <xdr:to>
      <xdr:col>8</xdr:col>
      <xdr:colOff>123825</xdr:colOff>
      <xdr:row>315</xdr:row>
      <xdr:rowOff>114300</xdr:rowOff>
    </xdr:to>
    <xdr:sp macro="" textlink="">
      <xdr:nvSpPr>
        <xdr:cNvPr id="8196" name="Text Box 4">
          <a:extLst>
            <a:ext uri="{FF2B5EF4-FFF2-40B4-BE49-F238E27FC236}">
              <a16:creationId xmlns:a16="http://schemas.microsoft.com/office/drawing/2014/main" id="{00000000-0008-0000-0100-000004200000}"/>
            </a:ext>
          </a:extLst>
        </xdr:cNvPr>
        <xdr:cNvSpPr txBox="1">
          <a:spLocks noChangeArrowheads="1"/>
        </xdr:cNvSpPr>
      </xdr:nvSpPr>
      <xdr:spPr bwMode="auto">
        <a:xfrm>
          <a:off x="295275" y="43967400"/>
          <a:ext cx="514350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古河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AS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は、売値に対して上記比率の口銭を古河電工へ支払う。</a:t>
          </a:r>
        </a:p>
      </xdr:txBody>
    </xdr:sp>
    <xdr:clientData/>
  </xdr:twoCellAnchor>
  <xdr:twoCellAnchor>
    <xdr:from>
      <xdr:col>2</xdr:col>
      <xdr:colOff>0</xdr:colOff>
      <xdr:row>84</xdr:row>
      <xdr:rowOff>0</xdr:rowOff>
    </xdr:from>
    <xdr:to>
      <xdr:col>2</xdr:col>
      <xdr:colOff>0</xdr:colOff>
      <xdr:row>84</xdr:row>
      <xdr:rowOff>0</xdr:rowOff>
    </xdr:to>
    <xdr:sp macro="" textlink="">
      <xdr:nvSpPr>
        <xdr:cNvPr id="44121" name="AutoShape 10">
          <a:extLst>
            <a:ext uri="{FF2B5EF4-FFF2-40B4-BE49-F238E27FC236}">
              <a16:creationId xmlns:a16="http://schemas.microsoft.com/office/drawing/2014/main" id="{00000000-0008-0000-0100-000059AC0000}"/>
            </a:ext>
          </a:extLst>
        </xdr:cNvPr>
        <xdr:cNvSpPr>
          <a:spLocks noChangeArrowheads="1"/>
        </xdr:cNvSpPr>
      </xdr:nvSpPr>
      <xdr:spPr bwMode="auto">
        <a:xfrm>
          <a:off x="1000125" y="14792325"/>
          <a:ext cx="0" cy="0"/>
        </a:xfrm>
        <a:prstGeom prst="rightArrow">
          <a:avLst>
            <a:gd name="adj1" fmla="val 55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3s12p1x\glass%20substrate\Documents%20and%20Settings\tateishi\&#12487;&#12473;&#12463;&#12488;&#12483;&#12503;\&#36913;&#38291;&#65420;&#65387;&#65435;&#65392;\Documents%20and%20Settings\&#37428;&#26408;&#21746;&#38596;\My%20Documents\Files\&#20809;&#35069;&#36896;&#37096;&#26178;&#20195;\&#30528;&#33394;&#65411;&#65392;&#65420;&#65439;%20%20%20&#38306;&#36899;&#65288;&#37428;&#26408;&#65289;\&#26041;&#37341;&#31649;&#29702;\&#26041;&#37341;&#31649;&#29702;&#65299;&#26376;&#24230;\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ntapl01.ho.furukawa.co.jp/infobeans/db/akjsetbi.nsf/d9ff735d79d0b7ee492566b200332405/C5424AF36857E00149256A2D0010F7D4/$File/&#25505;&#31639;&#35336;&#31639;&#12501;&#12457;&#12540;&#12510;&#12483;&#12488;&#65298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&#20809;&#20849;&#36890;\DOCUME~1\&#23433;&#25998;\LOCALS~1\TEMP\&#37109;&#20415;&#31665;\2001&#26041;&#37341;&#31649;&#29702;\windows\TEMP\&#23433;&#40779;\sample\&#23433;&#25993;\&#23433;&#40779;\&#26041;&#37341;&#31649;&#29702;\&#26041;&#37341;&#31649;&#29702;\&#29983;&#25216;\&#26041;&#37341;AB.WK4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D\MY%20DOCUMENTS\bakup\LTK&#36039;&#26009;&#65420;&#65387;&#65433;&#65408;&#65438;&#65392;\&#65412;&#65438;&#65399;&#65389;&#65426;&#65437;&#65412;\&#30330;&#29017;&#29305;&#24615;&#35336;&#31639;&#20516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3s12p1x\glass%20substrate\Documents%20and%20Settings\&#37428;&#26408;&#21746;&#38596;\My%20Documents\Files\&#20809;&#35069;&#36896;&#37096;&#26178;&#20195;\&#30528;&#33394;&#65411;&#65392;&#65420;&#65439;%20%20%20&#38306;&#36899;&#65288;&#37428;&#26408;&#65289;\&#26041;&#37341;&#31649;&#29702;\&#26041;&#37341;&#31649;&#29702;&#65299;&#26376;&#24230;\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ntmail03.ho.furukawa.co.jp/My%20Documents/&#32784;&#29105;&#23551;&#21629;&#26908;&#35342;Data&#65298;&#20013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urmex1\Company%20Data\Documents%20and%20Settings\hfrem\Local%20Settings\Temporary%20Internet%20Files\OLK2D\EMAC\+++Put%20in%20ERoom\Harnesses_GMT900SteeringColumn_Harness_%20DGSS%23_26109025_Furukawa_Ros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urukawa1\data\WINDOWS\&#65411;&#65438;&#65405;&#65400;&#65412;&#65391;&#65420;&#65439;\2_Plan_FMR_VOR.zip\2_Plan_FMR,VOR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ubdata\TARGET%20D\RZavala\GMT800LINE7\GMT80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6032;&#36605;&#21463;&#27880;&#21487;&#21542;\Documents%20and%20Settings\m-hasegawa\My%20Documents\&#24375;&#24230;&#29575;\PM&#20316;&#26989;&#26085;&#35468;(2002)\PM&#20316;&#26989;&#26085;&#35468;(%6002.04&#65374;%6003.03&#65289;22_23%20(version%202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65320;&#65321;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urmex1\Company%20Data\WINDOWS\TEMP\l&amp;oh-97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urmex1\company%20data\Efrain%20P&#233;rez\T19\pro-T19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65325;&#8546;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32057;&#20171;&#36009;&#22770;&#25919;&#31574;&#36027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b0pc105\&#29983;&#25216;1\Documents%20and%20Settings\IMURA\&#12487;&#12473;&#12463;&#12488;&#12483;&#12503;\MIW\&#35211;&#31309;&#21407;&#20385;\2011\&#12503;&#12524;&#12473;&#20206;&#12501;&#12457;&#12540;&#12510;&#12483;&#12488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shingo\Local%20Settings\Temp\~EXTMP00\2012&#35211;&#31309;&#12426;\&#36215;&#26989;\&#12503;&#12524;&#12473;&#20206;&#12501;&#12457;&#12540;&#12510;&#12483;&#12488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d\d\My%20Documents\&#27147;&#21475;&#65420;&#65387;&#65433;&#65408;&#65438;&#65392;\M.Higuchi\&#25216;&#34899;&#36039;&#26009;\&#30330;&#29017;&#29305;&#24615;&#25216;&#34899;DATA\&#30330;&#29017;&#29305;&#24615;&#65400;&#65438;&#65431;&#65420;&#65411;&#65438;&#65392;&#65408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b0pc105\&#35069;&#36896;\Documents%20and%20Settings\NAKAGAWA\&#12487;&#12473;&#12463;&#12488;&#12483;&#12503;\&#21407;&#20385;&#20302;&#28187;&#25512;&#36914;&#65420;&#65387;&#65435;&#65392;('04&#24180;&#24230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b0pc105\&#35069;&#36896;\Documents%20and%20Settings\NAKAGAWA.MIE_JIDOSYA\&#12487;&#12473;&#12463;&#12488;&#12483;&#12503;\&#36092;&#20837;&#23455;&#3231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5 出来高"/>
      <sheetName val="16 着色"/>
      <sheetName val="17 テープ"/>
      <sheetName val="18 切割"/>
      <sheetName val="2003年度方針生技１Ｇ総括表"/>
      <sheetName val="Ａ標 "/>
      <sheetName val="Ａ標10～3"/>
      <sheetName val="B票"/>
      <sheetName val="2003年度"/>
      <sheetName val="2002年度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フォーマット"/>
      <sheetName val="投資利益率計算"/>
      <sheetName val="MOTO"/>
      <sheetName val="初期03"/>
      <sheetName val="MPL 技連"/>
      <sheetName val="342E BLOCK"/>
      <sheetName val="342A Block"/>
      <sheetName val="損益予算Muster"/>
      <sheetName val="Sheet1"/>
      <sheetName val="計算ｼｰﾄ"/>
      <sheetName val="主要WH売上"/>
      <sheetName val="SCH"/>
      <sheetName val="回収計算"/>
      <sheetName val="計算DATA"/>
      <sheetName val="04年度長期操業予測_数量_0412月3発反映"/>
      <sheetName val="当前明细账"/>
      <sheetName val="工数集計"/>
      <sheetName val="Summary PL-No Variations"/>
      <sheetName val="静ﾊﾟﾀﾝ分析"/>
      <sheetName val="採算計算フォーマット２"/>
      <sheetName val="導体間隔ﾋｽﾄｸﾞﾗﾑ"/>
      <sheetName val="1課(PC誘導）"/>
      <sheetName val="工数海外比率"/>
      <sheetName val="4課khong phan tich"/>
      <sheetName val=" BIEU DO "/>
      <sheetName val="プレス入力"/>
      <sheetName val="推移データ"/>
      <sheetName val="Q_20050926_3_2"/>
      <sheetName val="３発デ－タ"/>
      <sheetName val="クエリ2"/>
      <sheetName val="CHART COST n GM"/>
      <sheetName val="電線早見表"/>
      <sheetName val="出荷指示書"/>
      <sheetName val="指示数入力"/>
      <sheetName val="部品重量 150506"/>
      <sheetName val="Pivot"/>
      <sheetName val="部品重量 151001"/>
      <sheetName val="CAN BANG THAO TAC"/>
      <sheetName val="部品重量 151102"/>
      <sheetName val="音データ"/>
      <sheetName val="#REF!"/>
      <sheetName val="CHHS AVSS6"/>
      <sheetName val="J716(KYOUDO)"/>
      <sheetName val="車会集約"/>
      <sheetName val="#REF"/>
      <sheetName val="SC4"/>
      <sheetName val="▼もんれん対応一覧16.02.02"/>
      <sheetName val="PARAM"/>
      <sheetName val="評価項目"/>
      <sheetName val="SRP FH"/>
      <sheetName val="Profit"/>
      <sheetName val="110408"/>
      <sheetName val="link"/>
      <sheetName val="3ﾄﾗﾝｸ閉まり"/>
      <sheetName val="Lban"/>
      <sheetName val="スコアカード (2)"/>
      <sheetName val="部品重量 160201"/>
      <sheetName val="表5-2 地区別CO2排出実績"/>
      <sheetName val="電線リスト"/>
      <sheetName val="051110_金額_REV1"/>
      <sheetName val="週数量"/>
      <sheetName val="車体構成"/>
      <sheetName val="入力シート"/>
      <sheetName val="0604購入先別手配データ"/>
      <sheetName val="ＣＡＭＹ　ＭⅢ"/>
      <sheetName val="入力規則"/>
      <sheetName val="TW_STDATA"/>
      <sheetName val="プルダウン"/>
      <sheetName val="capacité"/>
      <sheetName val="コード"/>
      <sheetName val="04年度長期操業予測_金額_0408月3発反映_長計修正"/>
      <sheetName val="マスタ"/>
      <sheetName val="改定履歴"/>
      <sheetName val="FCST GMT900 "/>
      <sheetName val="26126696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J716(KYOUDO)"/>
      <sheetName val="成型負荷data"/>
      <sheetName val="MPL 技連"/>
      <sheetName val="342E BLOCK"/>
      <sheetName val="MOTO"/>
      <sheetName val="X02A (DF) TERMINAL LIST"/>
      <sheetName val="capacité"/>
      <sheetName val="工数集計"/>
      <sheetName val="SRP FH"/>
      <sheetName val="推移データ"/>
      <sheetName val="CSM with CKD"/>
      <sheetName val="371国内試設変通知（日車記入）"/>
      <sheetName val="FAV"/>
      <sheetName val="GPC"/>
      <sheetName val="JAH"/>
      <sheetName val="発注ロット月数"/>
      <sheetName val="在庫にＬＴ＆ｻｲｸﾙ付加"/>
      <sheetName val="損益予算Muster"/>
      <sheetName val="1998"/>
      <sheetName val="1996A"/>
      <sheetName val="工数海外比率"/>
      <sheetName val="XL4Poppy"/>
      <sheetName val="静ﾊﾟﾀﾝ分析"/>
      <sheetName val="主要WH売上"/>
      <sheetName val="月次データ"/>
      <sheetName val="結果一覧"/>
      <sheetName val="Summary PL-No Variations"/>
      <sheetName val="CHART COST n GM"/>
      <sheetName val="#REF!"/>
      <sheetName val="TW_STDATA"/>
      <sheetName val="３発デ－タ"/>
      <sheetName val="計算DATA"/>
      <sheetName val="コード表"/>
      <sheetName val="04年度長期操業予測_金額_0408月3発反映_長計修正"/>
      <sheetName val="ﾄﾞﾗｲﾌﾞ鋳造"/>
      <sheetName val="ﾑｰﾊﾞﾌﾞﾙ鋳造 "/>
      <sheetName val="4-m sheets"/>
      <sheetName val="Ramp-up"/>
      <sheetName val="Summary"/>
      <sheetName val="発煙特性計算値"/>
      <sheetName val="CaseAnoInvest"/>
      <sheetName val="ﾋﾟﾆｵﾝｾﾝｻ1万"/>
      <sheetName val="VN48 A,Btype 標準工数"/>
      <sheetName val="After Sales Supplier #'s"/>
      <sheetName val="ﾊﾟｲﾌﾟ"/>
      <sheetName val="他材料費"/>
      <sheetName val="熱延鋼板"/>
      <sheetName val="冷延鋼板"/>
      <sheetName val="1課(PC誘導）"/>
      <sheetName val="11月"/>
      <sheetName val="CHHS AVSS6"/>
      <sheetName val="①評価項目_メーカー"/>
      <sheetName val="4課khong phan tich"/>
      <sheetName val="Backデータ2"/>
      <sheetName val="DATE"/>
      <sheetName val="INPUT SHEET"/>
      <sheetName val="MYｺｰﾄﾞ"/>
      <sheetName val="車名照合表"/>
      <sheetName val="状況ｺｰﾄﾞ照合表"/>
      <sheetName val="部品明細"/>
      <sheetName val="部品設定"/>
      <sheetName val="週数量"/>
      <sheetName val="投資利益率計算"/>
      <sheetName val="標準単価ﾏｽﾀ"/>
      <sheetName val="7 issue TS Report-Production"/>
      <sheetName val="箔Data"/>
      <sheetName val="名簿データ"/>
      <sheetName val="Gia vat tu"/>
      <sheetName val="TABLE"/>
      <sheetName val="_MISSION"/>
      <sheetName val="gvl"/>
      <sheetName val="DIST"/>
      <sheetName val="Lban"/>
      <sheetName val="DU LIEU XUAT KHO VO"/>
      <sheetName val="VN48 A_Btype 標準工数"/>
      <sheetName val="PROFILE"/>
      <sheetName val="⑦項目 (chinh thuc)"/>
      <sheetName val="Muc tieu 2015"/>
      <sheetName val="⑦項目LOI NANG"/>
      <sheetName val="Ｊ１６Ｌ　ＡＪＤ　電源体系"/>
      <sheetName val="06年度長期操業予測_金額_0701月3発反映_070112"/>
      <sheetName val="段ﾎﾞｰﾙ箱図番･荷姿ｺｰﾄﾞ"/>
      <sheetName val="总"/>
      <sheetName val="T_クロス集計テーブル【基データ】"/>
      <sheetName val="0604購入先別手配データ"/>
      <sheetName val="HL extract"/>
      <sheetName val="PACKING"/>
      <sheetName val="Plan"/>
      <sheetName val="1_15 マトリクステスト_____"/>
      <sheetName val="TKBN_TKBNA"/>
      <sheetName val="Véhicule"/>
      <sheetName val="ACT -2005 Rear"/>
      <sheetName val="生準L／T"/>
      <sheetName val="圧着条件"/>
      <sheetName val="ﾏﾙﾁ回路"/>
      <sheetName val="明細"/>
      <sheetName val="N(02a)"/>
      <sheetName val="T"/>
      <sheetName val="Calc."/>
      <sheetName val="SC用内示データ2"/>
      <sheetName val="生準L_T"/>
      <sheetName val="図面台帳"/>
      <sheetName val="TH VL, NC, DDHT Thanhphuoc"/>
      <sheetName val="1-2-1"/>
      <sheetName val="ＣＡＭＹ　ＭⅢ"/>
      <sheetName val="フォーム1"/>
      <sheetName val="ＳＱＬ"/>
      <sheetName val="T_ＣＡＤ情報"/>
      <sheetName val="T_チューブ所要量"/>
      <sheetName val="T_見積実績"/>
      <sheetName val="T_見積品番"/>
      <sheetName val="T_原価"/>
      <sheetName val="T_工数"/>
      <sheetName val="T_賃率"/>
      <sheetName val="T_賃率係数"/>
      <sheetName val="T_銅ベース"/>
      <sheetName val="T_電線所要量"/>
      <sheetName val="T_部品管理"/>
      <sheetName val="T_部品所要量"/>
      <sheetName val="画面チューブ"/>
      <sheetName val="画面チューブ計"/>
      <sheetName val="画面加工"/>
      <sheetName val="画面総括"/>
      <sheetName val="画面電線"/>
      <sheetName val="画面電線計"/>
      <sheetName val="画面部品"/>
      <sheetName val="画面部品計"/>
      <sheetName val="画面要求"/>
      <sheetName val="基本枠"/>
      <sheetName val="04年度長期操業予測_数量_0412月3発反映"/>
      <sheetName val="音データ"/>
      <sheetName val="達成729"/>
      <sheetName val="X02A _DF_ TERMINAL LIST"/>
      <sheetName val="Ｍss.４Ｒ要員"/>
      <sheetName val="Machine Data"/>
      <sheetName val="Machine Rate Data"/>
      <sheetName val="Material Data"/>
      <sheetName val="2005 DGSS Component Prices"/>
      <sheetName val="Transportation Data"/>
      <sheetName val="Markup Data"/>
      <sheetName val="Common Cost Data"/>
      <sheetName val="Indirect Labor Allocation"/>
      <sheetName val="Transportation"/>
      <sheetName val="欧州走行比率"/>
      <sheetName val="出荷指示書"/>
      <sheetName val="指示数入力"/>
      <sheetName val="342A Block"/>
      <sheetName val="5月应收"/>
      <sheetName val="計算ｼｰﾄ"/>
      <sheetName val="県別ﾏﾙﾁ"/>
      <sheetName val="data"/>
      <sheetName val="SQL"/>
      <sheetName val="WIP (new)"/>
      <sheetName val="TDTKP"/>
      <sheetName val="DK-KH"/>
      <sheetName val="売上総益ﾃﾞｰﾀ"/>
      <sheetName val="OperBal"/>
      <sheetName val="テスト"/>
      <sheetName val="評価試験依頼書"/>
      <sheetName val="評価試験依頼書_本体"/>
      <sheetName val="電線リスト"/>
      <sheetName val="Bill of Mat"/>
      <sheetName val="clist"/>
      <sheetName val="リンク (2)"/>
      <sheetName val="長滞ﾘｽﾄ"/>
      <sheetName val="#REF"/>
      <sheetName val="事務所引越見積書"/>
      <sheetName val="RA"/>
      <sheetName val="MASTER"/>
      <sheetName val="AE1218"/>
      <sheetName val="クエリ3"/>
      <sheetName val="クエリ2"/>
      <sheetName val="Dinh nghia"/>
      <sheetName val="Général"/>
      <sheetName val="①"/>
      <sheetName val="認識① 0°"/>
      <sheetName val="T_クロス集計テーブル"/>
    </sheetNames>
    <sheetDataSet>
      <sheetData sheetId="0" refreshError="1">
        <row r="39">
          <cell r="C39">
            <v>1</v>
          </cell>
          <cell r="D39">
            <v>82.178752022418294</v>
          </cell>
          <cell r="E39">
            <v>115.62192633149695</v>
          </cell>
          <cell r="F39">
            <v>162.2224624451668</v>
          </cell>
          <cell r="G39">
            <v>224.33958916613651</v>
          </cell>
        </row>
        <row r="40">
          <cell r="C40">
            <v>1.5</v>
          </cell>
          <cell r="D40">
            <v>67.37232165799135</v>
          </cell>
          <cell r="E40">
            <v>94.735225831855956</v>
          </cell>
          <cell r="F40">
            <v>132.85267310667254</v>
          </cell>
          <cell r="G40">
            <v>183.63819359862734</v>
          </cell>
        </row>
        <row r="41">
          <cell r="C41">
            <v>2</v>
          </cell>
          <cell r="D41">
            <v>58.583442014295066</v>
          </cell>
          <cell r="E41">
            <v>82.329499704544801</v>
          </cell>
          <cell r="F41">
            <v>115.39931365767781</v>
          </cell>
          <cell r="G41">
            <v>159.43897094130602</v>
          </cell>
        </row>
        <row r="42">
          <cell r="C42">
            <v>2.5</v>
          </cell>
          <cell r="D42">
            <v>52.611145329974754</v>
          </cell>
          <cell r="E42">
            <v>73.894182065649318</v>
          </cell>
          <cell r="F42">
            <v>103.52562857771929</v>
          </cell>
          <cell r="G42">
            <v>142.9678652935948</v>
          </cell>
        </row>
        <row r="43">
          <cell r="C43">
            <v>3</v>
          </cell>
          <cell r="D43">
            <v>48.221437293698145</v>
          </cell>
          <cell r="E43">
            <v>67.690204577065671</v>
          </cell>
          <cell r="F43">
            <v>94.788198599966606</v>
          </cell>
          <cell r="G43">
            <v>130.84131000568411</v>
          </cell>
        </row>
        <row r="44">
          <cell r="C44">
            <v>3.5</v>
          </cell>
          <cell r="D44">
            <v>44.824444235803597</v>
          </cell>
          <cell r="E44">
            <v>62.886157996643774</v>
          </cell>
          <cell r="F44">
            <v>88.018761206647284</v>
          </cell>
          <cell r="G44">
            <v>121.44137638889801</v>
          </cell>
        </row>
        <row r="45">
          <cell r="C45">
            <v>4</v>
          </cell>
          <cell r="D45">
            <v>42.09807509708358</v>
          </cell>
          <cell r="E45">
            <v>59.028010713111705</v>
          </cell>
          <cell r="F45">
            <v>82.579265515672674</v>
          </cell>
          <cell r="G45">
            <v>113.88434204889191</v>
          </cell>
        </row>
        <row r="46">
          <cell r="C46">
            <v>4.5</v>
          </cell>
          <cell r="D46">
            <v>39.849641392085665</v>
          </cell>
          <cell r="E46">
            <v>55.844109873548845</v>
          </cell>
          <cell r="F46">
            <v>78.087919616008364</v>
          </cell>
          <cell r="G46">
            <v>107.64136183776364</v>
          </cell>
        </row>
        <row r="47">
          <cell r="C47">
            <v>5</v>
          </cell>
          <cell r="D47">
            <v>37.955896651424823</v>
          </cell>
          <cell r="E47">
            <v>53.160681914915642</v>
          </cell>
          <cell r="F47">
            <v>74.30047096174691</v>
          </cell>
          <cell r="G47">
            <v>102.37407350951024</v>
          </cell>
        </row>
        <row r="48">
          <cell r="C48">
            <v>5.5</v>
          </cell>
          <cell r="D48">
            <v>36.333868516880642</v>
          </cell>
          <cell r="E48">
            <v>50.860724899565398</v>
          </cell>
          <cell r="F48">
            <v>71.052447862697761</v>
          </cell>
          <cell r="G48">
            <v>97.854613569079461</v>
          </cell>
        </row>
        <row r="49">
          <cell r="C49">
            <v>6</v>
          </cell>
          <cell r="D49">
            <v>34.925387453064118</v>
          </cell>
          <cell r="E49">
            <v>48.862202664350022</v>
          </cell>
          <cell r="F49">
            <v>68.228519347960727</v>
          </cell>
          <cell r="G49">
            <v>93.923184443738123</v>
          </cell>
        </row>
        <row r="50">
          <cell r="C50">
            <v>6.5</v>
          </cell>
          <cell r="D50">
            <v>33.688308047732072</v>
          </cell>
          <cell r="E50">
            <v>47.105670950459483</v>
          </cell>
          <cell r="F50">
            <v>65.745107249698094</v>
          </cell>
          <cell r="G50">
            <v>90.463973067738351</v>
          </cell>
        </row>
        <row r="51">
          <cell r="C51">
            <v>7</v>
          </cell>
          <cell r="D51">
            <v>32.591250675641668</v>
          </cell>
          <cell r="E51">
            <v>45.546865113901326</v>
          </cell>
          <cell r="F51">
            <v>63.539969780983476</v>
          </cell>
          <cell r="G51">
            <v>87.390723879580193</v>
          </cell>
        </row>
        <row r="52">
          <cell r="C52">
            <v>7.5</v>
          </cell>
          <cell r="D52">
            <v>31.610308482542052</v>
          </cell>
          <cell r="E52">
            <v>44.152057897882564</v>
          </cell>
          <cell r="F52">
            <v>61.565677493699006</v>
          </cell>
          <cell r="G52">
            <v>84.637702383708941</v>
          </cell>
        </row>
        <row r="53">
          <cell r="C53">
            <v>8</v>
          </cell>
          <cell r="D53">
            <v>30.726906845750356</v>
          </cell>
          <cell r="E53">
            <v>42.89504167560488</v>
          </cell>
          <cell r="F53">
            <v>59.78537198162708</v>
          </cell>
          <cell r="G53">
            <v>82.153820228108344</v>
          </cell>
        </row>
        <row r="54">
          <cell r="C54">
            <v>8.5</v>
          </cell>
          <cell r="D54">
            <v>29.926367182926509</v>
          </cell>
          <cell r="E54">
            <v>41.755103558849562</v>
          </cell>
          <cell r="F54">
            <v>58.169919846219514</v>
          </cell>
          <cell r="G54">
            <v>79.89869275195575</v>
          </cell>
        </row>
        <row r="55">
          <cell r="C55">
            <v>9</v>
          </cell>
          <cell r="D55">
            <v>29.196916691018139</v>
          </cell>
          <cell r="E55">
            <v>40.715629134055369</v>
          </cell>
          <cell r="F55">
            <v>56.695950105389706</v>
          </cell>
          <cell r="G55">
            <v>77.839920174656953</v>
          </cell>
        </row>
        <row r="56">
          <cell r="C56">
            <v>9.5</v>
          </cell>
          <cell r="D56">
            <v>28.528989147482751</v>
          </cell>
          <cell r="E56">
            <v>39.763116530747389</v>
          </cell>
          <cell r="F56">
            <v>55.344468289928713</v>
          </cell>
          <cell r="G56">
            <v>75.951167579281076</v>
          </cell>
        </row>
        <row r="57">
          <cell r="C57">
            <v>10</v>
          </cell>
          <cell r="D57">
            <v>27.914720814481591</v>
          </cell>
          <cell r="E57">
            <v>38.886465556017761</v>
          </cell>
          <cell r="F57">
            <v>54.099857139634196</v>
          </cell>
          <cell r="G57">
            <v>74.210780414698007</v>
          </cell>
        </row>
        <row r="58">
          <cell r="C58">
            <v>15</v>
          </cell>
          <cell r="D58">
            <v>23.679534670645722</v>
          </cell>
          <cell r="E58">
            <v>32.818583643784947</v>
          </cell>
          <cell r="F58">
            <v>45.45762991217368</v>
          </cell>
          <cell r="G58">
            <v>62.090553281047889</v>
          </cell>
        </row>
        <row r="59">
          <cell r="C59">
            <v>20</v>
          </cell>
          <cell r="D59">
            <v>21.281831079747796</v>
          </cell>
          <cell r="E59">
            <v>29.353728315326418</v>
          </cell>
          <cell r="F59">
            <v>40.488475606442805</v>
          </cell>
          <cell r="G59">
            <v>55.077339977999223</v>
          </cell>
        </row>
        <row r="60">
          <cell r="C60">
            <v>25</v>
          </cell>
          <cell r="D60">
            <v>19.73255498811039</v>
          </cell>
          <cell r="E60">
            <v>27.093761349013338</v>
          </cell>
          <cell r="F60">
            <v>37.222836030699554</v>
          </cell>
          <cell r="G60">
            <v>50.436862190584336</v>
          </cell>
        </row>
        <row r="61">
          <cell r="C61">
            <v>30</v>
          </cell>
          <cell r="D61">
            <v>18.653133538629586</v>
          </cell>
          <cell r="E61">
            <v>25.502985414067613</v>
          </cell>
          <cell r="F61">
            <v>34.905398674407742</v>
          </cell>
          <cell r="G61">
            <v>47.119614219739283</v>
          </cell>
        </row>
        <row r="62">
          <cell r="C62">
            <v>35</v>
          </cell>
          <cell r="D62">
            <v>17.86380629865851</v>
          </cell>
          <cell r="E62">
            <v>24.326799689737438</v>
          </cell>
          <cell r="F62">
            <v>33.176895581906173</v>
          </cell>
          <cell r="G62">
            <v>44.625988594612153</v>
          </cell>
        </row>
        <row r="63">
          <cell r="C63">
            <v>40</v>
          </cell>
          <cell r="D63">
            <v>17.267039364671707</v>
          </cell>
          <cell r="E63">
            <v>23.426944924859257</v>
          </cell>
          <cell r="F63">
            <v>31.842082691316403</v>
          </cell>
          <cell r="G63">
            <v>42.684269585715597</v>
          </cell>
        </row>
        <row r="64">
          <cell r="C64">
            <v>45</v>
          </cell>
          <cell r="D64">
            <v>16.804841621270359</v>
          </cell>
          <cell r="E64">
            <v>22.72114399043917</v>
          </cell>
          <cell r="F64">
            <v>30.784688293997025</v>
          </cell>
          <cell r="G64">
            <v>41.132530759610539</v>
          </cell>
        </row>
        <row r="65">
          <cell r="C65">
            <v>50</v>
          </cell>
          <cell r="D65">
            <v>16.440347051619771</v>
          </cell>
          <cell r="E65">
            <v>22.157040825228634</v>
          </cell>
          <cell r="F65">
            <v>29.930670569584478</v>
          </cell>
          <cell r="G65">
            <v>39.867587227088286</v>
          </cell>
        </row>
        <row r="66">
          <cell r="C66">
            <v>55</v>
          </cell>
          <cell r="D66">
            <v>16.148891738964235</v>
          </cell>
          <cell r="E66">
            <v>21.699567054917456</v>
          </cell>
          <cell r="F66">
            <v>29.230396870942702</v>
          </cell>
          <cell r="G66">
            <v>38.820223761220184</v>
          </cell>
        </row>
        <row r="67">
          <cell r="C67">
            <v>60</v>
          </cell>
          <cell r="D67">
            <v>15.913299365640032</v>
          </cell>
          <cell r="E67">
            <v>21.32426373948276</v>
          </cell>
          <cell r="F67">
            <v>28.649218674695806</v>
          </cell>
          <cell r="G67">
            <v>37.942086805987195</v>
          </cell>
        </row>
        <row r="68">
          <cell r="C68">
            <v>65</v>
          </cell>
          <cell r="D68">
            <v>15.721215984339604</v>
          </cell>
          <cell r="E68">
            <v>21.013504520775058</v>
          </cell>
          <cell r="F68">
            <v>28.162138901949895</v>
          </cell>
          <cell r="G68">
            <v>37.198264418189488</v>
          </cell>
        </row>
        <row r="69">
          <cell r="C69">
            <v>70</v>
          </cell>
          <cell r="D69">
            <v>15.563519009733932</v>
          </cell>
          <cell r="E69">
            <v>20.754240518860282</v>
          </cell>
          <cell r="F69">
            <v>27.750626644422841</v>
          </cell>
          <cell r="G69">
            <v>36.562852175187345</v>
          </cell>
        </row>
        <row r="70">
          <cell r="C70">
            <v>75</v>
          </cell>
          <cell r="D70">
            <v>15.433323867310531</v>
          </cell>
          <cell r="E70">
            <v>20.536592327727526</v>
          </cell>
          <cell r="F70">
            <v>27.40062783026789</v>
          </cell>
          <cell r="G70">
            <v>36.016182770895682</v>
          </cell>
        </row>
        <row r="71">
          <cell r="C71">
            <v>80</v>
          </cell>
          <cell r="D71">
            <v>15.325339934841335</v>
          </cell>
          <cell r="E71">
            <v>20.352937327708851</v>
          </cell>
          <cell r="F71">
            <v>27.101275505179053</v>
          </cell>
          <cell r="G71">
            <v>35.543029288209944</v>
          </cell>
        </row>
        <row r="72">
          <cell r="C72">
            <v>85</v>
          </cell>
          <cell r="D72">
            <v>15.235439264232749</v>
          </cell>
          <cell r="E72">
            <v>20.197298851710499</v>
          </cell>
          <cell r="F72">
            <v>26.844026660471648</v>
          </cell>
          <cell r="G72">
            <v>35.131402373820301</v>
          </cell>
        </row>
        <row r="73">
          <cell r="C73">
            <v>90</v>
          </cell>
          <cell r="D73">
            <v>15.160359604667821</v>
          </cell>
          <cell r="E73">
            <v>20.064925920380865</v>
          </cell>
          <cell r="F73">
            <v>26.622068463032718</v>
          </cell>
          <cell r="G73">
            <v>34.771722679642025</v>
          </cell>
        </row>
        <row r="74">
          <cell r="C74">
            <v>95</v>
          </cell>
          <cell r="D74">
            <v>15.097494842575177</v>
          </cell>
          <cell r="E74">
            <v>19.951997022279425</v>
          </cell>
          <cell r="F74">
            <v>26.429899905199395</v>
          </cell>
          <cell r="G74">
            <v>34.456237762286158</v>
          </cell>
        </row>
        <row r="75">
          <cell r="C75">
            <v>100</v>
          </cell>
          <cell r="D75">
            <v>15.044743900175034</v>
          </cell>
          <cell r="E75">
            <v>19.85540682520077</v>
          </cell>
          <cell r="F75">
            <v>26.263030762339845</v>
          </cell>
          <cell r="G75">
            <v>34.178602523980182</v>
          </cell>
        </row>
        <row r="76">
          <cell r="C76">
            <v>150</v>
          </cell>
          <cell r="D76">
            <v>14.812810691412198</v>
          </cell>
          <cell r="E76">
            <v>19.392494939864079</v>
          </cell>
          <cell r="F76">
            <v>25.404361192527301</v>
          </cell>
          <cell r="G76">
            <v>32.653822185837932</v>
          </cell>
        </row>
        <row r="77">
          <cell r="C77">
            <v>200</v>
          </cell>
          <cell r="D77">
            <v>14.769015846313883</v>
          </cell>
          <cell r="E77">
            <v>19.283813670953062</v>
          </cell>
          <cell r="F77">
            <v>25.163697711018656</v>
          </cell>
          <cell r="G77">
            <v>32.152037390620769</v>
          </cell>
        </row>
        <row r="78">
          <cell r="C78">
            <v>250</v>
          </cell>
          <cell r="D78">
            <v>14.760558799442618</v>
          </cell>
          <cell r="E78">
            <v>19.257434563423434</v>
          </cell>
          <cell r="F78">
            <v>25.093103600872361</v>
          </cell>
          <cell r="G78">
            <v>31.976686921007555</v>
          </cell>
        </row>
        <row r="79">
          <cell r="C79">
            <v>300</v>
          </cell>
          <cell r="D79">
            <v>14.758918698698768</v>
          </cell>
          <cell r="E79">
            <v>19.250980893232057</v>
          </cell>
          <cell r="F79">
            <v>25.072124903625102</v>
          </cell>
          <cell r="G79">
            <v>31.914155325254949</v>
          </cell>
        </row>
        <row r="80">
          <cell r="C80">
            <v>350</v>
          </cell>
          <cell r="D80">
            <v>14.75860036590403</v>
          </cell>
          <cell r="E80">
            <v>19.249398947591651</v>
          </cell>
          <cell r="F80">
            <v>25.065866613408147</v>
          </cell>
          <cell r="G80">
            <v>31.891696098523095</v>
          </cell>
        </row>
        <row r="81">
          <cell r="C81">
            <v>400</v>
          </cell>
          <cell r="D81">
            <v>14.75853856968577</v>
          </cell>
          <cell r="E81">
            <v>19.249010992405807</v>
          </cell>
          <cell r="F81">
            <v>25.063997528079938</v>
          </cell>
          <cell r="G81">
            <v>31.883608866951569</v>
          </cell>
        </row>
        <row r="82">
          <cell r="C82">
            <v>450</v>
          </cell>
          <cell r="D82">
            <v>14.75852657314771</v>
          </cell>
          <cell r="E82">
            <v>19.24891583953827</v>
          </cell>
          <cell r="F82">
            <v>25.063439121317622</v>
          </cell>
          <cell r="G82">
            <v>31.880694098989078</v>
          </cell>
        </row>
        <row r="83">
          <cell r="C83">
            <v>500</v>
          </cell>
          <cell r="D83">
            <v>14.758524244238284</v>
          </cell>
          <cell r="E83">
            <v>19.248892500952309</v>
          </cell>
          <cell r="F83">
            <v>25.063272275067447</v>
          </cell>
          <cell r="G83">
            <v>31.87964322211311</v>
          </cell>
        </row>
        <row r="84">
          <cell r="C84">
            <v>550</v>
          </cell>
          <cell r="D84">
            <v>14.758523792122393</v>
          </cell>
          <cell r="E84">
            <v>19.248886776548989</v>
          </cell>
          <cell r="F84">
            <v>25.063222421590833</v>
          </cell>
          <cell r="G84">
            <v>31.879264298650305</v>
          </cell>
        </row>
        <row r="85">
          <cell r="C85">
            <v>600</v>
          </cell>
          <cell r="D85">
            <v>14.758523704352204</v>
          </cell>
          <cell r="E85">
            <v>19.248885372485802</v>
          </cell>
          <cell r="F85">
            <v>25.063207525291215</v>
          </cell>
          <cell r="G85">
            <v>31.879127661171253</v>
          </cell>
        </row>
        <row r="86">
          <cell r="C86">
            <v>650</v>
          </cell>
          <cell r="D86">
            <v>14.758523687313193</v>
          </cell>
          <cell r="E86">
            <v>19.248885028101569</v>
          </cell>
          <cell r="F86">
            <v>25.063203074240654</v>
          </cell>
          <cell r="G86">
            <v>31.879078389769237</v>
          </cell>
        </row>
        <row r="87">
          <cell r="C87">
            <v>700</v>
          </cell>
          <cell r="D87">
            <v>14.758523684005375</v>
          </cell>
          <cell r="E87">
            <v>19.248884943632071</v>
          </cell>
          <cell r="F87">
            <v>25.063201744254837</v>
          </cell>
          <cell r="G87">
            <v>31.879060622428597</v>
          </cell>
        </row>
        <row r="88">
          <cell r="C88">
            <v>750</v>
          </cell>
          <cell r="D88">
            <v>14.758523683363222</v>
          </cell>
          <cell r="E88">
            <v>19.248884922913653</v>
          </cell>
          <cell r="F88">
            <v>25.063201346851422</v>
          </cell>
          <cell r="G88">
            <v>31.879054215486288</v>
          </cell>
        </row>
        <row r="89">
          <cell r="C89">
            <v>800</v>
          </cell>
          <cell r="D89">
            <v>14.758523683238559</v>
          </cell>
          <cell r="E89">
            <v>19.248884917831901</v>
          </cell>
          <cell r="F89">
            <v>25.06320122810618</v>
          </cell>
          <cell r="G89">
            <v>31.879051905127049</v>
          </cell>
        </row>
        <row r="90">
          <cell r="C90">
            <v>850</v>
          </cell>
          <cell r="D90">
            <v>14.758523683214358</v>
          </cell>
          <cell r="E90">
            <v>19.248884916585467</v>
          </cell>
          <cell r="F90">
            <v>25.063201192624771</v>
          </cell>
          <cell r="G90">
            <v>31.879051072005577</v>
          </cell>
        </row>
        <row r="91">
          <cell r="C91">
            <v>900</v>
          </cell>
          <cell r="D91">
            <v>14.75852368320966</v>
          </cell>
          <cell r="E91">
            <v>19.248884916279746</v>
          </cell>
          <cell r="F91">
            <v>25.063201182022826</v>
          </cell>
          <cell r="G91">
            <v>31.879050771579809</v>
          </cell>
        </row>
        <row r="92">
          <cell r="C92">
            <v>950</v>
          </cell>
          <cell r="D92">
            <v>14.758523683208749</v>
          </cell>
          <cell r="E92">
            <v>19.248884916204759</v>
          </cell>
          <cell r="F92">
            <v>25.063201178854939</v>
          </cell>
          <cell r="G92">
            <v>31.87905066324549</v>
          </cell>
        </row>
        <row r="93">
          <cell r="C93">
            <v>1000</v>
          </cell>
          <cell r="D93">
            <v>14.758523683208571</v>
          </cell>
          <cell r="E93">
            <v>19.248884916186366</v>
          </cell>
          <cell r="F93">
            <v>25.063201177908365</v>
          </cell>
          <cell r="G93">
            <v>31.87905062417985</v>
          </cell>
        </row>
        <row r="94">
          <cell r="C94">
            <v>1500</v>
          </cell>
        </row>
        <row r="95">
          <cell r="C95">
            <v>2000</v>
          </cell>
        </row>
        <row r="96">
          <cell r="C96">
            <v>2500</v>
          </cell>
        </row>
        <row r="97">
          <cell r="C97">
            <v>3000</v>
          </cell>
        </row>
        <row r="98">
          <cell r="C98">
            <v>3500</v>
          </cell>
        </row>
        <row r="99">
          <cell r="C99">
            <v>4000</v>
          </cell>
        </row>
        <row r="100">
          <cell r="C100">
            <v>4500</v>
          </cell>
        </row>
        <row r="101">
          <cell r="C101">
            <v>5000</v>
          </cell>
        </row>
        <row r="102">
          <cell r="C102">
            <v>5500</v>
          </cell>
        </row>
        <row r="103">
          <cell r="C103">
            <v>6000</v>
          </cell>
        </row>
        <row r="104">
          <cell r="C104">
            <v>6500</v>
          </cell>
        </row>
        <row r="105">
          <cell r="C105">
            <v>7000</v>
          </cell>
        </row>
        <row r="106">
          <cell r="C106">
            <v>7500</v>
          </cell>
        </row>
        <row r="107">
          <cell r="C107">
            <v>8000</v>
          </cell>
        </row>
        <row r="108">
          <cell r="C108">
            <v>8500</v>
          </cell>
        </row>
        <row r="109">
          <cell r="C109">
            <v>9000</v>
          </cell>
        </row>
        <row r="110">
          <cell r="C110">
            <v>9500</v>
          </cell>
        </row>
        <row r="111">
          <cell r="C111">
            <v>10000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5 出来高"/>
      <sheetName val="16 着色"/>
      <sheetName val="17 テープ"/>
      <sheetName val="18 切割"/>
      <sheetName val="2003年度方針生技１Ｇ総括表"/>
      <sheetName val="Ａ標 "/>
      <sheetName val="Ａ標10～3"/>
      <sheetName val="B票"/>
      <sheetName val="2003年度"/>
      <sheetName val="2002年度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３１"/>
      <sheetName val="19"/>
      <sheetName val="CHFUS7チューブ"/>
      <sheetName val="CHFS7チューブ"/>
      <sheetName val="ハーフラップシールド・テープ (2)"/>
      <sheetName val="荒巻シールド・テープ"/>
      <sheetName val="avss・テープ"/>
      <sheetName val="AVSS"/>
      <sheetName val="CHFS7シート」"/>
      <sheetName val="CHFUS7シート"/>
      <sheetName val="CHFUS7テープ (2)"/>
      <sheetName val="CHFS7テープ"/>
      <sheetName val="シールド"/>
      <sheetName val="CHFUS単品 "/>
      <sheetName val="CHFS単品"/>
      <sheetName val="グラフ一覧 (2)"/>
      <sheetName val="CHFS AVSSH"/>
      <sheetName val="AVSS CHFS"/>
      <sheetName val="AVSS CHFUS"/>
      <sheetName val="CHFUS 部分"/>
      <sheetName val="CHFS　部分"/>
      <sheetName val="AVSS 管状"/>
      <sheetName val="CHFUS AVSS6"/>
      <sheetName val="CHFUS AVSS５"/>
      <sheetName val="CHHS AVSS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. History"/>
      <sheetName val="Instructions"/>
      <sheetName val="Ideal Cost"/>
      <sheetName val="Agreed Cost"/>
      <sheetName val="Gap Analysis"/>
      <sheetName val="Creative Improvement Plan"/>
      <sheetName val="Indirect Labor Allocation"/>
      <sheetName val="Price with Reductions"/>
      <sheetName val="Common Cost Data"/>
      <sheetName val="Machine Rate Data"/>
      <sheetName val="Machine Data"/>
      <sheetName val="Material Data"/>
      <sheetName val="2005 DGSS Component Prices"/>
      <sheetName val="Markup Data"/>
      <sheetName val="Transportation"/>
      <sheetName val="Transportation Data"/>
      <sheetName val="表紙"/>
      <sheetName val="PL"/>
      <sheetName val="詳細"/>
      <sheetName val="製品原価見積へ連携"/>
      <sheetName val="金型取り数検討"/>
      <sheetName val="13見積諸元表"/>
      <sheetName val="RESIN"/>
      <sheetName val="予算諸元表"/>
      <sheetName val="三重組立（1万）"/>
      <sheetName val="AE1218"/>
      <sheetName val="Harnesses_GMT900SteeringColumn_"/>
      <sheetName val="营业外损益"/>
      <sheetName val="Ｍss.４Ｒ要員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8">
          <cell r="M28">
            <v>0.28286960352422907</v>
          </cell>
        </row>
      </sheetData>
      <sheetData sheetId="7" refreshError="1"/>
      <sheetData sheetId="8" refreshError="1">
        <row r="5">
          <cell r="B5" t="str">
            <v>Austria</v>
          </cell>
          <cell r="C5">
            <v>16.37</v>
          </cell>
          <cell r="D5">
            <v>0.8</v>
          </cell>
          <cell r="E5">
            <v>0.67</v>
          </cell>
          <cell r="F5">
            <v>35</v>
          </cell>
          <cell r="G5">
            <v>35</v>
          </cell>
          <cell r="H5">
            <v>5.6000000000000001E-2</v>
          </cell>
          <cell r="I5">
            <v>61551.200000000004</v>
          </cell>
          <cell r="J5">
            <v>92326.8</v>
          </cell>
          <cell r="K5">
            <v>43085.840000000004</v>
          </cell>
        </row>
        <row r="6">
          <cell r="B6" t="str">
            <v>Alabama</v>
          </cell>
          <cell r="C6">
            <v>18.260000000000002</v>
          </cell>
          <cell r="D6">
            <v>0.8</v>
          </cell>
          <cell r="G6">
            <v>50</v>
          </cell>
          <cell r="H6">
            <v>0.08</v>
          </cell>
          <cell r="I6">
            <v>60000</v>
          </cell>
          <cell r="J6">
            <v>80000</v>
          </cell>
          <cell r="K6">
            <v>50000</v>
          </cell>
        </row>
        <row r="7">
          <cell r="B7" t="str">
            <v>Arizona</v>
          </cell>
          <cell r="C7">
            <v>23</v>
          </cell>
          <cell r="D7">
            <v>0.8</v>
          </cell>
          <cell r="G7">
            <v>50</v>
          </cell>
          <cell r="H7">
            <v>0.08</v>
          </cell>
          <cell r="I7">
            <v>60000</v>
          </cell>
          <cell r="J7">
            <v>80000</v>
          </cell>
          <cell r="K7">
            <v>50000</v>
          </cell>
        </row>
        <row r="8">
          <cell r="B8" t="str">
            <v>Arkansas</v>
          </cell>
          <cell r="C8">
            <v>23.34</v>
          </cell>
          <cell r="D8">
            <v>0.8</v>
          </cell>
          <cell r="G8">
            <v>50</v>
          </cell>
          <cell r="H8">
            <v>0.08</v>
          </cell>
          <cell r="I8">
            <v>60000</v>
          </cell>
          <cell r="J8">
            <v>80000</v>
          </cell>
          <cell r="K8">
            <v>50000</v>
          </cell>
        </row>
        <row r="9">
          <cell r="B9" t="str">
            <v>California</v>
          </cell>
          <cell r="C9">
            <v>23.74</v>
          </cell>
          <cell r="D9">
            <v>0.8</v>
          </cell>
          <cell r="G9">
            <v>50</v>
          </cell>
          <cell r="H9">
            <v>0.08</v>
          </cell>
          <cell r="I9">
            <v>60000</v>
          </cell>
          <cell r="J9">
            <v>80000</v>
          </cell>
          <cell r="K9">
            <v>50000</v>
          </cell>
        </row>
        <row r="10">
          <cell r="B10" t="str">
            <v>Colorado</v>
          </cell>
          <cell r="C10">
            <v>21.76</v>
          </cell>
          <cell r="D10">
            <v>0.8</v>
          </cell>
          <cell r="G10">
            <v>50</v>
          </cell>
          <cell r="H10">
            <v>0.08</v>
          </cell>
          <cell r="I10">
            <v>60000</v>
          </cell>
          <cell r="J10">
            <v>80000</v>
          </cell>
          <cell r="K10">
            <v>50000</v>
          </cell>
        </row>
        <row r="11">
          <cell r="B11" t="str">
            <v>Connecticut</v>
          </cell>
          <cell r="C11">
            <v>22.86</v>
          </cell>
          <cell r="D11">
            <v>0.8</v>
          </cell>
          <cell r="G11">
            <v>50</v>
          </cell>
          <cell r="H11">
            <v>0.08</v>
          </cell>
          <cell r="I11">
            <v>60000</v>
          </cell>
          <cell r="J11">
            <v>80000</v>
          </cell>
          <cell r="K11">
            <v>50000</v>
          </cell>
        </row>
        <row r="12">
          <cell r="B12" t="str">
            <v>Delaware</v>
          </cell>
          <cell r="C12">
            <v>32.799999999999997</v>
          </cell>
          <cell r="D12">
            <v>0.8</v>
          </cell>
          <cell r="G12">
            <v>50</v>
          </cell>
          <cell r="H12">
            <v>0.08</v>
          </cell>
          <cell r="I12">
            <v>60000</v>
          </cell>
          <cell r="J12">
            <v>80000</v>
          </cell>
          <cell r="K12">
            <v>50000</v>
          </cell>
        </row>
        <row r="13">
          <cell r="B13" t="str">
            <v>Florida</v>
          </cell>
          <cell r="C13">
            <v>18.920000000000002</v>
          </cell>
          <cell r="D13">
            <v>0.8</v>
          </cell>
          <cell r="G13">
            <v>50</v>
          </cell>
          <cell r="H13">
            <v>0.08</v>
          </cell>
          <cell r="I13">
            <v>60000</v>
          </cell>
          <cell r="J13">
            <v>80000</v>
          </cell>
          <cell r="K13">
            <v>50000</v>
          </cell>
        </row>
        <row r="14">
          <cell r="B14" t="str">
            <v>Georgia</v>
          </cell>
          <cell r="C14">
            <v>21.68</v>
          </cell>
          <cell r="D14">
            <v>0.8</v>
          </cell>
          <cell r="G14">
            <v>50</v>
          </cell>
          <cell r="H14">
            <v>0.08</v>
          </cell>
          <cell r="I14">
            <v>60000</v>
          </cell>
          <cell r="J14">
            <v>80000</v>
          </cell>
          <cell r="K14">
            <v>50000</v>
          </cell>
        </row>
        <row r="15">
          <cell r="B15" t="str">
            <v>Idaho</v>
          </cell>
          <cell r="C15">
            <v>20.04</v>
          </cell>
          <cell r="D15">
            <v>0.8</v>
          </cell>
          <cell r="G15">
            <v>50</v>
          </cell>
          <cell r="H15">
            <v>0.08</v>
          </cell>
          <cell r="I15">
            <v>60000</v>
          </cell>
          <cell r="J15">
            <v>80000</v>
          </cell>
          <cell r="K15">
            <v>50000</v>
          </cell>
        </row>
        <row r="16">
          <cell r="B16" t="str">
            <v>Illinois</v>
          </cell>
          <cell r="C16">
            <v>21.82</v>
          </cell>
          <cell r="D16">
            <v>0.8</v>
          </cell>
          <cell r="G16">
            <v>50</v>
          </cell>
          <cell r="H16">
            <v>0.08</v>
          </cell>
          <cell r="I16">
            <v>60000</v>
          </cell>
          <cell r="J16">
            <v>80000</v>
          </cell>
          <cell r="K16">
            <v>50000</v>
          </cell>
        </row>
        <row r="17">
          <cell r="B17" t="str">
            <v>Indiana</v>
          </cell>
          <cell r="C17">
            <v>20.76</v>
          </cell>
          <cell r="D17">
            <v>0.8</v>
          </cell>
          <cell r="G17">
            <v>50</v>
          </cell>
          <cell r="H17">
            <v>0.08</v>
          </cell>
          <cell r="I17">
            <v>60000</v>
          </cell>
          <cell r="J17">
            <v>80000</v>
          </cell>
          <cell r="K17">
            <v>50000</v>
          </cell>
        </row>
        <row r="18">
          <cell r="B18" t="str">
            <v>Iowa</v>
          </cell>
          <cell r="C18">
            <v>25.92</v>
          </cell>
          <cell r="D18">
            <v>0.8</v>
          </cell>
          <cell r="G18">
            <v>50</v>
          </cell>
          <cell r="H18">
            <v>0.08</v>
          </cell>
          <cell r="I18">
            <v>60000</v>
          </cell>
          <cell r="J18">
            <v>80000</v>
          </cell>
          <cell r="K18">
            <v>50000</v>
          </cell>
        </row>
        <row r="19">
          <cell r="B19" t="str">
            <v>Kansas</v>
          </cell>
          <cell r="C19">
            <v>22.04</v>
          </cell>
          <cell r="D19">
            <v>0.8</v>
          </cell>
          <cell r="G19">
            <v>50</v>
          </cell>
          <cell r="H19">
            <v>0.08</v>
          </cell>
          <cell r="I19">
            <v>60000</v>
          </cell>
          <cell r="J19">
            <v>80000</v>
          </cell>
          <cell r="K19">
            <v>50000</v>
          </cell>
        </row>
        <row r="20">
          <cell r="B20" t="str">
            <v>Kentucky</v>
          </cell>
          <cell r="C20">
            <v>22.86</v>
          </cell>
          <cell r="D20">
            <v>0.8</v>
          </cell>
          <cell r="G20">
            <v>50</v>
          </cell>
          <cell r="H20">
            <v>0.08</v>
          </cell>
          <cell r="I20">
            <v>60000</v>
          </cell>
          <cell r="J20">
            <v>80000</v>
          </cell>
          <cell r="K20">
            <v>50000</v>
          </cell>
        </row>
        <row r="21">
          <cell r="B21" t="str">
            <v>Louisiana</v>
          </cell>
          <cell r="C21">
            <v>23.72</v>
          </cell>
          <cell r="D21">
            <v>0.8</v>
          </cell>
          <cell r="G21">
            <v>50</v>
          </cell>
          <cell r="H21">
            <v>0.08</v>
          </cell>
          <cell r="I21">
            <v>60000</v>
          </cell>
          <cell r="J21">
            <v>80000</v>
          </cell>
          <cell r="K21">
            <v>50000</v>
          </cell>
        </row>
        <row r="22">
          <cell r="B22" t="str">
            <v>Maine</v>
          </cell>
          <cell r="C22">
            <v>20.22</v>
          </cell>
          <cell r="D22">
            <v>0.8</v>
          </cell>
          <cell r="G22">
            <v>50</v>
          </cell>
          <cell r="H22">
            <v>0.08</v>
          </cell>
          <cell r="I22">
            <v>60000</v>
          </cell>
          <cell r="J22">
            <v>80000</v>
          </cell>
          <cell r="K22">
            <v>50000</v>
          </cell>
        </row>
        <row r="23">
          <cell r="B23" t="str">
            <v>Maryland</v>
          </cell>
          <cell r="C23">
            <v>24.06</v>
          </cell>
          <cell r="D23">
            <v>0.8</v>
          </cell>
          <cell r="G23">
            <v>50</v>
          </cell>
          <cell r="H23">
            <v>0.08</v>
          </cell>
          <cell r="I23">
            <v>60000</v>
          </cell>
          <cell r="J23">
            <v>80000</v>
          </cell>
          <cell r="K23">
            <v>50000</v>
          </cell>
        </row>
        <row r="24">
          <cell r="B24" t="str">
            <v>Massachusetts</v>
          </cell>
          <cell r="C24">
            <v>26.44</v>
          </cell>
          <cell r="D24">
            <v>0.8</v>
          </cell>
          <cell r="G24">
            <v>50</v>
          </cell>
          <cell r="H24">
            <v>0.08</v>
          </cell>
          <cell r="I24">
            <v>60000</v>
          </cell>
          <cell r="J24">
            <v>80000</v>
          </cell>
          <cell r="K24">
            <v>50000</v>
          </cell>
        </row>
        <row r="25">
          <cell r="B25" t="str">
            <v>Michigan</v>
          </cell>
          <cell r="C25">
            <v>24.12</v>
          </cell>
          <cell r="D25">
            <v>0.8</v>
          </cell>
          <cell r="G25">
            <v>50</v>
          </cell>
          <cell r="H25">
            <v>0.08</v>
          </cell>
          <cell r="I25">
            <v>60000</v>
          </cell>
          <cell r="J25">
            <v>80000</v>
          </cell>
          <cell r="K25">
            <v>50000</v>
          </cell>
        </row>
        <row r="26">
          <cell r="B26" t="str">
            <v>Minnesota</v>
          </cell>
          <cell r="C26">
            <v>24.8</v>
          </cell>
          <cell r="D26">
            <v>0.8</v>
          </cell>
          <cell r="G26">
            <v>50</v>
          </cell>
          <cell r="H26">
            <v>0.08</v>
          </cell>
          <cell r="I26">
            <v>60000</v>
          </cell>
          <cell r="J26">
            <v>80000</v>
          </cell>
          <cell r="K26">
            <v>50000</v>
          </cell>
        </row>
        <row r="27">
          <cell r="B27" t="str">
            <v>Mississippi</v>
          </cell>
          <cell r="C27">
            <v>18.16</v>
          </cell>
          <cell r="D27">
            <v>0.8</v>
          </cell>
          <cell r="G27">
            <v>50</v>
          </cell>
          <cell r="H27">
            <v>0.08</v>
          </cell>
          <cell r="I27">
            <v>60000</v>
          </cell>
          <cell r="J27">
            <v>80000</v>
          </cell>
          <cell r="K27">
            <v>50000</v>
          </cell>
        </row>
        <row r="28">
          <cell r="B28" t="str">
            <v>Missouri</v>
          </cell>
          <cell r="C28">
            <v>21.98</v>
          </cell>
          <cell r="D28">
            <v>0.8</v>
          </cell>
          <cell r="G28">
            <v>50</v>
          </cell>
          <cell r="H28">
            <v>0.08</v>
          </cell>
          <cell r="I28">
            <v>60000</v>
          </cell>
          <cell r="J28">
            <v>80000</v>
          </cell>
          <cell r="K28">
            <v>50000</v>
          </cell>
        </row>
        <row r="29">
          <cell r="B29" t="str">
            <v>Montana</v>
          </cell>
          <cell r="C29">
            <v>19.86</v>
          </cell>
          <cell r="D29">
            <v>0.8</v>
          </cell>
          <cell r="G29">
            <v>50</v>
          </cell>
          <cell r="H29">
            <v>0.08</v>
          </cell>
          <cell r="I29">
            <v>60000</v>
          </cell>
          <cell r="J29">
            <v>80000</v>
          </cell>
          <cell r="K29">
            <v>50000</v>
          </cell>
        </row>
        <row r="30">
          <cell r="B30" t="str">
            <v>Nebraska</v>
          </cell>
          <cell r="C30">
            <v>20.18</v>
          </cell>
          <cell r="D30">
            <v>0.8</v>
          </cell>
          <cell r="G30">
            <v>50</v>
          </cell>
          <cell r="H30">
            <v>0.08</v>
          </cell>
          <cell r="I30">
            <v>60000</v>
          </cell>
          <cell r="J30">
            <v>80000</v>
          </cell>
          <cell r="K30">
            <v>50000</v>
          </cell>
        </row>
        <row r="31">
          <cell r="B31" t="str">
            <v>Nevada</v>
          </cell>
          <cell r="C31">
            <v>21.48</v>
          </cell>
          <cell r="D31">
            <v>0.8</v>
          </cell>
          <cell r="G31">
            <v>50</v>
          </cell>
          <cell r="H31">
            <v>0.08</v>
          </cell>
          <cell r="I31">
            <v>60000</v>
          </cell>
          <cell r="J31">
            <v>80000</v>
          </cell>
          <cell r="K31">
            <v>50000</v>
          </cell>
        </row>
        <row r="32">
          <cell r="B32" t="str">
            <v>New Hampshire</v>
          </cell>
          <cell r="C32">
            <v>23.56</v>
          </cell>
          <cell r="D32">
            <v>0.8</v>
          </cell>
          <cell r="G32">
            <v>50</v>
          </cell>
          <cell r="H32">
            <v>0.08</v>
          </cell>
          <cell r="I32">
            <v>60000</v>
          </cell>
          <cell r="J32">
            <v>80000</v>
          </cell>
          <cell r="K32">
            <v>50000</v>
          </cell>
        </row>
        <row r="33">
          <cell r="B33" t="str">
            <v>New Jersey</v>
          </cell>
          <cell r="C33">
            <v>23.84</v>
          </cell>
          <cell r="D33">
            <v>0.8</v>
          </cell>
          <cell r="G33">
            <v>50</v>
          </cell>
          <cell r="H33">
            <v>0.08</v>
          </cell>
          <cell r="I33">
            <v>60000</v>
          </cell>
          <cell r="J33">
            <v>80000</v>
          </cell>
          <cell r="K33">
            <v>50000</v>
          </cell>
        </row>
        <row r="34">
          <cell r="B34" t="str">
            <v>New Mexico</v>
          </cell>
          <cell r="C34">
            <v>19.96</v>
          </cell>
          <cell r="D34">
            <v>0.8</v>
          </cell>
          <cell r="G34">
            <v>50</v>
          </cell>
          <cell r="H34">
            <v>0.08</v>
          </cell>
          <cell r="I34">
            <v>60000</v>
          </cell>
          <cell r="J34">
            <v>80000</v>
          </cell>
          <cell r="K34">
            <v>50000</v>
          </cell>
        </row>
        <row r="35">
          <cell r="B35" t="str">
            <v>New York</v>
          </cell>
          <cell r="C35">
            <v>24.24</v>
          </cell>
          <cell r="D35">
            <v>0.8</v>
          </cell>
          <cell r="G35">
            <v>50</v>
          </cell>
          <cell r="H35">
            <v>0.08</v>
          </cell>
          <cell r="I35">
            <v>60000</v>
          </cell>
          <cell r="J35">
            <v>80000</v>
          </cell>
          <cell r="K35">
            <v>50000</v>
          </cell>
        </row>
        <row r="36">
          <cell r="B36" t="str">
            <v>North Carolina</v>
          </cell>
          <cell r="C36">
            <v>23.96</v>
          </cell>
          <cell r="D36">
            <v>0.8</v>
          </cell>
          <cell r="G36">
            <v>50</v>
          </cell>
          <cell r="H36">
            <v>0.08</v>
          </cell>
          <cell r="I36">
            <v>60000</v>
          </cell>
          <cell r="J36">
            <v>80000</v>
          </cell>
          <cell r="K36">
            <v>50000</v>
          </cell>
        </row>
        <row r="37">
          <cell r="B37" t="str">
            <v>North Dakota</v>
          </cell>
          <cell r="C37">
            <v>19.7</v>
          </cell>
          <cell r="D37">
            <v>0.8</v>
          </cell>
          <cell r="G37">
            <v>50</v>
          </cell>
          <cell r="H37">
            <v>0.08</v>
          </cell>
          <cell r="I37">
            <v>60000</v>
          </cell>
          <cell r="J37">
            <v>80000</v>
          </cell>
          <cell r="K37">
            <v>50000</v>
          </cell>
        </row>
        <row r="38">
          <cell r="B38" t="str">
            <v>Ohio</v>
          </cell>
          <cell r="C38">
            <v>22.44</v>
          </cell>
          <cell r="D38">
            <v>0.8</v>
          </cell>
          <cell r="G38">
            <v>50</v>
          </cell>
          <cell r="H38">
            <v>0.08</v>
          </cell>
          <cell r="I38">
            <v>60000</v>
          </cell>
          <cell r="J38">
            <v>80000</v>
          </cell>
          <cell r="K38">
            <v>50000</v>
          </cell>
        </row>
        <row r="39">
          <cell r="B39" t="str">
            <v>Oklahoma</v>
          </cell>
          <cell r="C39">
            <v>21.36</v>
          </cell>
          <cell r="D39">
            <v>0.8</v>
          </cell>
          <cell r="G39">
            <v>50</v>
          </cell>
          <cell r="H39">
            <v>0.08</v>
          </cell>
          <cell r="I39">
            <v>60000</v>
          </cell>
          <cell r="J39">
            <v>80000</v>
          </cell>
          <cell r="K39">
            <v>50000</v>
          </cell>
        </row>
        <row r="40">
          <cell r="B40" t="str">
            <v>Oregon</v>
          </cell>
          <cell r="C40">
            <v>22.54</v>
          </cell>
          <cell r="D40">
            <v>0.8</v>
          </cell>
          <cell r="G40">
            <v>50</v>
          </cell>
          <cell r="H40">
            <v>0.08</v>
          </cell>
          <cell r="I40">
            <v>60000</v>
          </cell>
          <cell r="J40">
            <v>80000</v>
          </cell>
          <cell r="K40">
            <v>50000</v>
          </cell>
        </row>
        <row r="41">
          <cell r="B41" t="str">
            <v>Pennsylvania</v>
          </cell>
          <cell r="C41">
            <v>24.38</v>
          </cell>
          <cell r="D41">
            <v>0.8</v>
          </cell>
          <cell r="G41">
            <v>50</v>
          </cell>
          <cell r="H41">
            <v>0.08</v>
          </cell>
          <cell r="I41">
            <v>60000</v>
          </cell>
          <cell r="J41">
            <v>80000</v>
          </cell>
          <cell r="K41">
            <v>50000</v>
          </cell>
        </row>
        <row r="42">
          <cell r="B42" t="str">
            <v>Puerto Rico</v>
          </cell>
          <cell r="C42">
            <v>13.36</v>
          </cell>
          <cell r="D42">
            <v>0.8</v>
          </cell>
          <cell r="G42">
            <v>50</v>
          </cell>
          <cell r="H42">
            <v>0.08</v>
          </cell>
          <cell r="I42">
            <v>60000</v>
          </cell>
          <cell r="J42">
            <v>80000</v>
          </cell>
          <cell r="K42">
            <v>50000</v>
          </cell>
        </row>
        <row r="43">
          <cell r="B43" t="str">
            <v>Rhode Island</v>
          </cell>
          <cell r="C43">
            <v>21.66</v>
          </cell>
          <cell r="D43">
            <v>0.8</v>
          </cell>
          <cell r="G43">
            <v>50</v>
          </cell>
          <cell r="H43">
            <v>0.08</v>
          </cell>
          <cell r="I43">
            <v>60000</v>
          </cell>
          <cell r="J43">
            <v>80000</v>
          </cell>
          <cell r="K43">
            <v>50000</v>
          </cell>
        </row>
        <row r="44">
          <cell r="B44" t="str">
            <v>South Carolina</v>
          </cell>
          <cell r="C44">
            <v>25.2</v>
          </cell>
          <cell r="D44">
            <v>0.8</v>
          </cell>
          <cell r="G44">
            <v>50</v>
          </cell>
          <cell r="H44">
            <v>0.08</v>
          </cell>
          <cell r="I44">
            <v>60000</v>
          </cell>
          <cell r="J44">
            <v>80000</v>
          </cell>
          <cell r="K44">
            <v>50000</v>
          </cell>
        </row>
        <row r="45">
          <cell r="B45" t="str">
            <v>South Dakota</v>
          </cell>
          <cell r="C45">
            <v>18.899999999999999</v>
          </cell>
          <cell r="D45">
            <v>0.8</v>
          </cell>
          <cell r="G45">
            <v>50</v>
          </cell>
          <cell r="H45">
            <v>0.08</v>
          </cell>
          <cell r="I45">
            <v>60000</v>
          </cell>
          <cell r="J45">
            <v>80000</v>
          </cell>
          <cell r="K45">
            <v>50000</v>
          </cell>
        </row>
        <row r="46">
          <cell r="B46" t="str">
            <v>Tennessee</v>
          </cell>
          <cell r="C46">
            <v>22.36</v>
          </cell>
          <cell r="D46">
            <v>0.8</v>
          </cell>
          <cell r="G46">
            <v>50</v>
          </cell>
          <cell r="H46">
            <v>0.08</v>
          </cell>
          <cell r="I46">
            <v>60000</v>
          </cell>
          <cell r="J46">
            <v>80000</v>
          </cell>
          <cell r="K46">
            <v>50000</v>
          </cell>
        </row>
        <row r="47">
          <cell r="B47" t="str">
            <v>Texas</v>
          </cell>
          <cell r="C47">
            <v>22.52</v>
          </cell>
          <cell r="D47">
            <v>0.8</v>
          </cell>
          <cell r="G47">
            <v>50</v>
          </cell>
          <cell r="H47">
            <v>0.08</v>
          </cell>
          <cell r="I47">
            <v>60000</v>
          </cell>
          <cell r="J47">
            <v>80000</v>
          </cell>
          <cell r="K47">
            <v>50000</v>
          </cell>
        </row>
        <row r="48">
          <cell r="B48" t="str">
            <v>Utah</v>
          </cell>
          <cell r="C48">
            <v>21.14</v>
          </cell>
          <cell r="D48">
            <v>0.8</v>
          </cell>
          <cell r="G48">
            <v>50</v>
          </cell>
          <cell r="H48">
            <v>0.08</v>
          </cell>
          <cell r="I48">
            <v>60000</v>
          </cell>
          <cell r="J48">
            <v>80000</v>
          </cell>
          <cell r="K48">
            <v>50000</v>
          </cell>
        </row>
        <row r="49">
          <cell r="B49" t="str">
            <v>Vermont</v>
          </cell>
          <cell r="C49">
            <v>24.28</v>
          </cell>
          <cell r="D49">
            <v>0.8</v>
          </cell>
          <cell r="G49">
            <v>50</v>
          </cell>
          <cell r="H49">
            <v>0.08</v>
          </cell>
          <cell r="I49">
            <v>60000</v>
          </cell>
          <cell r="J49">
            <v>80000</v>
          </cell>
          <cell r="K49">
            <v>50000</v>
          </cell>
        </row>
        <row r="50">
          <cell r="B50" t="str">
            <v>Virginia</v>
          </cell>
          <cell r="C50">
            <v>22.04</v>
          </cell>
          <cell r="D50">
            <v>0.8</v>
          </cell>
          <cell r="G50">
            <v>50</v>
          </cell>
          <cell r="H50">
            <v>0.08</v>
          </cell>
          <cell r="I50">
            <v>60000</v>
          </cell>
          <cell r="J50">
            <v>80000</v>
          </cell>
          <cell r="K50">
            <v>50000</v>
          </cell>
        </row>
        <row r="51">
          <cell r="B51" t="str">
            <v>Washington</v>
          </cell>
          <cell r="C51">
            <v>23.52</v>
          </cell>
          <cell r="D51">
            <v>0.8</v>
          </cell>
          <cell r="G51">
            <v>50</v>
          </cell>
          <cell r="H51">
            <v>0.08</v>
          </cell>
          <cell r="I51">
            <v>60000</v>
          </cell>
          <cell r="J51">
            <v>80000</v>
          </cell>
          <cell r="K51">
            <v>50000</v>
          </cell>
        </row>
        <row r="52">
          <cell r="B52" t="str">
            <v>West Virginia</v>
          </cell>
          <cell r="C52">
            <v>21.94</v>
          </cell>
          <cell r="D52">
            <v>0.8</v>
          </cell>
          <cell r="G52">
            <v>50</v>
          </cell>
          <cell r="H52">
            <v>0.08</v>
          </cell>
          <cell r="I52">
            <v>60000</v>
          </cell>
          <cell r="J52">
            <v>80000</v>
          </cell>
          <cell r="K52">
            <v>50000</v>
          </cell>
        </row>
        <row r="53">
          <cell r="B53" t="str">
            <v>Wisconsin</v>
          </cell>
          <cell r="C53">
            <v>23.36</v>
          </cell>
          <cell r="D53">
            <v>0.8</v>
          </cell>
          <cell r="G53">
            <v>50</v>
          </cell>
          <cell r="H53">
            <v>0.08</v>
          </cell>
          <cell r="I53">
            <v>60000</v>
          </cell>
          <cell r="J53">
            <v>80000</v>
          </cell>
          <cell r="K53">
            <v>50000</v>
          </cell>
        </row>
        <row r="54">
          <cell r="B54" t="str">
            <v>Wyoming</v>
          </cell>
          <cell r="C54">
            <v>26.62</v>
          </cell>
          <cell r="D54">
            <v>0.8</v>
          </cell>
          <cell r="G54">
            <v>50</v>
          </cell>
          <cell r="H54">
            <v>0.08</v>
          </cell>
          <cell r="I54">
            <v>60000</v>
          </cell>
          <cell r="J54">
            <v>80000</v>
          </cell>
          <cell r="K54">
            <v>50000</v>
          </cell>
        </row>
        <row r="55">
          <cell r="B55" t="str">
            <v>Australia</v>
          </cell>
          <cell r="C55">
            <v>18.510000000000002</v>
          </cell>
          <cell r="D55">
            <v>0.8</v>
          </cell>
          <cell r="H55">
            <v>5.6000000000000001E-2</v>
          </cell>
          <cell r="I55">
            <v>69000</v>
          </cell>
          <cell r="J55">
            <v>104000</v>
          </cell>
          <cell r="K55">
            <v>48700</v>
          </cell>
        </row>
        <row r="56">
          <cell r="B56" t="str">
            <v>Belgium</v>
          </cell>
          <cell r="C56">
            <v>20.46</v>
          </cell>
          <cell r="D56">
            <v>0.8</v>
          </cell>
          <cell r="E56">
            <v>0</v>
          </cell>
          <cell r="H56">
            <v>8.1000000000000003E-2</v>
          </cell>
          <cell r="I56">
            <v>76929.600000000006</v>
          </cell>
          <cell r="J56">
            <v>115394.40000000001</v>
          </cell>
          <cell r="K56">
            <v>53850.720000000001</v>
          </cell>
        </row>
        <row r="57">
          <cell r="B57" t="str">
            <v>Brazil</v>
          </cell>
          <cell r="C57">
            <v>3.02</v>
          </cell>
          <cell r="D57">
            <v>0.8</v>
          </cell>
          <cell r="E57">
            <v>0</v>
          </cell>
          <cell r="H57">
            <v>5.7000000000000002E-2</v>
          </cell>
          <cell r="I57">
            <v>11355.2</v>
          </cell>
          <cell r="J57">
            <v>17032.8</v>
          </cell>
          <cell r="K57">
            <v>7948.64</v>
          </cell>
        </row>
        <row r="58">
          <cell r="B58" t="str">
            <v>Bulgaria</v>
          </cell>
          <cell r="C58">
            <v>1.54</v>
          </cell>
          <cell r="D58">
            <v>1</v>
          </cell>
          <cell r="E58">
            <v>0</v>
          </cell>
          <cell r="F58">
            <v>74.52</v>
          </cell>
          <cell r="G58">
            <v>74.52</v>
          </cell>
          <cell r="H58">
            <v>0.27</v>
          </cell>
          <cell r="I58">
            <v>5790.4000000000005</v>
          </cell>
          <cell r="J58">
            <v>8685.6</v>
          </cell>
          <cell r="K58">
            <v>4053.28</v>
          </cell>
        </row>
        <row r="59">
          <cell r="B59" t="str">
            <v>Cambodia</v>
          </cell>
          <cell r="C59">
            <v>0.5</v>
          </cell>
          <cell r="D59">
            <v>1</v>
          </cell>
          <cell r="E59">
            <v>0</v>
          </cell>
          <cell r="F59">
            <v>60.239999999999995</v>
          </cell>
          <cell r="G59">
            <v>60.239999999999995</v>
          </cell>
          <cell r="H59">
            <v>0.26</v>
          </cell>
          <cell r="I59">
            <v>1880</v>
          </cell>
          <cell r="J59">
            <v>2820</v>
          </cell>
          <cell r="K59">
            <v>1316</v>
          </cell>
        </row>
        <row r="60">
          <cell r="B60" t="str">
            <v>Canada</v>
          </cell>
          <cell r="C60">
            <v>15.51</v>
          </cell>
          <cell r="D60">
            <v>0.8</v>
          </cell>
          <cell r="E60">
            <v>0.25</v>
          </cell>
          <cell r="G60">
            <v>13</v>
          </cell>
          <cell r="H60">
            <v>3.5000000000000003E-2</v>
          </cell>
          <cell r="I60">
            <v>58317.599999999999</v>
          </cell>
          <cell r="J60">
            <v>87476.4</v>
          </cell>
          <cell r="K60">
            <v>40822.32</v>
          </cell>
        </row>
        <row r="61">
          <cell r="B61" t="str">
            <v>China, others</v>
          </cell>
          <cell r="C61">
            <v>0.82</v>
          </cell>
          <cell r="D61">
            <v>0.8</v>
          </cell>
          <cell r="G61">
            <v>29.6</v>
          </cell>
          <cell r="H61">
            <v>3.9E-2</v>
          </cell>
          <cell r="I61">
            <v>3083.2</v>
          </cell>
          <cell r="J61">
            <v>4624.7999999999993</v>
          </cell>
          <cell r="K61">
            <v>2158.2399999999998</v>
          </cell>
        </row>
        <row r="62">
          <cell r="B62" t="str">
            <v>China, Shanghai</v>
          </cell>
          <cell r="C62">
            <v>1.1000000000000001</v>
          </cell>
          <cell r="D62">
            <v>0.8</v>
          </cell>
          <cell r="E62">
            <v>0.6</v>
          </cell>
          <cell r="F62">
            <v>100</v>
          </cell>
          <cell r="G62">
            <v>100</v>
          </cell>
          <cell r="H62">
            <v>7.8E-2</v>
          </cell>
          <cell r="I62">
            <v>4136</v>
          </cell>
          <cell r="J62">
            <v>6204.0000000000009</v>
          </cell>
          <cell r="K62">
            <v>2895.2000000000003</v>
          </cell>
        </row>
        <row r="63">
          <cell r="B63" t="str">
            <v>Czech Republic</v>
          </cell>
          <cell r="C63">
            <v>4.42</v>
          </cell>
          <cell r="D63">
            <v>0.8</v>
          </cell>
          <cell r="E63">
            <v>0.55000000000000004</v>
          </cell>
          <cell r="F63">
            <v>30</v>
          </cell>
          <cell r="G63">
            <v>30</v>
          </cell>
          <cell r="H63">
            <v>7.8E-2</v>
          </cell>
          <cell r="I63">
            <v>16619.2</v>
          </cell>
          <cell r="J63">
            <v>24928.799999999999</v>
          </cell>
          <cell r="K63">
            <v>11633.44</v>
          </cell>
        </row>
        <row r="64">
          <cell r="B64" t="str">
            <v>Denmark</v>
          </cell>
          <cell r="C64">
            <v>19.88</v>
          </cell>
          <cell r="D64">
            <v>0.8</v>
          </cell>
          <cell r="E64">
            <v>0</v>
          </cell>
          <cell r="F64">
            <v>30</v>
          </cell>
          <cell r="G64">
            <v>30</v>
          </cell>
          <cell r="H64">
            <v>7.8E-2</v>
          </cell>
          <cell r="I64">
            <v>74748.800000000003</v>
          </cell>
          <cell r="J64">
            <v>112123.2</v>
          </cell>
          <cell r="K64">
            <v>52324.159999999996</v>
          </cell>
        </row>
        <row r="65">
          <cell r="B65" t="str">
            <v>Estonia</v>
          </cell>
          <cell r="C65">
            <v>1.39</v>
          </cell>
          <cell r="D65">
            <v>1</v>
          </cell>
          <cell r="E65">
            <v>0</v>
          </cell>
          <cell r="F65">
            <v>134.39999999999998</v>
          </cell>
          <cell r="G65">
            <v>134.39999999999998</v>
          </cell>
          <cell r="H65">
            <v>0.15</v>
          </cell>
          <cell r="I65">
            <v>5226.3999999999996</v>
          </cell>
          <cell r="J65">
            <v>7839.5999999999995</v>
          </cell>
          <cell r="K65">
            <v>3658.4799999999996</v>
          </cell>
        </row>
        <row r="66">
          <cell r="B66" t="str">
            <v>Finland</v>
          </cell>
          <cell r="C66">
            <v>18.899999999999999</v>
          </cell>
          <cell r="D66">
            <v>0.8</v>
          </cell>
          <cell r="E66">
            <v>0</v>
          </cell>
          <cell r="F66">
            <v>30</v>
          </cell>
          <cell r="G66">
            <v>30</v>
          </cell>
          <cell r="H66">
            <v>7.8E-2</v>
          </cell>
          <cell r="I66">
            <v>71064</v>
          </cell>
          <cell r="J66">
            <v>106595.99999999999</v>
          </cell>
          <cell r="K66">
            <v>49744.799999999996</v>
          </cell>
        </row>
        <row r="67">
          <cell r="B67" t="str">
            <v>France</v>
          </cell>
          <cell r="C67">
            <v>18</v>
          </cell>
          <cell r="D67">
            <v>0.8</v>
          </cell>
          <cell r="E67">
            <v>0.22</v>
          </cell>
          <cell r="H67">
            <v>4.7E-2</v>
          </cell>
          <cell r="I67">
            <v>67680</v>
          </cell>
          <cell r="J67">
            <v>101520</v>
          </cell>
          <cell r="K67">
            <v>47376</v>
          </cell>
        </row>
        <row r="68">
          <cell r="B68" t="str">
            <v>Germany</v>
          </cell>
          <cell r="C68">
            <v>19</v>
          </cell>
          <cell r="D68">
            <v>0.8</v>
          </cell>
          <cell r="E68">
            <v>0.42</v>
          </cell>
          <cell r="H68">
            <v>0.06</v>
          </cell>
          <cell r="I68">
            <v>71440</v>
          </cell>
          <cell r="J68">
            <v>107160</v>
          </cell>
          <cell r="K68">
            <v>50008</v>
          </cell>
        </row>
        <row r="69">
          <cell r="B69" t="str">
            <v>Hong Kong</v>
          </cell>
          <cell r="C69">
            <v>5.54</v>
          </cell>
          <cell r="D69">
            <v>0.8</v>
          </cell>
          <cell r="E69">
            <v>0</v>
          </cell>
          <cell r="H69">
            <v>3.9E-2</v>
          </cell>
          <cell r="I69">
            <v>20830.400000000001</v>
          </cell>
          <cell r="J69">
            <v>31245.599999999999</v>
          </cell>
          <cell r="K69">
            <v>14581.28</v>
          </cell>
        </row>
        <row r="70">
          <cell r="B70" t="str">
            <v>Hungary</v>
          </cell>
          <cell r="C70">
            <v>4.57</v>
          </cell>
          <cell r="D70">
            <v>0.8</v>
          </cell>
          <cell r="E70">
            <v>1.42</v>
          </cell>
          <cell r="H70">
            <v>4.9000000000000002E-2</v>
          </cell>
          <cell r="I70">
            <v>17183.2</v>
          </cell>
          <cell r="J70">
            <v>25774.800000000003</v>
          </cell>
          <cell r="K70">
            <v>12028.240000000002</v>
          </cell>
        </row>
        <row r="71">
          <cell r="B71" t="str">
            <v xml:space="preserve">India </v>
          </cell>
          <cell r="C71">
            <v>0.74</v>
          </cell>
          <cell r="D71">
            <v>0.8</v>
          </cell>
          <cell r="E71">
            <v>0.18</v>
          </cell>
          <cell r="H71">
            <v>5.7000000000000002E-2</v>
          </cell>
          <cell r="I71">
            <v>2782.4</v>
          </cell>
          <cell r="J71">
            <v>4173.6000000000004</v>
          </cell>
          <cell r="K71">
            <v>1947.68</v>
          </cell>
        </row>
        <row r="72">
          <cell r="B72" t="str">
            <v>Indonesia</v>
          </cell>
          <cell r="C72">
            <v>0.92</v>
          </cell>
          <cell r="D72">
            <v>0.8</v>
          </cell>
          <cell r="E72">
            <v>0.53</v>
          </cell>
          <cell r="H72">
            <v>5.0999999999999997E-2</v>
          </cell>
          <cell r="I72">
            <v>3459.2000000000003</v>
          </cell>
          <cell r="J72">
            <v>5188.8</v>
          </cell>
          <cell r="K72">
            <v>2421.44</v>
          </cell>
        </row>
        <row r="73">
          <cell r="B73" t="str">
            <v>Italy</v>
          </cell>
          <cell r="C73">
            <v>14.56</v>
          </cell>
          <cell r="D73">
            <v>0.8</v>
          </cell>
          <cell r="E73">
            <v>0.28000000000000003</v>
          </cell>
          <cell r="F73">
            <v>120</v>
          </cell>
          <cell r="G73">
            <v>55</v>
          </cell>
          <cell r="H73">
            <v>0.08</v>
          </cell>
          <cell r="I73">
            <v>54745.599999999999</v>
          </cell>
          <cell r="J73">
            <v>82118.400000000009</v>
          </cell>
          <cell r="K73">
            <v>38321.919999999998</v>
          </cell>
        </row>
        <row r="74">
          <cell r="B74" t="str">
            <v>Japan</v>
          </cell>
          <cell r="C74">
            <v>22</v>
          </cell>
          <cell r="D74">
            <v>1</v>
          </cell>
          <cell r="I74">
            <v>82720</v>
          </cell>
          <cell r="J74">
            <v>124080</v>
          </cell>
          <cell r="K74">
            <v>57904</v>
          </cell>
        </row>
        <row r="75">
          <cell r="B75" t="str">
            <v xml:space="preserve">Korea </v>
          </cell>
          <cell r="C75">
            <v>9.59</v>
          </cell>
          <cell r="D75">
            <v>0.8</v>
          </cell>
          <cell r="E75">
            <v>0</v>
          </cell>
          <cell r="G75">
            <v>58</v>
          </cell>
          <cell r="H75">
            <v>2.7E-2</v>
          </cell>
          <cell r="I75">
            <v>36058.400000000001</v>
          </cell>
          <cell r="J75">
            <v>54087.6</v>
          </cell>
          <cell r="K75">
            <v>25240.880000000001</v>
          </cell>
        </row>
        <row r="76">
          <cell r="B76" t="str">
            <v>Latvia</v>
          </cell>
          <cell r="C76">
            <v>0.78</v>
          </cell>
          <cell r="D76">
            <v>1</v>
          </cell>
          <cell r="E76">
            <v>0</v>
          </cell>
          <cell r="F76">
            <v>55.44</v>
          </cell>
          <cell r="G76">
            <v>55.44</v>
          </cell>
          <cell r="H76">
            <v>0.05</v>
          </cell>
          <cell r="I76">
            <v>2932.8</v>
          </cell>
          <cell r="J76">
            <v>4399.2</v>
          </cell>
          <cell r="K76">
            <v>2052.96</v>
          </cell>
        </row>
        <row r="77">
          <cell r="B77" t="str">
            <v>Lithuania</v>
          </cell>
          <cell r="C77">
            <v>1.21</v>
          </cell>
          <cell r="D77">
            <v>1</v>
          </cell>
          <cell r="E77">
            <v>0</v>
          </cell>
          <cell r="F77">
            <v>39.36</v>
          </cell>
          <cell r="G77">
            <v>39.36</v>
          </cell>
          <cell r="H77">
            <v>0.04</v>
          </cell>
          <cell r="I77">
            <v>4549.5999999999995</v>
          </cell>
          <cell r="J77">
            <v>6824.4</v>
          </cell>
          <cell r="K77">
            <v>3184.72</v>
          </cell>
        </row>
        <row r="78">
          <cell r="B78" t="str">
            <v>Macedonia</v>
          </cell>
          <cell r="C78">
            <v>0.2</v>
          </cell>
          <cell r="D78">
            <v>1</v>
          </cell>
          <cell r="E78">
            <v>0</v>
          </cell>
          <cell r="F78">
            <v>67.679999999999993</v>
          </cell>
          <cell r="G78">
            <v>67.679999999999993</v>
          </cell>
          <cell r="H78">
            <v>0.09</v>
          </cell>
          <cell r="I78">
            <v>752</v>
          </cell>
          <cell r="J78">
            <v>1128</v>
          </cell>
          <cell r="K78">
            <v>526.4</v>
          </cell>
        </row>
        <row r="79">
          <cell r="B79" t="str">
            <v xml:space="preserve">Malaysia </v>
          </cell>
          <cell r="C79">
            <v>1.03</v>
          </cell>
          <cell r="D79">
            <v>0.8</v>
          </cell>
          <cell r="E79">
            <v>0.36</v>
          </cell>
          <cell r="H79">
            <v>4.5999999999999999E-2</v>
          </cell>
          <cell r="I79">
            <v>3872.8</v>
          </cell>
          <cell r="J79">
            <v>5809.2</v>
          </cell>
          <cell r="K79">
            <v>2710.96</v>
          </cell>
        </row>
        <row r="80">
          <cell r="B80" t="str">
            <v>Mexico East</v>
          </cell>
          <cell r="C80">
            <v>2.7</v>
          </cell>
          <cell r="D80">
            <v>1</v>
          </cell>
          <cell r="G80">
            <v>50</v>
          </cell>
          <cell r="H80">
            <v>8.5999999999999993E-2</v>
          </cell>
          <cell r="I80">
            <v>10152</v>
          </cell>
          <cell r="J80">
            <v>15228.000000000002</v>
          </cell>
          <cell r="K80">
            <v>7106.4000000000005</v>
          </cell>
        </row>
        <row r="81">
          <cell r="B81" t="str">
            <v>Mexico Interior</v>
          </cell>
          <cell r="C81">
            <v>2.5299999999999998</v>
          </cell>
          <cell r="D81">
            <v>1</v>
          </cell>
          <cell r="G81">
            <v>50</v>
          </cell>
          <cell r="H81">
            <v>8.5999999999999993E-2</v>
          </cell>
          <cell r="I81">
            <v>9512.7999999999993</v>
          </cell>
          <cell r="J81">
            <v>14269.199999999999</v>
          </cell>
          <cell r="K81">
            <v>6658.9599999999991</v>
          </cell>
        </row>
        <row r="82">
          <cell r="B82" t="str">
            <v>Mexico West</v>
          </cell>
          <cell r="C82">
            <v>3.17</v>
          </cell>
          <cell r="D82">
            <v>1</v>
          </cell>
          <cell r="G82">
            <v>50</v>
          </cell>
          <cell r="H82">
            <v>8.5999999999999993E-2</v>
          </cell>
          <cell r="I82">
            <v>11919.199999999999</v>
          </cell>
          <cell r="J82">
            <v>17878.8</v>
          </cell>
          <cell r="K82">
            <v>8343.44</v>
          </cell>
        </row>
        <row r="83">
          <cell r="B83" t="str">
            <v>Morroco</v>
          </cell>
          <cell r="C83">
            <v>1.29</v>
          </cell>
          <cell r="D83">
            <v>1</v>
          </cell>
          <cell r="I83">
            <v>4850.4000000000005</v>
          </cell>
          <cell r="J83">
            <v>7275.6</v>
          </cell>
          <cell r="K83">
            <v>3395.28</v>
          </cell>
        </row>
        <row r="84">
          <cell r="B84" t="str">
            <v>Netherland</v>
          </cell>
          <cell r="C84">
            <v>19.05</v>
          </cell>
          <cell r="D84">
            <v>0.8</v>
          </cell>
          <cell r="E84">
            <v>0</v>
          </cell>
          <cell r="F84">
            <v>200</v>
          </cell>
          <cell r="H84">
            <v>0.128</v>
          </cell>
          <cell r="I84">
            <v>71628</v>
          </cell>
          <cell r="J84">
            <v>107442</v>
          </cell>
          <cell r="K84">
            <v>50139.6</v>
          </cell>
        </row>
        <row r="85">
          <cell r="B85" t="str">
            <v>Norway</v>
          </cell>
          <cell r="C85">
            <v>21.61</v>
          </cell>
          <cell r="D85">
            <v>0.8</v>
          </cell>
          <cell r="E85">
            <v>0</v>
          </cell>
          <cell r="I85">
            <v>81253.599999999991</v>
          </cell>
          <cell r="J85">
            <v>121880.4</v>
          </cell>
          <cell r="K85">
            <v>56877.52</v>
          </cell>
        </row>
        <row r="86">
          <cell r="B86" t="str">
            <v>Philippines</v>
          </cell>
          <cell r="C86">
            <v>1.78</v>
          </cell>
          <cell r="D86">
            <v>1</v>
          </cell>
          <cell r="E86">
            <v>0</v>
          </cell>
          <cell r="F86">
            <v>30</v>
          </cell>
          <cell r="G86">
            <v>30</v>
          </cell>
          <cell r="H86">
            <v>0.08</v>
          </cell>
          <cell r="I86">
            <v>6692.8</v>
          </cell>
          <cell r="J86">
            <v>10039.200000000001</v>
          </cell>
          <cell r="K86">
            <v>4684.96</v>
          </cell>
        </row>
        <row r="87">
          <cell r="B87" t="str">
            <v>Poland</v>
          </cell>
          <cell r="C87">
            <v>4.68</v>
          </cell>
          <cell r="D87">
            <v>0.8</v>
          </cell>
          <cell r="E87">
            <v>0.28000000000000003</v>
          </cell>
          <cell r="F87">
            <v>13</v>
          </cell>
          <cell r="G87">
            <v>13</v>
          </cell>
          <cell r="H87">
            <v>6.0999999999999999E-2</v>
          </cell>
          <cell r="I87">
            <v>17596.8</v>
          </cell>
          <cell r="J87">
            <v>26395.199999999997</v>
          </cell>
          <cell r="K87">
            <v>12317.759999999998</v>
          </cell>
        </row>
        <row r="88">
          <cell r="B88" t="str">
            <v>Portugal</v>
          </cell>
          <cell r="C88">
            <v>6.82</v>
          </cell>
          <cell r="D88">
            <v>0.8</v>
          </cell>
          <cell r="E88">
            <v>0.31</v>
          </cell>
          <cell r="F88">
            <v>13</v>
          </cell>
          <cell r="G88">
            <v>13</v>
          </cell>
          <cell r="H88">
            <v>6.0999999999999999E-2</v>
          </cell>
          <cell r="I88">
            <v>25643.200000000001</v>
          </cell>
          <cell r="J88">
            <v>38464.800000000003</v>
          </cell>
          <cell r="K88">
            <v>17950.240000000002</v>
          </cell>
        </row>
        <row r="89">
          <cell r="B89" t="str">
            <v>Puerto Rico</v>
          </cell>
          <cell r="C89">
            <v>9.23</v>
          </cell>
          <cell r="D89">
            <v>0.8</v>
          </cell>
          <cell r="E89">
            <v>0.5</v>
          </cell>
          <cell r="F89">
            <v>24.61</v>
          </cell>
          <cell r="G89">
            <v>24.61</v>
          </cell>
          <cell r="I89">
            <v>34704.800000000003</v>
          </cell>
          <cell r="J89">
            <v>52057.200000000004</v>
          </cell>
          <cell r="K89">
            <v>24293.360000000001</v>
          </cell>
        </row>
        <row r="90">
          <cell r="B90" t="str">
            <v>Romania</v>
          </cell>
          <cell r="C90">
            <v>1.64</v>
          </cell>
          <cell r="D90">
            <v>0.8</v>
          </cell>
          <cell r="E90">
            <v>0.74</v>
          </cell>
          <cell r="I90">
            <v>6166.4</v>
          </cell>
          <cell r="J90">
            <v>9249.5999999999985</v>
          </cell>
          <cell r="K90">
            <v>4316.4799999999996</v>
          </cell>
        </row>
        <row r="91">
          <cell r="B91" t="str">
            <v>Russia</v>
          </cell>
          <cell r="C91">
            <v>1.49</v>
          </cell>
          <cell r="D91">
            <v>0.8</v>
          </cell>
          <cell r="E91">
            <v>0.19</v>
          </cell>
          <cell r="H91">
            <v>8.4000000000000005E-2</v>
          </cell>
          <cell r="I91">
            <v>5602.4</v>
          </cell>
          <cell r="J91">
            <v>8403.6</v>
          </cell>
          <cell r="K91">
            <v>3921.68</v>
          </cell>
        </row>
        <row r="92">
          <cell r="B92" t="str">
            <v>Singapore</v>
          </cell>
          <cell r="C92">
            <v>4.57</v>
          </cell>
          <cell r="D92">
            <v>0.8</v>
          </cell>
          <cell r="E92">
            <v>0.42</v>
          </cell>
          <cell r="H92">
            <v>3.4000000000000002E-2</v>
          </cell>
          <cell r="I92">
            <v>17183.2</v>
          </cell>
          <cell r="J92">
            <v>25774.800000000003</v>
          </cell>
          <cell r="K92">
            <v>12028.240000000002</v>
          </cell>
        </row>
        <row r="93">
          <cell r="B93" t="str">
            <v>Slovakia</v>
          </cell>
          <cell r="C93">
            <v>2.86</v>
          </cell>
          <cell r="D93">
            <v>0.8</v>
          </cell>
          <cell r="E93">
            <v>0.83</v>
          </cell>
          <cell r="I93">
            <v>10753.6</v>
          </cell>
          <cell r="J93">
            <v>16130.4</v>
          </cell>
          <cell r="K93">
            <v>7527.5199999999995</v>
          </cell>
        </row>
        <row r="94">
          <cell r="B94" t="str">
            <v>Slovenia</v>
          </cell>
          <cell r="C94">
            <v>4.51</v>
          </cell>
          <cell r="D94">
            <v>1</v>
          </cell>
          <cell r="E94">
            <v>0</v>
          </cell>
          <cell r="F94">
            <v>94.800000000000011</v>
          </cell>
          <cell r="G94">
            <v>94.800000000000011</v>
          </cell>
          <cell r="H94">
            <v>0.28999999999999998</v>
          </cell>
          <cell r="I94">
            <v>16957.599999999999</v>
          </cell>
          <cell r="J94">
            <v>25436.399999999998</v>
          </cell>
          <cell r="K94">
            <v>11870.32</v>
          </cell>
        </row>
        <row r="95">
          <cell r="B95" t="str">
            <v>Spain</v>
          </cell>
          <cell r="C95">
            <v>11.98</v>
          </cell>
          <cell r="D95">
            <v>0.8</v>
          </cell>
          <cell r="E95">
            <v>0.24</v>
          </cell>
          <cell r="H95">
            <v>3.5999999999999997E-2</v>
          </cell>
          <cell r="I95">
            <v>45044.800000000003</v>
          </cell>
          <cell r="J95">
            <v>67567.199999999997</v>
          </cell>
          <cell r="K95">
            <v>31531.360000000001</v>
          </cell>
        </row>
        <row r="96">
          <cell r="B96" t="str">
            <v>Sweden</v>
          </cell>
          <cell r="C96">
            <v>17.89</v>
          </cell>
          <cell r="D96">
            <v>0.8</v>
          </cell>
          <cell r="E96">
            <v>0</v>
          </cell>
          <cell r="H96">
            <v>9.6000000000000002E-2</v>
          </cell>
          <cell r="I96">
            <v>67266.400000000009</v>
          </cell>
          <cell r="J96">
            <v>100899.6</v>
          </cell>
          <cell r="K96">
            <v>47086.48</v>
          </cell>
        </row>
        <row r="97">
          <cell r="B97" t="str">
            <v>Swizerland</v>
          </cell>
          <cell r="C97">
            <v>21.27</v>
          </cell>
          <cell r="D97">
            <v>0.8</v>
          </cell>
          <cell r="E97">
            <v>0</v>
          </cell>
          <cell r="H97">
            <v>0.05</v>
          </cell>
          <cell r="I97">
            <v>79975.199999999997</v>
          </cell>
          <cell r="J97">
            <v>119962.8</v>
          </cell>
          <cell r="K97">
            <v>55982.64</v>
          </cell>
        </row>
        <row r="98">
          <cell r="B98" t="str">
            <v>Taiwan</v>
          </cell>
          <cell r="C98">
            <v>6.13</v>
          </cell>
          <cell r="D98">
            <v>0.8</v>
          </cell>
          <cell r="E98">
            <v>0</v>
          </cell>
          <cell r="F98">
            <v>55</v>
          </cell>
          <cell r="G98">
            <v>1.5</v>
          </cell>
          <cell r="I98">
            <v>23048.799999999999</v>
          </cell>
          <cell r="J98">
            <v>34573.199999999997</v>
          </cell>
          <cell r="K98">
            <v>16134.16</v>
          </cell>
        </row>
        <row r="99">
          <cell r="B99" t="str">
            <v>Thailand</v>
          </cell>
          <cell r="C99">
            <v>1.6</v>
          </cell>
          <cell r="D99">
            <v>1</v>
          </cell>
          <cell r="I99">
            <v>6016</v>
          </cell>
          <cell r="J99">
            <v>9024</v>
          </cell>
          <cell r="K99">
            <v>4211.2</v>
          </cell>
        </row>
        <row r="100">
          <cell r="B100" t="str">
            <v>Turkey</v>
          </cell>
          <cell r="C100">
            <v>3.28</v>
          </cell>
          <cell r="D100">
            <v>0.8</v>
          </cell>
          <cell r="E100">
            <v>0.74</v>
          </cell>
          <cell r="F100">
            <v>420</v>
          </cell>
          <cell r="G100">
            <v>120</v>
          </cell>
          <cell r="I100">
            <v>12332.8</v>
          </cell>
          <cell r="J100">
            <v>18499.199999999997</v>
          </cell>
          <cell r="K100">
            <v>8632.9599999999991</v>
          </cell>
        </row>
        <row r="101">
          <cell r="B101" t="str">
            <v>Ukraine</v>
          </cell>
          <cell r="C101">
            <v>0.75</v>
          </cell>
          <cell r="D101">
            <v>1</v>
          </cell>
          <cell r="E101">
            <v>0</v>
          </cell>
          <cell r="F101">
            <v>131.04</v>
          </cell>
          <cell r="G101">
            <v>131.04</v>
          </cell>
          <cell r="H101">
            <v>0.21</v>
          </cell>
          <cell r="I101">
            <v>2820</v>
          </cell>
          <cell r="J101">
            <v>4230</v>
          </cell>
          <cell r="K101">
            <v>1974</v>
          </cell>
        </row>
        <row r="102">
          <cell r="B102" t="str">
            <v>United Kingdom</v>
          </cell>
          <cell r="C102">
            <v>15.09</v>
          </cell>
          <cell r="D102">
            <v>0.8</v>
          </cell>
          <cell r="E102">
            <v>0</v>
          </cell>
          <cell r="H102">
            <v>0.122</v>
          </cell>
          <cell r="I102">
            <v>56738.400000000001</v>
          </cell>
          <cell r="J102">
            <v>85107.6</v>
          </cell>
          <cell r="K102">
            <v>39716.879999999997</v>
          </cell>
        </row>
        <row r="103">
          <cell r="B103" t="str">
            <v>Vietnam</v>
          </cell>
          <cell r="C103">
            <v>0.4</v>
          </cell>
          <cell r="D103">
            <v>1</v>
          </cell>
          <cell r="E103">
            <v>0</v>
          </cell>
          <cell r="F103">
            <v>81.84</v>
          </cell>
          <cell r="G103">
            <v>81.84</v>
          </cell>
          <cell r="H103">
            <v>0.23</v>
          </cell>
          <cell r="I103">
            <v>1504</v>
          </cell>
          <cell r="J103">
            <v>2256</v>
          </cell>
          <cell r="K103">
            <v>1052.8</v>
          </cell>
        </row>
      </sheetData>
      <sheetData sheetId="9" refreshError="1">
        <row r="7">
          <cell r="B7" t="str">
            <v>Harness Lead Prep</v>
          </cell>
          <cell r="D7" t="str">
            <v>Harness Lead Prep</v>
          </cell>
        </row>
        <row r="8">
          <cell r="B8" t="str">
            <v>Lead Prep (Cut, Strip, and Terminate Wires)</v>
          </cell>
          <cell r="C8" t="str">
            <v>Complex - Stand Alone</v>
          </cell>
          <cell r="D8" t="str">
            <v>Standard_Harness - Lead Prep (Cut, Strip, and Terminate Wires)</v>
          </cell>
          <cell r="E8">
            <v>1.5653329128733178</v>
          </cell>
          <cell r="F8" t="str">
            <v>wires</v>
          </cell>
          <cell r="G8">
            <v>76.701312730792566</v>
          </cell>
          <cell r="H8">
            <v>76.701312730792566</v>
          </cell>
          <cell r="I8">
            <v>180000</v>
          </cell>
        </row>
        <row r="9">
          <cell r="B9" t="str">
            <v>Cable Seal</v>
          </cell>
          <cell r="C9" t="str">
            <v>Complex - Stand Alone</v>
          </cell>
          <cell r="D9" t="str">
            <v>Cable Seal</v>
          </cell>
          <cell r="E9">
            <v>0.36</v>
          </cell>
          <cell r="F9" t="str">
            <v>seals</v>
          </cell>
          <cell r="I9">
            <v>20000</v>
          </cell>
        </row>
        <row r="10">
          <cell r="B10" t="str">
            <v>Splice Window</v>
          </cell>
          <cell r="C10" t="str">
            <v>Complex - Stand Alone</v>
          </cell>
          <cell r="D10" t="str">
            <v>Splice Window</v>
          </cell>
          <cell r="E10">
            <v>3.934667087126682</v>
          </cell>
          <cell r="F10" t="str">
            <v>wires</v>
          </cell>
          <cell r="I10">
            <v>10000</v>
          </cell>
        </row>
        <row r="12">
          <cell r="B12" t="str">
            <v>Standard Assembly</v>
          </cell>
          <cell r="D12" t="str">
            <v>Standard Assembly</v>
          </cell>
        </row>
        <row r="13">
          <cell r="B13" t="str">
            <v>Place Connectors On/Off Assembly Board</v>
          </cell>
          <cell r="C13" t="str">
            <v>Standard_Harness</v>
          </cell>
          <cell r="D13" t="str">
            <v>Standard_Harness - Place Connectors On/Off Assembly Board</v>
          </cell>
          <cell r="E13">
            <v>5.5</v>
          </cell>
          <cell r="F13" t="str">
            <v>connectors</v>
          </cell>
          <cell r="G13">
            <v>71.5</v>
          </cell>
          <cell r="H13">
            <v>71.5</v>
          </cell>
          <cell r="I13">
            <v>20000</v>
          </cell>
        </row>
        <row r="14">
          <cell r="B14" t="str">
            <v>Assemble Terminals to Connectors</v>
          </cell>
          <cell r="C14" t="str">
            <v>Standard_Harness</v>
          </cell>
          <cell r="D14" t="str">
            <v>Standard_Harness - Assemble Terminals to Connectors</v>
          </cell>
          <cell r="E14">
            <v>4</v>
          </cell>
          <cell r="F14" t="str">
            <v>terminals</v>
          </cell>
          <cell r="G14">
            <v>332</v>
          </cell>
          <cell r="H14">
            <v>332</v>
          </cell>
          <cell r="I14">
            <v>0</v>
          </cell>
        </row>
        <row r="15">
          <cell r="B15" t="str">
            <v>Assemble Locks (CPAs and TPAs)</v>
          </cell>
          <cell r="C15" t="str">
            <v>Standard_Harness</v>
          </cell>
          <cell r="D15" t="str">
            <v>Standard_Harness - Assemble Locks (CPAs and TPAs)</v>
          </cell>
          <cell r="E15">
            <v>5</v>
          </cell>
          <cell r="F15" t="str">
            <v>locks</v>
          </cell>
          <cell r="G15">
            <v>50</v>
          </cell>
          <cell r="H15">
            <v>60</v>
          </cell>
          <cell r="I15">
            <v>0</v>
          </cell>
        </row>
        <row r="16">
          <cell r="B16" t="str">
            <v>Attach Clips</v>
          </cell>
          <cell r="C16" t="str">
            <v>Standard_Harness</v>
          </cell>
          <cell r="D16" t="str">
            <v>Standard_Harness - Attach Clips</v>
          </cell>
          <cell r="E16">
            <v>3</v>
          </cell>
          <cell r="F16" t="str">
            <v>clips</v>
          </cell>
          <cell r="G16">
            <v>0</v>
          </cell>
          <cell r="H16">
            <v>0</v>
          </cell>
          <cell r="I16">
            <v>1000</v>
          </cell>
        </row>
        <row r="17">
          <cell r="B17" t="str">
            <v>Taping</v>
          </cell>
          <cell r="C17" t="str">
            <v>Standard_Harness</v>
          </cell>
          <cell r="D17" t="str">
            <v>Standard_Harness - Taping</v>
          </cell>
          <cell r="E17">
            <v>1.4999999999999999E-2</v>
          </cell>
          <cell r="F17" t="str">
            <v>operations</v>
          </cell>
          <cell r="G17">
            <v>117.82499999999999</v>
          </cell>
          <cell r="H17">
            <v>150.18349999999998</v>
          </cell>
          <cell r="I17">
            <v>0</v>
          </cell>
        </row>
        <row r="18">
          <cell r="B18" t="str">
            <v>Assemble Conduit</v>
          </cell>
          <cell r="C18" t="str">
            <v>Standard_Harness</v>
          </cell>
          <cell r="D18" t="str">
            <v>Standard_Harness - Assemble Conduit</v>
          </cell>
          <cell r="E18">
            <v>3.0000000000000001E-3</v>
          </cell>
          <cell r="F18" t="str">
            <v>pieces</v>
          </cell>
          <cell r="G18">
            <v>0</v>
          </cell>
          <cell r="H18">
            <v>0</v>
          </cell>
          <cell r="I18">
            <v>0</v>
          </cell>
        </row>
        <row r="19">
          <cell r="B19" t="str">
            <v>Label</v>
          </cell>
          <cell r="C19" t="str">
            <v>Standard_Harness</v>
          </cell>
          <cell r="D19" t="str">
            <v>Standard_Harness - Label</v>
          </cell>
          <cell r="E19">
            <v>6</v>
          </cell>
          <cell r="F19" t="str">
            <v>labels</v>
          </cell>
          <cell r="G19">
            <v>12</v>
          </cell>
          <cell r="H19">
            <v>14</v>
          </cell>
          <cell r="I19">
            <v>0</v>
          </cell>
        </row>
        <row r="20">
          <cell r="B20" t="str">
            <v>Dimensional Test/Inspect</v>
          </cell>
          <cell r="C20" t="str">
            <v>Standard_Harness</v>
          </cell>
          <cell r="D20" t="str">
            <v>Standard_Harness - Dimensional Test/Inspect</v>
          </cell>
          <cell r="E20">
            <v>3.5</v>
          </cell>
          <cell r="F20" t="str">
            <v>harness</v>
          </cell>
          <cell r="G20">
            <v>45.5</v>
          </cell>
          <cell r="H20">
            <v>53.3</v>
          </cell>
          <cell r="I20">
            <v>1000</v>
          </cell>
        </row>
        <row r="21">
          <cell r="B21" t="str">
            <v>Package Harness</v>
          </cell>
          <cell r="C21" t="str">
            <v>Standard_Harness</v>
          </cell>
          <cell r="D21" t="str">
            <v>Standard_Harness - Package Harness</v>
          </cell>
          <cell r="E21">
            <v>7</v>
          </cell>
          <cell r="F21" t="str">
            <v>harness</v>
          </cell>
          <cell r="G21">
            <v>7</v>
          </cell>
          <cell r="H21">
            <v>7</v>
          </cell>
          <cell r="I21">
            <v>0</v>
          </cell>
        </row>
        <row r="23">
          <cell r="B23" t="str">
            <v>JST Harness Assembly</v>
          </cell>
        </row>
        <row r="24">
          <cell r="B24" t="str">
            <v>Automatic Cut, Strip, Connector Attachment</v>
          </cell>
          <cell r="C24" t="str">
            <v>JST_Harness</v>
          </cell>
          <cell r="D24" t="str">
            <v>JST_Harness - Automatic Cut, Strip, Connector Attachment</v>
          </cell>
          <cell r="E24">
            <v>0.72</v>
          </cell>
          <cell r="F24" t="str">
            <v>connectors</v>
          </cell>
          <cell r="G24">
            <v>35.28</v>
          </cell>
          <cell r="I24">
            <v>150000</v>
          </cell>
        </row>
        <row r="25">
          <cell r="B25" t="str">
            <v>Inspect and Package</v>
          </cell>
          <cell r="C25" t="str">
            <v>JST_Harness</v>
          </cell>
          <cell r="D25" t="str">
            <v>JST_Harness - Inspect and Package</v>
          </cell>
          <cell r="E25">
            <v>5.04</v>
          </cell>
          <cell r="F25" t="str">
            <v>harness</v>
          </cell>
          <cell r="G25">
            <v>65.52</v>
          </cell>
          <cell r="I25">
            <v>0</v>
          </cell>
        </row>
        <row r="26">
          <cell r="C26" t="str">
            <v>JST_Harness</v>
          </cell>
          <cell r="D26" t="str">
            <v xml:space="preserve">JST_Harness - </v>
          </cell>
        </row>
        <row r="27">
          <cell r="B27" t="str">
            <v>Coax Assembly - Fakra</v>
          </cell>
        </row>
        <row r="28">
          <cell r="B28" t="str">
            <v>Coax Cable End Prep. (Cut/Strip)</v>
          </cell>
          <cell r="C28" t="str">
            <v>Coaxial_Harness</v>
          </cell>
          <cell r="D28" t="str">
            <v>Coaxial_Harness - Coax Cable End Prep. (Cut/Strip)</v>
          </cell>
          <cell r="E28">
            <v>5</v>
          </cell>
          <cell r="F28" t="str">
            <v>ends</v>
          </cell>
          <cell r="G28">
            <v>245.13602</v>
          </cell>
          <cell r="I28">
            <v>100000</v>
          </cell>
        </row>
        <row r="29">
          <cell r="B29" t="str">
            <v>Apply/Crimp Contact</v>
          </cell>
          <cell r="C29" t="str">
            <v>Coaxial_Harness</v>
          </cell>
          <cell r="D29" t="str">
            <v>Coaxial_Harness - Apply/Crimp Contact</v>
          </cell>
          <cell r="E29">
            <v>7.5</v>
          </cell>
          <cell r="F29" t="str">
            <v>contacts</v>
          </cell>
          <cell r="G29">
            <v>97.5</v>
          </cell>
          <cell r="I29">
            <v>100</v>
          </cell>
        </row>
        <row r="30">
          <cell r="B30" t="str">
            <v>Install Ferrule/Connector</v>
          </cell>
          <cell r="C30" t="str">
            <v>Coaxial_Harness</v>
          </cell>
          <cell r="D30" t="str">
            <v>Coaxial_Harness - Install Ferrule/Connector</v>
          </cell>
          <cell r="E30">
            <v>12</v>
          </cell>
          <cell r="F30" t="str">
            <v>connectors</v>
          </cell>
          <cell r="G30">
            <v>996</v>
          </cell>
          <cell r="I30">
            <v>500</v>
          </cell>
        </row>
        <row r="31">
          <cell r="B31" t="str">
            <v>Crimp Ferrule</v>
          </cell>
          <cell r="C31" t="str">
            <v>Coaxial_Harness</v>
          </cell>
          <cell r="D31" t="str">
            <v>Coaxial_Harness - Crimp Ferrule</v>
          </cell>
          <cell r="E31">
            <v>12</v>
          </cell>
          <cell r="F31" t="str">
            <v>ferrules</v>
          </cell>
          <cell r="G31">
            <v>120</v>
          </cell>
          <cell r="I31">
            <v>0</v>
          </cell>
        </row>
        <row r="32">
          <cell r="B32" t="str">
            <v>Install Housing</v>
          </cell>
          <cell r="C32" t="str">
            <v>Coaxial_Harness</v>
          </cell>
          <cell r="D32" t="str">
            <v>Coaxial_Harness - Install Housing</v>
          </cell>
          <cell r="E32">
            <v>9</v>
          </cell>
          <cell r="F32" t="str">
            <v>housings</v>
          </cell>
          <cell r="G32">
            <v>0</v>
          </cell>
          <cell r="I32">
            <v>0</v>
          </cell>
        </row>
        <row r="33">
          <cell r="B33" t="str">
            <v>Attach Clips</v>
          </cell>
          <cell r="C33" t="str">
            <v>Coaxial_Harness</v>
          </cell>
          <cell r="D33" t="str">
            <v>Coaxial_Harness - Attach Clips</v>
          </cell>
          <cell r="E33">
            <v>3</v>
          </cell>
          <cell r="F33" t="str">
            <v>clips</v>
          </cell>
          <cell r="G33">
            <v>54</v>
          </cell>
          <cell r="I33">
            <v>0</v>
          </cell>
        </row>
        <row r="34">
          <cell r="B34" t="str">
            <v>Conduit</v>
          </cell>
          <cell r="C34" t="str">
            <v>Coaxial_Harness</v>
          </cell>
          <cell r="D34" t="str">
            <v>Coaxial_Harness - Conduit</v>
          </cell>
          <cell r="E34">
            <v>5.0000000000000001E-3</v>
          </cell>
          <cell r="F34" t="str">
            <v>pieces</v>
          </cell>
          <cell r="G34">
            <v>0</v>
          </cell>
          <cell r="I34">
            <v>0</v>
          </cell>
        </row>
        <row r="35">
          <cell r="B35" t="str">
            <v>Taping</v>
          </cell>
          <cell r="C35" t="str">
            <v>Coaxial_Harness</v>
          </cell>
          <cell r="D35" t="str">
            <v>Coaxial_Harness - Taping</v>
          </cell>
          <cell r="E35">
            <v>1.9685000000000001E-2</v>
          </cell>
          <cell r="F35" t="str">
            <v>operations</v>
          </cell>
          <cell r="G35">
            <v>87.275000000000006</v>
          </cell>
          <cell r="I35">
            <v>0</v>
          </cell>
        </row>
        <row r="36">
          <cell r="B36" t="str">
            <v>Label</v>
          </cell>
          <cell r="C36" t="str">
            <v>Coaxial_Harness</v>
          </cell>
          <cell r="D36" t="str">
            <v>Coaxial_Harness - Label</v>
          </cell>
          <cell r="E36">
            <v>4</v>
          </cell>
          <cell r="F36" t="str">
            <v>labels</v>
          </cell>
          <cell r="G36">
            <v>4</v>
          </cell>
          <cell r="I36">
            <v>5000</v>
          </cell>
        </row>
        <row r="37">
          <cell r="B37" t="str">
            <v>Continuity/High-Pot Test</v>
          </cell>
          <cell r="C37" t="str">
            <v>Coaxial_Harness</v>
          </cell>
          <cell r="D37" t="str">
            <v>Coaxial_Harness - Continuity/High-Pot Test</v>
          </cell>
          <cell r="E37">
            <v>24</v>
          </cell>
          <cell r="F37" t="str">
            <v>harness</v>
          </cell>
          <cell r="G37">
            <v>24</v>
          </cell>
          <cell r="I37">
            <v>100</v>
          </cell>
        </row>
        <row r="38">
          <cell r="B38" t="str">
            <v>Dimensional Test/Inspect/Package</v>
          </cell>
          <cell r="C38" t="str">
            <v>Coaxial_Harness</v>
          </cell>
          <cell r="D38" t="str">
            <v>Coaxial_Harness - Dimensional Test/Inspect/Package</v>
          </cell>
          <cell r="E38">
            <v>9</v>
          </cell>
          <cell r="F38" t="str">
            <v>harness</v>
          </cell>
          <cell r="G38" t="e">
            <v>#VALUE!</v>
          </cell>
          <cell r="I38">
            <v>0</v>
          </cell>
        </row>
        <row r="39">
          <cell r="B39" t="str">
            <v>Oxygen Sensor Harness</v>
          </cell>
        </row>
        <row r="40">
          <cell r="B40" t="str">
            <v>Lead Prep/Spot Weld</v>
          </cell>
          <cell r="C40" t="str">
            <v>OXYGEN_SENSOR_HARNESS</v>
          </cell>
          <cell r="D40" t="str">
            <v>OXYGEN_SENSOR_HARNESS - Lead Prep/Spot Weld</v>
          </cell>
          <cell r="E40">
            <v>2.5</v>
          </cell>
          <cell r="F40" t="str">
            <v>wires</v>
          </cell>
          <cell r="G40">
            <v>122.5</v>
          </cell>
          <cell r="I40">
            <v>300000</v>
          </cell>
        </row>
        <row r="41">
          <cell r="B41" t="str">
            <v>Crimp/Attach Heater</v>
          </cell>
          <cell r="C41" t="str">
            <v>OXYGEN_SENSOR_HARNESS</v>
          </cell>
          <cell r="D41" t="str">
            <v>OXYGEN_SENSOR_HARNESS - Crimp/Attach Heater</v>
          </cell>
          <cell r="E41">
            <v>10</v>
          </cell>
          <cell r="F41" t="str">
            <v>heaters</v>
          </cell>
          <cell r="G41">
            <v>130</v>
          </cell>
          <cell r="I41">
            <v>20000</v>
          </cell>
        </row>
        <row r="42">
          <cell r="B42" t="str">
            <v>Assemble Ceramic Cards</v>
          </cell>
          <cell r="C42" t="str">
            <v>OXYGEN_SENSOR_HARNESS</v>
          </cell>
          <cell r="D42" t="str">
            <v>OXYGEN_SENSOR_HARNESS - Assemble Ceramic Cards</v>
          </cell>
          <cell r="E42">
            <v>12</v>
          </cell>
          <cell r="F42" t="str">
            <v>cards</v>
          </cell>
          <cell r="G42">
            <v>996</v>
          </cell>
          <cell r="I42">
            <v>40000</v>
          </cell>
        </row>
        <row r="43">
          <cell r="B43" t="str">
            <v>Assemble Shields</v>
          </cell>
          <cell r="C43" t="str">
            <v>OXYGEN_SENSOR_HARNESS</v>
          </cell>
          <cell r="D43" t="str">
            <v>OXYGEN_SENSOR_HARNESS - Assemble Shields</v>
          </cell>
          <cell r="E43">
            <v>10</v>
          </cell>
          <cell r="F43" t="str">
            <v>shields</v>
          </cell>
          <cell r="G43">
            <v>100</v>
          </cell>
          <cell r="I43">
            <v>0</v>
          </cell>
        </row>
        <row r="44">
          <cell r="B44" t="str">
            <v>Assemble Goretex</v>
          </cell>
          <cell r="C44" t="str">
            <v>OXYGEN_SENSOR_HARNESS</v>
          </cell>
          <cell r="D44" t="str">
            <v>OXYGEN_SENSOR_HARNESS - Assemble Goretex</v>
          </cell>
          <cell r="E44">
            <v>8</v>
          </cell>
          <cell r="F44" t="str">
            <v>pieces</v>
          </cell>
          <cell r="G44">
            <v>0</v>
          </cell>
          <cell r="I44">
            <v>0</v>
          </cell>
        </row>
        <row r="45">
          <cell r="B45" t="str">
            <v>Assemble Outer Shield Seal</v>
          </cell>
          <cell r="C45" t="str">
            <v>OXYGEN_SENSOR_HARNESS</v>
          </cell>
          <cell r="D45" t="str">
            <v>OXYGEN_SENSOR_HARNESS - Assemble Outer Shield Seal</v>
          </cell>
          <cell r="E45">
            <v>15</v>
          </cell>
          <cell r="F45" t="str">
            <v>seals</v>
          </cell>
          <cell r="G45">
            <v>270</v>
          </cell>
          <cell r="I45">
            <v>0</v>
          </cell>
        </row>
        <row r="46">
          <cell r="B46" t="str">
            <v>Cut/Assemble Harness Covering</v>
          </cell>
          <cell r="C46" t="str">
            <v>OXYGEN_SENSOR_HARNESS</v>
          </cell>
          <cell r="D46" t="str">
            <v>OXYGEN_SENSOR_HARNESS - Cut/Assemble Harness Covering</v>
          </cell>
          <cell r="E46">
            <v>0.01</v>
          </cell>
          <cell r="F46" t="str">
            <v>pieces</v>
          </cell>
          <cell r="G46">
            <v>0</v>
          </cell>
          <cell r="I46">
            <v>20000</v>
          </cell>
        </row>
        <row r="47">
          <cell r="B47" t="str">
            <v>Terminate Wires</v>
          </cell>
          <cell r="C47" t="str">
            <v>OXYGEN_SENSOR_HARNESS</v>
          </cell>
          <cell r="D47" t="str">
            <v>OXYGEN_SENSOR_HARNESS - Terminate Wires</v>
          </cell>
          <cell r="E47">
            <v>7</v>
          </cell>
          <cell r="F47" t="str">
            <v>terminals</v>
          </cell>
          <cell r="G47">
            <v>14</v>
          </cell>
          <cell r="I47">
            <v>15000</v>
          </cell>
        </row>
        <row r="48">
          <cell r="B48" t="str">
            <v>Terminals to Connector</v>
          </cell>
          <cell r="C48" t="str">
            <v>OXYGEN_SENSOR_HARNESS</v>
          </cell>
          <cell r="D48" t="str">
            <v>OXYGEN_SENSOR_HARNESS - Terminals to Connector</v>
          </cell>
          <cell r="E48">
            <v>4</v>
          </cell>
          <cell r="F48" t="str">
            <v>terminals</v>
          </cell>
          <cell r="G48">
            <v>4</v>
          </cell>
          <cell r="I48">
            <v>0</v>
          </cell>
        </row>
        <row r="49">
          <cell r="B49" t="str">
            <v>Terminal Lock</v>
          </cell>
          <cell r="C49" t="str">
            <v>OXYGEN_SENSOR_HARNESS</v>
          </cell>
          <cell r="D49" t="str">
            <v>OXYGEN_SENSOR_HARNESS - Terminal Lock</v>
          </cell>
          <cell r="E49">
            <v>6</v>
          </cell>
          <cell r="F49" t="str">
            <v>locks</v>
          </cell>
          <cell r="G49">
            <v>6</v>
          </cell>
          <cell r="I49">
            <v>0</v>
          </cell>
        </row>
        <row r="50">
          <cell r="B50" t="str">
            <v>Test/Inspect</v>
          </cell>
          <cell r="C50" t="str">
            <v>OXYGEN_SENSOR_HARNESS</v>
          </cell>
          <cell r="D50" t="str">
            <v>OXYGEN_SENSOR_HARNESS - Test/Inspect</v>
          </cell>
          <cell r="E50">
            <v>30</v>
          </cell>
          <cell r="F50" t="str">
            <v>tests</v>
          </cell>
          <cell r="G50" t="e">
            <v>#VALUE!</v>
          </cell>
          <cell r="I50">
            <v>20000</v>
          </cell>
        </row>
        <row r="51">
          <cell r="B51" t="str">
            <v>Label</v>
          </cell>
          <cell r="C51" t="str">
            <v>OXYGEN_SENSOR_HARNESS</v>
          </cell>
          <cell r="D51" t="str">
            <v>OXYGEN_SENSOR_HARNESS - Label</v>
          </cell>
          <cell r="E51">
            <v>7</v>
          </cell>
          <cell r="F51" t="str">
            <v>labels</v>
          </cell>
          <cell r="G51" t="e">
            <v>#VALUE!</v>
          </cell>
          <cell r="I51">
            <v>0</v>
          </cell>
        </row>
        <row r="52">
          <cell r="B52" t="str">
            <v>Package</v>
          </cell>
          <cell r="C52" t="str">
            <v>OXYGEN_SENSOR_HARNESS</v>
          </cell>
          <cell r="D52" t="str">
            <v>OXYGEN_SENSOR_HARNESS - Package</v>
          </cell>
          <cell r="E52">
            <v>7</v>
          </cell>
          <cell r="F52" t="str">
            <v>harness</v>
          </cell>
          <cell r="G52" t="e">
            <v>#VALUE!</v>
          </cell>
          <cell r="I52">
            <v>0</v>
          </cell>
        </row>
        <row r="53">
          <cell r="B53" t="str">
            <v>Coax Assembly - AM/FM</v>
          </cell>
        </row>
        <row r="54">
          <cell r="B54" t="str">
            <v>Coax Cable End Prep. (Cut/Strip)</v>
          </cell>
          <cell r="C54" t="str">
            <v>Coaxial_Harness</v>
          </cell>
          <cell r="D54" t="str">
            <v>Coaxial_Harness - Coax Cable End Prep. (Cut/Strip)</v>
          </cell>
          <cell r="E54">
            <v>5</v>
          </cell>
          <cell r="F54" t="str">
            <v>ends</v>
          </cell>
          <cell r="G54">
            <v>245.13602</v>
          </cell>
          <cell r="I54">
            <v>100000</v>
          </cell>
        </row>
        <row r="55">
          <cell r="B55" t="str">
            <v>*Tin Cable End</v>
          </cell>
          <cell r="C55" t="str">
            <v>Coaxial_Harness</v>
          </cell>
          <cell r="D55" t="str">
            <v>Coaxial_Harness - *Tin Cable End</v>
          </cell>
          <cell r="E55">
            <v>8</v>
          </cell>
          <cell r="F55" t="str">
            <v>operations</v>
          </cell>
          <cell r="G55">
            <v>0</v>
          </cell>
          <cell r="I55">
            <v>100</v>
          </cell>
        </row>
        <row r="56">
          <cell r="B56" t="str">
            <v>Crimp Contact</v>
          </cell>
          <cell r="C56" t="str">
            <v>Coaxial_Harness</v>
          </cell>
          <cell r="D56" t="str">
            <v>Coaxial_Harness - Crimp Contact</v>
          </cell>
          <cell r="E56">
            <v>14</v>
          </cell>
          <cell r="F56" t="str">
            <v>contacts</v>
          </cell>
          <cell r="G56">
            <v>0</v>
          </cell>
          <cell r="I56">
            <v>500</v>
          </cell>
        </row>
        <row r="57">
          <cell r="B57" t="str">
            <v>Attach Connector</v>
          </cell>
          <cell r="C57" t="str">
            <v>Coaxial_Harness</v>
          </cell>
          <cell r="D57" t="str">
            <v>Coaxial_Harness - Attach Connector</v>
          </cell>
          <cell r="E57">
            <v>20</v>
          </cell>
          <cell r="F57" t="str">
            <v>connectors</v>
          </cell>
          <cell r="G57">
            <v>0</v>
          </cell>
          <cell r="I57">
            <v>0</v>
          </cell>
        </row>
        <row r="58">
          <cell r="B58" t="str">
            <v>Attach Clips</v>
          </cell>
          <cell r="C58" t="str">
            <v>Coaxial_Harness</v>
          </cell>
          <cell r="D58" t="str">
            <v>Coaxial_Harness - Attach Clips</v>
          </cell>
          <cell r="E58">
            <v>3</v>
          </cell>
          <cell r="F58" t="str">
            <v>clips</v>
          </cell>
          <cell r="G58">
            <v>0</v>
          </cell>
          <cell r="I58">
            <v>0</v>
          </cell>
        </row>
        <row r="59">
          <cell r="B59" t="str">
            <v>Conduit</v>
          </cell>
          <cell r="C59" t="str">
            <v>Coaxial_Harness</v>
          </cell>
          <cell r="D59" t="str">
            <v>Coaxial_Harness - Conduit</v>
          </cell>
          <cell r="E59">
            <v>5</v>
          </cell>
          <cell r="F59" t="str">
            <v>pieces</v>
          </cell>
          <cell r="G59">
            <v>0</v>
          </cell>
          <cell r="I59">
            <v>0</v>
          </cell>
        </row>
        <row r="60">
          <cell r="B60" t="str">
            <v>Taping</v>
          </cell>
          <cell r="C60" t="str">
            <v>Coaxial_Harness</v>
          </cell>
          <cell r="D60" t="str">
            <v>Coaxial_Harness - Taping</v>
          </cell>
          <cell r="E60">
            <v>1.9685000000000001E-2</v>
          </cell>
          <cell r="F60" t="str">
            <v>operations</v>
          </cell>
          <cell r="G60">
            <v>60.137675000000002</v>
          </cell>
          <cell r="I60">
            <v>0</v>
          </cell>
        </row>
        <row r="61">
          <cell r="B61" t="str">
            <v>Label</v>
          </cell>
          <cell r="C61" t="str">
            <v>Coaxial_Harness</v>
          </cell>
          <cell r="D61" t="str">
            <v>Coaxial_Harness - Label</v>
          </cell>
          <cell r="E61">
            <v>4</v>
          </cell>
          <cell r="F61" t="str">
            <v>labels</v>
          </cell>
          <cell r="G61">
            <v>0</v>
          </cell>
          <cell r="I61">
            <v>0</v>
          </cell>
        </row>
        <row r="62">
          <cell r="B62" t="str">
            <v>Electrical Test</v>
          </cell>
          <cell r="C62" t="str">
            <v>Coaxial_Harness</v>
          </cell>
          <cell r="D62" t="str">
            <v>Coaxial_Harness - Electrical Test</v>
          </cell>
          <cell r="E62">
            <v>8</v>
          </cell>
          <cell r="F62" t="str">
            <v>harness</v>
          </cell>
          <cell r="G62">
            <v>0</v>
          </cell>
          <cell r="I62">
            <v>5000</v>
          </cell>
        </row>
        <row r="63">
          <cell r="B63" t="str">
            <v>Dimensional Test/Inspect</v>
          </cell>
          <cell r="C63" t="str">
            <v>Coaxial_Harness</v>
          </cell>
          <cell r="D63" t="str">
            <v>Coaxial_Harness - Dimensional Test/Inspect</v>
          </cell>
          <cell r="E63">
            <v>5</v>
          </cell>
          <cell r="F63" t="str">
            <v>harness</v>
          </cell>
          <cell r="G63">
            <v>0</v>
          </cell>
          <cell r="I63">
            <v>100</v>
          </cell>
        </row>
        <row r="64">
          <cell r="B64" t="str">
            <v>Package</v>
          </cell>
          <cell r="C64" t="str">
            <v>Coaxial_Harness</v>
          </cell>
          <cell r="D64" t="str">
            <v>Coaxial_Harness - Package</v>
          </cell>
          <cell r="E64">
            <v>2</v>
          </cell>
          <cell r="F64" t="str">
            <v>harness</v>
          </cell>
          <cell r="G64">
            <v>0</v>
          </cell>
          <cell r="I64">
            <v>0</v>
          </cell>
        </row>
        <row r="65">
          <cell r="B65" t="str">
            <v>Battery Cable</v>
          </cell>
        </row>
        <row r="66">
          <cell r="B66" t="str">
            <v>Lead Prep - Cut/Strip</v>
          </cell>
          <cell r="C66" t="str">
            <v>BATTERY_CABLE_HARNESS</v>
          </cell>
          <cell r="D66" t="str">
            <v>BATTERY_CABLE_HARNESS - Lead Prep - Cut/Strip</v>
          </cell>
          <cell r="E66">
            <v>15</v>
          </cell>
          <cell r="F66" t="str">
            <v>cables</v>
          </cell>
          <cell r="G66">
            <v>735.13602000000003</v>
          </cell>
          <cell r="I66">
            <v>14000</v>
          </cell>
        </row>
        <row r="67">
          <cell r="B67" t="str">
            <v>Terminate Cables</v>
          </cell>
          <cell r="C67" t="str">
            <v>BATTERY_CABLE_HARNESS</v>
          </cell>
          <cell r="D67" t="str">
            <v>BATTERY_CABLE_HARNESS - Terminate Cables</v>
          </cell>
          <cell r="E67">
            <v>8</v>
          </cell>
          <cell r="F67" t="str">
            <v>terminals</v>
          </cell>
          <cell r="G67">
            <v>104</v>
          </cell>
          <cell r="I67">
            <v>100</v>
          </cell>
        </row>
        <row r="68">
          <cell r="B68" t="str">
            <v>Heat Shrink</v>
          </cell>
          <cell r="C68" t="str">
            <v>BATTERY_CABLE_HARNESS</v>
          </cell>
          <cell r="D68" t="str">
            <v>BATTERY_CABLE_HARNESS - Heat Shrink</v>
          </cell>
          <cell r="E68">
            <v>4</v>
          </cell>
          <cell r="F68" t="str">
            <v>pieces</v>
          </cell>
          <cell r="G68">
            <v>347</v>
          </cell>
          <cell r="I68">
            <v>500</v>
          </cell>
        </row>
        <row r="69">
          <cell r="B69" t="str">
            <v>Taping</v>
          </cell>
          <cell r="C69" t="str">
            <v>BATTERY_CABLE_HARNESS</v>
          </cell>
          <cell r="D69" t="str">
            <v>BATTERY_CABLE_HARNESS - Taping</v>
          </cell>
          <cell r="E69">
            <v>1.9685000000000001E-2</v>
          </cell>
          <cell r="F69" t="str">
            <v>operations</v>
          </cell>
          <cell r="G69">
            <v>132.137675</v>
          </cell>
          <cell r="I69">
            <v>0</v>
          </cell>
        </row>
        <row r="70">
          <cell r="B70" t="str">
            <v>Conduit</v>
          </cell>
          <cell r="C70" t="str">
            <v>BATTERY_CABLE_HARNESS</v>
          </cell>
          <cell r="D70" t="str">
            <v>BATTERY_CABLE_HARNESS - Conduit</v>
          </cell>
          <cell r="E70">
            <v>5.0000000000000001E-3</v>
          </cell>
          <cell r="F70" t="str">
            <v>pieces</v>
          </cell>
          <cell r="G70">
            <v>0</v>
          </cell>
          <cell r="I70">
            <v>0</v>
          </cell>
        </row>
        <row r="71">
          <cell r="B71" t="str">
            <v>Label</v>
          </cell>
          <cell r="C71" t="str">
            <v>BATTERY_CABLE_HARNESS</v>
          </cell>
          <cell r="D71" t="str">
            <v>BATTERY_CABLE_HARNESS - Label</v>
          </cell>
          <cell r="E71">
            <v>4</v>
          </cell>
          <cell r="F71" t="str">
            <v>labels</v>
          </cell>
          <cell r="G71">
            <v>72</v>
          </cell>
          <cell r="I71">
            <v>0</v>
          </cell>
        </row>
        <row r="72">
          <cell r="B72" t="str">
            <v>Dimensional Test/Inspect</v>
          </cell>
          <cell r="C72" t="str">
            <v>BATTERY_CABLE_HARNESS</v>
          </cell>
          <cell r="D72" t="str">
            <v>BATTERY_CABLE_HARNESS - Dimensional Test/Inspect</v>
          </cell>
          <cell r="E72">
            <v>15</v>
          </cell>
          <cell r="F72" t="str">
            <v>harness</v>
          </cell>
          <cell r="G72">
            <v>0</v>
          </cell>
          <cell r="I72">
            <v>100</v>
          </cell>
        </row>
        <row r="73">
          <cell r="B73" t="str">
            <v>Package</v>
          </cell>
          <cell r="C73" t="str">
            <v>BATTERY_CABLE_HARNESS</v>
          </cell>
          <cell r="D73" t="str">
            <v>BATTERY_CABLE_HARNESS - Package</v>
          </cell>
          <cell r="E73">
            <v>4</v>
          </cell>
          <cell r="F73" t="str">
            <v>harness</v>
          </cell>
          <cell r="G73">
            <v>8</v>
          </cell>
          <cell r="I73">
            <v>0</v>
          </cell>
        </row>
        <row r="75">
          <cell r="B75" t="str">
            <v>Additional Assembly</v>
          </cell>
          <cell r="D75" t="str">
            <v>Additional Assembly</v>
          </cell>
        </row>
        <row r="76">
          <cell r="B76" t="str">
            <v>USER_DEFINED_LABOR</v>
          </cell>
          <cell r="C76" t="str">
            <v>Assembly Equipment</v>
          </cell>
          <cell r="D76" t="str">
            <v>Standard_Harness - USER_DEFINED_LABOR</v>
          </cell>
          <cell r="F76" t="str">
            <v>operations</v>
          </cell>
          <cell r="G76" t="e">
            <v>#N/A</v>
          </cell>
        </row>
        <row r="77">
          <cell r="B77" t="str">
            <v>Splice (Ultrasonic Weld)</v>
          </cell>
          <cell r="C77" t="str">
            <v>Assembly Equipment</v>
          </cell>
          <cell r="D77" t="str">
            <v>Standard_Harness - Splice (Ultrasonic Weld)</v>
          </cell>
          <cell r="E77">
            <v>8</v>
          </cell>
          <cell r="F77" t="str">
            <v>splices</v>
          </cell>
          <cell r="G77">
            <v>56</v>
          </cell>
          <cell r="H77">
            <v>126</v>
          </cell>
          <cell r="I77">
            <v>3000</v>
          </cell>
        </row>
        <row r="78">
          <cell r="B78" t="str">
            <v>Heat Shrink (Branch/Conn/Clip/etc)</v>
          </cell>
          <cell r="C78" t="str">
            <v>Assembly Equipment</v>
          </cell>
          <cell r="D78" t="str">
            <v>Standard_Harness - Heat Shrink (Branch/Conn/Clip/etc)</v>
          </cell>
          <cell r="E78">
            <v>15</v>
          </cell>
          <cell r="F78" t="str">
            <v>operations</v>
          </cell>
          <cell r="G78" t="e">
            <v>#N/A</v>
          </cell>
          <cell r="H78" t="e">
            <v>#N/A</v>
          </cell>
          <cell r="I78">
            <v>3000</v>
          </cell>
        </row>
        <row r="79">
          <cell r="B79" t="str">
            <v>Assemble Small Part</v>
          </cell>
          <cell r="C79" t="str">
            <v>Assembly Equipment</v>
          </cell>
          <cell r="D79" t="str">
            <v>Standard_Harness - Assemble Small Part</v>
          </cell>
          <cell r="E79">
            <v>8</v>
          </cell>
          <cell r="F79" t="str">
            <v>parts</v>
          </cell>
          <cell r="G79" t="e">
            <v>#N/A</v>
          </cell>
          <cell r="H79" t="e">
            <v>#N/A</v>
          </cell>
          <cell r="I79">
            <v>0</v>
          </cell>
        </row>
        <row r="80">
          <cell r="B80" t="str">
            <v>Insert terminal Plug</v>
          </cell>
          <cell r="C80" t="str">
            <v>Assembly Equipment</v>
          </cell>
          <cell r="D80" t="str">
            <v>Standard_Harness - Insert terminal Plug</v>
          </cell>
          <cell r="E80">
            <v>4</v>
          </cell>
          <cell r="F80" t="str">
            <v>plugs</v>
          </cell>
          <cell r="G80" t="e">
            <v>#N/A</v>
          </cell>
          <cell r="H80" t="e">
            <v>#N/A</v>
          </cell>
          <cell r="I80">
            <v>0</v>
          </cell>
        </row>
        <row r="81">
          <cell r="B81" t="str">
            <v>Assemble Clips to Connectors</v>
          </cell>
          <cell r="C81" t="str">
            <v>Assembly Equipment</v>
          </cell>
          <cell r="D81" t="str">
            <v>Standard_Harness - Assemble Clips to Connectors</v>
          </cell>
          <cell r="E81">
            <v>1</v>
          </cell>
          <cell r="F81" t="str">
            <v>clips</v>
          </cell>
          <cell r="G81" t="e">
            <v>#N/A</v>
          </cell>
          <cell r="H81" t="e">
            <v>#N/A</v>
          </cell>
          <cell r="I81">
            <v>0</v>
          </cell>
        </row>
        <row r="82">
          <cell r="B82" t="str">
            <v>Assemble Clips to Conduit</v>
          </cell>
          <cell r="C82" t="str">
            <v>Assembly Equipment</v>
          </cell>
          <cell r="D82" t="str">
            <v>Standard_Harness - Assemble Clips to Conduit</v>
          </cell>
          <cell r="E82">
            <v>4</v>
          </cell>
          <cell r="F82" t="str">
            <v>clips</v>
          </cell>
          <cell r="G82" t="e">
            <v>#N/A</v>
          </cell>
          <cell r="H82" t="e">
            <v>#N/A</v>
          </cell>
          <cell r="I82">
            <v>0</v>
          </cell>
        </row>
        <row r="83">
          <cell r="B83" t="str">
            <v>Apply Connector Seal</v>
          </cell>
          <cell r="C83" t="str">
            <v>Assembly Equipment</v>
          </cell>
          <cell r="D83" t="str">
            <v>Standard_Harness - Apply Connector Seal</v>
          </cell>
          <cell r="E83">
            <v>6</v>
          </cell>
          <cell r="F83" t="str">
            <v>seals</v>
          </cell>
          <cell r="G83" t="e">
            <v>#N/A</v>
          </cell>
          <cell r="H83" t="e">
            <v>#N/A</v>
          </cell>
          <cell r="I83">
            <v>0</v>
          </cell>
        </row>
        <row r="84">
          <cell r="B84" t="str">
            <v>Assemble Pull-Tie Clip</v>
          </cell>
          <cell r="C84" t="str">
            <v>Assembly Equipment</v>
          </cell>
          <cell r="D84" t="str">
            <v>Standard_Harness - Assemble Pull-Tie Clip</v>
          </cell>
          <cell r="E84">
            <v>3</v>
          </cell>
          <cell r="F84" t="str">
            <v>ties</v>
          </cell>
          <cell r="G84" t="e">
            <v>#N/A</v>
          </cell>
          <cell r="H84" t="e">
            <v>#N/A</v>
          </cell>
          <cell r="I84">
            <v>0</v>
          </cell>
        </row>
        <row r="85">
          <cell r="B85" t="str">
            <v>Assemble Fuse</v>
          </cell>
          <cell r="C85" t="str">
            <v>Assembly Equipment</v>
          </cell>
          <cell r="D85" t="str">
            <v>Standard_Harness - Assemble Fuse</v>
          </cell>
          <cell r="E85">
            <v>4</v>
          </cell>
          <cell r="F85" t="str">
            <v>fuses</v>
          </cell>
          <cell r="G85" t="e">
            <v>#N/A</v>
          </cell>
          <cell r="H85" t="e">
            <v>#N/A</v>
          </cell>
          <cell r="I85">
            <v>0</v>
          </cell>
        </row>
        <row r="86">
          <cell r="B86" t="str">
            <v>Assemble Grommet</v>
          </cell>
          <cell r="C86" t="str">
            <v>Assembly Equipment</v>
          </cell>
          <cell r="D86" t="str">
            <v>Standard_Harness - Assemble Grommet</v>
          </cell>
          <cell r="E86">
            <v>6</v>
          </cell>
          <cell r="F86" t="str">
            <v>grommets</v>
          </cell>
          <cell r="G86" t="e">
            <v>#N/A</v>
          </cell>
          <cell r="H86" t="e">
            <v>#N/A</v>
          </cell>
          <cell r="I86">
            <v>0</v>
          </cell>
        </row>
        <row r="87">
          <cell r="B87" t="str">
            <v>Assemble Gasket to Connector</v>
          </cell>
          <cell r="C87" t="str">
            <v>Assembly Equipment</v>
          </cell>
          <cell r="D87" t="str">
            <v>Standard_Harness - Assemble Gasket to Connector</v>
          </cell>
          <cell r="E87">
            <v>5</v>
          </cell>
          <cell r="F87" t="str">
            <v>gaskets</v>
          </cell>
          <cell r="G87" t="e">
            <v>#N/A</v>
          </cell>
          <cell r="H87" t="e">
            <v>#N/A</v>
          </cell>
          <cell r="I87">
            <v>0</v>
          </cell>
        </row>
        <row r="88">
          <cell r="B88" t="str">
            <v>Insert terminal to connector (w/splice)</v>
          </cell>
          <cell r="C88" t="str">
            <v>Assembly Equipment</v>
          </cell>
          <cell r="D88" t="str">
            <v>Standard_Harness - Insert terminal to connector (w/splice)</v>
          </cell>
          <cell r="E88">
            <v>5.4</v>
          </cell>
          <cell r="F88" t="str">
            <v>terminals</v>
          </cell>
          <cell r="G88" t="e">
            <v>#N/A</v>
          </cell>
          <cell r="H88" t="e">
            <v>#N/A</v>
          </cell>
          <cell r="I88">
            <v>0</v>
          </cell>
        </row>
        <row r="89">
          <cell r="B89" t="str">
            <v>Automatic Coax Cable Assembly</v>
          </cell>
          <cell r="C89" t="str">
            <v>Assembly Equipment</v>
          </cell>
          <cell r="D89" t="str">
            <v>Standard_Harness - Automatic Coax Cable Assembly</v>
          </cell>
          <cell r="E89">
            <v>6.1</v>
          </cell>
          <cell r="F89" t="str">
            <v>connectors</v>
          </cell>
          <cell r="G89" t="e">
            <v>#N/A</v>
          </cell>
          <cell r="H89" t="e">
            <v>#N/A</v>
          </cell>
          <cell r="I89">
            <v>0</v>
          </cell>
        </row>
        <row r="90">
          <cell r="B90" t="str">
            <v>Tin Cable End</v>
          </cell>
          <cell r="C90" t="str">
            <v>Assembly Equipment</v>
          </cell>
          <cell r="D90" t="str">
            <v>Standard_Harness - Tin Cable End</v>
          </cell>
          <cell r="E90">
            <v>8</v>
          </cell>
          <cell r="F90" t="str">
            <v>operations</v>
          </cell>
          <cell r="G90" t="e">
            <v>#N/A</v>
          </cell>
          <cell r="H90" t="e">
            <v>#N/A</v>
          </cell>
          <cell r="I90">
            <v>100</v>
          </cell>
        </row>
        <row r="91">
          <cell r="B91" t="str">
            <v>Crimp Oxygen Sensor Heater</v>
          </cell>
          <cell r="C91" t="str">
            <v>Assembly Equipment</v>
          </cell>
          <cell r="D91" t="str">
            <v>Standard_Harness - Crimp Oxygen Sensor Heater</v>
          </cell>
          <cell r="E91">
            <v>12</v>
          </cell>
          <cell r="F91" t="str">
            <v>heater</v>
          </cell>
          <cell r="G91" t="e">
            <v>#N/A</v>
          </cell>
          <cell r="H91" t="e">
            <v>#N/A</v>
          </cell>
        </row>
        <row r="92">
          <cell r="B92" t="str">
            <v>Assembly Oxygen Sensor Goretex</v>
          </cell>
          <cell r="C92" t="str">
            <v>Assembly Equipment</v>
          </cell>
          <cell r="D92" t="str">
            <v>Standard_Harness - Assembly Oxygen Sensor Goretex</v>
          </cell>
          <cell r="E92">
            <v>8</v>
          </cell>
          <cell r="F92" t="str">
            <v>pieces</v>
          </cell>
          <cell r="G92" t="e">
            <v>#N/A</v>
          </cell>
          <cell r="H92" t="e">
            <v>#N/A</v>
          </cell>
        </row>
        <row r="93">
          <cell r="B93" t="str">
            <v>Manual Wire Termination</v>
          </cell>
          <cell r="C93" t="str">
            <v>Assembly Equipment</v>
          </cell>
          <cell r="D93" t="str">
            <v>Standard_Harness - Manual Wire Termination</v>
          </cell>
          <cell r="E93">
            <v>7</v>
          </cell>
          <cell r="F93" t="str">
            <v>terminals</v>
          </cell>
          <cell r="G93" t="e">
            <v>#N/A</v>
          </cell>
          <cell r="H93" t="e">
            <v>#N/A</v>
          </cell>
          <cell r="I93">
            <v>11000</v>
          </cell>
        </row>
        <row r="94">
          <cell r="B94" t="str">
            <v>Coil for Hanking</v>
          </cell>
          <cell r="C94" t="str">
            <v>Assembly Equipment</v>
          </cell>
          <cell r="D94" t="str">
            <v>Standard_Harness - Coil for Hanking</v>
          </cell>
          <cell r="E94">
            <v>3</v>
          </cell>
          <cell r="F94" t="str">
            <v>harness</v>
          </cell>
          <cell r="G94" t="e">
            <v>#N/A</v>
          </cell>
          <cell r="H94" t="e">
            <v>#N/A</v>
          </cell>
          <cell r="I94">
            <v>0</v>
          </cell>
        </row>
        <row r="95">
          <cell r="B95" t="str">
            <v>Bend Battery Terminals (90 deg, 45 deg, etc)</v>
          </cell>
          <cell r="C95" t="str">
            <v>Assembly Equipment</v>
          </cell>
          <cell r="D95" t="str">
            <v>Standard_Harness - Bend Battery Terminals (90 deg, 45 deg, etc)</v>
          </cell>
          <cell r="E95">
            <v>10</v>
          </cell>
          <cell r="F95" t="str">
            <v>terminals</v>
          </cell>
          <cell r="G95" t="e">
            <v>#N/A</v>
          </cell>
          <cell r="H95" t="e">
            <v>#N/A</v>
          </cell>
          <cell r="I95">
            <v>10000</v>
          </cell>
        </row>
        <row r="96">
          <cell r="B96" t="str">
            <v>Twist Wires</v>
          </cell>
          <cell r="C96" t="str">
            <v>Assembly Equipment</v>
          </cell>
          <cell r="D96" t="str">
            <v>Standard_Harness - Twist Wires</v>
          </cell>
          <cell r="E96">
            <v>0.5</v>
          </cell>
          <cell r="F96" t="str">
            <v>twists</v>
          </cell>
          <cell r="G96" t="e">
            <v>#N/A</v>
          </cell>
          <cell r="H96" t="e">
            <v>#N/A</v>
          </cell>
          <cell r="I96">
            <v>0</v>
          </cell>
        </row>
        <row r="97">
          <cell r="B97" t="str">
            <v>Splice (Clip)</v>
          </cell>
          <cell r="C97" t="str">
            <v>Assembly Equipment</v>
          </cell>
          <cell r="D97" t="str">
            <v>Standard_Harness - Splice (Clip)</v>
          </cell>
          <cell r="E97">
            <v>12</v>
          </cell>
          <cell r="F97" t="str">
            <v>splices</v>
          </cell>
          <cell r="G97" t="e">
            <v>#N/A</v>
          </cell>
          <cell r="H97" t="e">
            <v>#N/A</v>
          </cell>
          <cell r="I97">
            <v>0</v>
          </cell>
        </row>
        <row r="98">
          <cell r="B98" t="str">
            <v>Overmolding (~8 cm^3 of material)</v>
          </cell>
          <cell r="C98" t="str">
            <v>Assembly Equipment</v>
          </cell>
          <cell r="D98" t="str">
            <v>Standard_Harness - Overmolding (~8 cm^3 of material)</v>
          </cell>
          <cell r="E98">
            <v>20</v>
          </cell>
          <cell r="F98" t="str">
            <v>operations</v>
          </cell>
          <cell r="G98" t="e">
            <v>#N/A</v>
          </cell>
          <cell r="H98" t="e">
            <v>#N/A</v>
          </cell>
          <cell r="I98">
            <v>100000</v>
          </cell>
        </row>
        <row r="100">
          <cell r="C100" t="str">
            <v>USER_DEFINED</v>
          </cell>
          <cell r="D100" t="str">
            <v xml:space="preserve">Standard_Harness - </v>
          </cell>
          <cell r="F100" t="str">
            <v>operations</v>
          </cell>
          <cell r="G100" t="e">
            <v>#N/A</v>
          </cell>
        </row>
        <row r="101">
          <cell r="C101" t="str">
            <v>USER_DEFINED</v>
          </cell>
          <cell r="D101" t="str">
            <v xml:space="preserve">Standard_Harness - </v>
          </cell>
          <cell r="F101" t="str">
            <v>operations</v>
          </cell>
          <cell r="G101" t="e">
            <v>#N/A</v>
          </cell>
        </row>
        <row r="102">
          <cell r="C102" t="str">
            <v>USER_DEFINED</v>
          </cell>
          <cell r="D102" t="str">
            <v xml:space="preserve">Standard_Harness - </v>
          </cell>
          <cell r="F102" t="str">
            <v>operations</v>
          </cell>
          <cell r="G102" t="e">
            <v>#N/A</v>
          </cell>
        </row>
        <row r="103">
          <cell r="C103" t="str">
            <v>USER_DEFINED</v>
          </cell>
          <cell r="D103" t="str">
            <v xml:space="preserve">Standard_Harness - </v>
          </cell>
          <cell r="F103" t="str">
            <v>operations</v>
          </cell>
          <cell r="G103" t="e">
            <v>#N/A</v>
          </cell>
        </row>
        <row r="104">
          <cell r="C104" t="str">
            <v>USER_DEFINED</v>
          </cell>
          <cell r="D104" t="str">
            <v xml:space="preserve">Standard_Harness - </v>
          </cell>
          <cell r="F104" t="str">
            <v>operations</v>
          </cell>
          <cell r="G104" t="e">
            <v>#N/A</v>
          </cell>
        </row>
        <row r="105">
          <cell r="C105" t="str">
            <v>USER_DEFINED</v>
          </cell>
          <cell r="D105" t="str">
            <v xml:space="preserve">Standard_Harness - </v>
          </cell>
          <cell r="F105" t="str">
            <v>operations</v>
          </cell>
          <cell r="G105" t="e">
            <v>#N/A</v>
          </cell>
        </row>
        <row r="106">
          <cell r="C106" t="str">
            <v>USER_DEFINED</v>
          </cell>
          <cell r="D106" t="str">
            <v xml:space="preserve">Standard_Harness - </v>
          </cell>
          <cell r="F106" t="str">
            <v>operations</v>
          </cell>
          <cell r="G106" t="e">
            <v>#N/A</v>
          </cell>
        </row>
        <row r="107">
          <cell r="C107" t="str">
            <v>USER_DEFINED</v>
          </cell>
          <cell r="D107" t="str">
            <v xml:space="preserve">Standard_Harness - </v>
          </cell>
          <cell r="F107" t="str">
            <v>operations</v>
          </cell>
          <cell r="G107" t="e">
            <v>#N/A</v>
          </cell>
        </row>
        <row r="108">
          <cell r="C108" t="str">
            <v>USER_DEFINED</v>
          </cell>
          <cell r="D108" t="str">
            <v xml:space="preserve">Standard_Harness - </v>
          </cell>
          <cell r="F108" t="str">
            <v>operations</v>
          </cell>
          <cell r="G108" t="e">
            <v>#N/A</v>
          </cell>
        </row>
        <row r="109">
          <cell r="C109" t="str">
            <v>USER_DEFINED</v>
          </cell>
          <cell r="D109" t="str">
            <v xml:space="preserve">Standard_Harness - </v>
          </cell>
          <cell r="F109" t="str">
            <v>operations</v>
          </cell>
          <cell r="G109" t="e">
            <v>#N/A</v>
          </cell>
        </row>
        <row r="110">
          <cell r="C110" t="str">
            <v>USER_DEFINED</v>
          </cell>
          <cell r="D110" t="str">
            <v xml:space="preserve">Standard_Harness - </v>
          </cell>
          <cell r="F110" t="str">
            <v>operations</v>
          </cell>
          <cell r="G110" t="e">
            <v>#N/A</v>
          </cell>
        </row>
        <row r="111">
          <cell r="C111" t="str">
            <v>USER_DEFINED</v>
          </cell>
          <cell r="D111" t="str">
            <v xml:space="preserve">Standard_Harness - </v>
          </cell>
          <cell r="F111" t="str">
            <v>operations</v>
          </cell>
          <cell r="G111" t="e">
            <v>#N/A</v>
          </cell>
        </row>
        <row r="112">
          <cell r="C112" t="str">
            <v>USER_DEFINED</v>
          </cell>
          <cell r="D112" t="str">
            <v xml:space="preserve">Standard_Harness - </v>
          </cell>
          <cell r="F112" t="str">
            <v>operations</v>
          </cell>
          <cell r="G112" t="e">
            <v>#N/A</v>
          </cell>
        </row>
        <row r="113">
          <cell r="C113" t="str">
            <v>USER_DEFINED</v>
          </cell>
          <cell r="D113" t="str">
            <v xml:space="preserve">Standard_Harness - </v>
          </cell>
          <cell r="F113" t="str">
            <v>operations</v>
          </cell>
          <cell r="G113" t="e">
            <v>#N/A</v>
          </cell>
        </row>
        <row r="114">
          <cell r="C114" t="str">
            <v>USER_DEFINED</v>
          </cell>
          <cell r="D114" t="str">
            <v xml:space="preserve">Standard_Harness - </v>
          </cell>
          <cell r="F114" t="str">
            <v>operations</v>
          </cell>
          <cell r="G114" t="e">
            <v>#N/A</v>
          </cell>
        </row>
        <row r="115">
          <cell r="C115" t="str">
            <v>USER_DEFINED</v>
          </cell>
          <cell r="D115" t="str">
            <v xml:space="preserve">Standard_Harness - </v>
          </cell>
          <cell r="F115" t="str">
            <v>operations</v>
          </cell>
          <cell r="G115" t="e">
            <v>#N/A</v>
          </cell>
        </row>
        <row r="116">
          <cell r="C116" t="str">
            <v>USER_DEFINED</v>
          </cell>
          <cell r="D116" t="str">
            <v xml:space="preserve">Standard_Harness - </v>
          </cell>
          <cell r="F116" t="str">
            <v>operations</v>
          </cell>
          <cell r="G116" t="e">
            <v>#N/A</v>
          </cell>
        </row>
        <row r="117">
          <cell r="C117" t="str">
            <v>USER_DEFINED</v>
          </cell>
          <cell r="D117" t="str">
            <v xml:space="preserve">Standard_Harness - </v>
          </cell>
          <cell r="F117" t="str">
            <v>operations</v>
          </cell>
          <cell r="G117" t="e">
            <v>#N/A</v>
          </cell>
        </row>
      </sheetData>
      <sheetData sheetId="10" refreshError="1">
        <row r="6">
          <cell r="B6" t="str">
            <v>Lead Prep</v>
          </cell>
          <cell r="C6" t="str">
            <v>Various</v>
          </cell>
          <cell r="D6" t="str">
            <v>Lead Prep Machine</v>
          </cell>
          <cell r="E6">
            <v>1</v>
          </cell>
          <cell r="F6">
            <v>180000</v>
          </cell>
          <cell r="G6">
            <v>18000</v>
          </cell>
          <cell r="H6">
            <v>14</v>
          </cell>
          <cell r="I6">
            <v>240</v>
          </cell>
          <cell r="J6">
            <v>2</v>
          </cell>
          <cell r="K6">
            <v>8</v>
          </cell>
          <cell r="L6">
            <v>0.85</v>
          </cell>
          <cell r="M6">
            <v>3.5451680672268906</v>
          </cell>
          <cell r="N6">
            <v>4.6875</v>
          </cell>
          <cell r="O6">
            <v>1.875</v>
          </cell>
          <cell r="P6">
            <v>7</v>
          </cell>
          <cell r="Q6">
            <v>8.5999999999999993E-2</v>
          </cell>
          <cell r="V6">
            <v>0.60199999999999998</v>
          </cell>
          <cell r="W6">
            <v>0.17725840336134455</v>
          </cell>
          <cell r="AA6">
            <v>10.886926470588236</v>
          </cell>
          <cell r="AB6" t="str">
            <v>Crimping Die</v>
          </cell>
          <cell r="AC6">
            <v>2000</v>
          </cell>
        </row>
        <row r="7">
          <cell r="B7" t="str">
            <v>Assembly Equipment</v>
          </cell>
          <cell r="C7" t="str">
            <v>Various</v>
          </cell>
          <cell r="D7" t="str">
            <v>Assembly Equipment</v>
          </cell>
          <cell r="E7">
            <v>30</v>
          </cell>
          <cell r="F7">
            <v>108000</v>
          </cell>
          <cell r="G7">
            <v>10800</v>
          </cell>
          <cell r="H7">
            <v>14</v>
          </cell>
          <cell r="I7">
            <v>240</v>
          </cell>
          <cell r="J7">
            <v>2</v>
          </cell>
          <cell r="K7">
            <v>8</v>
          </cell>
          <cell r="L7">
            <v>0.95</v>
          </cell>
          <cell r="M7">
            <v>1.9031954887218046</v>
          </cell>
          <cell r="N7">
            <v>2.8125</v>
          </cell>
          <cell r="O7">
            <v>1.125</v>
          </cell>
          <cell r="P7">
            <v>2.5</v>
          </cell>
          <cell r="Q7">
            <v>8.5999999999999993E-2</v>
          </cell>
          <cell r="V7">
            <v>0.21499999999999997</v>
          </cell>
          <cell r="W7">
            <v>9.5159774436090236E-2</v>
          </cell>
          <cell r="X7">
            <v>800</v>
          </cell>
          <cell r="Y7">
            <v>50</v>
          </cell>
          <cell r="Z7">
            <v>10.964912280701755</v>
          </cell>
          <cell r="AA7">
            <v>6.1508552631578945</v>
          </cell>
          <cell r="AB7" t="str">
            <v>Fixtures</v>
          </cell>
          <cell r="AC7">
            <v>500</v>
          </cell>
        </row>
        <row r="8">
          <cell r="B8" t="str">
            <v>Automatic Spiral Tape Machine</v>
          </cell>
          <cell r="C8" t="str">
            <v>Various</v>
          </cell>
          <cell r="D8" t="str">
            <v>Ondaliner</v>
          </cell>
          <cell r="E8">
            <v>1</v>
          </cell>
          <cell r="F8">
            <v>20000</v>
          </cell>
          <cell r="G8">
            <v>2000</v>
          </cell>
          <cell r="H8">
            <v>14</v>
          </cell>
          <cell r="I8">
            <v>240</v>
          </cell>
          <cell r="J8">
            <v>2</v>
          </cell>
          <cell r="K8">
            <v>8</v>
          </cell>
          <cell r="L8">
            <v>0.85</v>
          </cell>
          <cell r="M8">
            <v>0.39390756302521007</v>
          </cell>
          <cell r="N8">
            <v>0.52083333333333337</v>
          </cell>
          <cell r="O8">
            <v>0.20833333333333334</v>
          </cell>
          <cell r="P8">
            <v>1.84</v>
          </cell>
          <cell r="Q8">
            <v>8.5999999999999993E-2</v>
          </cell>
          <cell r="V8">
            <v>0.15823999999999999</v>
          </cell>
          <cell r="W8">
            <v>1.9695378151260504E-2</v>
          </cell>
          <cell r="AA8">
            <v>1.3010096078431372</v>
          </cell>
        </row>
        <row r="9">
          <cell r="B9" t="str">
            <v>80 Ton Injection or Insert Mold Machine</v>
          </cell>
          <cell r="C9" t="str">
            <v>Various</v>
          </cell>
          <cell r="D9" t="str">
            <v>80 ton</v>
          </cell>
          <cell r="E9">
            <v>1</v>
          </cell>
          <cell r="F9">
            <v>190000</v>
          </cell>
          <cell r="G9">
            <v>19000</v>
          </cell>
          <cell r="H9">
            <v>10</v>
          </cell>
          <cell r="I9">
            <v>240</v>
          </cell>
          <cell r="J9">
            <v>2</v>
          </cell>
          <cell r="K9">
            <v>8</v>
          </cell>
          <cell r="L9">
            <v>0.85</v>
          </cell>
          <cell r="M9">
            <v>5.2389705882352944</v>
          </cell>
          <cell r="N9">
            <v>4.947916666666667</v>
          </cell>
          <cell r="O9">
            <v>1.9791666666666667</v>
          </cell>
          <cell r="P9">
            <v>32</v>
          </cell>
          <cell r="Q9">
            <v>8.5999999999999993E-2</v>
          </cell>
          <cell r="T9">
            <v>15</v>
          </cell>
          <cell r="V9">
            <v>2.7519999999999998</v>
          </cell>
          <cell r="W9">
            <v>0.26194852941176472</v>
          </cell>
          <cell r="AA9">
            <v>30.180002450980393</v>
          </cell>
        </row>
        <row r="10">
          <cell r="B10" t="str">
            <v>120 Ton Injection or Insert Mold Machine</v>
          </cell>
          <cell r="C10" t="str">
            <v>Various</v>
          </cell>
          <cell r="D10" t="str">
            <v>120 ton</v>
          </cell>
          <cell r="E10">
            <v>1</v>
          </cell>
          <cell r="F10">
            <v>246000</v>
          </cell>
          <cell r="G10">
            <v>24600</v>
          </cell>
          <cell r="H10">
            <v>10</v>
          </cell>
          <cell r="I10">
            <v>240</v>
          </cell>
          <cell r="J10">
            <v>2</v>
          </cell>
          <cell r="K10">
            <v>8</v>
          </cell>
          <cell r="L10">
            <v>0.85</v>
          </cell>
          <cell r="M10">
            <v>6.7830882352941178</v>
          </cell>
          <cell r="N10">
            <v>6.40625</v>
          </cell>
          <cell r="O10">
            <v>2.5625</v>
          </cell>
          <cell r="P10">
            <v>38</v>
          </cell>
          <cell r="Q10">
            <v>8.5999999999999993E-2</v>
          </cell>
          <cell r="T10">
            <v>15</v>
          </cell>
          <cell r="V10">
            <v>3.2679999999999998</v>
          </cell>
          <cell r="W10">
            <v>0.3391544117647059</v>
          </cell>
          <cell r="AA10">
            <v>34.358992647058827</v>
          </cell>
        </row>
        <row r="11">
          <cell r="B11" t="str">
            <v>Automatic Cut, Strip, and Connection</v>
          </cell>
          <cell r="C11" t="str">
            <v>Various</v>
          </cell>
          <cell r="D11" t="str">
            <v>Header Press</v>
          </cell>
          <cell r="E11">
            <v>1</v>
          </cell>
          <cell r="F11">
            <v>150000</v>
          </cell>
          <cell r="G11">
            <v>15000</v>
          </cell>
          <cell r="H11">
            <v>14</v>
          </cell>
          <cell r="I11">
            <v>240</v>
          </cell>
          <cell r="J11">
            <v>2</v>
          </cell>
          <cell r="K11">
            <v>8</v>
          </cell>
          <cell r="L11">
            <v>0.85</v>
          </cell>
          <cell r="M11">
            <v>2.9543067226890756</v>
          </cell>
          <cell r="N11">
            <v>3.90625</v>
          </cell>
          <cell r="O11">
            <v>1.5625</v>
          </cell>
          <cell r="P11">
            <v>15</v>
          </cell>
          <cell r="Q11">
            <v>8.5999999999999993E-2</v>
          </cell>
          <cell r="V11">
            <v>1.2899999999999998</v>
          </cell>
          <cell r="W11">
            <v>0.14771533613445378</v>
          </cell>
          <cell r="AA11">
            <v>9.8607720588235281</v>
          </cell>
          <cell r="AB11" t="str">
            <v>Crimping Die</v>
          </cell>
        </row>
        <row r="18">
          <cell r="C18">
            <v>11750400</v>
          </cell>
        </row>
      </sheetData>
      <sheetData sheetId="11" refreshError="1">
        <row r="9">
          <cell r="C9">
            <v>12010340</v>
          </cell>
          <cell r="D9" t="str">
            <v>PACKARD CLIP</v>
          </cell>
          <cell r="E9" t="str">
            <v>ACCESS</v>
          </cell>
          <cell r="F9" t="str">
            <v>PSG</v>
          </cell>
          <cell r="H9">
            <v>4.6100000000000002E-2</v>
          </cell>
          <cell r="X9" t="str">
            <v>WIRE</v>
          </cell>
          <cell r="AA9" t="str">
            <v>COAX_CABLE</v>
          </cell>
          <cell r="AD9" t="str">
            <v>WIRE</v>
          </cell>
          <cell r="AH9" t="str">
            <v>WIRE</v>
          </cell>
          <cell r="AK9" t="str">
            <v>JUMPER_WIRE</v>
          </cell>
        </row>
        <row r="10">
          <cell r="C10">
            <v>12010340</v>
          </cell>
          <cell r="D10" t="str">
            <v>PACKARD CLIP</v>
          </cell>
          <cell r="E10" t="str">
            <v>QC ONICS</v>
          </cell>
          <cell r="F10" t="str">
            <v>PACKARD</v>
          </cell>
          <cell r="H10">
            <v>4.4499999999999998E-2</v>
          </cell>
          <cell r="X10" t="str">
            <v>TAPE</v>
          </cell>
          <cell r="AA10" t="str">
            <v>TAPE</v>
          </cell>
          <cell r="AD10" t="str">
            <v>TAPE</v>
          </cell>
          <cell r="AH10" t="str">
            <v>TAPE</v>
          </cell>
          <cell r="AK10" t="str">
            <v>CONNECTOR</v>
          </cell>
        </row>
        <row r="11">
          <cell r="C11">
            <v>12010340</v>
          </cell>
          <cell r="D11" t="str">
            <v>PACKARD CLIP</v>
          </cell>
          <cell r="E11" t="str">
            <v>STERLING</v>
          </cell>
          <cell r="F11" t="str">
            <v>PSG</v>
          </cell>
          <cell r="H11">
            <v>6.6799999999999998E-2</v>
          </cell>
          <cell r="X11" t="str">
            <v>CONDUIT</v>
          </cell>
          <cell r="AA11" t="str">
            <v>CONDUIT</v>
          </cell>
          <cell r="AD11" t="str">
            <v>CONDUIT</v>
          </cell>
          <cell r="AH11" t="str">
            <v>CONDUIT</v>
          </cell>
          <cell r="AK11" t="str">
            <v>TAPE</v>
          </cell>
        </row>
        <row r="12">
          <cell r="C12">
            <v>12089070</v>
          </cell>
          <cell r="D12" t="str">
            <v>ROSEBUD CLIP</v>
          </cell>
          <cell r="E12" t="str">
            <v>STERLING</v>
          </cell>
          <cell r="F12" t="str">
            <v>PSG</v>
          </cell>
          <cell r="H12">
            <v>4.1000000000000002E-2</v>
          </cell>
          <cell r="X12" t="str">
            <v>HEAT_SHRINK</v>
          </cell>
          <cell r="AA12" t="str">
            <v>HEAT_SHRINK</v>
          </cell>
          <cell r="AD12" t="str">
            <v>CERAMIC_CARD</v>
          </cell>
          <cell r="AH12" t="str">
            <v>HEAT_SHRINK</v>
          </cell>
          <cell r="AK12" t="str">
            <v>USER_DEFINED</v>
          </cell>
        </row>
        <row r="13">
          <cell r="C13">
            <v>12110185</v>
          </cell>
          <cell r="D13" t="str">
            <v>PACKARD CLIP</v>
          </cell>
          <cell r="E13" t="str">
            <v>QC ONICS</v>
          </cell>
          <cell r="F13" t="str">
            <v>PACKARD</v>
          </cell>
          <cell r="H13">
            <v>9.3899999999999997E-2</v>
          </cell>
          <cell r="X13" t="str">
            <v>CONNECTOR</v>
          </cell>
          <cell r="AA13" t="str">
            <v>CLIP</v>
          </cell>
          <cell r="AD13" t="str">
            <v>OUTER_SHIELD</v>
          </cell>
          <cell r="AH13" t="str">
            <v>TERMINAL</v>
          </cell>
        </row>
        <row r="14">
          <cell r="C14">
            <v>12110185</v>
          </cell>
          <cell r="D14" t="str">
            <v>PACKARD CLIP</v>
          </cell>
          <cell r="E14" t="str">
            <v>ACCESS</v>
          </cell>
          <cell r="F14" t="str">
            <v>PSG</v>
          </cell>
          <cell r="H14">
            <v>0.1409</v>
          </cell>
          <cell r="X14" t="str">
            <v>TERMINAL</v>
          </cell>
          <cell r="AA14" t="str">
            <v>LABEL</v>
          </cell>
          <cell r="AD14" t="str">
            <v>CONNECTOR</v>
          </cell>
          <cell r="AH14" t="str">
            <v>CLIP</v>
          </cell>
        </row>
        <row r="15">
          <cell r="C15">
            <v>12110185</v>
          </cell>
          <cell r="D15" t="str">
            <v>PACKARD CLIP</v>
          </cell>
          <cell r="E15" t="str">
            <v>STERLING</v>
          </cell>
          <cell r="F15" t="str">
            <v>PSG</v>
          </cell>
          <cell r="H15">
            <v>0.1502</v>
          </cell>
          <cell r="X15" t="str">
            <v>LOCK</v>
          </cell>
          <cell r="AA15" t="str">
            <v>COAX_CONNECTOR</v>
          </cell>
          <cell r="AD15" t="str">
            <v>TERMINAL</v>
          </cell>
          <cell r="AH15" t="str">
            <v>LABEL</v>
          </cell>
        </row>
        <row r="16">
          <cell r="C16" t="str">
            <v>02965782</v>
          </cell>
          <cell r="D16" t="str">
            <v>PACKARD CLIP</v>
          </cell>
          <cell r="E16" t="str">
            <v>PRECISION</v>
          </cell>
          <cell r="F16" t="str">
            <v>PSG</v>
          </cell>
          <cell r="H16">
            <v>3.6499999999999998E-2</v>
          </cell>
          <cell r="X16" t="str">
            <v>CLIP</v>
          </cell>
          <cell r="AA16" t="str">
            <v>PACKAGING</v>
          </cell>
          <cell r="AD16" t="str">
            <v>LOCK</v>
          </cell>
          <cell r="AH16" t="str">
            <v>PACKAGING</v>
          </cell>
        </row>
        <row r="17">
          <cell r="C17" t="str">
            <v>02965782</v>
          </cell>
          <cell r="D17" t="str">
            <v>PACKARD CLIP</v>
          </cell>
          <cell r="E17" t="str">
            <v>STERLING</v>
          </cell>
          <cell r="F17" t="str">
            <v>PSG</v>
          </cell>
          <cell r="H17">
            <v>6.5699999999999995E-2</v>
          </cell>
          <cell r="X17" t="str">
            <v>LABEL</v>
          </cell>
          <cell r="AA17" t="str">
            <v>SOLDER</v>
          </cell>
          <cell r="AD17" t="str">
            <v>CAVITY_PLUG</v>
          </cell>
          <cell r="AH17" t="str">
            <v>SOLDER</v>
          </cell>
        </row>
        <row r="18">
          <cell r="C18">
            <v>12110197</v>
          </cell>
          <cell r="D18" t="str">
            <v>PACKARD CLIP</v>
          </cell>
          <cell r="E18" t="str">
            <v>QC ONICS</v>
          </cell>
          <cell r="F18" t="str">
            <v>PACKARD</v>
          </cell>
          <cell r="H18">
            <v>5.8000000000000003E-2</v>
          </cell>
          <cell r="X18" t="str">
            <v>SEAL</v>
          </cell>
          <cell r="AA18" t="str">
            <v>USER_DEFINED</v>
          </cell>
          <cell r="AD18" t="str">
            <v>OUTER_SHIELD_SEAL</v>
          </cell>
          <cell r="AH18" t="str">
            <v>USER_DEFINED</v>
          </cell>
        </row>
        <row r="19">
          <cell r="C19">
            <v>12110197</v>
          </cell>
          <cell r="D19" t="str">
            <v>PACKARD CLIP</v>
          </cell>
          <cell r="E19" t="str">
            <v>TENATRONICS</v>
          </cell>
          <cell r="F19" t="str">
            <v>PSG</v>
          </cell>
          <cell r="H19">
            <v>6.6900000000000001E-2</v>
          </cell>
          <cell r="X19" t="str">
            <v>CAVITY PLUG</v>
          </cell>
          <cell r="AD19" t="str">
            <v>SEAL</v>
          </cell>
        </row>
        <row r="20">
          <cell r="C20">
            <v>12110197</v>
          </cell>
          <cell r="D20" t="str">
            <v>PACKARD CLIP</v>
          </cell>
          <cell r="E20" t="str">
            <v>ACCESS</v>
          </cell>
          <cell r="F20" t="str">
            <v>PSG</v>
          </cell>
          <cell r="H20">
            <v>8.6999999999999994E-2</v>
          </cell>
          <cell r="X20" t="str">
            <v>PACKAGING</v>
          </cell>
          <cell r="AD20" t="str">
            <v>LABEL</v>
          </cell>
        </row>
        <row r="21">
          <cell r="C21">
            <v>12110197</v>
          </cell>
          <cell r="D21" t="str">
            <v>PACKARD CLIP</v>
          </cell>
          <cell r="E21" t="str">
            <v>STERLING</v>
          </cell>
          <cell r="F21" t="str">
            <v>PSG</v>
          </cell>
          <cell r="H21">
            <v>8.7499999999999994E-2</v>
          </cell>
          <cell r="X21" t="str">
            <v>WIRE_TIE</v>
          </cell>
          <cell r="AD21" t="str">
            <v>TRIM_RESISTOR</v>
          </cell>
        </row>
        <row r="22">
          <cell r="C22">
            <v>12110266</v>
          </cell>
          <cell r="D22" t="str">
            <v>PACKARD CLIP</v>
          </cell>
          <cell r="E22" t="str">
            <v>STERLING</v>
          </cell>
          <cell r="F22" t="str">
            <v>PSG</v>
          </cell>
          <cell r="H22">
            <v>0.1033</v>
          </cell>
          <cell r="X22" t="str">
            <v>GROMMET</v>
          </cell>
          <cell r="AD22" t="str">
            <v>PACKAGING</v>
          </cell>
        </row>
        <row r="23">
          <cell r="C23">
            <v>12020395</v>
          </cell>
          <cell r="D23" t="str">
            <v>PACKARD CLIP</v>
          </cell>
          <cell r="E23" t="str">
            <v>STERLING</v>
          </cell>
          <cell r="F23" t="str">
            <v>PSG</v>
          </cell>
          <cell r="H23">
            <v>9.8500000000000004E-2</v>
          </cell>
          <cell r="X23" t="str">
            <v>SOLDER</v>
          </cell>
          <cell r="AD23" t="str">
            <v>HEATER</v>
          </cell>
        </row>
        <row r="24">
          <cell r="C24">
            <v>12020395</v>
          </cell>
          <cell r="D24" t="str">
            <v>PACKARD CLIP</v>
          </cell>
          <cell r="E24" t="str">
            <v>TENATRONICS</v>
          </cell>
          <cell r="F24" t="str">
            <v>PSG</v>
          </cell>
          <cell r="H24">
            <v>0.23347000000000001</v>
          </cell>
          <cell r="X24" t="str">
            <v>USER_DEFINED</v>
          </cell>
          <cell r="AD24" t="str">
            <v>GORETEX</v>
          </cell>
        </row>
        <row r="25">
          <cell r="C25">
            <v>12124253</v>
          </cell>
          <cell r="D25" t="str">
            <v>PACKARD CLIP</v>
          </cell>
          <cell r="E25" t="str">
            <v>QC ONICS</v>
          </cell>
          <cell r="F25" t="str">
            <v>PACKARD</v>
          </cell>
          <cell r="H25">
            <v>4.7E-2</v>
          </cell>
          <cell r="AD25" t="str">
            <v>USER_DEFINED</v>
          </cell>
        </row>
        <row r="26">
          <cell r="C26">
            <v>12129787</v>
          </cell>
          <cell r="D26" t="str">
            <v>PACKARD CLIP</v>
          </cell>
          <cell r="E26" t="str">
            <v>QC ONICS</v>
          </cell>
          <cell r="F26" t="str">
            <v>PACKARD</v>
          </cell>
          <cell r="H26">
            <v>5.8999999999999997E-2</v>
          </cell>
        </row>
        <row r="27">
          <cell r="C27">
            <v>12129787</v>
          </cell>
          <cell r="D27" t="str">
            <v>PACKARD CLIP</v>
          </cell>
          <cell r="E27" t="str">
            <v>ACCESS</v>
          </cell>
          <cell r="F27" t="str">
            <v>PSG</v>
          </cell>
          <cell r="H27">
            <v>7.9899999999999999E-2</v>
          </cell>
        </row>
        <row r="28">
          <cell r="C28">
            <v>12129787</v>
          </cell>
          <cell r="D28" t="str">
            <v>PACKARD CLIP</v>
          </cell>
          <cell r="E28" t="str">
            <v>STERLING</v>
          </cell>
          <cell r="F28" t="str">
            <v>PSG</v>
          </cell>
          <cell r="H28">
            <v>9.4399999999999998E-2</v>
          </cell>
        </row>
        <row r="29">
          <cell r="C29">
            <v>12160857</v>
          </cell>
          <cell r="D29" t="str">
            <v>PACKARD CLIP</v>
          </cell>
          <cell r="E29" t="str">
            <v>STERLING</v>
          </cell>
          <cell r="F29" t="str">
            <v>PSG</v>
          </cell>
          <cell r="H29">
            <v>3.3000000000000002E-2</v>
          </cell>
        </row>
        <row r="30">
          <cell r="C30">
            <v>15358639</v>
          </cell>
          <cell r="D30" t="str">
            <v>FIRTREE CONN CLIP ESTIMATE</v>
          </cell>
          <cell r="H30">
            <v>0.03</v>
          </cell>
        </row>
        <row r="31">
          <cell r="C31">
            <v>12160858</v>
          </cell>
          <cell r="D31" t="str">
            <v>CLIP CVLTD CONDUIT, FIR TREE</v>
          </cell>
          <cell r="E31" t="str">
            <v>PACKARD</v>
          </cell>
          <cell r="F31" t="str">
            <v>PACKARD</v>
          </cell>
          <cell r="H31">
            <v>4.9099999999999998E-2</v>
          </cell>
        </row>
        <row r="32">
          <cell r="C32" t="str">
            <v>08905563</v>
          </cell>
          <cell r="D32" t="str">
            <v>PACKARD ROSEBUD CLIP</v>
          </cell>
          <cell r="E32" t="str">
            <v>ACCESS</v>
          </cell>
          <cell r="F32" t="str">
            <v>PACKARD</v>
          </cell>
          <cell r="H32">
            <v>0.03</v>
          </cell>
        </row>
        <row r="33">
          <cell r="C33">
            <v>15318012</v>
          </cell>
          <cell r="D33" t="str">
            <v>CLIP</v>
          </cell>
          <cell r="E33" t="str">
            <v>ACCESS</v>
          </cell>
          <cell r="H33">
            <v>5.5800000000000002E-2</v>
          </cell>
        </row>
        <row r="34">
          <cell r="C34">
            <v>15326258</v>
          </cell>
          <cell r="D34" t="str">
            <v>N/A CLIP    -    0.124</v>
          </cell>
          <cell r="E34" t="str">
            <v>ALPHABET</v>
          </cell>
          <cell r="F34" t="str">
            <v>N/A</v>
          </cell>
          <cell r="H34">
            <v>0.124</v>
          </cell>
        </row>
        <row r="35">
          <cell r="C35">
            <v>15422831</v>
          </cell>
          <cell r="D35" t="str">
            <v>PACKARD CLIP</v>
          </cell>
          <cell r="E35" t="str">
            <v>QC ONICS</v>
          </cell>
          <cell r="F35" t="str">
            <v>PSG</v>
          </cell>
          <cell r="H35">
            <v>2.1999999999999999E-2</v>
          </cell>
        </row>
        <row r="36">
          <cell r="C36">
            <v>15422831</v>
          </cell>
          <cell r="D36" t="str">
            <v>PACKARD CLIP</v>
          </cell>
          <cell r="E36" t="str">
            <v>ACCESS</v>
          </cell>
          <cell r="F36" t="str">
            <v>PSG</v>
          </cell>
          <cell r="H36">
            <v>3.2899999999999999E-2</v>
          </cell>
        </row>
        <row r="37">
          <cell r="C37">
            <v>12047835</v>
          </cell>
          <cell r="D37" t="str">
            <v>CLIP CONN FIR TREE ESTIMATE</v>
          </cell>
          <cell r="H37">
            <v>2.5000000000000001E-2</v>
          </cell>
        </row>
        <row r="38">
          <cell r="C38">
            <v>15416586</v>
          </cell>
          <cell r="D38" t="str">
            <v>FIRTREE CLIP, CONV COND ESTIMATE</v>
          </cell>
          <cell r="H38">
            <v>0.04</v>
          </cell>
        </row>
        <row r="39">
          <cell r="C39">
            <v>15355555</v>
          </cell>
          <cell r="D39" t="str">
            <v>CLIP, METAL ESTIMATE</v>
          </cell>
          <cell r="H39">
            <v>5.1999999999999998E-2</v>
          </cell>
        </row>
        <row r="40">
          <cell r="C40">
            <v>15326155</v>
          </cell>
          <cell r="D40" t="str">
            <v>CONN CLIP, METAL ESTIMATE</v>
          </cell>
          <cell r="H40">
            <v>0.05</v>
          </cell>
        </row>
        <row r="41">
          <cell r="C41">
            <v>12077926</v>
          </cell>
          <cell r="D41" t="str">
            <v>CONN CLIP ESTIMATE</v>
          </cell>
          <cell r="H41">
            <v>0.02</v>
          </cell>
        </row>
        <row r="42">
          <cell r="C42">
            <v>15473047</v>
          </cell>
          <cell r="D42" t="str">
            <v>CLIP</v>
          </cell>
          <cell r="E42" t="str">
            <v>TENATRONICS</v>
          </cell>
          <cell r="H42">
            <v>0.21510000000000001</v>
          </cell>
        </row>
        <row r="43">
          <cell r="C43">
            <v>15465905</v>
          </cell>
          <cell r="D43" t="str">
            <v>CLIP</v>
          </cell>
          <cell r="E43" t="str">
            <v>TENATRONICS</v>
          </cell>
          <cell r="H43">
            <v>0.27260000000000001</v>
          </cell>
        </row>
        <row r="44">
          <cell r="C44">
            <v>15465905</v>
          </cell>
          <cell r="D44" t="str">
            <v>CLIP</v>
          </cell>
          <cell r="E44" t="str">
            <v>ACCESS</v>
          </cell>
          <cell r="H44">
            <v>0.32400000000000001</v>
          </cell>
        </row>
        <row r="45">
          <cell r="C45" t="str">
            <v>02989916</v>
          </cell>
          <cell r="D45" t="str">
            <v>CONNECTOR CLIP</v>
          </cell>
          <cell r="E45" t="str">
            <v>PACKARD</v>
          </cell>
          <cell r="F45" t="str">
            <v>PACKARD</v>
          </cell>
          <cell r="H45">
            <v>2.7400000000000001E-2</v>
          </cell>
        </row>
        <row r="46">
          <cell r="C46">
            <v>15326155</v>
          </cell>
          <cell r="D46" t="str">
            <v>METAL CLIP FOR 7W ESTIMATE</v>
          </cell>
          <cell r="E46" t="str">
            <v>PACKARD</v>
          </cell>
          <cell r="H46">
            <v>0.04</v>
          </cell>
        </row>
        <row r="47">
          <cell r="C47" t="str">
            <v>7157-6509-60</v>
          </cell>
          <cell r="D47" t="str">
            <v>YAZAKI TPA</v>
          </cell>
          <cell r="E47" t="str">
            <v>ACCESS</v>
          </cell>
          <cell r="F47" t="str">
            <v>YAZAKI</v>
          </cell>
          <cell r="H47">
            <v>9.2399999999999996E-2</v>
          </cell>
        </row>
        <row r="48">
          <cell r="C48">
            <v>15439361</v>
          </cell>
          <cell r="D48" t="str">
            <v>TAPE ON CLIP ESTIMATE</v>
          </cell>
          <cell r="H48">
            <v>2.5000000000000001E-2</v>
          </cell>
        </row>
        <row r="49">
          <cell r="C49">
            <v>8911496</v>
          </cell>
          <cell r="D49" t="str">
            <v>TAPE ON ROSEBUD CLIP ESTIMATE</v>
          </cell>
          <cell r="G49" t="str">
            <v>m</v>
          </cell>
          <cell r="H49">
            <v>2.5000000000000001E-2</v>
          </cell>
        </row>
        <row r="50">
          <cell r="C50">
            <v>25357312</v>
          </cell>
          <cell r="D50" t="str">
            <v>Rosebud Clip</v>
          </cell>
          <cell r="E50" t="str">
            <v>LEONI</v>
          </cell>
          <cell r="H50">
            <v>2.9700000000000001E-2</v>
          </cell>
        </row>
        <row r="51">
          <cell r="C51">
            <v>12160306</v>
          </cell>
          <cell r="D51" t="str">
            <v>PACKARD TAPE ON CLIP ESTIMATE</v>
          </cell>
          <cell r="H51">
            <v>0.15</v>
          </cell>
        </row>
        <row r="52">
          <cell r="C52">
            <v>12160858</v>
          </cell>
          <cell r="D52" t="str">
            <v>CLIP CVLTD CONDUIT, FIR TREE</v>
          </cell>
          <cell r="E52" t="str">
            <v>PACKARD</v>
          </cell>
          <cell r="F52" t="str">
            <v>PACKARD</v>
          </cell>
          <cell r="H52">
            <v>4.9099999999999998E-2</v>
          </cell>
        </row>
        <row r="53">
          <cell r="C53" t="str">
            <v>15-002780-AA</v>
          </cell>
          <cell r="D53" t="str">
            <v>ITW - U CLIP</v>
          </cell>
          <cell r="E53" t="str">
            <v>STERLING</v>
          </cell>
          <cell r="F53" t="str">
            <v>ITW</v>
          </cell>
          <cell r="H53">
            <v>3.7900000000000003E-2</v>
          </cell>
        </row>
        <row r="54">
          <cell r="C54" t="str">
            <v>7047-1517-30</v>
          </cell>
          <cell r="D54" t="str">
            <v>YAZAKI OVAL CLIP</v>
          </cell>
          <cell r="E54" t="str">
            <v>STERLING</v>
          </cell>
          <cell r="F54" t="str">
            <v>YAZAKI</v>
          </cell>
          <cell r="H54">
            <v>2.2960000000000001E-2</v>
          </cell>
        </row>
        <row r="55">
          <cell r="C55" t="str">
            <v>RG 174LL</v>
          </cell>
          <cell r="D55" t="str">
            <v>RG 174LL   -   RG 174 LOW LOSS COAX CABLE</v>
          </cell>
          <cell r="E55" t="str">
            <v>TENATRONICS</v>
          </cell>
          <cell r="G55" t="str">
            <v>m</v>
          </cell>
          <cell r="H55">
            <v>0.17699999999999999</v>
          </cell>
        </row>
        <row r="56">
          <cell r="C56" t="str">
            <v>RG 174</v>
          </cell>
          <cell r="D56" t="str">
            <v>RG 174   -   RG 174 COAX CABLE</v>
          </cell>
          <cell r="E56" t="str">
            <v>ACCESS</v>
          </cell>
          <cell r="G56" t="str">
            <v>m</v>
          </cell>
          <cell r="H56">
            <v>0.22304000000000002</v>
          </cell>
        </row>
        <row r="57">
          <cell r="C57" t="str">
            <v>RG 174 - QC Onics</v>
          </cell>
          <cell r="D57" t="str">
            <v>RG 174 - QC Onics   -   RG 174 COAX CABLE</v>
          </cell>
          <cell r="E57" t="str">
            <v>QC ONICS</v>
          </cell>
          <cell r="F57" t="str">
            <v>N/A</v>
          </cell>
          <cell r="G57" t="str">
            <v>m</v>
          </cell>
          <cell r="H57">
            <v>9.74E-2</v>
          </cell>
        </row>
        <row r="58">
          <cell r="C58" t="str">
            <v>RG 58/U</v>
          </cell>
          <cell r="D58" t="str">
            <v>RG 58/U - RG 58/U COAX - STERLING</v>
          </cell>
          <cell r="E58" t="str">
            <v>STERLING</v>
          </cell>
          <cell r="G58" t="str">
            <v>m</v>
          </cell>
          <cell r="H58">
            <v>0.1769</v>
          </cell>
        </row>
        <row r="59">
          <cell r="C59" t="str">
            <v>RG 58</v>
          </cell>
          <cell r="D59" t="str">
            <v>RG 58 COAX CABLE</v>
          </cell>
          <cell r="E59" t="str">
            <v>TENATRONICS</v>
          </cell>
          <cell r="G59" t="str">
            <v>m</v>
          </cell>
          <cell r="H59">
            <v>0.20497000000000001</v>
          </cell>
        </row>
        <row r="60">
          <cell r="C60" t="str">
            <v>RG 58</v>
          </cell>
          <cell r="D60" t="str">
            <v>RG 58 COAX CABLE</v>
          </cell>
          <cell r="E60" t="str">
            <v>ACCESS</v>
          </cell>
          <cell r="G60" t="str">
            <v>m</v>
          </cell>
          <cell r="H60">
            <v>0.248</v>
          </cell>
        </row>
        <row r="61">
          <cell r="C61" t="str">
            <v>RG 58LL</v>
          </cell>
          <cell r="D61" t="str">
            <v>RG 58LL   -   RG58 Low-Loss PE Jacket (Commscope)</v>
          </cell>
          <cell r="E61" t="str">
            <v>TENATRONICS</v>
          </cell>
          <cell r="G61" t="str">
            <v>m</v>
          </cell>
          <cell r="H61">
            <v>0.19463</v>
          </cell>
        </row>
        <row r="62">
          <cell r="C62" t="str">
            <v>RG 58LL - Access</v>
          </cell>
          <cell r="D62" t="str">
            <v>RG 58LL - Access   -   RG 58 LOW LOSS CABLE</v>
          </cell>
          <cell r="E62" t="str">
            <v>ACCESS</v>
          </cell>
          <cell r="G62" t="str">
            <v>m</v>
          </cell>
          <cell r="H62">
            <v>0.32800000000000001</v>
          </cell>
        </row>
        <row r="63">
          <cell r="C63" t="str">
            <v>RG 59/U</v>
          </cell>
          <cell r="D63" t="str">
            <v>RG 59/U   -   RG 59/U COAX CABLE</v>
          </cell>
          <cell r="E63" t="str">
            <v>QC ONICS</v>
          </cell>
          <cell r="G63" t="str">
            <v>m</v>
          </cell>
          <cell r="H63">
            <v>0.20663999999999999</v>
          </cell>
        </row>
        <row r="64">
          <cell r="C64" t="str">
            <v>RG 59/U - Access</v>
          </cell>
          <cell r="D64" t="str">
            <v>RG 59/U - Access   -   RG 59/U COAX CABLE</v>
          </cell>
          <cell r="E64" t="str">
            <v>ACCESS</v>
          </cell>
          <cell r="G64" t="str">
            <v>m</v>
          </cell>
          <cell r="H64">
            <v>0.32472000000000001</v>
          </cell>
        </row>
        <row r="65">
          <cell r="C65" t="str">
            <v>RG 62</v>
          </cell>
          <cell r="D65" t="str">
            <v>RG 62 COAX CABLE</v>
          </cell>
          <cell r="E65" t="str">
            <v>TENATRONICS</v>
          </cell>
          <cell r="G65" t="str">
            <v>m</v>
          </cell>
          <cell r="H65">
            <v>0.2157</v>
          </cell>
        </row>
        <row r="66">
          <cell r="C66" t="str">
            <v>RG 62/U</v>
          </cell>
          <cell r="D66" t="str">
            <v>RG 62/U - Access - RG 62/U COAX CABLE</v>
          </cell>
          <cell r="E66" t="str">
            <v>ACCESS</v>
          </cell>
          <cell r="G66" t="str">
            <v>m</v>
          </cell>
          <cell r="H66">
            <v>0.15908</v>
          </cell>
        </row>
        <row r="67">
          <cell r="C67" t="str">
            <v>RG 316</v>
          </cell>
          <cell r="D67" t="str">
            <v>RG 316   -   RG316 COAX CABLE</v>
          </cell>
          <cell r="E67" t="str">
            <v>TENATRONICS</v>
          </cell>
          <cell r="G67" t="str">
            <v>m</v>
          </cell>
          <cell r="H67">
            <v>0.20999000000000001</v>
          </cell>
        </row>
        <row r="68">
          <cell r="C68" t="str">
            <v>1 - RG 316 105C</v>
          </cell>
          <cell r="D68" t="str">
            <v>RG 316  -  HIGH-TEMP COAX CABLE 105C, 0.290 OHMS/M</v>
          </cell>
          <cell r="E68" t="str">
            <v>STERLING</v>
          </cell>
          <cell r="G68" t="str">
            <v>m</v>
          </cell>
          <cell r="H68">
            <v>0.246</v>
          </cell>
        </row>
        <row r="69">
          <cell r="C69" t="str">
            <v>2 - RG 316 105C</v>
          </cell>
          <cell r="D69" t="str">
            <v>RG 316  -  HIGH-TEMP COAX CABLE 105C, 0.2759 OHMS/M</v>
          </cell>
          <cell r="E69" t="str">
            <v>QC ONICS, ACCESS, STERLING</v>
          </cell>
          <cell r="G69" t="str">
            <v>m</v>
          </cell>
          <cell r="H69">
            <v>0.27879999999999999</v>
          </cell>
        </row>
        <row r="70">
          <cell r="C70" t="str">
            <v>RG 316/U 85C</v>
          </cell>
          <cell r="D70" t="str">
            <v>RG 316/U COAX  -  85C, 50 OHM</v>
          </cell>
          <cell r="E70" t="str">
            <v>STERLING</v>
          </cell>
          <cell r="G70" t="str">
            <v>m</v>
          </cell>
          <cell r="H70">
            <v>0.1804</v>
          </cell>
        </row>
        <row r="71">
          <cell r="C71" t="str">
            <v>FA1-NXSJ-C01-0</v>
          </cell>
          <cell r="D71" t="str">
            <v>HUBER SUHNER FEMALE FAKRA</v>
          </cell>
          <cell r="E71" t="str">
            <v>STERLING</v>
          </cell>
          <cell r="F71" t="str">
            <v>HUBER SHUNER</v>
          </cell>
          <cell r="H71">
            <v>0.61</v>
          </cell>
        </row>
        <row r="72">
          <cell r="C72" t="str">
            <v>2FA1-NXSJ-C01-0</v>
          </cell>
          <cell r="D72" t="str">
            <v>2FA1-NXSJ-C01-0      -     AMPHENOL FAKRA K CONNECTOR</v>
          </cell>
          <cell r="E72" t="str">
            <v>QC Onics</v>
          </cell>
          <cell r="F72" t="str">
            <v>AMPHENOL</v>
          </cell>
          <cell r="H72">
            <v>0.59</v>
          </cell>
        </row>
        <row r="73">
          <cell r="C73" t="str">
            <v>FA1-NXSJ-C01-0</v>
          </cell>
          <cell r="D73" t="str">
            <v>FA1-NXSJ-C01-0    -    AMPHENOL FAKRA K CONNECTOR</v>
          </cell>
          <cell r="E73" t="str">
            <v>ACCESS</v>
          </cell>
          <cell r="F73" t="str">
            <v>AMPHENOL</v>
          </cell>
          <cell r="H73">
            <v>0.69</v>
          </cell>
        </row>
        <row r="74">
          <cell r="C74" t="str">
            <v>FA1-NXSJ-C04-0</v>
          </cell>
          <cell r="D74" t="str">
            <v>FA1-NXSJ-C04-0    -    AMPHENOL FAKRA CONNECTOR</v>
          </cell>
          <cell r="E74" t="str">
            <v>QC ONICS</v>
          </cell>
          <cell r="F74" t="str">
            <v>AMPHENOL</v>
          </cell>
          <cell r="H74">
            <v>0.61</v>
          </cell>
        </row>
        <row r="75">
          <cell r="C75" t="str">
            <v>FAKRA - K</v>
          </cell>
          <cell r="D75" t="str">
            <v>HUBER SHUNER - FAKRA-K, CURRY</v>
          </cell>
          <cell r="E75" t="str">
            <v>STERLING</v>
          </cell>
          <cell r="F75" t="str">
            <v>HUBER SHUNER</v>
          </cell>
          <cell r="H75">
            <v>0.61</v>
          </cell>
        </row>
        <row r="76">
          <cell r="C76" t="str">
            <v>638832-X</v>
          </cell>
          <cell r="D76" t="str">
            <v>AMP FAKRA CONNECTOR</v>
          </cell>
          <cell r="E76" t="str">
            <v>ACCESS</v>
          </cell>
          <cell r="F76" t="str">
            <v>AMP</v>
          </cell>
          <cell r="H76">
            <v>0.62419999999999998</v>
          </cell>
        </row>
        <row r="77">
          <cell r="C77" t="str">
            <v>R197114A25</v>
          </cell>
          <cell r="D77" t="str">
            <v>RADIALL FAKRA CONNECTOR</v>
          </cell>
          <cell r="E77" t="str">
            <v>ACCESS</v>
          </cell>
          <cell r="F77" t="str">
            <v>RADIALL</v>
          </cell>
          <cell r="H77">
            <v>0.47499999999999998</v>
          </cell>
        </row>
        <row r="78">
          <cell r="C78" t="str">
            <v>R197134A24</v>
          </cell>
          <cell r="D78" t="str">
            <v>RADIALL FAKRA CONNECTOR</v>
          </cell>
          <cell r="E78" t="str">
            <v>ACCESS</v>
          </cell>
          <cell r="F78" t="str">
            <v>RADIALL</v>
          </cell>
          <cell r="H78">
            <v>0.33079999999999998</v>
          </cell>
        </row>
        <row r="79">
          <cell r="C79">
            <v>13515644</v>
          </cell>
          <cell r="D79" t="str">
            <v>3W COAX CONNECTOR - FA3-041J-C</v>
          </cell>
          <cell r="E79" t="str">
            <v>ACCESS</v>
          </cell>
          <cell r="F79" t="str">
            <v>AMPHENOL</v>
          </cell>
          <cell r="H79">
            <v>1.52</v>
          </cell>
        </row>
        <row r="80">
          <cell r="C80" t="str">
            <v>13510878 - 3W</v>
          </cell>
          <cell r="D80" t="str">
            <v>75-550   -   TENATRONICS 3W COAX CONNECTOR AND PLUG/TPA</v>
          </cell>
          <cell r="E80" t="str">
            <v>TENATRONICS</v>
          </cell>
          <cell r="F80" t="str">
            <v>TENATRONICS</v>
          </cell>
          <cell r="H80">
            <v>3.8462700000000001</v>
          </cell>
        </row>
        <row r="81">
          <cell r="C81" t="str">
            <v>13510501 - 1W</v>
          </cell>
          <cell r="D81" t="str">
            <v>75-549   -   TENATRONICS 1W COAX CONNECTOR AND PLUG/TPA</v>
          </cell>
          <cell r="E81" t="str">
            <v>TENATRONICS</v>
          </cell>
          <cell r="F81" t="str">
            <v>TENATRONICS</v>
          </cell>
          <cell r="H81">
            <v>1.4035</v>
          </cell>
        </row>
        <row r="82">
          <cell r="C82" t="str">
            <v>13510501 - 2W</v>
          </cell>
          <cell r="D82" t="str">
            <v>75-549   -   TENATRONICS 2W COAX CONNECTOR AND PLUG/TPA</v>
          </cell>
          <cell r="E82" t="str">
            <v>TENATRONICS</v>
          </cell>
          <cell r="F82" t="str">
            <v>TENATRONICS</v>
          </cell>
          <cell r="H82">
            <v>1.4283110000000001</v>
          </cell>
        </row>
        <row r="83">
          <cell r="C83" t="str">
            <v>13510501 - 3W</v>
          </cell>
          <cell r="D83" t="str">
            <v>75-549   -   TENATRONICS 3W COAX CONNECTOR AND PLUG/TPA</v>
          </cell>
          <cell r="E83" t="str">
            <v>TENATRONICS</v>
          </cell>
          <cell r="F83" t="str">
            <v>TENATRONICS</v>
          </cell>
          <cell r="H83">
            <v>3.4666999999999999</v>
          </cell>
        </row>
        <row r="84">
          <cell r="C84">
            <v>13520998</v>
          </cell>
          <cell r="D84" t="str">
            <v>3W COAX CONNECTOR - FA3-041P-C</v>
          </cell>
          <cell r="E84" t="str">
            <v>ACCESS</v>
          </cell>
          <cell r="F84" t="str">
            <v>AMPHENOL</v>
          </cell>
          <cell r="H84">
            <v>1.52</v>
          </cell>
        </row>
        <row r="85">
          <cell r="C85">
            <v>15422602</v>
          </cell>
          <cell r="D85" t="str">
            <v>3W COAX CONNECTOR - FA1-NCSJ-C01-0</v>
          </cell>
          <cell r="E85" t="str">
            <v>ACCESS</v>
          </cell>
          <cell r="F85" t="str">
            <v>AMPHENOL</v>
          </cell>
          <cell r="H85">
            <v>0.69</v>
          </cell>
        </row>
        <row r="86">
          <cell r="C86">
            <v>15422603</v>
          </cell>
          <cell r="D86" t="str">
            <v>3W COAX CONNECTOR - FA1-NDSJ-C04-0</v>
          </cell>
          <cell r="E86" t="str">
            <v>ACCESS</v>
          </cell>
          <cell r="F86" t="str">
            <v>AMPHENOL</v>
          </cell>
          <cell r="H86">
            <v>0.68</v>
          </cell>
        </row>
        <row r="87">
          <cell r="C87">
            <v>15409797</v>
          </cell>
          <cell r="D87" t="str">
            <v>TENATRONICS CONNECTOR</v>
          </cell>
          <cell r="E87" t="str">
            <v>STERLING</v>
          </cell>
          <cell r="F87" t="str">
            <v>TENATRONICS</v>
          </cell>
          <cell r="H87">
            <v>0.08</v>
          </cell>
        </row>
        <row r="88">
          <cell r="C88">
            <v>15478097</v>
          </cell>
          <cell r="D88" t="str">
            <v>3W COAX CONNECTOR - FA1-NKSJ-C01-0</v>
          </cell>
          <cell r="E88" t="str">
            <v>ACCESS</v>
          </cell>
          <cell r="F88" t="str">
            <v>AMPHENOL</v>
          </cell>
          <cell r="H88">
            <v>0.69</v>
          </cell>
        </row>
        <row r="89">
          <cell r="C89">
            <v>15478098</v>
          </cell>
          <cell r="D89" t="str">
            <v>COAX CONNECTOR - FA3-141J-B</v>
          </cell>
          <cell r="E89" t="str">
            <v>ACCESS</v>
          </cell>
          <cell r="F89" t="str">
            <v>AMPHENOL</v>
          </cell>
          <cell r="H89">
            <v>1.99</v>
          </cell>
        </row>
        <row r="90">
          <cell r="C90" t="str">
            <v>1488335-3</v>
          </cell>
          <cell r="D90" t="str">
            <v>AMP DUAL FAKRA CONNECTOR</v>
          </cell>
          <cell r="E90" t="str">
            <v>ACCESS</v>
          </cell>
          <cell r="F90" t="str">
            <v>AMP</v>
          </cell>
          <cell r="H90">
            <v>1.2804</v>
          </cell>
        </row>
        <row r="91">
          <cell r="C91">
            <v>15478113</v>
          </cell>
          <cell r="D91" t="str">
            <v>COAX_CONNECTOR - FA3-141P-B</v>
          </cell>
          <cell r="E91" t="str">
            <v>ACCESS</v>
          </cell>
          <cell r="F91" t="str">
            <v>AMPHENOL</v>
          </cell>
          <cell r="H91">
            <v>1.85</v>
          </cell>
        </row>
        <row r="92">
          <cell r="C92">
            <v>15492283</v>
          </cell>
          <cell r="D92" t="str">
            <v>COAX CONNECTOR - FA1-NKSJ-C01-6</v>
          </cell>
          <cell r="E92" t="str">
            <v>ACCESS</v>
          </cell>
          <cell r="F92" t="str">
            <v>AMPHENOL</v>
          </cell>
          <cell r="H92">
            <v>0.74</v>
          </cell>
        </row>
        <row r="93">
          <cell r="C93" t="str">
            <v>6098-2724</v>
          </cell>
          <cell r="D93" t="str">
            <v>ALL CONNECTOR COMPONENTS - SUMITOMO</v>
          </cell>
          <cell r="E93" t="str">
            <v>STERLING</v>
          </cell>
          <cell r="F93" t="str">
            <v>SUMITOMO</v>
          </cell>
          <cell r="H93">
            <v>0.33</v>
          </cell>
        </row>
        <row r="94">
          <cell r="C94" t="str">
            <v>1326509-1</v>
          </cell>
          <cell r="D94" t="str">
            <v>TYCO COAX CONNECTOR</v>
          </cell>
          <cell r="E94" t="str">
            <v>ACCESS</v>
          </cell>
          <cell r="F94" t="str">
            <v>TYCO</v>
          </cell>
          <cell r="H94">
            <v>0.40200000000000002</v>
          </cell>
        </row>
        <row r="95">
          <cell r="C95" t="str">
            <v>DUAL FAKRA - STERLING</v>
          </cell>
          <cell r="D95" t="str">
            <v>DUAL FAKRA, FEMALE, BLUE - AMPHENOL</v>
          </cell>
          <cell r="E95" t="str">
            <v>STERLING</v>
          </cell>
          <cell r="F95" t="str">
            <v>AMPHENOL</v>
          </cell>
          <cell r="H95">
            <v>1.67</v>
          </cell>
        </row>
        <row r="96">
          <cell r="C96" t="str">
            <v>FA1-NXSJ-C10-0</v>
          </cell>
          <cell r="D96" t="str">
            <v>AMPHENOL FAKRA CONNECTOR</v>
          </cell>
          <cell r="E96" t="str">
            <v>QC Onics</v>
          </cell>
          <cell r="F96" t="str">
            <v>AMPHENOL</v>
          </cell>
          <cell r="H96">
            <v>0.69</v>
          </cell>
        </row>
        <row r="97">
          <cell r="C97" t="str">
            <v>FA1-NXSJ-C10-0</v>
          </cell>
          <cell r="D97" t="str">
            <v>AMPHENOL FAKRA CONNECTOR</v>
          </cell>
          <cell r="E97" t="str">
            <v>QC ONICS</v>
          </cell>
          <cell r="F97" t="str">
            <v>AMPHENOL</v>
          </cell>
          <cell r="H97">
            <v>0.72</v>
          </cell>
        </row>
        <row r="98">
          <cell r="C98" t="str">
            <v>FA1-NXSJ-C10-0</v>
          </cell>
          <cell r="D98" t="str">
            <v>AMPHENOL FAKRA CONNECTOR</v>
          </cell>
          <cell r="E98" t="str">
            <v>ACCESS</v>
          </cell>
          <cell r="F98" t="str">
            <v>AMPHENOL</v>
          </cell>
          <cell r="H98">
            <v>0.89</v>
          </cell>
        </row>
        <row r="99">
          <cell r="C99" t="str">
            <v>FA1-NXSJ-C01-0</v>
          </cell>
          <cell r="D99" t="str">
            <v>AMPHENOL FAKRA CONNECTOR</v>
          </cell>
          <cell r="E99" t="str">
            <v>TENATRONICS</v>
          </cell>
          <cell r="F99" t="str">
            <v>AMPHENOL</v>
          </cell>
          <cell r="H99">
            <v>0.71679999999999999</v>
          </cell>
        </row>
        <row r="100">
          <cell r="C100" t="str">
            <v>FA1-NXSJ-C01-0</v>
          </cell>
          <cell r="D100" t="str">
            <v>AMPHENOL FAKRA CONNECTOR</v>
          </cell>
          <cell r="E100" t="str">
            <v>STERLING</v>
          </cell>
          <cell r="F100" t="str">
            <v>AMPHENOL</v>
          </cell>
          <cell r="H100">
            <v>0.77</v>
          </cell>
        </row>
        <row r="101">
          <cell r="C101" t="str">
            <v>FA1-NXSJ-C01-0</v>
          </cell>
          <cell r="D101" t="str">
            <v>AMPHENOL FAKRA CONNECTOR</v>
          </cell>
          <cell r="E101" t="str">
            <v>QC ONICS</v>
          </cell>
          <cell r="F101" t="str">
            <v>AMPHENOL</v>
          </cell>
          <cell r="H101">
            <v>0.77</v>
          </cell>
        </row>
        <row r="102">
          <cell r="C102" t="str">
            <v>FA1-NXSJ-C01-6</v>
          </cell>
          <cell r="D102" t="str">
            <v>AMPHENOL FAKRA CONNECTOR</v>
          </cell>
          <cell r="E102" t="str">
            <v>ACCESS</v>
          </cell>
          <cell r="F102" t="str">
            <v>AMPHENOL</v>
          </cell>
          <cell r="H102">
            <v>0.74</v>
          </cell>
        </row>
        <row r="103">
          <cell r="C103" t="str">
            <v>FA1-NXSJ-C04-0</v>
          </cell>
          <cell r="D103" t="str">
            <v>AMPHENOL FAKRA CONNECTOR (EQUIV to FA1-NXSJ-C01-0)</v>
          </cell>
          <cell r="E103" t="str">
            <v>ACCESS</v>
          </cell>
          <cell r="F103" t="str">
            <v>AMPHENOL</v>
          </cell>
          <cell r="H103">
            <v>0.68</v>
          </cell>
        </row>
        <row r="104">
          <cell r="C104" t="str">
            <v>FA1-NXSJ-C04-0</v>
          </cell>
          <cell r="D104" t="str">
            <v>AMPHENOL FAKRA CONNECTOR (EQUIV to FA1-NXSJ-C01-0)</v>
          </cell>
          <cell r="E104" t="str">
            <v>TENATRONICS</v>
          </cell>
          <cell r="F104" t="str">
            <v>AMPHENOL</v>
          </cell>
          <cell r="H104">
            <v>1.4534499999999999</v>
          </cell>
        </row>
        <row r="105">
          <cell r="C105" t="str">
            <v>FA1-NXSP-C62T-1</v>
          </cell>
          <cell r="D105" t="str">
            <v>AMPHENOL FAKRA CONNECTOR</v>
          </cell>
          <cell r="E105" t="str">
            <v>ACCESS</v>
          </cell>
          <cell r="F105" t="str">
            <v>AMPHENOL</v>
          </cell>
          <cell r="H105">
            <v>0.36</v>
          </cell>
        </row>
        <row r="106">
          <cell r="C106" t="str">
            <v>FA1-NXSJ-C04-6</v>
          </cell>
          <cell r="D106" t="str">
            <v>AMPHENOL FAKRA CONNECTOR</v>
          </cell>
          <cell r="E106" t="str">
            <v>TENATRONICS</v>
          </cell>
          <cell r="F106" t="str">
            <v>AMPHENOL</v>
          </cell>
          <cell r="H106">
            <v>0.73450000000000004</v>
          </cell>
        </row>
        <row r="107">
          <cell r="C107" t="str">
            <v>FA1-NXSJ-C01-6</v>
          </cell>
          <cell r="D107" t="str">
            <v>AMPHENOL FAKRA CONNECTOR</v>
          </cell>
          <cell r="E107" t="str">
            <v>TENATRONICS</v>
          </cell>
          <cell r="F107" t="str">
            <v>AMPHENOL</v>
          </cell>
          <cell r="H107">
            <v>0.6966</v>
          </cell>
        </row>
        <row r="108">
          <cell r="C108" t="str">
            <v>FA1-NXSK-C01-0</v>
          </cell>
          <cell r="D108" t="str">
            <v>AMPHENOL FAKRA CONNECTOR</v>
          </cell>
          <cell r="E108" t="str">
            <v>ACCESS</v>
          </cell>
          <cell r="F108" t="str">
            <v>AMPHENOL</v>
          </cell>
          <cell r="H108">
            <v>0.69</v>
          </cell>
        </row>
        <row r="109">
          <cell r="C109" t="str">
            <v>FA2-NXSJ-C01-0</v>
          </cell>
          <cell r="D109" t="str">
            <v>AMPHENOL DUAL FAKRA CONNECTOR</v>
          </cell>
          <cell r="E109" t="str">
            <v>ACCESS</v>
          </cell>
          <cell r="F109" t="str">
            <v>AMPHENOL</v>
          </cell>
          <cell r="H109">
            <v>0.69</v>
          </cell>
        </row>
        <row r="110">
          <cell r="C110" t="str">
            <v>FA1-NXSP-C01-1</v>
          </cell>
          <cell r="D110" t="str">
            <v>HUBER SUHNER MALE FAKRA</v>
          </cell>
          <cell r="E110" t="str">
            <v>STERLING</v>
          </cell>
          <cell r="F110" t="str">
            <v>HUBER SHUNER</v>
          </cell>
          <cell r="H110">
            <v>0.61</v>
          </cell>
        </row>
        <row r="111">
          <cell r="C111" t="str">
            <v>FA1-NXSP-C01-0</v>
          </cell>
          <cell r="D111" t="str">
            <v>FA1-NXSP-C01-0   -   AMPHENOL FAKRA CONNECTOR, BLACK</v>
          </cell>
          <cell r="E111" t="str">
            <v>STERLING</v>
          </cell>
          <cell r="F111" t="str">
            <v>AMPHENOL</v>
          </cell>
          <cell r="H111">
            <v>0.68</v>
          </cell>
        </row>
        <row r="112">
          <cell r="C112" t="str">
            <v>FA1-NXSP-C04-0</v>
          </cell>
          <cell r="D112" t="str">
            <v>FA1-NXSP-C04-0    -      AMPHENOL FAKRA CONNECTOR</v>
          </cell>
          <cell r="E112" t="str">
            <v>ACCESS</v>
          </cell>
          <cell r="F112" t="str">
            <v>AMPHENOL</v>
          </cell>
          <cell r="H112">
            <v>0.73</v>
          </cell>
        </row>
        <row r="113">
          <cell r="C113" t="str">
            <v>FAKRA - C</v>
          </cell>
          <cell r="D113" t="str">
            <v>HUBER SHUNER - FAKRA-E, GREEN</v>
          </cell>
          <cell r="E113" t="str">
            <v>STERLING</v>
          </cell>
          <cell r="F113" t="str">
            <v>HUBER SHUNER</v>
          </cell>
          <cell r="H113">
            <v>0.61</v>
          </cell>
        </row>
        <row r="114">
          <cell r="C114" t="str">
            <v>FAKRA - E</v>
          </cell>
          <cell r="D114" t="str">
            <v>HUBER SHUNER - FAKRA-E, GREEN</v>
          </cell>
          <cell r="E114" t="str">
            <v>STERLING</v>
          </cell>
          <cell r="F114" t="str">
            <v>HUBER SHUNER</v>
          </cell>
          <cell r="H114">
            <v>0.61</v>
          </cell>
        </row>
        <row r="115">
          <cell r="C115">
            <v>16165021</v>
          </cell>
          <cell r="D115" t="str">
            <v>TENATRONICS COAX ANTENNA CONNECTOR</v>
          </cell>
          <cell r="E115" t="str">
            <v>TENATRONICS</v>
          </cell>
          <cell r="F115" t="str">
            <v>TENATRONICS</v>
          </cell>
          <cell r="H115">
            <v>7.0099999999999996E-2</v>
          </cell>
        </row>
        <row r="116">
          <cell r="C116" t="str">
            <v>R197-110-C00</v>
          </cell>
          <cell r="D116" t="str">
            <v>R197.110.C00   -      SMB CARLOCK RADIALL</v>
          </cell>
          <cell r="E116" t="str">
            <v>ACCESS</v>
          </cell>
          <cell r="F116" t="str">
            <v>RADIALL</v>
          </cell>
          <cell r="H116">
            <v>1.2</v>
          </cell>
        </row>
        <row r="117">
          <cell r="C117" t="str">
            <v>1274232-2</v>
          </cell>
          <cell r="D117" t="str">
            <v>TYCO TERMINAL FOR COAX CONNECTOR</v>
          </cell>
          <cell r="E117" t="str">
            <v>QC ONICS</v>
          </cell>
          <cell r="F117" t="str">
            <v>TYCO</v>
          </cell>
          <cell r="H117">
            <v>2.9000000000000001E-2</v>
          </cell>
        </row>
        <row r="118">
          <cell r="C118" t="str">
            <v>1274233-1</v>
          </cell>
          <cell r="D118" t="str">
            <v>TYCO SPACER FOR COAX CONNECTOR</v>
          </cell>
          <cell r="E118" t="str">
            <v>ACCESS</v>
          </cell>
          <cell r="F118" t="str">
            <v>TYCO</v>
          </cell>
          <cell r="H118">
            <v>6.2600000000000003E-2</v>
          </cell>
        </row>
        <row r="119">
          <cell r="C119" t="str">
            <v>1438731-4</v>
          </cell>
          <cell r="D119" t="str">
            <v>TYCO CONTACT FOR COAX CONNECTOR</v>
          </cell>
          <cell r="E119" t="str">
            <v>ACCESS</v>
          </cell>
          <cell r="F119" t="str">
            <v>TYCO</v>
          </cell>
          <cell r="H119">
            <v>0.03</v>
          </cell>
        </row>
        <row r="120">
          <cell r="C120" t="str">
            <v>1438810-1</v>
          </cell>
          <cell r="D120" t="str">
            <v>TYCO COAX CONNECTOR</v>
          </cell>
          <cell r="E120" t="str">
            <v>ACCESS</v>
          </cell>
          <cell r="F120" t="str">
            <v>TYCO</v>
          </cell>
          <cell r="H120">
            <v>0.47</v>
          </cell>
        </row>
        <row r="121">
          <cell r="C121" t="str">
            <v>1326646-1</v>
          </cell>
          <cell r="D121" t="str">
            <v>TYCO FERRULE FOR COAX CONNECTOR</v>
          </cell>
          <cell r="E121" t="str">
            <v>ACCESS</v>
          </cell>
          <cell r="F121" t="str">
            <v>TYCO</v>
          </cell>
          <cell r="H121">
            <v>7.1999999999999995E-2</v>
          </cell>
        </row>
        <row r="122">
          <cell r="C122" t="str">
            <v>1326510-1</v>
          </cell>
          <cell r="D122" t="str">
            <v>TYCO FERRULE FOR COAX CONNECTOR</v>
          </cell>
          <cell r="E122" t="str">
            <v>ACCESS</v>
          </cell>
          <cell r="F122" t="str">
            <v>TYCO</v>
          </cell>
          <cell r="H122">
            <v>7.0000000000000007E-2</v>
          </cell>
        </row>
        <row r="123">
          <cell r="C123" t="str">
            <v>GTA-1.6CF</v>
          </cell>
          <cell r="D123" t="str">
            <v>GTA-1.6CF    -   HIROSE COAX TERMINAL (CRIMP)</v>
          </cell>
          <cell r="E123" t="str">
            <v>TYCO</v>
          </cell>
          <cell r="F123" t="str">
            <v>HIROSE</v>
          </cell>
          <cell r="H123">
            <v>0.12</v>
          </cell>
        </row>
        <row r="124">
          <cell r="C124" t="str">
            <v>SNAP LOCK</v>
          </cell>
          <cell r="D124" t="str">
            <v>TYCO SNAP LOCK COAX CONNECTOR</v>
          </cell>
          <cell r="E124" t="str">
            <v>TYCO</v>
          </cell>
          <cell r="F124" t="str">
            <v>TYCO</v>
          </cell>
          <cell r="H124">
            <v>1.41</v>
          </cell>
        </row>
        <row r="125">
          <cell r="C125">
            <v>15478114</v>
          </cell>
          <cell r="D125" t="str">
            <v>FA3-041P-B       -         AMPHENOL FAKRA CONNECTOR</v>
          </cell>
          <cell r="E125" t="str">
            <v>ACCESS</v>
          </cell>
          <cell r="F125" t="str">
            <v>AMPHENOL</v>
          </cell>
          <cell r="H125">
            <v>1.66</v>
          </cell>
        </row>
        <row r="126">
          <cell r="C126">
            <v>15478112</v>
          </cell>
          <cell r="D126" t="str">
            <v>FA3-041J-B         -         AMPHENOL FAKRA CONNECTOR</v>
          </cell>
          <cell r="E126" t="str">
            <v>ACCESS</v>
          </cell>
          <cell r="F126" t="str">
            <v>AMPHENOL</v>
          </cell>
          <cell r="H126">
            <v>1.87</v>
          </cell>
        </row>
        <row r="127">
          <cell r="C127" t="str">
            <v>3810-2532</v>
          </cell>
          <cell r="D127" t="str">
            <v>SUMITOMO CONVOLUTED CONDUIT</v>
          </cell>
          <cell r="E127" t="str">
            <v>QC ONICS</v>
          </cell>
          <cell r="F127" t="str">
            <v>SUMITOMO</v>
          </cell>
          <cell r="G127" t="str">
            <v>m</v>
          </cell>
          <cell r="H127">
            <v>7.7407999999999991E-2</v>
          </cell>
        </row>
        <row r="128">
          <cell r="C128" t="str">
            <v>FOAM COVER</v>
          </cell>
          <cell r="D128" t="str">
            <v>5MM THICK FOAM COVER</v>
          </cell>
          <cell r="E128" t="str">
            <v>STERLING</v>
          </cell>
          <cell r="F128" t="str">
            <v>N/A</v>
          </cell>
          <cell r="G128" t="str">
            <v>m</v>
          </cell>
          <cell r="H128">
            <v>0.27129999999999999</v>
          </cell>
        </row>
        <row r="129">
          <cell r="C129" t="str">
            <v>MS010018</v>
          </cell>
          <cell r="D129" t="str">
            <v>sleeve  Ø 5 mm white</v>
          </cell>
          <cell r="E129" t="str">
            <v>UNUVAR</v>
          </cell>
          <cell r="F129" t="str">
            <v>RELATS</v>
          </cell>
          <cell r="G129" t="str">
            <v>m</v>
          </cell>
          <cell r="H129">
            <v>0.31512989690721649</v>
          </cell>
        </row>
        <row r="130">
          <cell r="C130" t="str">
            <v>MS010021</v>
          </cell>
          <cell r="D130" t="str">
            <v>SLEEVE      -     0.309</v>
          </cell>
          <cell r="E130" t="str">
            <v>TBD</v>
          </cell>
          <cell r="F130" t="str">
            <v>IPOTEC</v>
          </cell>
          <cell r="H130">
            <v>0.309</v>
          </cell>
        </row>
        <row r="131">
          <cell r="C131" t="str">
            <v>MS010021 - DPI</v>
          </cell>
          <cell r="D131" t="str">
            <v>Si coated woven fiber glass sleeve (Ipotec/BIW)</v>
          </cell>
          <cell r="E131" t="str">
            <v>DPI</v>
          </cell>
          <cell r="F131" t="str">
            <v>IPOTEC</v>
          </cell>
          <cell r="G131" t="str">
            <v>m</v>
          </cell>
          <cell r="H131">
            <v>0.31380000000000002</v>
          </cell>
        </row>
        <row r="132">
          <cell r="C132">
            <v>1999315</v>
          </cell>
          <cell r="D132" t="str">
            <v>KEY BUZZER ESTIMATE</v>
          </cell>
          <cell r="H132">
            <v>1.01</v>
          </cell>
        </row>
        <row r="133">
          <cell r="C133">
            <v>12045688</v>
          </cell>
          <cell r="D133" t="str">
            <v>PACKARD CONNECTOR</v>
          </cell>
          <cell r="E133" t="str">
            <v>ALPHABET</v>
          </cell>
          <cell r="F133" t="str">
            <v>PSG</v>
          </cell>
          <cell r="H133">
            <v>0.1898</v>
          </cell>
        </row>
        <row r="134">
          <cell r="C134">
            <v>12047662</v>
          </cell>
          <cell r="D134" t="str">
            <v>PACKARD CONNECTOR 12047662</v>
          </cell>
          <cell r="E134" t="str">
            <v>QC ONICS</v>
          </cell>
          <cell r="F134" t="str">
            <v>PACKARD</v>
          </cell>
          <cell r="H134">
            <v>5.1299999999999998E-2</v>
          </cell>
        </row>
        <row r="135">
          <cell r="C135">
            <v>12047662</v>
          </cell>
          <cell r="D135" t="str">
            <v>PACKARD CONNECTOR 12047662</v>
          </cell>
          <cell r="E135" t="str">
            <v>FURUKAWA</v>
          </cell>
          <cell r="F135" t="str">
            <v>PSG</v>
          </cell>
          <cell r="H135">
            <v>5.3100000000000001E-2</v>
          </cell>
        </row>
        <row r="136">
          <cell r="C136">
            <v>15466047</v>
          </cell>
          <cell r="D136" t="str">
            <v>JST CONNECTOR</v>
          </cell>
          <cell r="E136" t="str">
            <v>FURUKAWA</v>
          </cell>
          <cell r="F136" t="str">
            <v>JST</v>
          </cell>
          <cell r="H136">
            <v>0.27200000000000002</v>
          </cell>
        </row>
        <row r="137">
          <cell r="C137">
            <v>12047781</v>
          </cell>
          <cell r="D137" t="str">
            <v>PACKARD CONNECTOR</v>
          </cell>
          <cell r="E137" t="str">
            <v>ACCESS</v>
          </cell>
          <cell r="F137" t="str">
            <v>PSG</v>
          </cell>
          <cell r="H137">
            <v>5.96E-2</v>
          </cell>
        </row>
        <row r="138">
          <cell r="C138">
            <v>16194829</v>
          </cell>
          <cell r="D138" t="str">
            <v>5M, CONN</v>
          </cell>
          <cell r="E138" t="str">
            <v>QC ONICS</v>
          </cell>
          <cell r="F138" t="str">
            <v>JST</v>
          </cell>
          <cell r="H138">
            <v>5.722E-2</v>
          </cell>
        </row>
        <row r="139">
          <cell r="C139">
            <v>16194863</v>
          </cell>
          <cell r="D139" t="str">
            <v>5F, CONN</v>
          </cell>
          <cell r="E139" t="str">
            <v>QC Onics</v>
          </cell>
          <cell r="F139" t="str">
            <v>JST</v>
          </cell>
          <cell r="H139">
            <v>7.0489999999999997E-2</v>
          </cell>
        </row>
        <row r="140">
          <cell r="C140">
            <v>16194873</v>
          </cell>
          <cell r="D140" t="str">
            <v>14F, CONN</v>
          </cell>
          <cell r="E140" t="str">
            <v>QC ONICS</v>
          </cell>
          <cell r="F140" t="str">
            <v>JST</v>
          </cell>
          <cell r="H140">
            <v>0.17591000000000001</v>
          </cell>
        </row>
        <row r="141">
          <cell r="C141">
            <v>16194870</v>
          </cell>
          <cell r="D141" t="str">
            <v>11F, CONN</v>
          </cell>
          <cell r="E141" t="str">
            <v>QC ONICS</v>
          </cell>
          <cell r="F141" t="str">
            <v>JST</v>
          </cell>
          <cell r="H141">
            <v>0.12239</v>
          </cell>
        </row>
        <row r="142">
          <cell r="C142">
            <v>16194866</v>
          </cell>
          <cell r="D142" t="str">
            <v>7F, CONN</v>
          </cell>
          <cell r="E142" t="str">
            <v>QC ONICS</v>
          </cell>
          <cell r="F142" t="str">
            <v>JST</v>
          </cell>
          <cell r="H142">
            <v>8.0990000000000006E-2</v>
          </cell>
        </row>
        <row r="143">
          <cell r="C143">
            <v>16194839</v>
          </cell>
          <cell r="D143" t="str">
            <v>14M, CONN</v>
          </cell>
          <cell r="E143" t="str">
            <v>QC Onics</v>
          </cell>
          <cell r="F143" t="str">
            <v>JST</v>
          </cell>
          <cell r="H143">
            <v>0.17227999999999999</v>
          </cell>
        </row>
        <row r="144">
          <cell r="C144">
            <v>28004072</v>
          </cell>
          <cell r="D144" t="str">
            <v>13M, CONN</v>
          </cell>
          <cell r="E144" t="str">
            <v>QC ONICS</v>
          </cell>
          <cell r="F144" t="str">
            <v>JST</v>
          </cell>
          <cell r="H144">
            <v>0.16919999999999999</v>
          </cell>
        </row>
        <row r="145">
          <cell r="C145">
            <v>16194872</v>
          </cell>
          <cell r="D145" t="str">
            <v>13F, CONN</v>
          </cell>
          <cell r="E145" t="str">
            <v>QC ONICS</v>
          </cell>
          <cell r="F145" t="str">
            <v>JST</v>
          </cell>
          <cell r="H145">
            <v>0.15559999999999999</v>
          </cell>
        </row>
        <row r="146">
          <cell r="C146" t="str">
            <v>14DA-8M</v>
          </cell>
          <cell r="D146" t="str">
            <v>14,M, CONN</v>
          </cell>
          <cell r="E146" t="str">
            <v>PRECISION</v>
          </cell>
          <cell r="F146" t="str">
            <v>JST</v>
          </cell>
          <cell r="H146">
            <v>0.26600000000000001</v>
          </cell>
        </row>
        <row r="147">
          <cell r="C147">
            <v>12103499</v>
          </cell>
          <cell r="D147" t="str">
            <v>5057-9404 - MOLEX 4W CONN</v>
          </cell>
          <cell r="E147" t="str">
            <v>ACCESS</v>
          </cell>
          <cell r="F147" t="str">
            <v>MOLEX</v>
          </cell>
          <cell r="H147">
            <v>6.6000000000000003E-2</v>
          </cell>
        </row>
        <row r="148">
          <cell r="C148">
            <v>12103020</v>
          </cell>
          <cell r="D148" t="str">
            <v>5057-9405   -   MOLEX 5W CONN</v>
          </cell>
          <cell r="E148" t="str">
            <v>ACCESS</v>
          </cell>
          <cell r="F148" t="str">
            <v>MOLEX</v>
          </cell>
          <cell r="H148">
            <v>0.10290000000000001</v>
          </cell>
        </row>
        <row r="149">
          <cell r="C149">
            <v>12103087</v>
          </cell>
          <cell r="D149" t="str">
            <v>5057-9406   -    MOLEX 6W CONN</v>
          </cell>
          <cell r="E149" t="str">
            <v>ACCESS</v>
          </cell>
          <cell r="F149" t="str">
            <v>MOLEX</v>
          </cell>
          <cell r="H149">
            <v>0.105</v>
          </cell>
        </row>
        <row r="150">
          <cell r="C150">
            <v>15383018</v>
          </cell>
          <cell r="D150" t="str">
            <v>5057-9407   -   MOLEX 7W CONN</v>
          </cell>
          <cell r="E150" t="str">
            <v>ACCESS</v>
          </cell>
          <cell r="F150" t="str">
            <v>MOLEX</v>
          </cell>
          <cell r="H150">
            <v>0.115</v>
          </cell>
        </row>
        <row r="151">
          <cell r="C151">
            <v>12052444</v>
          </cell>
          <cell r="D151" t="str">
            <v>Connector 1205-2444</v>
          </cell>
          <cell r="E151" t="str">
            <v>FURUKAWA</v>
          </cell>
          <cell r="H151">
            <v>0.2465</v>
          </cell>
        </row>
        <row r="152">
          <cell r="C152">
            <v>12052832</v>
          </cell>
          <cell r="D152" t="str">
            <v>Connector  1205-2832</v>
          </cell>
          <cell r="E152" t="str">
            <v>FURUKAWA</v>
          </cell>
          <cell r="H152">
            <v>6.7199999999999996E-2</v>
          </cell>
        </row>
        <row r="153">
          <cell r="C153">
            <v>12059250</v>
          </cell>
          <cell r="D153" t="str">
            <v>PACKARD CONNECTOR</v>
          </cell>
          <cell r="E153" t="str">
            <v>ALPHABET</v>
          </cell>
          <cell r="F153" t="str">
            <v>PSG</v>
          </cell>
          <cell r="H153">
            <v>7.0999999999999994E-2</v>
          </cell>
        </row>
        <row r="154">
          <cell r="C154">
            <v>12059254</v>
          </cell>
          <cell r="D154" t="str">
            <v>Connector 1205-9254</v>
          </cell>
          <cell r="E154" t="str">
            <v>FURUKAWA</v>
          </cell>
          <cell r="H154">
            <v>6.8699999999999997E-2</v>
          </cell>
        </row>
        <row r="155">
          <cell r="C155">
            <v>12059800</v>
          </cell>
          <cell r="D155" t="str">
            <v>Connector 1205-9800</v>
          </cell>
          <cell r="E155" t="str">
            <v>FURUKAWA</v>
          </cell>
          <cell r="H155">
            <v>0.10349999999999999</v>
          </cell>
        </row>
        <row r="156">
          <cell r="C156">
            <v>12186246</v>
          </cell>
          <cell r="D156" t="str">
            <v>172166-1    -    AMP 2W CONNECTOR</v>
          </cell>
          <cell r="E156" t="str">
            <v>QC ONICS</v>
          </cell>
          <cell r="F156" t="str">
            <v>AMP</v>
          </cell>
          <cell r="H156">
            <v>0.14460000000000001</v>
          </cell>
        </row>
        <row r="157">
          <cell r="C157">
            <v>12186246</v>
          </cell>
          <cell r="D157" t="str">
            <v>172166-1    -    AMP 2W CONNECTOR</v>
          </cell>
          <cell r="E157" t="str">
            <v>ACCESS</v>
          </cell>
          <cell r="F157" t="str">
            <v>AMP</v>
          </cell>
          <cell r="H157">
            <v>0.155</v>
          </cell>
        </row>
        <row r="158">
          <cell r="C158">
            <v>12064763</v>
          </cell>
          <cell r="D158" t="str">
            <v>PACKARD CONNECTOR</v>
          </cell>
          <cell r="E158" t="str">
            <v>PCM</v>
          </cell>
          <cell r="F158" t="str">
            <v>PSG</v>
          </cell>
          <cell r="H158">
            <v>0.21</v>
          </cell>
        </row>
        <row r="159">
          <cell r="C159">
            <v>16254362</v>
          </cell>
          <cell r="D159" t="str">
            <v>CONNECTOR SNAP - FEM</v>
          </cell>
          <cell r="E159" t="str">
            <v>TENATRONICS</v>
          </cell>
          <cell r="F159" t="str">
            <v>PSG</v>
          </cell>
          <cell r="H159">
            <v>0.39417000000000002</v>
          </cell>
        </row>
        <row r="160">
          <cell r="C160">
            <v>12064862</v>
          </cell>
          <cell r="D160" t="str">
            <v>Connector 1206-4862</v>
          </cell>
          <cell r="E160" t="str">
            <v>FURUKAWA</v>
          </cell>
          <cell r="H160">
            <v>0.17080000000000001</v>
          </cell>
        </row>
        <row r="161">
          <cell r="C161">
            <v>12065425</v>
          </cell>
          <cell r="D161" t="str">
            <v>PACKARD CONNECTOR</v>
          </cell>
          <cell r="E161" t="str">
            <v>PRECISION</v>
          </cell>
          <cell r="F161" t="str">
            <v>PSG</v>
          </cell>
          <cell r="H161">
            <v>0.6</v>
          </cell>
        </row>
        <row r="162">
          <cell r="C162">
            <v>12077921</v>
          </cell>
          <cell r="D162" t="str">
            <v>CONN 2W M</v>
          </cell>
          <cell r="E162" t="str">
            <v>DGSS</v>
          </cell>
          <cell r="F162" t="str">
            <v>PACKARD</v>
          </cell>
          <cell r="H162">
            <v>0.215</v>
          </cell>
        </row>
        <row r="163">
          <cell r="C163">
            <v>15418109</v>
          </cell>
          <cell r="D163" t="str">
            <v>TYCO 1W CONN</v>
          </cell>
          <cell r="E163" t="str">
            <v>STERLING</v>
          </cell>
          <cell r="F163" t="str">
            <v>TYCO</v>
          </cell>
          <cell r="H163">
            <v>6.6799999999999998E-2</v>
          </cell>
        </row>
        <row r="164">
          <cell r="C164">
            <v>12089247</v>
          </cell>
          <cell r="D164" t="str">
            <v>Connector 1208-9247</v>
          </cell>
          <cell r="E164" t="str">
            <v>FURUKAWA</v>
          </cell>
          <cell r="H164">
            <v>0.10299999999999999</v>
          </cell>
        </row>
        <row r="165">
          <cell r="C165">
            <v>12160825</v>
          </cell>
          <cell r="D165" t="str">
            <v>Connector</v>
          </cell>
          <cell r="E165" t="str">
            <v>DPI</v>
          </cell>
          <cell r="H165">
            <v>0.10059999999999999</v>
          </cell>
        </row>
        <row r="166">
          <cell r="C166">
            <v>12176897</v>
          </cell>
          <cell r="D166" t="str">
            <v>4W CONNECTOR ASSEMBLY</v>
          </cell>
          <cell r="F166" t="str">
            <v>PSG</v>
          </cell>
          <cell r="H166">
            <v>4.7E-2</v>
          </cell>
        </row>
        <row r="167">
          <cell r="C167">
            <v>12220333</v>
          </cell>
          <cell r="D167" t="str">
            <v>JST CONNECTOR</v>
          </cell>
          <cell r="E167" t="str">
            <v>STERLING</v>
          </cell>
          <cell r="F167" t="str">
            <v>JST</v>
          </cell>
          <cell r="H167">
            <v>4.7460000000000002E-2</v>
          </cell>
        </row>
        <row r="168">
          <cell r="C168">
            <v>12220333</v>
          </cell>
          <cell r="D168" t="str">
            <v>2W HEADER CONNECTOR</v>
          </cell>
          <cell r="E168" t="str">
            <v>STERLING</v>
          </cell>
          <cell r="H168">
            <v>0.2823</v>
          </cell>
        </row>
        <row r="169">
          <cell r="C169">
            <v>12228224</v>
          </cell>
          <cell r="D169" t="str">
            <v>MOLDED SNAP CONNECTOR (SNAP, LUG, RIVET, MOLD)</v>
          </cell>
          <cell r="E169" t="str">
            <v>STERLING</v>
          </cell>
          <cell r="H169">
            <v>0.12142</v>
          </cell>
        </row>
        <row r="170">
          <cell r="C170">
            <v>15305216</v>
          </cell>
          <cell r="D170" t="str">
            <v>PACKARD CONNECTOR</v>
          </cell>
          <cell r="E170" t="str">
            <v>ALPHABET</v>
          </cell>
          <cell r="F170" t="str">
            <v>PSG</v>
          </cell>
          <cell r="H170">
            <v>0.55520000000000003</v>
          </cell>
        </row>
        <row r="171">
          <cell r="C171">
            <v>15317325</v>
          </cell>
          <cell r="D171" t="str">
            <v>Connector 1531-7325</v>
          </cell>
          <cell r="E171" t="str">
            <v>FURUKAWA</v>
          </cell>
          <cell r="H171">
            <v>0.32929999999999998</v>
          </cell>
        </row>
        <row r="172">
          <cell r="C172">
            <v>15317325</v>
          </cell>
          <cell r="D172" t="str">
            <v>Connector 1531-7325</v>
          </cell>
          <cell r="E172" t="str">
            <v>FURUKAWA</v>
          </cell>
          <cell r="H172">
            <v>0.32929999999999998</v>
          </cell>
        </row>
        <row r="173">
          <cell r="C173">
            <v>15324504</v>
          </cell>
          <cell r="D173" t="str">
            <v>PACKARD CONNECTOR</v>
          </cell>
          <cell r="E173" t="str">
            <v>PRECISION</v>
          </cell>
          <cell r="F173" t="str">
            <v>PSG</v>
          </cell>
          <cell r="H173">
            <v>0.24</v>
          </cell>
        </row>
        <row r="174">
          <cell r="C174">
            <v>15326840</v>
          </cell>
          <cell r="D174" t="str">
            <v xml:space="preserve"> 8W, M, GT    -   0.3202</v>
          </cell>
          <cell r="E174" t="str">
            <v>TBD</v>
          </cell>
          <cell r="F174" t="str">
            <v>PACKARD</v>
          </cell>
          <cell r="H174">
            <v>0.32019999999999998</v>
          </cell>
        </row>
        <row r="175">
          <cell r="C175">
            <v>15326931</v>
          </cell>
          <cell r="D175" t="str">
            <v>PACKARD CONNECTOR</v>
          </cell>
          <cell r="E175" t="str">
            <v>QC ONICS</v>
          </cell>
          <cell r="F175" t="str">
            <v>PSG</v>
          </cell>
          <cell r="H175">
            <v>0.29060000000000002</v>
          </cell>
        </row>
        <row r="176">
          <cell r="C176">
            <v>15339058</v>
          </cell>
          <cell r="D176" t="str">
            <v>Connector  1533-9058</v>
          </cell>
          <cell r="E176" t="str">
            <v>FURUKAWA</v>
          </cell>
          <cell r="H176">
            <v>0.3105</v>
          </cell>
        </row>
        <row r="177">
          <cell r="C177">
            <v>15373431</v>
          </cell>
          <cell r="D177" t="str">
            <v>N/A CONNECTOR  -  0.549</v>
          </cell>
          <cell r="F177" t="str">
            <v>N/A</v>
          </cell>
          <cell r="H177">
            <v>0.54900000000000004</v>
          </cell>
        </row>
        <row r="178">
          <cell r="C178">
            <v>15383337</v>
          </cell>
          <cell r="D178" t="str">
            <v>Connector Molex 50-57-9705</v>
          </cell>
          <cell r="E178" t="str">
            <v>FURUKAWA</v>
          </cell>
          <cell r="H178">
            <v>0.23419999999999999</v>
          </cell>
        </row>
        <row r="179">
          <cell r="C179">
            <v>15393433</v>
          </cell>
          <cell r="D179" t="str">
            <v>CONN 10F MIC/P 064</v>
          </cell>
          <cell r="E179" t="str">
            <v>PACKARD</v>
          </cell>
          <cell r="F179" t="str">
            <v>PACKARD</v>
          </cell>
          <cell r="H179">
            <v>0.12839999999999999</v>
          </cell>
        </row>
        <row r="180">
          <cell r="C180">
            <v>15393433</v>
          </cell>
          <cell r="D180" t="str">
            <v>PACKARD CONNECTOR</v>
          </cell>
          <cell r="E180" t="str">
            <v>PRECISION</v>
          </cell>
          <cell r="F180" t="str">
            <v>PSG</v>
          </cell>
          <cell r="H180">
            <v>0.40200000000000002</v>
          </cell>
        </row>
        <row r="181">
          <cell r="C181">
            <v>15393433</v>
          </cell>
          <cell r="D181" t="str">
            <v>Connector 1539-3433</v>
          </cell>
          <cell r="E181" t="str">
            <v>FURUKAWA</v>
          </cell>
          <cell r="H181">
            <v>0.50270000000000004</v>
          </cell>
        </row>
        <row r="182">
          <cell r="C182">
            <v>15393433</v>
          </cell>
          <cell r="D182" t="str">
            <v>Connector 1539-3433</v>
          </cell>
          <cell r="E182" t="str">
            <v>FURUKAWA</v>
          </cell>
          <cell r="H182">
            <v>0.50270000000000004</v>
          </cell>
        </row>
        <row r="183">
          <cell r="C183">
            <v>15405522</v>
          </cell>
          <cell r="D183" t="str">
            <v>MOLEX 10W CONN</v>
          </cell>
          <cell r="E183" t="str">
            <v>PACKARD</v>
          </cell>
          <cell r="F183" t="str">
            <v>MOLEX</v>
          </cell>
          <cell r="H183">
            <v>0.2167</v>
          </cell>
        </row>
        <row r="184">
          <cell r="C184">
            <v>15422579</v>
          </cell>
          <cell r="D184" t="str">
            <v>15422579   -   Molex CONNECTOR    -    0.13</v>
          </cell>
          <cell r="F184" t="str">
            <v>Molex</v>
          </cell>
          <cell r="H184">
            <v>0.13</v>
          </cell>
        </row>
        <row r="185">
          <cell r="C185">
            <v>15482789</v>
          </cell>
          <cell r="D185" t="str">
            <v>Connector JST  HITPB-27-A-LM</v>
          </cell>
          <cell r="E185" t="str">
            <v>FURUKAWA</v>
          </cell>
          <cell r="H185">
            <v>0.2747</v>
          </cell>
        </row>
        <row r="186">
          <cell r="C186">
            <v>15482789</v>
          </cell>
          <cell r="D186" t="str">
            <v>N/A CONNECTOR  -  0.275</v>
          </cell>
          <cell r="F186" t="str">
            <v>N/A</v>
          </cell>
          <cell r="H186">
            <v>0.27500000000000002</v>
          </cell>
        </row>
        <row r="187">
          <cell r="C187">
            <v>15484551</v>
          </cell>
          <cell r="D187" t="str">
            <v>N/A CONNECTOR  -  0.23</v>
          </cell>
          <cell r="F187" t="str">
            <v>N/A</v>
          </cell>
          <cell r="H187">
            <v>0.23</v>
          </cell>
        </row>
        <row r="188">
          <cell r="C188">
            <v>15484551</v>
          </cell>
          <cell r="D188" t="str">
            <v>Connector JST  HCMPB-C06-K</v>
          </cell>
          <cell r="E188" t="str">
            <v>FURUKAWA</v>
          </cell>
          <cell r="H188">
            <v>0.23</v>
          </cell>
        </row>
        <row r="189">
          <cell r="C189">
            <v>15484552</v>
          </cell>
          <cell r="D189" t="str">
            <v>Connector JST  HCMWSB-05-K</v>
          </cell>
          <cell r="E189" t="str">
            <v>FURUKAWA</v>
          </cell>
          <cell r="H189">
            <v>0.20200000000000001</v>
          </cell>
        </row>
        <row r="190">
          <cell r="C190">
            <v>25351718</v>
          </cell>
          <cell r="D190" t="str">
            <v>connector blue</v>
          </cell>
          <cell r="E190" t="str">
            <v>LEONI</v>
          </cell>
          <cell r="F190" t="str">
            <v>AMP</v>
          </cell>
          <cell r="H190">
            <v>0.16896600000000001</v>
          </cell>
        </row>
        <row r="191">
          <cell r="C191">
            <v>25357310</v>
          </cell>
          <cell r="D191" t="str">
            <v>Connector</v>
          </cell>
          <cell r="E191" t="str">
            <v>LEONI</v>
          </cell>
          <cell r="H191">
            <v>0.2576</v>
          </cell>
        </row>
        <row r="192">
          <cell r="C192">
            <v>25358664</v>
          </cell>
          <cell r="D192" t="str">
            <v>Connector assy</v>
          </cell>
          <cell r="E192" t="str">
            <v>UNUVAR</v>
          </cell>
          <cell r="H192">
            <v>0.128</v>
          </cell>
        </row>
        <row r="193">
          <cell r="C193">
            <v>10400853490</v>
          </cell>
          <cell r="D193" t="str">
            <v>KOSTAL 7F CONNECTOR ESTIMATE</v>
          </cell>
          <cell r="H193">
            <v>0.3</v>
          </cell>
        </row>
        <row r="194">
          <cell r="C194" t="str">
            <v>02P-SSN-K1</v>
          </cell>
          <cell r="D194" t="str">
            <v>JST 2W CONNECTOR (12220333)</v>
          </cell>
          <cell r="E194" t="str">
            <v>PRECISION</v>
          </cell>
          <cell r="F194" t="str">
            <v>JST</v>
          </cell>
          <cell r="H194">
            <v>4.7460000000000002E-2</v>
          </cell>
        </row>
        <row r="195">
          <cell r="C195" t="str">
            <v>02P-SSN-K1</v>
          </cell>
          <cell r="D195" t="str">
            <v>JST 2W CONNECTOR</v>
          </cell>
          <cell r="E195" t="str">
            <v>ACCESS</v>
          </cell>
          <cell r="F195" t="str">
            <v>JST</v>
          </cell>
          <cell r="H195">
            <v>8.1000000000000003E-2</v>
          </cell>
        </row>
        <row r="196">
          <cell r="C196" t="str">
            <v>09398805</v>
          </cell>
          <cell r="D196" t="str">
            <v>HEADER, 8W</v>
          </cell>
          <cell r="E196" t="str">
            <v>PRECISION</v>
          </cell>
          <cell r="H196">
            <v>0.15</v>
          </cell>
        </row>
        <row r="197">
          <cell r="C197" t="str">
            <v>12176897 - DPI</v>
          </cell>
          <cell r="D197" t="str">
            <v>Connector and seal assembly (Power and Signal)</v>
          </cell>
          <cell r="E197" t="str">
            <v>DPI</v>
          </cell>
          <cell r="F197" t="str">
            <v>PSG</v>
          </cell>
          <cell r="H197">
            <v>0.17699999999999999</v>
          </cell>
        </row>
        <row r="198">
          <cell r="C198" t="str">
            <v>14DA</v>
          </cell>
          <cell r="D198" t="str">
            <v xml:space="preserve">JST 8M HEADER </v>
          </cell>
          <cell r="E198" t="str">
            <v>PRECISION</v>
          </cell>
          <cell r="F198" t="str">
            <v>JST</v>
          </cell>
          <cell r="H198">
            <v>0.26641999999999999</v>
          </cell>
        </row>
        <row r="199">
          <cell r="C199" t="str">
            <v>14KR</v>
          </cell>
          <cell r="D199" t="str">
            <v xml:space="preserve">JST 8M HEADER </v>
          </cell>
          <cell r="E199" t="str">
            <v>PRECISION</v>
          </cell>
          <cell r="F199" t="str">
            <v>JST</v>
          </cell>
          <cell r="H199">
            <v>0.17679</v>
          </cell>
        </row>
        <row r="200">
          <cell r="C200" t="str">
            <v>172165-1</v>
          </cell>
          <cell r="D200" t="str">
            <v>AMP 2W CONNECTOR</v>
          </cell>
          <cell r="E200" t="str">
            <v>QC ONICS</v>
          </cell>
          <cell r="F200" t="str">
            <v>AMP</v>
          </cell>
          <cell r="H200">
            <v>8.1900000000000001E-2</v>
          </cell>
        </row>
        <row r="201">
          <cell r="C201" t="str">
            <v>172165-1</v>
          </cell>
          <cell r="D201" t="str">
            <v>AMP CONNECTOR - 10774586</v>
          </cell>
          <cell r="E201" t="str">
            <v>STERLING</v>
          </cell>
          <cell r="F201" t="str">
            <v>AMP</v>
          </cell>
          <cell r="H201">
            <v>0.11360000000000001</v>
          </cell>
        </row>
        <row r="202">
          <cell r="C202">
            <v>12047842</v>
          </cell>
          <cell r="D202" t="str">
            <v>17F M/P 150 ESTIMATE</v>
          </cell>
          <cell r="F202" t="str">
            <v>PACKARD</v>
          </cell>
          <cell r="H202">
            <v>0.1</v>
          </cell>
        </row>
        <row r="203">
          <cell r="C203">
            <v>12047837</v>
          </cell>
          <cell r="D203" t="str">
            <v>CONN 18F ESTIMATE</v>
          </cell>
          <cell r="F203" t="str">
            <v>PACKARD</v>
          </cell>
          <cell r="H203">
            <v>0.25</v>
          </cell>
        </row>
        <row r="204">
          <cell r="C204" t="str">
            <v>30700-1080</v>
          </cell>
          <cell r="D204" t="str">
            <v>Molex CONNECTOR  -  0.189</v>
          </cell>
          <cell r="F204" t="str">
            <v>Molex</v>
          </cell>
          <cell r="H204">
            <v>0.189</v>
          </cell>
        </row>
        <row r="205">
          <cell r="C205" t="str">
            <v>30700-1200</v>
          </cell>
          <cell r="D205" t="str">
            <v>Molex CONNECTOR    -    0.9015</v>
          </cell>
          <cell r="E205" t="str">
            <v>PRECISION</v>
          </cell>
          <cell r="F205" t="str">
            <v>Molex</v>
          </cell>
          <cell r="H205">
            <v>0.9</v>
          </cell>
        </row>
        <row r="206">
          <cell r="C206" t="str">
            <v>30968-1120</v>
          </cell>
          <cell r="D206" t="str">
            <v>Molex CONNECTOR    -    0.387</v>
          </cell>
          <cell r="E206" t="str">
            <v>PRECISION</v>
          </cell>
          <cell r="F206" t="str">
            <v>Molex</v>
          </cell>
          <cell r="H206">
            <v>0.38700000000000001</v>
          </cell>
        </row>
        <row r="207">
          <cell r="C207" t="str">
            <v>31068-1010</v>
          </cell>
          <cell r="D207" t="str">
            <v>Molex CONNECTOR  -  0.13</v>
          </cell>
          <cell r="F207" t="str">
            <v>Molex</v>
          </cell>
          <cell r="H207">
            <v>0.13</v>
          </cell>
        </row>
        <row r="208">
          <cell r="C208" t="str">
            <v>31072-1010</v>
          </cell>
          <cell r="D208" t="str">
            <v>Molex CONNECTOR    -    0.14</v>
          </cell>
          <cell r="E208" t="str">
            <v>ALPHABET</v>
          </cell>
          <cell r="F208" t="str">
            <v>Molex</v>
          </cell>
          <cell r="H208">
            <v>0.14000000000000001</v>
          </cell>
        </row>
        <row r="209">
          <cell r="C209" t="str">
            <v>31072-1012</v>
          </cell>
          <cell r="D209" t="str">
            <v>Molex CONNECTOR    -    0.121</v>
          </cell>
          <cell r="E209" t="str">
            <v>ALPHABET</v>
          </cell>
          <cell r="F209" t="str">
            <v>Molex</v>
          </cell>
          <cell r="H209">
            <v>0.121</v>
          </cell>
        </row>
        <row r="210">
          <cell r="C210" t="str">
            <v>34043-0201</v>
          </cell>
          <cell r="D210" t="str">
            <v>MOLEX CONNECTOR, 15439374</v>
          </cell>
          <cell r="E210" t="str">
            <v>PRECISION</v>
          </cell>
          <cell r="F210" t="str">
            <v>MOLEX</v>
          </cell>
          <cell r="H210">
            <v>0.21</v>
          </cell>
        </row>
        <row r="211">
          <cell r="C211" t="str">
            <v>5057-9402</v>
          </cell>
          <cell r="D211" t="str">
            <v>CONNECTOR MOLEX</v>
          </cell>
          <cell r="E211" t="str">
            <v>PRECISION</v>
          </cell>
          <cell r="F211" t="str">
            <v>MOLEX</v>
          </cell>
          <cell r="H211">
            <v>7.3999999999999996E-2</v>
          </cell>
        </row>
        <row r="212">
          <cell r="C212" t="str">
            <v>5057-9404</v>
          </cell>
          <cell r="D212" t="str">
            <v>Molex CONNECTOR    -    0.066</v>
          </cell>
          <cell r="F212" t="str">
            <v>Molex</v>
          </cell>
          <cell r="H212">
            <v>6.6000000000000003E-2</v>
          </cell>
        </row>
        <row r="213">
          <cell r="C213" t="str">
            <v>5057-9405</v>
          </cell>
          <cell r="D213" t="str">
            <v>Molex CONNECTOR    -    0.1029</v>
          </cell>
          <cell r="F213" t="str">
            <v>Molex</v>
          </cell>
          <cell r="H213">
            <v>0.10290000000000001</v>
          </cell>
        </row>
        <row r="214">
          <cell r="C214" t="str">
            <v>5057-9407</v>
          </cell>
          <cell r="D214" t="str">
            <v>Molex CONNECTOR    -    0.115</v>
          </cell>
          <cell r="F214" t="str">
            <v>Molex</v>
          </cell>
          <cell r="H214">
            <v>0.115</v>
          </cell>
        </row>
        <row r="215">
          <cell r="C215">
            <v>10768369</v>
          </cell>
          <cell r="D215" t="str">
            <v>6-1355683-1   -   AMP LATCH CONNECTOR</v>
          </cell>
          <cell r="E215" t="str">
            <v>ACCESS</v>
          </cell>
          <cell r="F215" t="str">
            <v>TYCO</v>
          </cell>
          <cell r="H215">
            <v>0.5736</v>
          </cell>
        </row>
        <row r="216">
          <cell r="C216">
            <v>10757471</v>
          </cell>
          <cell r="D216" t="str">
            <v>7283-5565-40   -   YAZAKI 2W CONNECTOR</v>
          </cell>
          <cell r="E216" t="str">
            <v>ACCESS</v>
          </cell>
          <cell r="F216" t="str">
            <v>YAZAKI</v>
          </cell>
          <cell r="H216">
            <v>0.1429</v>
          </cell>
        </row>
        <row r="217">
          <cell r="C217">
            <v>10863407</v>
          </cell>
          <cell r="D217" t="str">
            <v>6098-0245   -   SUMITOMO 3W CONNECTOR</v>
          </cell>
          <cell r="E217" t="str">
            <v>ACCESS</v>
          </cell>
          <cell r="F217" t="str">
            <v>SUMITOMO</v>
          </cell>
          <cell r="H217">
            <v>9.4100000000000003E-2</v>
          </cell>
        </row>
        <row r="218">
          <cell r="C218">
            <v>12196741</v>
          </cell>
          <cell r="D218" t="str">
            <v>PACKARD 2W CONNECTOR</v>
          </cell>
          <cell r="E218" t="str">
            <v>ACCESS</v>
          </cell>
          <cell r="F218" t="str">
            <v>PACKARD</v>
          </cell>
          <cell r="H218">
            <v>4.1599999999999998E-2</v>
          </cell>
        </row>
        <row r="219">
          <cell r="C219">
            <v>15430974</v>
          </cell>
          <cell r="D219" t="str">
            <v>6098-0245   -   YAZAKI 26W CONNECTOR</v>
          </cell>
          <cell r="E219" t="str">
            <v>ACCESS</v>
          </cell>
          <cell r="F219" t="str">
            <v>YAZAKI</v>
          </cell>
          <cell r="H219">
            <v>0.63200000000000001</v>
          </cell>
        </row>
        <row r="220">
          <cell r="C220">
            <v>15430973</v>
          </cell>
          <cell r="D220" t="str">
            <v>7182-1581  -   YAZAKI 26W CONNECTOR</v>
          </cell>
          <cell r="E220" t="str">
            <v>ACCESS</v>
          </cell>
          <cell r="F220" t="str">
            <v>YAZAKI</v>
          </cell>
          <cell r="H220">
            <v>0.37390000000000001</v>
          </cell>
        </row>
        <row r="221">
          <cell r="C221">
            <v>15464164</v>
          </cell>
          <cell r="D221" t="str">
            <v>ASM CONN COVER ESTIMATE</v>
          </cell>
          <cell r="H221">
            <v>0.1</v>
          </cell>
        </row>
        <row r="222">
          <cell r="C222">
            <v>10819455</v>
          </cell>
          <cell r="D222" t="str">
            <v>6098-0241   -   SUMITOMO 3W CONNECTOR</v>
          </cell>
          <cell r="E222" t="str">
            <v>ACCESS</v>
          </cell>
          <cell r="F222" t="str">
            <v>SUMITOMO</v>
          </cell>
          <cell r="H222">
            <v>7.46E-2</v>
          </cell>
        </row>
        <row r="223">
          <cell r="C223">
            <v>10768369</v>
          </cell>
          <cell r="D223" t="str">
            <v>6-1355683-1   -   AMP 6W CONNECTOR</v>
          </cell>
          <cell r="E223" t="str">
            <v>ACCESS</v>
          </cell>
          <cell r="F223" t="str">
            <v>AMP</v>
          </cell>
          <cell r="H223">
            <v>0.5736</v>
          </cell>
        </row>
        <row r="224">
          <cell r="C224" t="str">
            <v>5057-9705</v>
          </cell>
          <cell r="D224" t="str">
            <v>Molex CONNECTOR    -    0.151</v>
          </cell>
          <cell r="E224" t="str">
            <v>ALPHABET</v>
          </cell>
          <cell r="F224" t="str">
            <v>Molex</v>
          </cell>
          <cell r="H224">
            <v>0.151</v>
          </cell>
        </row>
        <row r="225">
          <cell r="C225" t="str">
            <v>5057-9705</v>
          </cell>
          <cell r="D225" t="str">
            <v>Connector Molex 50-57-9705</v>
          </cell>
          <cell r="E225" t="str">
            <v>FURUKAWA</v>
          </cell>
          <cell r="H225">
            <v>0.182</v>
          </cell>
        </row>
        <row r="226">
          <cell r="C226" t="str">
            <v>5057-9705</v>
          </cell>
          <cell r="D226" t="str">
            <v>MOLEX CONNECTOR</v>
          </cell>
          <cell r="E226" t="str">
            <v>PACKARD</v>
          </cell>
          <cell r="F226" t="str">
            <v>MOLEX</v>
          </cell>
          <cell r="H226">
            <v>0.32100000000000001</v>
          </cell>
        </row>
        <row r="227">
          <cell r="C227" t="str">
            <v>51021-1500</v>
          </cell>
          <cell r="D227" t="str">
            <v>MOLEX CONNECTOR</v>
          </cell>
          <cell r="E227" t="str">
            <v>PRECISION</v>
          </cell>
          <cell r="F227" t="str">
            <v>MOLEX</v>
          </cell>
          <cell r="H227">
            <v>0.1376</v>
          </cell>
        </row>
        <row r="228">
          <cell r="C228" t="str">
            <v>6098-0245</v>
          </cell>
          <cell r="D228" t="str">
            <v>Sumitomo CONNECTOR  -  0.0941</v>
          </cell>
          <cell r="F228" t="str">
            <v>Sumitomo</v>
          </cell>
          <cell r="H228">
            <v>9.4100000000000003E-2</v>
          </cell>
        </row>
        <row r="229">
          <cell r="C229" t="str">
            <v>6-1355683-1</v>
          </cell>
          <cell r="D229" t="str">
            <v>Tyco CONNECTOR  -  0.5463</v>
          </cell>
          <cell r="F229" t="str">
            <v>Tyco</v>
          </cell>
          <cell r="H229">
            <v>0.54630000000000001</v>
          </cell>
        </row>
        <row r="230">
          <cell r="C230" t="str">
            <v>6910-0425</v>
          </cell>
          <cell r="D230" t="str">
            <v>Sumitomo CONNECTOR</v>
          </cell>
          <cell r="E230" t="str">
            <v>QC ONICS</v>
          </cell>
          <cell r="F230" t="str">
            <v>SUMITOMO</v>
          </cell>
          <cell r="H230">
            <v>3.7999999999999999E-2</v>
          </cell>
        </row>
        <row r="231">
          <cell r="C231" t="str">
            <v>6910-0425</v>
          </cell>
          <cell r="D231" t="str">
            <v>Sumitomo CONNECTOR</v>
          </cell>
          <cell r="E231" t="str">
            <v>ACCESS</v>
          </cell>
          <cell r="F231" t="str">
            <v>SUMITOMO</v>
          </cell>
          <cell r="H231">
            <v>4.3099999999999999E-2</v>
          </cell>
        </row>
        <row r="232">
          <cell r="C232">
            <v>12104489</v>
          </cell>
          <cell r="D232" t="str">
            <v>154719-0   -    AMP CONNECTOR</v>
          </cell>
          <cell r="E232" t="str">
            <v>TYCO</v>
          </cell>
          <cell r="F232" t="str">
            <v>AMP</v>
          </cell>
          <cell r="H232">
            <v>0.18659999999999999</v>
          </cell>
        </row>
        <row r="233">
          <cell r="C233" t="str">
            <v>7122-1413</v>
          </cell>
          <cell r="D233" t="str">
            <v>Yazaki CONNECTOR  -  0.632</v>
          </cell>
          <cell r="F233" t="str">
            <v>Yazaki</v>
          </cell>
          <cell r="H233">
            <v>0.63200000000000001</v>
          </cell>
        </row>
        <row r="234">
          <cell r="C234" t="str">
            <v>7283-5565-40</v>
          </cell>
          <cell r="D234" t="str">
            <v>Yazaki CONNECTOR  -  0.1429</v>
          </cell>
          <cell r="F234" t="str">
            <v>Yazaki</v>
          </cell>
          <cell r="H234">
            <v>0.1429</v>
          </cell>
        </row>
        <row r="235">
          <cell r="C235" t="str">
            <v>7C82-5524-70</v>
          </cell>
          <cell r="D235" t="str">
            <v>Yazaki CONNECTOR  -  0.2933</v>
          </cell>
          <cell r="F235" t="str">
            <v>Yazaki</v>
          </cell>
          <cell r="H235">
            <v>0.29330000000000001</v>
          </cell>
        </row>
        <row r="236">
          <cell r="C236">
            <v>15355226</v>
          </cell>
          <cell r="D236" t="str">
            <v>CONN 2F M/P 150 ESTIMATE</v>
          </cell>
          <cell r="H236">
            <v>0.19</v>
          </cell>
        </row>
        <row r="237">
          <cell r="C237">
            <v>15416970</v>
          </cell>
          <cell r="D237" t="str">
            <v>ASM CONN 16F MICRO 64 ESTIMATE</v>
          </cell>
          <cell r="H237">
            <v>0.2</v>
          </cell>
        </row>
        <row r="238">
          <cell r="C238">
            <v>15304812</v>
          </cell>
          <cell r="D238" t="str">
            <v>CONN 2F M/P 280  ESTIMATE</v>
          </cell>
          <cell r="H238">
            <v>0.04</v>
          </cell>
        </row>
        <row r="239">
          <cell r="C239">
            <v>12147056</v>
          </cell>
          <cell r="D239" t="str">
            <v>6260640   -   AMP 2W CONNECTOR</v>
          </cell>
          <cell r="E239" t="str">
            <v>ACCESS</v>
          </cell>
          <cell r="F239" t="str">
            <v>AMP</v>
          </cell>
          <cell r="H239">
            <v>2.9399999999999999E-2</v>
          </cell>
        </row>
        <row r="240">
          <cell r="C240" t="str">
            <v>UT12367</v>
          </cell>
          <cell r="D240" t="str">
            <v>2F AIRBAG CONN ESTIMATE</v>
          </cell>
          <cell r="F240" t="str">
            <v>TYCO</v>
          </cell>
          <cell r="H240">
            <v>0.1</v>
          </cell>
        </row>
        <row r="241">
          <cell r="C241">
            <v>12047933</v>
          </cell>
          <cell r="D241" t="str">
            <v>7W M/P 150 SLD ESTIMATE</v>
          </cell>
          <cell r="E241" t="str">
            <v>PACKARD</v>
          </cell>
          <cell r="H241">
            <v>0.18</v>
          </cell>
        </row>
        <row r="242">
          <cell r="C242">
            <v>12064767</v>
          </cell>
          <cell r="D242" t="str">
            <v>CONN 8M M/P 150</v>
          </cell>
          <cell r="E242" t="str">
            <v>ACCESS</v>
          </cell>
          <cell r="F242" t="str">
            <v>PACKARD</v>
          </cell>
          <cell r="H242">
            <v>9.1999999999999998E-2</v>
          </cell>
        </row>
        <row r="243">
          <cell r="C243">
            <v>12194037</v>
          </cell>
          <cell r="D243" t="str">
            <v>CONN 12F M/P 280</v>
          </cell>
          <cell r="E243" t="str">
            <v>PACKARD</v>
          </cell>
          <cell r="F243" t="str">
            <v>PACKARD</v>
          </cell>
          <cell r="H243">
            <v>8.4000000000000005E-2</v>
          </cell>
        </row>
        <row r="244">
          <cell r="C244">
            <v>12129939</v>
          </cell>
          <cell r="D244" t="str">
            <v>CONN 2F M/P 630 ESTIMATE</v>
          </cell>
          <cell r="F244" t="str">
            <v>PACKARD</v>
          </cell>
          <cell r="H244">
            <v>0.09</v>
          </cell>
        </row>
        <row r="245">
          <cell r="C245">
            <v>15326900</v>
          </cell>
          <cell r="D245" t="str">
            <v>CONN 6W ESTIMATE</v>
          </cell>
          <cell r="F245" t="str">
            <v>PACKARD</v>
          </cell>
          <cell r="H245">
            <v>0.4</v>
          </cell>
        </row>
        <row r="246">
          <cell r="C246">
            <v>15359118</v>
          </cell>
          <cell r="D246" t="str">
            <v>AIR BAG ASM CONN 2F MIC/P</v>
          </cell>
          <cell r="E246" t="str">
            <v>PACKARD</v>
          </cell>
          <cell r="F246" t="str">
            <v>PACKARD</v>
          </cell>
          <cell r="H246">
            <v>9.0020000000000003E-2</v>
          </cell>
        </row>
        <row r="247">
          <cell r="C247">
            <v>15359119</v>
          </cell>
          <cell r="D247" t="str">
            <v>AIR BAG ASM CONN 2F MIC/P</v>
          </cell>
          <cell r="E247" t="str">
            <v>PACKARD</v>
          </cell>
          <cell r="F247" t="str">
            <v>PACKARD</v>
          </cell>
          <cell r="H247">
            <v>9.0060000000000001E-2</v>
          </cell>
        </row>
        <row r="248">
          <cell r="C248">
            <v>15467620</v>
          </cell>
          <cell r="D248" t="str">
            <v>CONN 14F GT ESTIMATE</v>
          </cell>
          <cell r="F248" t="str">
            <v>PACKARD</v>
          </cell>
          <cell r="H248">
            <v>0.3</v>
          </cell>
        </row>
        <row r="249">
          <cell r="C249">
            <v>12193928</v>
          </cell>
          <cell r="D249" t="str">
            <v>CONN 6F M/P 280</v>
          </cell>
          <cell r="E249" t="str">
            <v>PACKARD</v>
          </cell>
          <cell r="F249" t="str">
            <v>PACKARD</v>
          </cell>
          <cell r="H249">
            <v>7.4999999999999997E-2</v>
          </cell>
        </row>
        <row r="250">
          <cell r="C250">
            <v>12193924</v>
          </cell>
          <cell r="D250" t="str">
            <v>CONN 6F M/P 280</v>
          </cell>
          <cell r="E250" t="str">
            <v>PACKARD</v>
          </cell>
          <cell r="F250" t="str">
            <v>PACKARD</v>
          </cell>
          <cell r="H250">
            <v>7.1999999999999995E-2</v>
          </cell>
        </row>
        <row r="251">
          <cell r="C251">
            <v>15410728</v>
          </cell>
          <cell r="D251" t="str">
            <v>ASM CONN 4F GT 150 SLD</v>
          </cell>
          <cell r="E251" t="str">
            <v>PACKARD</v>
          </cell>
          <cell r="F251" t="str">
            <v>PACKARD</v>
          </cell>
          <cell r="H251">
            <v>0.19409999999999999</v>
          </cell>
        </row>
        <row r="252">
          <cell r="C252">
            <v>12077925</v>
          </cell>
          <cell r="D252" t="str">
            <v>2W CONNECTOR ESTIMATE</v>
          </cell>
          <cell r="H252">
            <v>3.3000000000000002E-2</v>
          </cell>
        </row>
        <row r="253">
          <cell r="C253">
            <v>16150027</v>
          </cell>
          <cell r="D253" t="str">
            <v>13W CONNECTOR (OVERMOLDED) - EUROPE</v>
          </cell>
          <cell r="E253" t="str">
            <v>ELCA</v>
          </cell>
          <cell r="F253" t="str">
            <v>ELCA</v>
          </cell>
          <cell r="H253">
            <v>1.599</v>
          </cell>
        </row>
        <row r="254">
          <cell r="C254" t="str">
            <v>HCM PBC-06K</v>
          </cell>
          <cell r="D254" t="str">
            <v>JST CONNECTOR</v>
          </cell>
          <cell r="E254" t="str">
            <v>PACKARD</v>
          </cell>
          <cell r="F254" t="str">
            <v>JST</v>
          </cell>
          <cell r="H254">
            <v>0.75800000000000001</v>
          </cell>
        </row>
        <row r="255">
          <cell r="C255" t="str">
            <v>HCMPB-C06-K</v>
          </cell>
          <cell r="D255" t="str">
            <v>JST CONNECTOR    -    0.215</v>
          </cell>
          <cell r="E255" t="str">
            <v>ALPHABET</v>
          </cell>
          <cell r="F255" t="str">
            <v>JST</v>
          </cell>
          <cell r="H255">
            <v>0.215</v>
          </cell>
        </row>
        <row r="256">
          <cell r="C256" t="str">
            <v>HCMPB-C06-K</v>
          </cell>
          <cell r="D256" t="str">
            <v>Connector JST  HCMPB-C06-K</v>
          </cell>
          <cell r="E256" t="str">
            <v>FURUKAWA</v>
          </cell>
          <cell r="H256">
            <v>0.23</v>
          </cell>
        </row>
        <row r="257">
          <cell r="C257" t="str">
            <v>HCMWSB-05-K</v>
          </cell>
          <cell r="D257" t="str">
            <v>JST CONNECTOR    -    0.15</v>
          </cell>
          <cell r="E257" t="str">
            <v>ALPHABET</v>
          </cell>
          <cell r="F257" t="str">
            <v>JST</v>
          </cell>
          <cell r="H257">
            <v>0.15</v>
          </cell>
        </row>
        <row r="258">
          <cell r="C258" t="str">
            <v>HCMWSB-05-K</v>
          </cell>
          <cell r="D258" t="str">
            <v>Connector JST  HCMWSB-05-K</v>
          </cell>
          <cell r="E258" t="str">
            <v>FURUKAWA</v>
          </cell>
          <cell r="H258">
            <v>0.20200000000000001</v>
          </cell>
        </row>
        <row r="259">
          <cell r="C259" t="str">
            <v>HICMS-05K</v>
          </cell>
          <cell r="D259" t="str">
            <v>JST CONNECTOR</v>
          </cell>
          <cell r="E259" t="str">
            <v>FURUKAWA</v>
          </cell>
          <cell r="F259" t="str">
            <v>JST</v>
          </cell>
          <cell r="H259">
            <v>0.20200000000000001</v>
          </cell>
        </row>
        <row r="260">
          <cell r="C260" t="str">
            <v>HITPB-27AH</v>
          </cell>
          <cell r="D260" t="str">
            <v>JST CONNECTOR</v>
          </cell>
          <cell r="E260" t="str">
            <v>FURUKAWA</v>
          </cell>
          <cell r="F260" t="str">
            <v>JST</v>
          </cell>
          <cell r="H260">
            <v>0.27200000000000002</v>
          </cell>
        </row>
        <row r="261">
          <cell r="C261" t="str">
            <v>HITPB-27-AH</v>
          </cell>
          <cell r="D261" t="str">
            <v>JST CONNECTOR</v>
          </cell>
          <cell r="E261" t="str">
            <v>FURUKAWA</v>
          </cell>
          <cell r="F261" t="str">
            <v>JST</v>
          </cell>
          <cell r="H261">
            <v>0.27200000000000002</v>
          </cell>
        </row>
        <row r="262">
          <cell r="C262" t="str">
            <v>HITPB-27ALM</v>
          </cell>
          <cell r="D262" t="str">
            <v>JST CONNECTOR</v>
          </cell>
          <cell r="E262" t="str">
            <v>PACKARD</v>
          </cell>
          <cell r="F262" t="str">
            <v>JST</v>
          </cell>
          <cell r="H262">
            <v>0.90600000000000003</v>
          </cell>
        </row>
        <row r="263">
          <cell r="C263" t="str">
            <v>HITPB-27-ALM</v>
          </cell>
          <cell r="D263" t="str">
            <v>JST CONNECTOR    -    0.2747</v>
          </cell>
          <cell r="E263" t="str">
            <v>ALPHABET</v>
          </cell>
          <cell r="F263" t="str">
            <v>JST</v>
          </cell>
          <cell r="H263">
            <v>0.2747</v>
          </cell>
        </row>
        <row r="264">
          <cell r="C264" t="str">
            <v>HITPB-27-ALM</v>
          </cell>
          <cell r="D264" t="str">
            <v>Connector JST  HITPB-27-A-LM</v>
          </cell>
          <cell r="E264" t="str">
            <v>FURUKAWA</v>
          </cell>
          <cell r="H264">
            <v>0.2747</v>
          </cell>
        </row>
        <row r="265">
          <cell r="C265" t="str">
            <v>12mm Heat Shrink</v>
          </cell>
          <cell r="D265" t="str">
            <v>HEAT SHRINK TUBE 12MM OD</v>
          </cell>
          <cell r="E265" t="str">
            <v>NINGBO</v>
          </cell>
          <cell r="G265" t="str">
            <v>m</v>
          </cell>
          <cell r="H265">
            <v>0.5434782608695653</v>
          </cell>
        </row>
        <row r="266">
          <cell r="C266" t="str">
            <v>16mm Heat Shrink</v>
          </cell>
          <cell r="D266" t="str">
            <v>HEAT SHRINK TUBE 16MM OD</v>
          </cell>
          <cell r="E266" t="str">
            <v>NINGBO</v>
          </cell>
          <cell r="G266" t="str">
            <v>m</v>
          </cell>
          <cell r="H266">
            <v>0.67632850241545894</v>
          </cell>
        </row>
        <row r="267">
          <cell r="C267">
            <v>12186167</v>
          </cell>
          <cell r="D267" t="str">
            <v>HEAT SHRINK</v>
          </cell>
          <cell r="E267" t="str">
            <v>ACCESS</v>
          </cell>
          <cell r="F267" t="str">
            <v>PSG</v>
          </cell>
          <cell r="H267">
            <v>9.5200000000000007E-2</v>
          </cell>
        </row>
        <row r="268">
          <cell r="C268" t="str">
            <v>3M EPS300 - 14mm</v>
          </cell>
          <cell r="D268" t="str">
            <v>3M HEAT SHRINK - 3/8" * 14mm</v>
          </cell>
          <cell r="E268" t="str">
            <v>STERLING</v>
          </cell>
          <cell r="F268" t="str">
            <v>3M</v>
          </cell>
          <cell r="H268">
            <v>1.8239999999999999E-2</v>
          </cell>
        </row>
        <row r="269">
          <cell r="C269" t="str">
            <v>3M EPS300 - 16mm</v>
          </cell>
          <cell r="D269" t="str">
            <v>3M HEAT SHRINK - 3/8" * 16mm</v>
          </cell>
          <cell r="E269" t="str">
            <v>STERLING</v>
          </cell>
          <cell r="F269" t="str">
            <v>3M</v>
          </cell>
          <cell r="H269">
            <v>3.2000000000000001E-2</v>
          </cell>
        </row>
        <row r="270">
          <cell r="C270" t="str">
            <v>5FTW-203</v>
          </cell>
          <cell r="D270" t="str">
            <v>3M HEAT SHRINK</v>
          </cell>
          <cell r="E270" t="str">
            <v>PRECISION</v>
          </cell>
          <cell r="F270" t="str">
            <v>3M</v>
          </cell>
          <cell r="G270" t="str">
            <v>m</v>
          </cell>
          <cell r="H270">
            <v>1.1102799999999999</v>
          </cell>
        </row>
        <row r="271">
          <cell r="C271" t="str">
            <v>EPS300</v>
          </cell>
          <cell r="D271" t="str">
            <v>3M HEAT SHRINK 0.5" DIA</v>
          </cell>
          <cell r="E271" t="str">
            <v>TENATRONICS</v>
          </cell>
          <cell r="F271" t="str">
            <v>3M</v>
          </cell>
          <cell r="G271" t="str">
            <v>m</v>
          </cell>
          <cell r="H271">
            <v>3.18</v>
          </cell>
        </row>
        <row r="272">
          <cell r="C272" t="str">
            <v>EPS300</v>
          </cell>
          <cell r="D272" t="str">
            <v>BLACK HEAT SHRINK - 3/8"</v>
          </cell>
          <cell r="E272" t="str">
            <v>Sterling</v>
          </cell>
          <cell r="G272" t="str">
            <v>m</v>
          </cell>
          <cell r="H272">
            <v>2.2799999999999998</v>
          </cell>
        </row>
        <row r="273">
          <cell r="C273" t="str">
            <v>M2038007</v>
          </cell>
          <cell r="D273" t="str">
            <v>3/16" BLACK POLYFN HEATSHRINK</v>
          </cell>
          <cell r="E273" t="str">
            <v>PRECISION</v>
          </cell>
          <cell r="H273">
            <v>0.29519999999999996</v>
          </cell>
        </row>
        <row r="274">
          <cell r="C274" t="str">
            <v>414942-1</v>
          </cell>
          <cell r="D274" t="str">
            <v>414942-1    -    TYCO</v>
          </cell>
          <cell r="E274" t="str">
            <v>ACCESS</v>
          </cell>
          <cell r="F274" t="str">
            <v>TYCO</v>
          </cell>
          <cell r="H274">
            <v>0.08</v>
          </cell>
        </row>
        <row r="275">
          <cell r="C275" t="str">
            <v>M34BULK105CRNF1</v>
          </cell>
          <cell r="D275" t="str">
            <v>BLACK HEAT SHRINK</v>
          </cell>
          <cell r="E275" t="str">
            <v>QC Onics</v>
          </cell>
          <cell r="G275" t="str">
            <v>m</v>
          </cell>
          <cell r="H275">
            <v>1.1399999999999999</v>
          </cell>
        </row>
        <row r="276">
          <cell r="C276" t="str">
            <v>28GA PVC WHITE</v>
          </cell>
          <cell r="D276" t="str">
            <v>28GA PVC  WHITE    -    28GA, PVC, PB FREE, WHITE</v>
          </cell>
          <cell r="E276" t="str">
            <v>QC ONICS</v>
          </cell>
          <cell r="G276" t="str">
            <v>m</v>
          </cell>
          <cell r="H276">
            <v>2.2040000000000001E-2</v>
          </cell>
        </row>
        <row r="277">
          <cell r="C277" t="str">
            <v>28GA PVC BLUE</v>
          </cell>
          <cell r="D277" t="str">
            <v>28GA PVC BLUE   -    28GA, PVC, PB FREE, BLUE</v>
          </cell>
          <cell r="E277" t="str">
            <v>QC ONICS</v>
          </cell>
          <cell r="G277" t="str">
            <v>m</v>
          </cell>
          <cell r="H277">
            <v>2.214E-2</v>
          </cell>
        </row>
        <row r="278">
          <cell r="C278" t="str">
            <v>26GA PVC BLUE</v>
          </cell>
          <cell r="D278" t="str">
            <v>26GA PVC WHITE    -    26GA TINNED, PVC, PB FREE, WHITE</v>
          </cell>
          <cell r="E278" t="str">
            <v>QC ONICS</v>
          </cell>
          <cell r="G278" t="str">
            <v>m</v>
          </cell>
          <cell r="H278">
            <v>1.5810000000000001E-2</v>
          </cell>
        </row>
        <row r="279">
          <cell r="C279" t="str">
            <v>26GA PVC WHITE</v>
          </cell>
          <cell r="D279" t="str">
            <v>26GA PVC BLUE    -    26GA TINNED, PVC, PB FREE, BLUE</v>
          </cell>
          <cell r="E279" t="str">
            <v>QC ONICS</v>
          </cell>
          <cell r="G279" t="str">
            <v>m</v>
          </cell>
          <cell r="H279">
            <v>2.496E-2</v>
          </cell>
        </row>
        <row r="280">
          <cell r="C280">
            <v>12047664</v>
          </cell>
          <cell r="D280" t="str">
            <v xml:space="preserve">  TPA 1204-7664</v>
          </cell>
          <cell r="E280" t="str">
            <v>FURUKAWA</v>
          </cell>
          <cell r="H280">
            <v>2.0899999999999998E-2</v>
          </cell>
        </row>
        <row r="281">
          <cell r="C281">
            <v>15317368</v>
          </cell>
          <cell r="D281" t="str">
            <v>LOCK TPA GT 150 - ESTIMATE</v>
          </cell>
          <cell r="E281" t="str">
            <v>PACKARD</v>
          </cell>
          <cell r="F281" t="str">
            <v>PACKARD</v>
          </cell>
          <cell r="H281">
            <v>0.08</v>
          </cell>
        </row>
        <row r="282">
          <cell r="C282">
            <v>12047665</v>
          </cell>
          <cell r="D282" t="str">
            <v>PSG LOCK    -    0.0226</v>
          </cell>
          <cell r="E282" t="str">
            <v>ALPHABET</v>
          </cell>
          <cell r="F282" t="str">
            <v>PSG</v>
          </cell>
          <cell r="H282">
            <v>2.2599999999999999E-2</v>
          </cell>
        </row>
        <row r="283">
          <cell r="C283">
            <v>12047665</v>
          </cell>
          <cell r="D283" t="str">
            <v xml:space="preserve">  TPA 1204-7665</v>
          </cell>
          <cell r="E283" t="str">
            <v>FURUKAWA</v>
          </cell>
          <cell r="H283">
            <v>2.5399999999999999E-2</v>
          </cell>
        </row>
        <row r="284">
          <cell r="C284">
            <v>15336071</v>
          </cell>
          <cell r="D284" t="str">
            <v>LOCK - COST ESTIMATE</v>
          </cell>
          <cell r="E284" t="str">
            <v>PACKARD</v>
          </cell>
          <cell r="F284" t="str">
            <v>PACKARD</v>
          </cell>
          <cell r="H284">
            <v>0.06</v>
          </cell>
        </row>
        <row r="285">
          <cell r="C285">
            <v>12047783</v>
          </cell>
          <cell r="D285" t="str">
            <v>PACKARD TPA</v>
          </cell>
          <cell r="E285" t="str">
            <v>ACCESS</v>
          </cell>
          <cell r="F285" t="str">
            <v>PSG</v>
          </cell>
          <cell r="H285">
            <v>2.0899999999999998E-2</v>
          </cell>
        </row>
        <row r="286">
          <cell r="C286">
            <v>12047784</v>
          </cell>
          <cell r="D286" t="str">
            <v>TPA 3W ESTIMATE</v>
          </cell>
          <cell r="H286">
            <v>0.03</v>
          </cell>
        </row>
        <row r="287">
          <cell r="C287">
            <v>15467623</v>
          </cell>
          <cell r="D287" t="str">
            <v>LOCK TPA COMB ESTIMATE</v>
          </cell>
          <cell r="F287" t="str">
            <v>PACKARD</v>
          </cell>
          <cell r="H287">
            <v>2.5000000000000001E-2</v>
          </cell>
        </row>
        <row r="288">
          <cell r="C288">
            <v>12129940</v>
          </cell>
          <cell r="D288" t="str">
            <v>TPA ESTIMATE</v>
          </cell>
          <cell r="F288" t="str">
            <v>PACKARD</v>
          </cell>
          <cell r="H288">
            <v>0.02</v>
          </cell>
        </row>
        <row r="289">
          <cell r="C289">
            <v>15418545</v>
          </cell>
          <cell r="D289" t="str">
            <v>3W TPA GT 150 ESTIMATE</v>
          </cell>
          <cell r="H289">
            <v>7.0000000000000007E-2</v>
          </cell>
        </row>
        <row r="290">
          <cell r="C290">
            <v>15326238</v>
          </cell>
          <cell r="D290" t="str">
            <v>2W TPA M/P 150 ESTIMATE</v>
          </cell>
          <cell r="H290">
            <v>0.05</v>
          </cell>
        </row>
        <row r="291">
          <cell r="C291">
            <v>15336006</v>
          </cell>
          <cell r="D291" t="str">
            <v>2W PLR ESTIMATE</v>
          </cell>
          <cell r="H291">
            <v>0.04</v>
          </cell>
        </row>
        <row r="292">
          <cell r="C292">
            <v>15463209</v>
          </cell>
          <cell r="D292" t="str">
            <v>4W TPA ESTIMATE</v>
          </cell>
          <cell r="H292">
            <v>0.03</v>
          </cell>
        </row>
        <row r="293">
          <cell r="C293">
            <v>15463215</v>
          </cell>
          <cell r="D293" t="str">
            <v>LOCK RETAINER SEAL ESTIMATE</v>
          </cell>
          <cell r="H293">
            <v>0.2</v>
          </cell>
        </row>
        <row r="294">
          <cell r="C294">
            <v>15463213</v>
          </cell>
          <cell r="D294" t="str">
            <v>3W PLR ESTIMATE</v>
          </cell>
          <cell r="H294">
            <v>0.05</v>
          </cell>
        </row>
        <row r="295">
          <cell r="C295">
            <v>15305024</v>
          </cell>
          <cell r="D295" t="str">
            <v>2W TPA GT 150 ESTIMATE</v>
          </cell>
          <cell r="G295" t="str">
            <v xml:space="preserve"> </v>
          </cell>
          <cell r="H295">
            <v>0.03</v>
          </cell>
        </row>
        <row r="296">
          <cell r="C296">
            <v>15441821</v>
          </cell>
          <cell r="D296" t="str">
            <v>LOCK TPA M/P 150 ESTIMATE</v>
          </cell>
          <cell r="H296">
            <v>0.02</v>
          </cell>
        </row>
        <row r="297">
          <cell r="C297">
            <v>12146475</v>
          </cell>
          <cell r="D297" t="str">
            <v>LOCK TPA M/P 280 ESTIMATE</v>
          </cell>
          <cell r="H297">
            <v>0.08</v>
          </cell>
        </row>
        <row r="298">
          <cell r="C298">
            <v>12059111</v>
          </cell>
          <cell r="D298" t="str">
            <v>LOCK TPA M/P 150 ESTIMATE</v>
          </cell>
          <cell r="H298">
            <v>0.02</v>
          </cell>
        </row>
        <row r="299">
          <cell r="C299">
            <v>15304813</v>
          </cell>
          <cell r="D299" t="str">
            <v>TPA M/P 280 ESTIMATE</v>
          </cell>
          <cell r="H299">
            <v>0.02</v>
          </cell>
        </row>
        <row r="300">
          <cell r="C300">
            <v>12047787</v>
          </cell>
          <cell r="D300" t="str">
            <v xml:space="preserve">  TPA 1204-7787</v>
          </cell>
          <cell r="E300" t="str">
            <v>FURUKAWA</v>
          </cell>
          <cell r="H300">
            <v>2.8299999999999999E-2</v>
          </cell>
        </row>
        <row r="301">
          <cell r="C301">
            <v>12052446</v>
          </cell>
          <cell r="D301" t="str">
            <v xml:space="preserve">  TPA 1205-2446</v>
          </cell>
          <cell r="E301" t="str">
            <v>FURUKAWA</v>
          </cell>
          <cell r="H301">
            <v>0.19539999999999999</v>
          </cell>
        </row>
        <row r="302">
          <cell r="C302">
            <v>12059801</v>
          </cell>
          <cell r="D302" t="str">
            <v xml:space="preserve">  TPA 1205-9801</v>
          </cell>
          <cell r="E302" t="str">
            <v>FURUKAWA</v>
          </cell>
          <cell r="H302">
            <v>3.2199999999999999E-2</v>
          </cell>
        </row>
        <row r="303">
          <cell r="C303">
            <v>12059969</v>
          </cell>
          <cell r="D303" t="str">
            <v xml:space="preserve">  TPA 1205-9969</v>
          </cell>
          <cell r="E303" t="str">
            <v>FURUKAWA</v>
          </cell>
          <cell r="H303">
            <v>8.5400000000000004E-2</v>
          </cell>
        </row>
        <row r="304">
          <cell r="C304">
            <v>12064765</v>
          </cell>
          <cell r="D304" t="str">
            <v>PACKARD TPA</v>
          </cell>
          <cell r="E304" t="str">
            <v>PCM</v>
          </cell>
          <cell r="F304" t="str">
            <v>PSG</v>
          </cell>
          <cell r="H304">
            <v>0.04</v>
          </cell>
        </row>
        <row r="305">
          <cell r="C305">
            <v>12064772</v>
          </cell>
          <cell r="D305" t="str">
            <v>PACKARD TPA</v>
          </cell>
          <cell r="E305" t="str">
            <v>ALPHABET</v>
          </cell>
          <cell r="F305" t="str">
            <v>PSG</v>
          </cell>
          <cell r="H305">
            <v>2.01E-2</v>
          </cell>
        </row>
        <row r="306">
          <cell r="C306">
            <v>12064863</v>
          </cell>
          <cell r="D306" t="str">
            <v xml:space="preserve">  TPA 1206-4863</v>
          </cell>
          <cell r="E306" t="str">
            <v>FURUKAWA</v>
          </cell>
          <cell r="H306">
            <v>5.2900000000000003E-2</v>
          </cell>
        </row>
        <row r="307">
          <cell r="C307">
            <v>12124264</v>
          </cell>
          <cell r="D307" t="str">
            <v>PACKARD LOCK</v>
          </cell>
          <cell r="E307" t="str">
            <v>PRECISION</v>
          </cell>
          <cell r="F307" t="str">
            <v>PSG</v>
          </cell>
          <cell r="H307">
            <v>4.4999999999999998E-2</v>
          </cell>
        </row>
        <row r="308">
          <cell r="C308">
            <v>12064764</v>
          </cell>
          <cell r="D308" t="str">
            <v>TPA 6F ESTIMATE</v>
          </cell>
          <cell r="H308">
            <v>0.04</v>
          </cell>
        </row>
        <row r="309">
          <cell r="C309">
            <v>12176368</v>
          </cell>
          <cell r="D309" t="str">
            <v>TPA</v>
          </cell>
          <cell r="E309" t="str">
            <v>DPI</v>
          </cell>
          <cell r="H309">
            <v>4.3299999999999998E-2</v>
          </cell>
        </row>
        <row r="310">
          <cell r="C310">
            <v>12045690</v>
          </cell>
          <cell r="D310" t="str">
            <v>PACKARD TPA</v>
          </cell>
          <cell r="E310" t="str">
            <v>ACCESS</v>
          </cell>
          <cell r="F310" t="str">
            <v>PACKARD</v>
          </cell>
          <cell r="H310">
            <v>2.06E-2</v>
          </cell>
        </row>
        <row r="311">
          <cell r="C311">
            <v>15336855</v>
          </cell>
          <cell r="D311" t="str">
            <v>TPA ESTIMATE</v>
          </cell>
          <cell r="H311">
            <v>0.09</v>
          </cell>
        </row>
        <row r="312">
          <cell r="C312">
            <v>15317326</v>
          </cell>
          <cell r="D312" t="str">
            <v xml:space="preserve">  TPA 1531-7326</v>
          </cell>
          <cell r="E312" t="str">
            <v>FURUKAWA</v>
          </cell>
          <cell r="H312">
            <v>7.1499999999999994E-2</v>
          </cell>
        </row>
        <row r="313">
          <cell r="C313">
            <v>15317326</v>
          </cell>
          <cell r="D313" t="str">
            <v xml:space="preserve">  TPA 1531-7326</v>
          </cell>
          <cell r="E313" t="str">
            <v>FURUKAWA</v>
          </cell>
          <cell r="H313">
            <v>7.1499999999999994E-2</v>
          </cell>
        </row>
        <row r="314">
          <cell r="C314">
            <v>15324070</v>
          </cell>
          <cell r="D314" t="str">
            <v>PACKARD TPA 15324070</v>
          </cell>
          <cell r="E314" t="str">
            <v>FURUKAWA</v>
          </cell>
          <cell r="F314" t="str">
            <v>PSG</v>
          </cell>
          <cell r="H314">
            <v>3.0300000000000001E-2</v>
          </cell>
        </row>
        <row r="315">
          <cell r="C315">
            <v>15383338</v>
          </cell>
          <cell r="D315" t="str">
            <v xml:space="preserve">  TPA Molex 73838-005</v>
          </cell>
          <cell r="E315" t="str">
            <v>FURUKAWA</v>
          </cell>
          <cell r="H315">
            <v>0.19500000000000001</v>
          </cell>
        </row>
        <row r="316">
          <cell r="C316">
            <v>15393434</v>
          </cell>
          <cell r="D316" t="str">
            <v>TPA MIC/P 064</v>
          </cell>
          <cell r="E316" t="str">
            <v>PACKARD</v>
          </cell>
          <cell r="F316" t="str">
            <v>PACKARD</v>
          </cell>
          <cell r="H316">
            <v>3.0499999999999999E-2</v>
          </cell>
        </row>
        <row r="317">
          <cell r="C317">
            <v>15393434</v>
          </cell>
          <cell r="D317" t="str">
            <v xml:space="preserve">  TPA 1539-3434</v>
          </cell>
          <cell r="E317" t="str">
            <v>PRECISION</v>
          </cell>
          <cell r="F317" t="str">
            <v>PSG</v>
          </cell>
          <cell r="H317">
            <v>5.1799999999999999E-2</v>
          </cell>
        </row>
        <row r="318">
          <cell r="C318">
            <v>15393434</v>
          </cell>
          <cell r="D318" t="str">
            <v xml:space="preserve">  TPA 1539-3434</v>
          </cell>
          <cell r="E318" t="str">
            <v>FURUKAWA</v>
          </cell>
          <cell r="H318">
            <v>0.06</v>
          </cell>
        </row>
        <row r="319">
          <cell r="C319">
            <v>15393434</v>
          </cell>
          <cell r="D319" t="str">
            <v xml:space="preserve">  TPA 1539-3434</v>
          </cell>
          <cell r="E319" t="str">
            <v>FURUKAWA</v>
          </cell>
          <cell r="H319">
            <v>0.06</v>
          </cell>
        </row>
        <row r="320">
          <cell r="C320">
            <v>15484552</v>
          </cell>
          <cell r="D320" t="str">
            <v>N/A LOCK  -  0.202</v>
          </cell>
          <cell r="F320" t="str">
            <v>N/A</v>
          </cell>
          <cell r="H320">
            <v>0.20200000000000001</v>
          </cell>
        </row>
        <row r="321">
          <cell r="C321">
            <v>25358665</v>
          </cell>
          <cell r="D321" t="str">
            <v>TPA</v>
          </cell>
          <cell r="E321" t="str">
            <v>LEONI</v>
          </cell>
          <cell r="F321" t="str">
            <v>BOSCH</v>
          </cell>
          <cell r="H321">
            <v>4.0194000000000001E-2</v>
          </cell>
        </row>
        <row r="322">
          <cell r="C322">
            <v>12047838</v>
          </cell>
          <cell r="D322" t="str">
            <v>TPA 18F ESTIMATE</v>
          </cell>
          <cell r="F322" t="str">
            <v>PACKARD</v>
          </cell>
          <cell r="H322">
            <v>0.05</v>
          </cell>
        </row>
        <row r="323">
          <cell r="C323">
            <v>12047841</v>
          </cell>
          <cell r="D323" t="str">
            <v>TPA 13W ESTIMATE</v>
          </cell>
          <cell r="F323" t="str">
            <v>PACKARD</v>
          </cell>
          <cell r="H323">
            <v>0.02</v>
          </cell>
        </row>
        <row r="324">
          <cell r="C324">
            <v>738380005</v>
          </cell>
          <cell r="D324" t="str">
            <v>Molex LOCK    -    0.122</v>
          </cell>
          <cell r="E324" t="str">
            <v>ALPHABET</v>
          </cell>
          <cell r="F324" t="str">
            <v>Molex</v>
          </cell>
          <cell r="H324">
            <v>0.122</v>
          </cell>
        </row>
        <row r="325">
          <cell r="C325" t="str">
            <v>12160480 - DPI</v>
          </cell>
          <cell r="D325" t="str">
            <v>Lock piece (Power and Signal)</v>
          </cell>
          <cell r="E325" t="str">
            <v>DPI</v>
          </cell>
          <cell r="F325" t="str">
            <v>PSG</v>
          </cell>
          <cell r="H325">
            <v>3.1E-2</v>
          </cell>
        </row>
        <row r="326">
          <cell r="C326" t="str">
            <v>73838-0003</v>
          </cell>
          <cell r="D326" t="str">
            <v>3W MOLEX TPA ESTIMATE</v>
          </cell>
          <cell r="H326">
            <v>0.02</v>
          </cell>
        </row>
        <row r="327">
          <cell r="C327">
            <v>15423279</v>
          </cell>
          <cell r="D327" t="str">
            <v>CONN 2F LOCK ESTIMATE</v>
          </cell>
          <cell r="F327" t="str">
            <v>PACKARD</v>
          </cell>
          <cell r="H327">
            <v>1.4E-2</v>
          </cell>
        </row>
        <row r="328">
          <cell r="C328">
            <v>15467580</v>
          </cell>
          <cell r="D328" t="str">
            <v>CONN LOCK HANDLE ESTIMATE</v>
          </cell>
          <cell r="F328" t="str">
            <v>PACKARD</v>
          </cell>
          <cell r="H328">
            <v>0.11</v>
          </cell>
        </row>
        <row r="329">
          <cell r="C329">
            <v>15423276</v>
          </cell>
          <cell r="D329" t="str">
            <v>CPA 2F ESTIMATE</v>
          </cell>
          <cell r="F329" t="str">
            <v>PACKARD</v>
          </cell>
          <cell r="H329">
            <v>0.04</v>
          </cell>
        </row>
        <row r="330">
          <cell r="C330">
            <v>15423278</v>
          </cell>
          <cell r="D330" t="str">
            <v>TPA 2F ESTIMATE</v>
          </cell>
          <cell r="F330" t="str">
            <v>PACKARD</v>
          </cell>
          <cell r="H330">
            <v>0.03</v>
          </cell>
        </row>
        <row r="331">
          <cell r="C331">
            <v>12186737</v>
          </cell>
          <cell r="D331" t="str">
            <v>TPA M/P 150 ESTIMATE</v>
          </cell>
          <cell r="H331">
            <v>0.04</v>
          </cell>
        </row>
        <row r="332">
          <cell r="C332" t="str">
            <v>7383-8005</v>
          </cell>
          <cell r="D332" t="str">
            <v xml:space="preserve">  TPA Molex 73838-005</v>
          </cell>
          <cell r="E332" t="str">
            <v>FURUKAWA</v>
          </cell>
          <cell r="H332">
            <v>0.19500000000000001</v>
          </cell>
        </row>
        <row r="333">
          <cell r="C333">
            <v>12048086</v>
          </cell>
          <cell r="D333" t="str">
            <v>PACKARD WIRE SEAL</v>
          </cell>
          <cell r="E333" t="str">
            <v>PRECISION</v>
          </cell>
          <cell r="F333" t="str">
            <v>PSG</v>
          </cell>
          <cell r="H333">
            <v>2.06E-2</v>
          </cell>
        </row>
        <row r="334">
          <cell r="C334">
            <v>25336487</v>
          </cell>
          <cell r="D334" t="str">
            <v>cable seals</v>
          </cell>
          <cell r="E334" t="str">
            <v>WAGNER</v>
          </cell>
          <cell r="F334" t="str">
            <v>AMP</v>
          </cell>
          <cell r="H334">
            <v>6.0000000000000001E-3</v>
          </cell>
        </row>
        <row r="335">
          <cell r="C335">
            <v>25351719</v>
          </cell>
          <cell r="D335" t="str">
            <v>connector seal</v>
          </cell>
          <cell r="E335" t="str">
            <v>LEONI</v>
          </cell>
          <cell r="F335" t="str">
            <v>BOSCH</v>
          </cell>
          <cell r="H335">
            <v>0.112896</v>
          </cell>
        </row>
        <row r="336">
          <cell r="C336">
            <v>25358711</v>
          </cell>
          <cell r="D336" t="str">
            <v>CONNECTOR_SEAL</v>
          </cell>
          <cell r="E336" t="str">
            <v>UNUVAR</v>
          </cell>
          <cell r="F336" t="str">
            <v>BOSCH</v>
          </cell>
          <cell r="H336">
            <v>0.17640000000000003</v>
          </cell>
        </row>
        <row r="337">
          <cell r="C337">
            <v>12184970</v>
          </cell>
          <cell r="D337" t="str">
            <v>TYCO CABLE SEALS</v>
          </cell>
          <cell r="E337" t="str">
            <v>ACCESS</v>
          </cell>
          <cell r="F337" t="str">
            <v>TYCO</v>
          </cell>
          <cell r="H337">
            <v>1.0916666666666667E-2</v>
          </cell>
        </row>
        <row r="338">
          <cell r="C338" t="str">
            <v>25322732 - DPI</v>
          </cell>
          <cell r="D338" t="str">
            <v>4 hole viton seal (QSR)</v>
          </cell>
          <cell r="E338" t="str">
            <v>DPI</v>
          </cell>
          <cell r="F338" t="str">
            <v>QSR</v>
          </cell>
          <cell r="H338">
            <v>0.1041</v>
          </cell>
        </row>
        <row r="339">
          <cell r="C339" t="str">
            <v>25375246 - DPI</v>
          </cell>
          <cell r="D339" t="str">
            <v>Silicon based rubber  cable seals (NTI)</v>
          </cell>
          <cell r="E339" t="str">
            <v>DPI</v>
          </cell>
          <cell r="F339" t="str">
            <v>NTI</v>
          </cell>
          <cell r="H339">
            <v>1.2E-2</v>
          </cell>
        </row>
        <row r="340">
          <cell r="C340" t="str">
            <v>7B58-3070-80</v>
          </cell>
          <cell r="D340" t="str">
            <v>Yazaki SEAL    -    0.02</v>
          </cell>
          <cell r="F340" t="str">
            <v>Yazaki</v>
          </cell>
          <cell r="H340">
            <v>0.02</v>
          </cell>
        </row>
        <row r="341">
          <cell r="C341" t="str">
            <v>FOAM TAPE</v>
          </cell>
          <cell r="D341" t="str">
            <v>32mm x 5.5mm FOAM TAPE</v>
          </cell>
          <cell r="E341" t="str">
            <v>STERLING</v>
          </cell>
          <cell r="G341" t="str">
            <v>m</v>
          </cell>
          <cell r="H341">
            <v>0.27129999999999999</v>
          </cell>
        </row>
        <row r="342">
          <cell r="C342" t="str">
            <v>FOAM TAPE</v>
          </cell>
          <cell r="D342" t="str">
            <v>32mm x 5.5mm FOAM TAPE</v>
          </cell>
          <cell r="E342" t="str">
            <v>QC ONICS</v>
          </cell>
          <cell r="G342" t="str">
            <v>m</v>
          </cell>
          <cell r="H342">
            <v>0.30831999999999998</v>
          </cell>
        </row>
        <row r="343">
          <cell r="C343" t="str">
            <v>FOAM TAPE</v>
          </cell>
          <cell r="D343" t="str">
            <v>QC ONICS FOAM TAPE</v>
          </cell>
          <cell r="E343" t="str">
            <v>QC ONICS</v>
          </cell>
          <cell r="F343" t="str">
            <v>FOAMADE</v>
          </cell>
          <cell r="G343" t="str">
            <v>m</v>
          </cell>
          <cell r="H343">
            <v>0.37391999999999997</v>
          </cell>
        </row>
        <row r="344">
          <cell r="C344" t="str">
            <v>4002-0018</v>
          </cell>
          <cell r="D344" t="str">
            <v>SUMITOMO CUSHION FOAM TAPE</v>
          </cell>
          <cell r="E344" t="str">
            <v>ACCESS</v>
          </cell>
          <cell r="F344" t="str">
            <v>SUMITOMO</v>
          </cell>
          <cell r="G344" t="str">
            <v>m</v>
          </cell>
          <cell r="H344">
            <v>5.1200000000000002E-2</v>
          </cell>
        </row>
        <row r="345">
          <cell r="C345" t="str">
            <v>M0537301</v>
          </cell>
          <cell r="D345" t="str">
            <v>SPLICE TAPE BLK</v>
          </cell>
          <cell r="E345" t="str">
            <v>PACKARD</v>
          </cell>
          <cell r="F345" t="str">
            <v>PACKARD</v>
          </cell>
          <cell r="G345" t="str">
            <v>m</v>
          </cell>
          <cell r="H345">
            <v>7.1999999999999995E-2</v>
          </cell>
        </row>
        <row r="346">
          <cell r="C346" t="str">
            <v>M2148001</v>
          </cell>
          <cell r="D346" t="str">
            <v>19mm PVC TAPE</v>
          </cell>
          <cell r="E346" t="str">
            <v>ACCESS</v>
          </cell>
          <cell r="F346" t="str">
            <v>TESSA</v>
          </cell>
          <cell r="G346" t="str">
            <v>m</v>
          </cell>
          <cell r="H346">
            <v>3.2800000000000003E-2</v>
          </cell>
        </row>
        <row r="347">
          <cell r="C347" t="str">
            <v>M2147021</v>
          </cell>
          <cell r="D347" t="str">
            <v>TAPE VINYL PRESSURE BLK</v>
          </cell>
          <cell r="E347" t="str">
            <v>PACKARD</v>
          </cell>
          <cell r="F347" t="str">
            <v>PACKARD</v>
          </cell>
          <cell r="G347" t="str">
            <v>m</v>
          </cell>
          <cell r="H347">
            <v>3.1E-2</v>
          </cell>
        </row>
        <row r="348">
          <cell r="C348" t="str">
            <v>M537401</v>
          </cell>
          <cell r="D348" t="str">
            <v>Tyco TAPE    -    0.0149</v>
          </cell>
          <cell r="E348" t="str">
            <v>ALPHABET</v>
          </cell>
          <cell r="F348" t="str">
            <v>Tyco</v>
          </cell>
          <cell r="G348" t="str">
            <v>ft</v>
          </cell>
          <cell r="H348">
            <v>1.49E-2</v>
          </cell>
        </row>
        <row r="349">
          <cell r="C349" t="str">
            <v>PVC TAPE</v>
          </cell>
          <cell r="D349" t="str">
            <v>Black PVC Tape 16mm</v>
          </cell>
          <cell r="E349" t="str">
            <v>ALPHABET</v>
          </cell>
          <cell r="F349" t="str">
            <v>Plymouth Rubber</v>
          </cell>
          <cell r="G349" t="str">
            <v>m</v>
          </cell>
          <cell r="H349">
            <v>2.46E-2</v>
          </cell>
        </row>
        <row r="350">
          <cell r="C350" t="str">
            <v>TEAR TAPE</v>
          </cell>
          <cell r="D350" t="str">
            <v>PAPER TEAR TAPE 0.5"</v>
          </cell>
          <cell r="E350" t="str">
            <v>ALPHABET</v>
          </cell>
          <cell r="F350" t="str">
            <v>National Paper</v>
          </cell>
          <cell r="G350" t="str">
            <v>m</v>
          </cell>
          <cell r="H350">
            <v>2.3E-2</v>
          </cell>
        </row>
        <row r="351">
          <cell r="C351" t="str">
            <v>COTTON TAPE</v>
          </cell>
          <cell r="D351" t="str">
            <v>M2386004 -  COTTON FLOCKED TAPE</v>
          </cell>
          <cell r="E351" t="str">
            <v>ACCESS</v>
          </cell>
          <cell r="G351" t="str">
            <v>m</v>
          </cell>
          <cell r="H351">
            <v>0.10824</v>
          </cell>
        </row>
        <row r="352">
          <cell r="C352" t="str">
            <v>TEAR TAPE - STERLING</v>
          </cell>
          <cell r="D352" t="str">
            <v>YELLOW TEAR TAPE</v>
          </cell>
          <cell r="E352" t="str">
            <v>STERLING</v>
          </cell>
          <cell r="H352">
            <v>0.01</v>
          </cell>
        </row>
        <row r="353">
          <cell r="C353">
            <v>12047581</v>
          </cell>
          <cell r="D353" t="str">
            <v>PACKARD TERMINAL</v>
          </cell>
          <cell r="E353" t="str">
            <v>FURUKAWA</v>
          </cell>
          <cell r="F353" t="str">
            <v>PSG</v>
          </cell>
          <cell r="H353">
            <v>1.6E-2</v>
          </cell>
        </row>
        <row r="354">
          <cell r="C354">
            <v>12047581</v>
          </cell>
          <cell r="D354" t="str">
            <v>PACKARD TERMINAL</v>
          </cell>
          <cell r="E354" t="str">
            <v>FURUKAWA</v>
          </cell>
          <cell r="F354" t="str">
            <v>PSG</v>
          </cell>
          <cell r="H354">
            <v>1.6E-2</v>
          </cell>
        </row>
        <row r="355">
          <cell r="C355">
            <v>12047767</v>
          </cell>
          <cell r="D355" t="str">
            <v>PACKARD TERMINAL</v>
          </cell>
          <cell r="E355" t="str">
            <v>PCM</v>
          </cell>
          <cell r="F355" t="str">
            <v>PSG</v>
          </cell>
          <cell r="H355">
            <v>1.7000000000000001E-2</v>
          </cell>
        </row>
        <row r="356">
          <cell r="C356">
            <v>12059894</v>
          </cell>
          <cell r="D356" t="str">
            <v>Terminal 1205-9894</v>
          </cell>
          <cell r="E356" t="str">
            <v>FURUKAWA</v>
          </cell>
          <cell r="H356">
            <v>1.7600000000000001E-2</v>
          </cell>
        </row>
        <row r="357">
          <cell r="C357">
            <v>12059894</v>
          </cell>
          <cell r="D357" t="str">
            <v>PACKARD TERMINAL</v>
          </cell>
          <cell r="E357" t="str">
            <v>PCM</v>
          </cell>
          <cell r="F357" t="str">
            <v>PSG</v>
          </cell>
          <cell r="H357">
            <v>2.1000000000000001E-2</v>
          </cell>
        </row>
        <row r="358">
          <cell r="C358">
            <v>12064971</v>
          </cell>
          <cell r="D358" t="str">
            <v>TERMINAL 12064971</v>
          </cell>
          <cell r="E358" t="str">
            <v>QC ONICS</v>
          </cell>
          <cell r="F358" t="str">
            <v>PACKARD</v>
          </cell>
          <cell r="H358">
            <v>1.32E-2</v>
          </cell>
        </row>
        <row r="359">
          <cell r="C359">
            <v>12064971</v>
          </cell>
          <cell r="D359" t="str">
            <v>Terminal 1206-4971</v>
          </cell>
          <cell r="E359" t="str">
            <v>FURUKAWA</v>
          </cell>
          <cell r="H359">
            <v>1.49E-2</v>
          </cell>
        </row>
        <row r="360">
          <cell r="C360">
            <v>12089660</v>
          </cell>
          <cell r="D360" t="str">
            <v>PACKARD TERMINAL 12089660</v>
          </cell>
          <cell r="E360" t="str">
            <v>FURUKAWA</v>
          </cell>
          <cell r="F360" t="str">
            <v>PSG</v>
          </cell>
          <cell r="H360">
            <v>1.8499999999999999E-2</v>
          </cell>
        </row>
        <row r="361">
          <cell r="C361">
            <v>12089823</v>
          </cell>
          <cell r="D361" t="str">
            <v>FUSE TERMINAL ESTIMATE</v>
          </cell>
          <cell r="H361">
            <v>1.4999999999999999E-2</v>
          </cell>
        </row>
        <row r="362">
          <cell r="C362">
            <v>12103019</v>
          </cell>
          <cell r="D362" t="str">
            <v>MOLEX TERMINAL</v>
          </cell>
          <cell r="E362" t="str">
            <v>ACCESS</v>
          </cell>
          <cell r="F362" t="str">
            <v>MOLEX</v>
          </cell>
          <cell r="H362">
            <v>1.2E-2</v>
          </cell>
        </row>
        <row r="363">
          <cell r="C363">
            <v>12162596</v>
          </cell>
          <cell r="D363" t="str">
            <v>PACKARD TERMINAL</v>
          </cell>
          <cell r="E363" t="str">
            <v>PRECISION</v>
          </cell>
          <cell r="F363" t="str">
            <v>PACKARD</v>
          </cell>
          <cell r="H363">
            <v>1.2E-2</v>
          </cell>
        </row>
        <row r="364">
          <cell r="C364">
            <v>12110843</v>
          </cell>
          <cell r="D364" t="str">
            <v>TERM F M/P 280</v>
          </cell>
          <cell r="E364" t="str">
            <v>PACKARD</v>
          </cell>
          <cell r="F364" t="str">
            <v>PACKARD</v>
          </cell>
          <cell r="H364">
            <v>8.1890000000000001E-3</v>
          </cell>
        </row>
        <row r="365">
          <cell r="C365">
            <v>12129361</v>
          </cell>
          <cell r="D365" t="str">
            <v>TERM F MIC/P 064</v>
          </cell>
          <cell r="E365" t="str">
            <v>PACKARD</v>
          </cell>
          <cell r="F365" t="str">
            <v>PACKARD</v>
          </cell>
          <cell r="H365">
            <v>7.3000000000000001E-3</v>
          </cell>
        </row>
        <row r="366">
          <cell r="C366">
            <v>12129361</v>
          </cell>
          <cell r="D366" t="str">
            <v>PACKARD TERMINAL</v>
          </cell>
          <cell r="E366" t="str">
            <v>PRECISION</v>
          </cell>
          <cell r="F366" t="str">
            <v>PSG</v>
          </cell>
          <cell r="H366">
            <v>4.2000000000000003E-2</v>
          </cell>
        </row>
        <row r="367">
          <cell r="C367">
            <v>12129361</v>
          </cell>
          <cell r="D367" t="str">
            <v>Terminal 1212-9361</v>
          </cell>
          <cell r="E367" t="str">
            <v>FURUKAWA</v>
          </cell>
          <cell r="H367">
            <v>0.1326</v>
          </cell>
        </row>
        <row r="368">
          <cell r="C368">
            <v>12146447</v>
          </cell>
          <cell r="D368" t="str">
            <v>Terminal 1214-6447</v>
          </cell>
          <cell r="E368" t="str">
            <v>FURUKAWA</v>
          </cell>
          <cell r="H368">
            <v>0.02</v>
          </cell>
        </row>
        <row r="369">
          <cell r="C369">
            <v>12186247</v>
          </cell>
          <cell r="D369" t="str">
            <v>770904-1   -   AMP TERMINAL</v>
          </cell>
          <cell r="E369" t="str">
            <v>ACCESS</v>
          </cell>
          <cell r="F369" t="str">
            <v>AMP</v>
          </cell>
          <cell r="H369">
            <v>1.7999999999999999E-2</v>
          </cell>
        </row>
        <row r="370">
          <cell r="C370">
            <v>12186247</v>
          </cell>
          <cell r="D370" t="str">
            <v>770904-1   -   AMP TERMINAL</v>
          </cell>
          <cell r="E370" t="str">
            <v>QC ONICS</v>
          </cell>
          <cell r="F370" t="str">
            <v>AMP</v>
          </cell>
          <cell r="H370">
            <v>1.9099999999999999E-2</v>
          </cell>
        </row>
        <row r="371">
          <cell r="C371">
            <v>12191133</v>
          </cell>
          <cell r="D371" t="str">
            <v>Terminal 1219-1133</v>
          </cell>
          <cell r="E371" t="str">
            <v>FURUKAWA</v>
          </cell>
          <cell r="H371">
            <v>1.6199999999999999E-2</v>
          </cell>
        </row>
        <row r="372">
          <cell r="C372">
            <v>12191136</v>
          </cell>
          <cell r="D372" t="str">
            <v>PACKARD TERMINAL</v>
          </cell>
          <cell r="E372" t="str">
            <v>QC Onics</v>
          </cell>
          <cell r="F372" t="str">
            <v>PSG</v>
          </cell>
          <cell r="H372">
            <v>1.4E-2</v>
          </cell>
        </row>
        <row r="373">
          <cell r="C373">
            <v>10725174</v>
          </cell>
          <cell r="D373" t="str">
            <v>25167.122.011  -   RING TERMINAL</v>
          </cell>
          <cell r="E373" t="str">
            <v>TYCO</v>
          </cell>
          <cell r="F373" t="str">
            <v>Grote/Hartman</v>
          </cell>
          <cell r="H373">
            <v>0.16500000000000001</v>
          </cell>
        </row>
        <row r="374">
          <cell r="C374">
            <v>12191811</v>
          </cell>
          <cell r="D374" t="str">
            <v>Terminal 1219-1811</v>
          </cell>
          <cell r="E374" t="str">
            <v>FURUKAWA</v>
          </cell>
          <cell r="H374">
            <v>1.4E-2</v>
          </cell>
        </row>
        <row r="375">
          <cell r="C375">
            <v>12244260</v>
          </cell>
          <cell r="D375" t="str">
            <v>TERMINAL</v>
          </cell>
          <cell r="E375" t="str">
            <v>QC ONICS</v>
          </cell>
          <cell r="H375">
            <v>5.1299999999999998E-2</v>
          </cell>
        </row>
        <row r="376">
          <cell r="C376">
            <v>12244260</v>
          </cell>
          <cell r="D376" t="str">
            <v>TERMINAL</v>
          </cell>
          <cell r="E376" t="str">
            <v>ACCESS</v>
          </cell>
          <cell r="H376">
            <v>0.1245</v>
          </cell>
        </row>
        <row r="377">
          <cell r="C377">
            <v>15304702</v>
          </cell>
          <cell r="D377" t="str">
            <v>PACKARD TERMINAL</v>
          </cell>
          <cell r="E377" t="str">
            <v>ALPHABET</v>
          </cell>
          <cell r="F377" t="str">
            <v>PSG</v>
          </cell>
          <cell r="H377">
            <v>1.46E-2</v>
          </cell>
        </row>
        <row r="378">
          <cell r="C378">
            <v>15304710</v>
          </cell>
          <cell r="D378" t="str">
            <v>Terminal 1530-4710</v>
          </cell>
          <cell r="E378" t="str">
            <v>FURUKAWA</v>
          </cell>
          <cell r="H378">
            <v>1.4999999999999999E-2</v>
          </cell>
        </row>
        <row r="379">
          <cell r="C379">
            <v>15304710</v>
          </cell>
          <cell r="D379" t="str">
            <v>Terminal 1530-4710</v>
          </cell>
          <cell r="E379" t="str">
            <v>FURUKAWA</v>
          </cell>
          <cell r="H379">
            <v>1.4999999999999999E-2</v>
          </cell>
        </row>
        <row r="380">
          <cell r="C380">
            <v>15304711</v>
          </cell>
          <cell r="D380" t="str">
            <v>PACKARD TERMINAL</v>
          </cell>
          <cell r="E380" t="str">
            <v>FURUKAWA</v>
          </cell>
          <cell r="F380" t="str">
            <v>PSG</v>
          </cell>
          <cell r="H380">
            <v>1.4999999999999999E-2</v>
          </cell>
        </row>
        <row r="381">
          <cell r="C381">
            <v>15304711</v>
          </cell>
          <cell r="D381" t="str">
            <v>PACKARD TERMINAL</v>
          </cell>
          <cell r="E381" t="str">
            <v>FURUKAWA</v>
          </cell>
          <cell r="F381" t="str">
            <v>PSG</v>
          </cell>
          <cell r="H381">
            <v>1.4999999999999999E-2</v>
          </cell>
        </row>
        <row r="382">
          <cell r="C382">
            <v>15326396</v>
          </cell>
          <cell r="D382" t="str">
            <v>PACKARD TERMINAL</v>
          </cell>
          <cell r="E382" t="str">
            <v>PRECISION</v>
          </cell>
          <cell r="F382" t="str">
            <v>PSG</v>
          </cell>
          <cell r="H382">
            <v>9.9000000000000005E-2</v>
          </cell>
        </row>
        <row r="383">
          <cell r="C383">
            <v>15359163</v>
          </cell>
          <cell r="D383" t="str">
            <v>PACKARD TERMINAL</v>
          </cell>
          <cell r="E383" t="str">
            <v>PRECISION</v>
          </cell>
          <cell r="F383" t="str">
            <v>PSG</v>
          </cell>
          <cell r="H383">
            <v>4.2099999999999999E-2</v>
          </cell>
        </row>
        <row r="384">
          <cell r="C384" t="str">
            <v>226176-2</v>
          </cell>
          <cell r="D384" t="str">
            <v>TYCO TERMINAL ESTIMATE</v>
          </cell>
          <cell r="H384">
            <v>0.1</v>
          </cell>
        </row>
        <row r="385">
          <cell r="C385">
            <v>15373434</v>
          </cell>
          <cell r="D385" t="str">
            <v>N/A TERMINAL  -  0.126</v>
          </cell>
          <cell r="F385" t="str">
            <v>N/A</v>
          </cell>
          <cell r="H385">
            <v>0.126</v>
          </cell>
        </row>
        <row r="386">
          <cell r="C386">
            <v>15383050</v>
          </cell>
          <cell r="D386" t="str">
            <v>N/A TERMINAL  -  0.018</v>
          </cell>
          <cell r="F386" t="str">
            <v>N/A</v>
          </cell>
          <cell r="H386">
            <v>1.7999999999999999E-2</v>
          </cell>
        </row>
        <row r="387">
          <cell r="C387">
            <v>15383050</v>
          </cell>
          <cell r="D387" t="str">
            <v>Terminal Molex 16-02-1110</v>
          </cell>
          <cell r="E387" t="str">
            <v>FURUKAWA</v>
          </cell>
          <cell r="H387">
            <v>1.7999999999999999E-2</v>
          </cell>
        </row>
        <row r="388">
          <cell r="C388">
            <v>15406024</v>
          </cell>
          <cell r="D388" t="str">
            <v>N/A TERMINAL  -  0.015</v>
          </cell>
          <cell r="F388" t="str">
            <v>N/A</v>
          </cell>
          <cell r="H388">
            <v>1.4999999999999999E-2</v>
          </cell>
        </row>
        <row r="389">
          <cell r="C389">
            <v>15406024</v>
          </cell>
          <cell r="D389" t="str">
            <v>Terminal JST  SHCM-A03T-P-025</v>
          </cell>
          <cell r="E389" t="str">
            <v>FURUKAWA</v>
          </cell>
          <cell r="H389">
            <v>1.4999999999999999E-2</v>
          </cell>
        </row>
        <row r="390">
          <cell r="C390">
            <v>15365904</v>
          </cell>
          <cell r="D390" t="str">
            <v>2-520128-2   -   AMP TERMINAL</v>
          </cell>
          <cell r="E390" t="str">
            <v>ACCESS</v>
          </cell>
          <cell r="F390" t="str">
            <v>AMP</v>
          </cell>
          <cell r="H390">
            <v>8.6999999999999994E-2</v>
          </cell>
        </row>
        <row r="391">
          <cell r="C391">
            <v>15419780</v>
          </cell>
          <cell r="D391" t="str">
            <v>63721-1    -   AMP TERMINAL</v>
          </cell>
          <cell r="E391" t="str">
            <v>ACCESS</v>
          </cell>
          <cell r="F391" t="str">
            <v>AMP</v>
          </cell>
          <cell r="H391">
            <v>1.9699999999999999E-2</v>
          </cell>
        </row>
        <row r="392">
          <cell r="C392">
            <v>15416253</v>
          </cell>
          <cell r="D392" t="str">
            <v>15416253   -   Tyco TERMINAL    -    0.0118</v>
          </cell>
          <cell r="F392" t="str">
            <v>Tyco</v>
          </cell>
          <cell r="H392">
            <v>1.18E-2</v>
          </cell>
        </row>
        <row r="393">
          <cell r="C393">
            <v>15418022</v>
          </cell>
          <cell r="D393" t="str">
            <v>Terminal JST  SHCMW-A03T-040</v>
          </cell>
          <cell r="E393" t="str">
            <v>FURUKAWA</v>
          </cell>
          <cell r="H393">
            <v>1.2999999999999999E-2</v>
          </cell>
        </row>
        <row r="394">
          <cell r="C394">
            <v>15418415</v>
          </cell>
          <cell r="D394" t="str">
            <v>MALE TERMINAL, GT</v>
          </cell>
          <cell r="E394" t="str">
            <v>TBD</v>
          </cell>
          <cell r="F394" t="str">
            <v>PACKARD</v>
          </cell>
          <cell r="H394">
            <v>1.4999999999999999E-2</v>
          </cell>
        </row>
        <row r="395">
          <cell r="C395">
            <v>15484553</v>
          </cell>
          <cell r="D395" t="str">
            <v>N/A TERMINAL  -  0.01</v>
          </cell>
          <cell r="F395" t="str">
            <v>N/A</v>
          </cell>
          <cell r="H395">
            <v>0.01</v>
          </cell>
        </row>
        <row r="396">
          <cell r="C396">
            <v>15484553</v>
          </cell>
          <cell r="D396" t="str">
            <v>Terminal JST SNAC3-A021T-MO.64</v>
          </cell>
          <cell r="E396" t="str">
            <v>FURUKAWA</v>
          </cell>
          <cell r="H396">
            <v>1.03E-2</v>
          </cell>
        </row>
        <row r="397">
          <cell r="C397">
            <v>16021110</v>
          </cell>
          <cell r="D397" t="str">
            <v>Molex TERMINAL    -    0.018</v>
          </cell>
          <cell r="E397" t="str">
            <v>ALPHABET</v>
          </cell>
          <cell r="F397" t="str">
            <v>Molex</v>
          </cell>
          <cell r="H397">
            <v>1.7999999999999999E-2</v>
          </cell>
        </row>
        <row r="398">
          <cell r="C398">
            <v>25322735</v>
          </cell>
          <cell r="D398" t="str">
            <v>SIGNAL TERMINAL</v>
          </cell>
          <cell r="F398" t="str">
            <v>STEWART</v>
          </cell>
          <cell r="H398">
            <v>7.4999999999999997E-2</v>
          </cell>
        </row>
        <row r="399">
          <cell r="C399">
            <v>25322736</v>
          </cell>
          <cell r="D399" t="str">
            <v>GROUND TERMINAL</v>
          </cell>
          <cell r="F399" t="str">
            <v>STEWART</v>
          </cell>
          <cell r="H399">
            <v>0.109</v>
          </cell>
        </row>
        <row r="400">
          <cell r="C400">
            <v>25322737</v>
          </cell>
          <cell r="D400" t="str">
            <v>HEATER_TERMINAL</v>
          </cell>
          <cell r="F400" t="str">
            <v>TBD</v>
          </cell>
          <cell r="H400">
            <v>2.3E-2</v>
          </cell>
        </row>
        <row r="401">
          <cell r="C401">
            <v>25335794</v>
          </cell>
          <cell r="D401" t="str">
            <v>terminal</v>
          </cell>
          <cell r="E401" t="str">
            <v>LEONI</v>
          </cell>
          <cell r="F401" t="str">
            <v>SCHATZ</v>
          </cell>
          <cell r="H401">
            <v>4.2714000000000002E-2</v>
          </cell>
        </row>
        <row r="402">
          <cell r="C402">
            <v>25336486</v>
          </cell>
          <cell r="D402" t="str">
            <v>terminals</v>
          </cell>
          <cell r="E402" t="str">
            <v>WAGNER</v>
          </cell>
          <cell r="F402" t="str">
            <v>SCHATZ</v>
          </cell>
          <cell r="H402">
            <v>5.0700000000000002E-2</v>
          </cell>
        </row>
        <row r="403">
          <cell r="C403">
            <v>25336487</v>
          </cell>
          <cell r="D403" t="str">
            <v>TERMINAL</v>
          </cell>
          <cell r="E403" t="str">
            <v>LEONI</v>
          </cell>
          <cell r="F403" t="str">
            <v>SCHATZ</v>
          </cell>
          <cell r="H403">
            <v>4.9896000000000003E-2</v>
          </cell>
        </row>
        <row r="404">
          <cell r="C404">
            <v>25346581</v>
          </cell>
          <cell r="D404" t="str">
            <v>Ground Terminal</v>
          </cell>
          <cell r="E404" t="str">
            <v>DPI</v>
          </cell>
          <cell r="H404">
            <v>0.09</v>
          </cell>
        </row>
        <row r="405">
          <cell r="C405">
            <v>25346582</v>
          </cell>
          <cell r="D405" t="str">
            <v>Signal Terminal</v>
          </cell>
          <cell r="E405" t="str">
            <v>DPI</v>
          </cell>
          <cell r="H405">
            <v>7.0000000000000007E-2</v>
          </cell>
        </row>
        <row r="406">
          <cell r="C406">
            <v>25351884</v>
          </cell>
          <cell r="D406" t="str">
            <v>SENSOR TERMINALS     -     0.0746</v>
          </cell>
          <cell r="E406" t="str">
            <v>TBD</v>
          </cell>
          <cell r="F406" t="str">
            <v>STEWART</v>
          </cell>
          <cell r="H406">
            <v>4.6960000000000002E-2</v>
          </cell>
        </row>
        <row r="407">
          <cell r="C407">
            <v>25357311</v>
          </cell>
          <cell r="D407" t="str">
            <v>Terminal</v>
          </cell>
          <cell r="E407" t="str">
            <v>LEONI</v>
          </cell>
          <cell r="F407" t="str">
            <v>FCI</v>
          </cell>
          <cell r="H407">
            <v>6.3200000000000006E-2</v>
          </cell>
        </row>
        <row r="408">
          <cell r="C408">
            <v>25358667</v>
          </cell>
          <cell r="D408" t="str">
            <v>TERMINAL</v>
          </cell>
          <cell r="E408" t="str">
            <v>WAGNER</v>
          </cell>
          <cell r="F408" t="str">
            <v>SCHATZ</v>
          </cell>
          <cell r="H408">
            <v>0.19839999999999999</v>
          </cell>
        </row>
        <row r="409">
          <cell r="C409" t="str">
            <v>12048074 - DPI</v>
          </cell>
          <cell r="D409" t="str">
            <v>Terminal stamped Sn caoted brass (Power and Signal)</v>
          </cell>
          <cell r="E409" t="str">
            <v>DPI</v>
          </cell>
          <cell r="F409" t="str">
            <v>PSG</v>
          </cell>
          <cell r="H409">
            <v>2.9000000000000001E-2</v>
          </cell>
        </row>
        <row r="410">
          <cell r="C410" t="str">
            <v>1393367-1</v>
          </cell>
          <cell r="D410" t="str">
            <v>Tyco TERMINAL  -  0.0118</v>
          </cell>
          <cell r="F410" t="str">
            <v>Tyco</v>
          </cell>
          <cell r="H410">
            <v>1.18E-2</v>
          </cell>
        </row>
        <row r="411">
          <cell r="C411" t="str">
            <v>1541-8022</v>
          </cell>
          <cell r="D411" t="str">
            <v>N/A TERMINAL  -  0.013</v>
          </cell>
          <cell r="F411" t="str">
            <v>N/A</v>
          </cell>
          <cell r="H411">
            <v>1.2999999999999999E-2</v>
          </cell>
        </row>
        <row r="412">
          <cell r="C412" t="str">
            <v>1602-0086</v>
          </cell>
          <cell r="D412" t="str">
            <v>TERMINAL MOLEX</v>
          </cell>
          <cell r="E412" t="str">
            <v>PRECISION</v>
          </cell>
          <cell r="F412" t="str">
            <v>MOLEX</v>
          </cell>
          <cell r="H412">
            <v>1.0999999999999999E-2</v>
          </cell>
        </row>
        <row r="413">
          <cell r="C413" t="str">
            <v>1602-0104</v>
          </cell>
          <cell r="D413" t="str">
            <v>Molex TERMINAL    -    0.031</v>
          </cell>
          <cell r="F413" t="str">
            <v>Molex</v>
          </cell>
          <cell r="H413">
            <v>3.1E-2</v>
          </cell>
        </row>
        <row r="414">
          <cell r="C414" t="str">
            <v>1602-1110</v>
          </cell>
          <cell r="D414" t="str">
            <v>Terminal Molex 16-02-1110</v>
          </cell>
          <cell r="E414" t="str">
            <v>FURUKAWA</v>
          </cell>
          <cell r="H414">
            <v>1.7999999999999999E-2</v>
          </cell>
        </row>
        <row r="415">
          <cell r="C415" t="str">
            <v>171637-1</v>
          </cell>
          <cell r="D415" t="str">
            <v>AMP TERMINAL</v>
          </cell>
          <cell r="E415" t="str">
            <v>QC ONICS</v>
          </cell>
          <cell r="F415" t="str">
            <v>AMP</v>
          </cell>
          <cell r="H415">
            <v>1.4370000000000001E-2</v>
          </cell>
        </row>
        <row r="416">
          <cell r="C416" t="str">
            <v>173633-1</v>
          </cell>
          <cell r="D416" t="str">
            <v>Tyco TERMINAL  -  0.0162</v>
          </cell>
          <cell r="E416" t="str">
            <v>ACCESS</v>
          </cell>
          <cell r="F416" t="str">
            <v>Tyco</v>
          </cell>
          <cell r="H416">
            <v>1.6199999999999999E-2</v>
          </cell>
        </row>
        <row r="417">
          <cell r="C417" t="str">
            <v>173645-1</v>
          </cell>
          <cell r="D417" t="str">
            <v>Tyco TERMINAL    -    0.0170</v>
          </cell>
          <cell r="E417" t="str">
            <v>ACCESS</v>
          </cell>
          <cell r="F417" t="str">
            <v>Tyco</v>
          </cell>
          <cell r="H417">
            <v>1.7016666666666666E-2</v>
          </cell>
        </row>
        <row r="418">
          <cell r="C418" t="str">
            <v>21393366-1</v>
          </cell>
          <cell r="D418" t="str">
            <v>AMP TERMINAL</v>
          </cell>
          <cell r="E418" t="str">
            <v>PRECISION</v>
          </cell>
          <cell r="F418" t="str">
            <v>AMP</v>
          </cell>
          <cell r="H418">
            <v>5.6399999999999999E-2</v>
          </cell>
        </row>
        <row r="419">
          <cell r="C419" t="str">
            <v>2-1419158-5</v>
          </cell>
          <cell r="D419" t="str">
            <v>AMP TERMINAL</v>
          </cell>
          <cell r="E419" t="str">
            <v>PRECISION</v>
          </cell>
          <cell r="F419" t="str">
            <v>AMP</v>
          </cell>
          <cell r="H419">
            <v>2.9600000000000001E-2</v>
          </cell>
        </row>
        <row r="420">
          <cell r="C420" t="str">
            <v>2-520128-2</v>
          </cell>
          <cell r="D420" t="str">
            <v xml:space="preserve"> AMP TERMINAL    -    0.03</v>
          </cell>
          <cell r="F420" t="str">
            <v>AMP</v>
          </cell>
          <cell r="H420">
            <v>0.03</v>
          </cell>
        </row>
        <row r="421">
          <cell r="C421" t="str">
            <v>2-520128-2</v>
          </cell>
          <cell r="D421" t="str">
            <v xml:space="preserve"> AMP TERMINAL    -    0.087</v>
          </cell>
          <cell r="F421" t="str">
            <v>AMP</v>
          </cell>
          <cell r="H421">
            <v>8.6999999999999994E-2</v>
          </cell>
        </row>
        <row r="422">
          <cell r="C422">
            <v>12045205</v>
          </cell>
          <cell r="D422" t="str">
            <v>82404412   -   SUMITOMO TERMINAL</v>
          </cell>
          <cell r="E422" t="str">
            <v>ACCESS</v>
          </cell>
          <cell r="F422" t="str">
            <v>SUMITOMO</v>
          </cell>
          <cell r="H422">
            <v>1.77E-2</v>
          </cell>
        </row>
        <row r="423">
          <cell r="C423">
            <v>10725056</v>
          </cell>
          <cell r="D423" t="str">
            <v>927854-6   -   AMP TERMINAL</v>
          </cell>
          <cell r="E423" t="str">
            <v>TYCO</v>
          </cell>
          <cell r="F423" t="str">
            <v>AMP</v>
          </cell>
          <cell r="H423">
            <v>4.3999999999999997E-2</v>
          </cell>
        </row>
        <row r="424">
          <cell r="C424">
            <v>10725238</v>
          </cell>
          <cell r="D424" t="str">
            <v>7114-4021   -   YAZAKI TERMINAL</v>
          </cell>
          <cell r="E424" t="str">
            <v>ACCESS</v>
          </cell>
          <cell r="F424" t="str">
            <v>YAZAKI</v>
          </cell>
          <cell r="H424">
            <v>7.7000000000000002E-3</v>
          </cell>
        </row>
        <row r="425">
          <cell r="C425">
            <v>10725237</v>
          </cell>
          <cell r="D425" t="str">
            <v>7114-4022   -   YAZAKI TERMINAL</v>
          </cell>
          <cell r="E425" t="str">
            <v>ACCESS</v>
          </cell>
          <cell r="F425" t="str">
            <v>YAZAKI</v>
          </cell>
          <cell r="H425">
            <v>7.7999999999999996E-3</v>
          </cell>
        </row>
        <row r="426">
          <cell r="C426">
            <v>10725239</v>
          </cell>
          <cell r="D426" t="str">
            <v>7114-4020   -   YAZAKI TERMINAL</v>
          </cell>
          <cell r="E426" t="str">
            <v>ACCESS</v>
          </cell>
          <cell r="F426" t="str">
            <v>YAZAKI</v>
          </cell>
          <cell r="H426">
            <v>7.0000000000000001E-3</v>
          </cell>
        </row>
        <row r="427">
          <cell r="C427">
            <v>10768420</v>
          </cell>
          <cell r="D427" t="str">
            <v>1241732-2   -   TYCO TERMINAL</v>
          </cell>
          <cell r="E427" t="str">
            <v>ACCESS</v>
          </cell>
          <cell r="F427" t="str">
            <v>TYCO</v>
          </cell>
          <cell r="H427">
            <v>1.6066666666666667E-2</v>
          </cell>
        </row>
        <row r="428">
          <cell r="C428">
            <v>12064971</v>
          </cell>
          <cell r="D428" t="str">
            <v>PACKARD TERMINAL</v>
          </cell>
          <cell r="E428" t="str">
            <v>ACCESS</v>
          </cell>
          <cell r="F428" t="str">
            <v>PACKARD</v>
          </cell>
          <cell r="H428">
            <v>1.49E-2</v>
          </cell>
        </row>
        <row r="429">
          <cell r="C429">
            <v>15339656</v>
          </cell>
          <cell r="D429" t="str">
            <v>160864-2   -   TYCO TERMINAL</v>
          </cell>
          <cell r="E429" t="str">
            <v>ACCESS</v>
          </cell>
          <cell r="F429" t="str">
            <v>TYCO</v>
          </cell>
          <cell r="H429">
            <v>1.2200000000000001E-2</v>
          </cell>
        </row>
        <row r="430">
          <cell r="C430" t="str">
            <v>25322735 - DPI</v>
          </cell>
          <cell r="D430" t="str">
            <v>Signal terminal Stamped inconel 718 (Stewart)</v>
          </cell>
          <cell r="E430" t="str">
            <v>DPI</v>
          </cell>
          <cell r="F430" t="str">
            <v>STEWART</v>
          </cell>
          <cell r="H430">
            <v>7.4999999999999997E-2</v>
          </cell>
        </row>
        <row r="431">
          <cell r="C431" t="str">
            <v>25322736 - DPI</v>
          </cell>
          <cell r="D431" t="str">
            <v>Ground terminal stamped inconel 718 (Stewart)</v>
          </cell>
          <cell r="E431" t="str">
            <v>DPI</v>
          </cell>
          <cell r="F431" t="str">
            <v>STEWART</v>
          </cell>
          <cell r="H431">
            <v>0.10879999999999999</v>
          </cell>
        </row>
        <row r="432">
          <cell r="C432" t="str">
            <v>25322737 - DPI</v>
          </cell>
          <cell r="D432" t="str">
            <v>Stamped Ni200 heater terminal (Stewart)</v>
          </cell>
          <cell r="E432" t="str">
            <v>DPI</v>
          </cell>
          <cell r="F432" t="str">
            <v>STEWART</v>
          </cell>
          <cell r="H432">
            <v>2.2700000000000001E-2</v>
          </cell>
        </row>
        <row r="433">
          <cell r="C433" t="str">
            <v>26365.213.011</v>
          </cell>
          <cell r="D433" t="str">
            <v>Grote/Hartman TERMINAL  -  0.022</v>
          </cell>
          <cell r="F433" t="str">
            <v>Grote/Hartman</v>
          </cell>
          <cell r="H433">
            <v>2.1999999999999999E-2</v>
          </cell>
        </row>
        <row r="434">
          <cell r="C434" t="str">
            <v>50079-8000</v>
          </cell>
          <cell r="D434" t="str">
            <v>MOLEX TERMINAL, 15452091</v>
          </cell>
          <cell r="E434" t="str">
            <v>PRECISION</v>
          </cell>
          <cell r="F434" t="str">
            <v>MOLEX</v>
          </cell>
          <cell r="H434">
            <v>0.01</v>
          </cell>
        </row>
        <row r="435">
          <cell r="C435" t="str">
            <v>5057-0086</v>
          </cell>
          <cell r="D435" t="str">
            <v>Molex TERMINAL    -    0.012</v>
          </cell>
          <cell r="F435" t="str">
            <v>Molex</v>
          </cell>
          <cell r="H435">
            <v>1.2E-2</v>
          </cell>
        </row>
        <row r="436">
          <cell r="C436" t="str">
            <v>63721-1</v>
          </cell>
          <cell r="D436" t="str">
            <v>AMP TERMINAL    -    0.0187</v>
          </cell>
          <cell r="F436" t="str">
            <v>AMP</v>
          </cell>
          <cell r="H436">
            <v>1.8700000000000001E-2</v>
          </cell>
        </row>
        <row r="437">
          <cell r="C437" t="str">
            <v>7114-1050</v>
          </cell>
          <cell r="D437" t="str">
            <v>Yazaki TERMINAL  -  0.0055</v>
          </cell>
          <cell r="E437" t="str">
            <v>ACCESS</v>
          </cell>
          <cell r="F437" t="str">
            <v>Yazaki</v>
          </cell>
          <cell r="H437">
            <v>5.7666666666666665E-3</v>
          </cell>
        </row>
        <row r="438">
          <cell r="C438" t="str">
            <v>7114-4102-08</v>
          </cell>
          <cell r="D438" t="str">
            <v>YAZAKI TERMINAL, 15398708</v>
          </cell>
          <cell r="E438" t="str">
            <v>PRECISION</v>
          </cell>
          <cell r="F438" t="str">
            <v>YAZAKI</v>
          </cell>
          <cell r="H438">
            <v>4.3999999999999997E-2</v>
          </cell>
        </row>
        <row r="439">
          <cell r="C439" t="str">
            <v>7116-2270</v>
          </cell>
          <cell r="D439" t="str">
            <v>TYCO TERMINAL</v>
          </cell>
          <cell r="E439" t="str">
            <v>QC ONICS</v>
          </cell>
          <cell r="F439" t="str">
            <v>Tyco</v>
          </cell>
          <cell r="H439">
            <v>8.6999999999999994E-3</v>
          </cell>
        </row>
        <row r="440">
          <cell r="C440" t="str">
            <v>7116-4112-02</v>
          </cell>
          <cell r="D440" t="str">
            <v>Yazaki TERMINAL  -  0.0218</v>
          </cell>
          <cell r="F440" t="str">
            <v>Yazaki</v>
          </cell>
          <cell r="H440">
            <v>2.18E-2</v>
          </cell>
        </row>
        <row r="441">
          <cell r="C441" t="str">
            <v>7B14-4221-08</v>
          </cell>
          <cell r="D441" t="str">
            <v>Yazaki TERMINAL    -    0.098</v>
          </cell>
          <cell r="F441" t="str">
            <v>Yazaki</v>
          </cell>
          <cell r="H441">
            <v>9.8000000000000004E-2</v>
          </cell>
        </row>
        <row r="442">
          <cell r="C442" t="str">
            <v>8240-4422</v>
          </cell>
          <cell r="D442" t="str">
            <v>Sumitomo TERMINAL  -  0.016</v>
          </cell>
          <cell r="F442" t="str">
            <v>Sumitomo</v>
          </cell>
          <cell r="H442">
            <v>1.6E-2</v>
          </cell>
        </row>
        <row r="443">
          <cell r="C443">
            <v>12065359</v>
          </cell>
          <cell r="D443" t="str">
            <v>82404652   -   SUMITOMO TERMINAL ESTIMATE</v>
          </cell>
          <cell r="E443" t="str">
            <v>ACCESS</v>
          </cell>
          <cell r="F443" t="str">
            <v>SUMITOMO</v>
          </cell>
          <cell r="H443">
            <v>1.77E-2</v>
          </cell>
        </row>
        <row r="444">
          <cell r="C444">
            <v>12147208</v>
          </cell>
          <cell r="D444" t="str">
            <v>173645-1  -  TYCO TERMINAL</v>
          </cell>
          <cell r="E444" t="str">
            <v>ACCESS</v>
          </cell>
          <cell r="F444" t="str">
            <v>TYCO</v>
          </cell>
          <cell r="H444">
            <v>1.7016666666666666E-2</v>
          </cell>
        </row>
        <row r="445">
          <cell r="C445">
            <v>12185795</v>
          </cell>
          <cell r="D445" t="str">
            <v>173633-1   -  TYCO TERMINAL</v>
          </cell>
          <cell r="E445" t="str">
            <v>ACCESS</v>
          </cell>
          <cell r="F445" t="str">
            <v>TYCO</v>
          </cell>
          <cell r="H445">
            <v>1.6150000000000001E-2</v>
          </cell>
        </row>
        <row r="446">
          <cell r="C446">
            <v>12047569</v>
          </cell>
          <cell r="D446" t="str">
            <v>TERM F ESTIMATE</v>
          </cell>
          <cell r="H446">
            <v>1.4999999999999999E-2</v>
          </cell>
        </row>
        <row r="447">
          <cell r="C447">
            <v>15326030</v>
          </cell>
          <cell r="D447" t="str">
            <v>TERM F M/P 150 ESTIMATE</v>
          </cell>
          <cell r="H447">
            <v>1.4E-2</v>
          </cell>
        </row>
        <row r="448">
          <cell r="C448">
            <v>12052066</v>
          </cell>
          <cell r="D448" t="str">
            <v>TERM F ESTIMATE</v>
          </cell>
          <cell r="H448">
            <v>1.4999999999999999E-2</v>
          </cell>
        </row>
        <row r="449">
          <cell r="C449">
            <v>15351440</v>
          </cell>
          <cell r="D449" t="str">
            <v>HORN CONTACT - LOWER</v>
          </cell>
          <cell r="E449" t="str">
            <v>PACKARD</v>
          </cell>
          <cell r="F449" t="str">
            <v>PACKARD</v>
          </cell>
          <cell r="H449">
            <v>0.08</v>
          </cell>
        </row>
        <row r="450">
          <cell r="C450">
            <v>15351441</v>
          </cell>
          <cell r="D450" t="str">
            <v>HORN CONTACT - UPPER</v>
          </cell>
          <cell r="E450" t="str">
            <v>PACKARD</v>
          </cell>
          <cell r="F450" t="str">
            <v>PACKARD</v>
          </cell>
          <cell r="H450">
            <v>4.4999999999999998E-2</v>
          </cell>
        </row>
        <row r="451">
          <cell r="C451">
            <v>15355522</v>
          </cell>
          <cell r="D451" t="str">
            <v>PACKARD RING TERMINAL</v>
          </cell>
          <cell r="E451" t="str">
            <v>STERLING</v>
          </cell>
          <cell r="F451" t="str">
            <v>PACKARD</v>
          </cell>
          <cell r="H451">
            <v>9.2700000000000005E-2</v>
          </cell>
        </row>
        <row r="452">
          <cell r="C452">
            <v>12176637</v>
          </cell>
          <cell r="D452" t="str">
            <v>TERM F M/P 150 ESTIMATE</v>
          </cell>
          <cell r="H452">
            <v>1.4999999999999999E-2</v>
          </cell>
        </row>
        <row r="453">
          <cell r="C453" t="str">
            <v>AMP TERMINALS</v>
          </cell>
          <cell r="D453" t="str">
            <v>AMP TERMINALS FOR HARNESS P/N 10321027</v>
          </cell>
          <cell r="E453" t="str">
            <v>STERLING</v>
          </cell>
          <cell r="F453" t="str">
            <v>AMP</v>
          </cell>
          <cell r="H453">
            <v>1.6799999999999999E-2</v>
          </cell>
        </row>
        <row r="454">
          <cell r="C454" t="str">
            <v>JST TERMINALS</v>
          </cell>
          <cell r="D454" t="str">
            <v>JST TERMINALS for HARNESS P/N 12246361</v>
          </cell>
          <cell r="E454" t="str">
            <v>STERLING</v>
          </cell>
          <cell r="F454" t="str">
            <v>JST</v>
          </cell>
          <cell r="H454">
            <v>1.0919999999999999E-2</v>
          </cell>
        </row>
        <row r="455">
          <cell r="C455" t="str">
            <v>SHCM-A03T-P025</v>
          </cell>
          <cell r="D455" t="str">
            <v>JST TERMINAL    -    0.015</v>
          </cell>
          <cell r="E455" t="str">
            <v>ALPHABET</v>
          </cell>
          <cell r="F455" t="str">
            <v>JST</v>
          </cell>
          <cell r="H455">
            <v>1.4999999999999999E-2</v>
          </cell>
        </row>
        <row r="456">
          <cell r="C456" t="str">
            <v>SHCM-A03T-P025</v>
          </cell>
          <cell r="D456" t="str">
            <v>Terminal JST  SHCM-A03T-P-025</v>
          </cell>
          <cell r="E456" t="str">
            <v>FURUKAWA</v>
          </cell>
          <cell r="H456">
            <v>1.4999999999999999E-2</v>
          </cell>
        </row>
        <row r="457">
          <cell r="C457" t="str">
            <v>SHCM-A03T-P025</v>
          </cell>
          <cell r="D457" t="str">
            <v>JST TERMINAL</v>
          </cell>
          <cell r="E457" t="str">
            <v>PACKARD</v>
          </cell>
          <cell r="F457" t="str">
            <v>JST</v>
          </cell>
          <cell r="H457">
            <v>4.9000000000000002E-2</v>
          </cell>
        </row>
        <row r="458">
          <cell r="C458" t="str">
            <v>SHCMW-A03T-040</v>
          </cell>
          <cell r="D458" t="str">
            <v>JST TERMINAL    -    0.013</v>
          </cell>
          <cell r="E458" t="str">
            <v>ALPHABET</v>
          </cell>
          <cell r="F458" t="str">
            <v>JST</v>
          </cell>
          <cell r="H458">
            <v>1.2999999999999999E-2</v>
          </cell>
        </row>
        <row r="459">
          <cell r="C459" t="str">
            <v>SHCMW-A03T-040</v>
          </cell>
          <cell r="D459" t="str">
            <v>Terminal JST  SHCMW-A03T-040</v>
          </cell>
          <cell r="E459" t="str">
            <v>FURUKAWA</v>
          </cell>
          <cell r="H459">
            <v>1.2999999999999999E-2</v>
          </cell>
        </row>
        <row r="460">
          <cell r="C460" t="str">
            <v>SHCMW-A03T-P02</v>
          </cell>
          <cell r="D460" t="str">
            <v>JST TERMINAL    -    0.015</v>
          </cell>
          <cell r="E460" t="str">
            <v>ALPHABET</v>
          </cell>
          <cell r="F460" t="str">
            <v>JST</v>
          </cell>
          <cell r="H460">
            <v>1.4999999999999999E-2</v>
          </cell>
        </row>
        <row r="461">
          <cell r="C461" t="str">
            <v>SNAC-A021T-M0.64</v>
          </cell>
          <cell r="D461" t="str">
            <v>JST TERMINAL    -    0.0103</v>
          </cell>
          <cell r="E461" t="str">
            <v>ALPHABET</v>
          </cell>
          <cell r="F461" t="str">
            <v>JST</v>
          </cell>
          <cell r="H461">
            <v>1.03E-2</v>
          </cell>
        </row>
        <row r="462">
          <cell r="C462" t="str">
            <v>SNAC-A021T-M0.64</v>
          </cell>
          <cell r="D462" t="str">
            <v>Terminal JST SNAC3-A021T-MO.64</v>
          </cell>
          <cell r="E462" t="str">
            <v>FURUKAWA</v>
          </cell>
          <cell r="H462">
            <v>1.03E-2</v>
          </cell>
        </row>
        <row r="463">
          <cell r="C463" t="str">
            <v>SNAC-A021T-M0.64</v>
          </cell>
          <cell r="D463" t="str">
            <v>JST TERMINAL</v>
          </cell>
          <cell r="E463" t="str">
            <v>PACKARD</v>
          </cell>
          <cell r="F463" t="str">
            <v>JST</v>
          </cell>
          <cell r="H463">
            <v>3.3700000000000001E-2</v>
          </cell>
        </row>
        <row r="464">
          <cell r="C464" t="str">
            <v>SSN-21T-P1-0</v>
          </cell>
          <cell r="D464" t="str">
            <v>JST TERMINAL (12220333)</v>
          </cell>
          <cell r="E464" t="str">
            <v>QC ONICS</v>
          </cell>
          <cell r="F464" t="str">
            <v>JST</v>
          </cell>
          <cell r="H464">
            <v>1.04E-2</v>
          </cell>
        </row>
        <row r="465">
          <cell r="C465" t="str">
            <v>SSN-21T-P1-0</v>
          </cell>
          <cell r="D465" t="str">
            <v>JST TERMINAL</v>
          </cell>
          <cell r="E465" t="str">
            <v>ACCESS</v>
          </cell>
          <cell r="F465" t="str">
            <v>JST</v>
          </cell>
          <cell r="H465">
            <v>1.4999999999999999E-2</v>
          </cell>
        </row>
        <row r="466">
          <cell r="C466" t="str">
            <v>V23540-X-7000Y21</v>
          </cell>
          <cell r="D466" t="str">
            <v>Tyco TERMINAL    -    0.0854</v>
          </cell>
          <cell r="F466" t="str">
            <v>Tyco</v>
          </cell>
          <cell r="H466">
            <v>8.5400000000000004E-2</v>
          </cell>
        </row>
        <row r="467">
          <cell r="C467" t="str">
            <v>V23540-X-7000Y4</v>
          </cell>
          <cell r="D467" t="str">
            <v xml:space="preserve"> Tyco TERMINAL    -    0.07</v>
          </cell>
          <cell r="F467" t="str">
            <v>Tyco</v>
          </cell>
          <cell r="H467">
            <v>7.0000000000000007E-2</v>
          </cell>
        </row>
        <row r="468">
          <cell r="C468" t="str">
            <v>16mm Battery Cable</v>
          </cell>
          <cell r="D468" t="str">
            <v>16mm SI COVERED BATTERY CABLE</v>
          </cell>
          <cell r="E468" t="str">
            <v>NINGBO</v>
          </cell>
          <cell r="G468" t="str">
            <v>m</v>
          </cell>
          <cell r="H468">
            <v>1.3212560386473431</v>
          </cell>
        </row>
        <row r="469">
          <cell r="C469" t="str">
            <v>25mm Battery Cable</v>
          </cell>
          <cell r="D469" t="str">
            <v>25mm SI COVERED BATTERY CABLE</v>
          </cell>
          <cell r="E469" t="str">
            <v>NINGBO</v>
          </cell>
          <cell r="G469" t="str">
            <v>m</v>
          </cell>
          <cell r="H469">
            <v>1.8580917874396137</v>
          </cell>
        </row>
        <row r="470">
          <cell r="C470" t="str">
            <v>26 GA</v>
          </cell>
          <cell r="D470" t="str">
            <v>26 GA JUMPER WIRE, PVC</v>
          </cell>
          <cell r="E470" t="str">
            <v>PRECISION</v>
          </cell>
          <cell r="H470">
            <v>2.0860799999999999E-2</v>
          </cell>
        </row>
        <row r="471">
          <cell r="C471" t="str">
            <v>28 GA</v>
          </cell>
          <cell r="D471" t="str">
            <v>28 GA JUMPER WIRE, PVC</v>
          </cell>
          <cell r="E471" t="str">
            <v>PRECISION</v>
          </cell>
          <cell r="G471" t="str">
            <v>m</v>
          </cell>
          <cell r="H471">
            <v>2.2467999999999998E-2</v>
          </cell>
        </row>
        <row r="472">
          <cell r="C472" t="str">
            <v>J1128 TWP 18GA</v>
          </cell>
          <cell r="D472" t="str">
            <v>18GA PVC, TWP</v>
          </cell>
          <cell r="E472" t="str">
            <v>ACCESS</v>
          </cell>
          <cell r="G472" t="str">
            <v>m</v>
          </cell>
          <cell r="H472">
            <v>4.9200000000000001E-2</v>
          </cell>
        </row>
        <row r="473">
          <cell r="C473" t="str">
            <v>J1128 TWP 14GA</v>
          </cell>
          <cell r="D473" t="str">
            <v>14GA PVC, TWP</v>
          </cell>
          <cell r="E473" t="str">
            <v>ACCESS</v>
          </cell>
          <cell r="G473" t="str">
            <v>m</v>
          </cell>
          <cell r="H473">
            <v>4.9200000000000001E-2</v>
          </cell>
        </row>
        <row r="474">
          <cell r="C474" t="str">
            <v>J1128</v>
          </cell>
          <cell r="D474" t="str">
            <v>18GA, TIN COAT, TWP</v>
          </cell>
          <cell r="E474" t="str">
            <v>STERLING</v>
          </cell>
          <cell r="G474" t="str">
            <v>m</v>
          </cell>
          <cell r="H474">
            <v>0.27388000000000001</v>
          </cell>
        </row>
        <row r="475">
          <cell r="C475" t="str">
            <v>M10518</v>
          </cell>
          <cell r="D475" t="str">
            <v>26 GA FLAT WIRE</v>
          </cell>
          <cell r="E475" t="str">
            <v>PRECISION</v>
          </cell>
          <cell r="H475">
            <v>0.32800000000000001</v>
          </cell>
        </row>
        <row r="476">
          <cell r="C476" t="str">
            <v>16GA GPT</v>
          </cell>
          <cell r="D476" t="str">
            <v>16GA TIN COATED COPPER, GPT</v>
          </cell>
          <cell r="E476" t="str">
            <v>STERLING</v>
          </cell>
          <cell r="G476" t="str">
            <v>m</v>
          </cell>
          <cell r="H476">
            <v>0.13595599999999999</v>
          </cell>
        </row>
        <row r="477">
          <cell r="C477" t="str">
            <v>18GA PVC</v>
          </cell>
          <cell r="D477" t="str">
            <v>18GA DUAL PVC TIN COAT RIPCORD</v>
          </cell>
          <cell r="E477" t="str">
            <v>STERLING</v>
          </cell>
          <cell r="G477" t="str">
            <v>m</v>
          </cell>
          <cell r="H477">
            <v>0.27388000000000001</v>
          </cell>
        </row>
        <row r="478">
          <cell r="C478" t="str">
            <v>22GA PVC</v>
          </cell>
          <cell r="D478" t="str">
            <v>22GA PVC TIN COAT RIPCORD</v>
          </cell>
          <cell r="E478" t="str">
            <v>QC ONICS</v>
          </cell>
          <cell r="G478" t="str">
            <v>m</v>
          </cell>
          <cell r="H478">
            <v>0.10332</v>
          </cell>
        </row>
        <row r="479">
          <cell r="C479">
            <v>46780785</v>
          </cell>
          <cell r="D479" t="str">
            <v>13 CONDUCTOR CABLE</v>
          </cell>
          <cell r="E479" t="str">
            <v>ELCA</v>
          </cell>
          <cell r="F479" t="str">
            <v>SPECIAL CABLE</v>
          </cell>
          <cell r="G479" t="str">
            <v>m</v>
          </cell>
          <cell r="H479">
            <v>0.61099999999999999</v>
          </cell>
        </row>
        <row r="480">
          <cell r="C480" t="str">
            <v>M3089313</v>
          </cell>
          <cell r="D480" t="str">
            <v>TWP 20GA TAN</v>
          </cell>
          <cell r="E480" t="str">
            <v>PACKARD</v>
          </cell>
          <cell r="F480" t="str">
            <v>PACKARD</v>
          </cell>
          <cell r="G480" t="str">
            <v>m</v>
          </cell>
          <cell r="H480">
            <v>2.0799999999999999E-2</v>
          </cell>
        </row>
        <row r="481">
          <cell r="C481" t="str">
            <v>M3089701</v>
          </cell>
          <cell r="D481" t="str">
            <v>TWP 12GA BLK ESTIMATE</v>
          </cell>
          <cell r="G481" t="str">
            <v>m</v>
          </cell>
          <cell r="H481">
            <v>0.15</v>
          </cell>
        </row>
        <row r="482">
          <cell r="C482" t="str">
            <v>M3096201</v>
          </cell>
          <cell r="D482" t="str">
            <v>TWP 22GA BLK</v>
          </cell>
          <cell r="E482" t="str">
            <v>PACKARD</v>
          </cell>
          <cell r="F482" t="str">
            <v>PACKARD</v>
          </cell>
          <cell r="G482" t="str">
            <v>m</v>
          </cell>
          <cell r="H482">
            <v>2.1899999999999999E-2</v>
          </cell>
        </row>
        <row r="483">
          <cell r="C483" t="str">
            <v>M3096401</v>
          </cell>
          <cell r="D483" t="str">
            <v>TWP 18GA BLK ESTIMATE</v>
          </cell>
          <cell r="G483" t="str">
            <v>m</v>
          </cell>
          <cell r="H483">
            <v>2.5000000000000001E-2</v>
          </cell>
        </row>
        <row r="484">
          <cell r="C484" t="str">
            <v>MS002420</v>
          </cell>
          <cell r="D484" t="str">
            <v>cable 0,35 mm*4</v>
          </cell>
          <cell r="E484" t="str">
            <v>LEONI</v>
          </cell>
          <cell r="F484" t="str">
            <v>NEXANS</v>
          </cell>
          <cell r="G484" t="str">
            <v>m</v>
          </cell>
          <cell r="H484">
            <v>0.20091044776119404</v>
          </cell>
        </row>
        <row r="485">
          <cell r="C485" t="str">
            <v>MS002420 - DPI</v>
          </cell>
          <cell r="D485" t="str">
            <v>Teflon insulated 18ga Ni plated Cu cable (Markel)</v>
          </cell>
          <cell r="E485" t="str">
            <v>DPI</v>
          </cell>
          <cell r="F485" t="str">
            <v>MARKEL</v>
          </cell>
          <cell r="G485" t="str">
            <v>m</v>
          </cell>
          <cell r="H485">
            <v>0.21160000000000001</v>
          </cell>
        </row>
        <row r="486">
          <cell r="C486">
            <v>25358712</v>
          </cell>
          <cell r="D486" t="str">
            <v>WIRE TIE (STRAP)</v>
          </cell>
          <cell r="E486" t="str">
            <v>WAGNER</v>
          </cell>
          <cell r="H486">
            <v>4.3470000000000002E-3</v>
          </cell>
        </row>
        <row r="487">
          <cell r="C487">
            <v>28030868</v>
          </cell>
          <cell r="D487" t="str">
            <v>STAINLESS STEEL STAMPED BRACKET</v>
          </cell>
          <cell r="E487" t="str">
            <v>STERLING</v>
          </cell>
          <cell r="H487">
            <v>0.1749</v>
          </cell>
        </row>
        <row r="488">
          <cell r="C488">
            <v>28030866</v>
          </cell>
          <cell r="D488" t="str">
            <v>STAINLESS STEEL STAMPED BRACKET</v>
          </cell>
          <cell r="E488" t="str">
            <v>STERLING</v>
          </cell>
          <cell r="H488">
            <v>0.14849999999999999</v>
          </cell>
        </row>
        <row r="489">
          <cell r="C489" t="str">
            <v>M2.5x0.45</v>
          </cell>
          <cell r="D489" t="str">
            <v>TAPTITE THREADS, LOW CARBON STEEL</v>
          </cell>
          <cell r="E489" t="str">
            <v>STERLING</v>
          </cell>
          <cell r="H489">
            <v>3.8600000000000002E-2</v>
          </cell>
        </row>
        <row r="490">
          <cell r="C490" t="str">
            <v>AFA06187</v>
          </cell>
          <cell r="D490" t="str">
            <v>IGNITION HARNESS CASE COVER</v>
          </cell>
          <cell r="E490" t="str">
            <v>EMPIRE</v>
          </cell>
          <cell r="H490">
            <v>4.82E-2</v>
          </cell>
        </row>
        <row r="491">
          <cell r="C491" t="str">
            <v>AFA06186</v>
          </cell>
          <cell r="D491" t="str">
            <v>IGNITION HARNESS CASE</v>
          </cell>
          <cell r="E491" t="str">
            <v>EMPIRE</v>
          </cell>
          <cell r="H491">
            <v>9.64E-2</v>
          </cell>
        </row>
        <row r="492">
          <cell r="C492">
            <v>16643699</v>
          </cell>
          <cell r="D492" t="str">
            <v>RUBBER DOOR GROMMET</v>
          </cell>
          <cell r="E492" t="str">
            <v>ACCESS</v>
          </cell>
          <cell r="F492" t="str">
            <v>AMERICAN</v>
          </cell>
          <cell r="H492">
            <v>0.41299999999999998</v>
          </cell>
        </row>
        <row r="493">
          <cell r="C493">
            <v>16643700</v>
          </cell>
          <cell r="D493" t="str">
            <v>RUBBER DOOR GROMMET</v>
          </cell>
          <cell r="E493" t="str">
            <v>ACCESS</v>
          </cell>
          <cell r="F493" t="str">
            <v>AMERICAN</v>
          </cell>
          <cell r="H493">
            <v>0.39700000000000002</v>
          </cell>
        </row>
        <row r="494">
          <cell r="C494" t="str">
            <v>GROMMET</v>
          </cell>
          <cell r="D494" t="str">
            <v>RUBBER GROMMET FOR HARNESS P/N 10332027</v>
          </cell>
          <cell r="E494" t="str">
            <v>STERLING</v>
          </cell>
          <cell r="H494">
            <v>0.25600000000000001</v>
          </cell>
        </row>
        <row r="495">
          <cell r="C495" t="str">
            <v>CRIMP_RING</v>
          </cell>
          <cell r="D495" t="str">
            <v>GROMMET CRIMP RING</v>
          </cell>
          <cell r="E495" t="str">
            <v>STERLING</v>
          </cell>
          <cell r="H495">
            <v>0.02</v>
          </cell>
        </row>
        <row r="496">
          <cell r="C496" t="str">
            <v>MINIFUSE</v>
          </cell>
          <cell r="D496" t="str">
            <v>2A MINIFUSE</v>
          </cell>
          <cell r="H496">
            <v>2.5000000000000001E-2</v>
          </cell>
        </row>
        <row r="497">
          <cell r="C497">
            <v>12103081</v>
          </cell>
          <cell r="D497" t="str">
            <v>ATO BLADE FUSE</v>
          </cell>
          <cell r="H497">
            <v>2.7E-2</v>
          </cell>
        </row>
        <row r="498">
          <cell r="C498" t="str">
            <v>COPPER COIL</v>
          </cell>
          <cell r="D498" t="str">
            <v>COPPER WIRE COIL 1.8mm, 4mm DIA</v>
          </cell>
          <cell r="E498" t="str">
            <v>TYCO</v>
          </cell>
          <cell r="F498" t="str">
            <v>BRILLIANT</v>
          </cell>
          <cell r="H498">
            <v>0.76700000000000002</v>
          </cell>
        </row>
        <row r="499">
          <cell r="C499" t="str">
            <v>7134-4392</v>
          </cell>
          <cell r="D499" t="str">
            <v>Yazaki COVER    -    0.0359</v>
          </cell>
          <cell r="F499" t="str">
            <v>Yazaki</v>
          </cell>
          <cell r="H499">
            <v>3.5900000000000001E-2</v>
          </cell>
        </row>
        <row r="500">
          <cell r="C500" t="str">
            <v>COAX SOLDER</v>
          </cell>
          <cell r="D500" t="str">
            <v>SOLDER FOR 2 COAX CONNECTORS</v>
          </cell>
          <cell r="E500" t="str">
            <v>TENATRONICS</v>
          </cell>
          <cell r="H500">
            <v>7.5500000000000003E-3</v>
          </cell>
        </row>
        <row r="501">
          <cell r="C501" t="str">
            <v>FOAM PIECE</v>
          </cell>
          <cell r="D501" t="str">
            <v xml:space="preserve">17x67mm POLYURETHANE FOAM PIECE </v>
          </cell>
          <cell r="E501" t="str">
            <v>ACCESS</v>
          </cell>
          <cell r="F501" t="str">
            <v>ELLIOT</v>
          </cell>
          <cell r="H501">
            <v>4.4999999999999998E-2</v>
          </cell>
        </row>
        <row r="502">
          <cell r="C502" t="str">
            <v>JN 4041</v>
          </cell>
          <cell r="D502" t="str">
            <v>3x60x100mm POLYESTER FOAM WITH ADHESIVE</v>
          </cell>
          <cell r="E502" t="str">
            <v>ACCESS</v>
          </cell>
          <cell r="F502" t="str">
            <v>FOAMADE</v>
          </cell>
          <cell r="G502" t="str">
            <v>m</v>
          </cell>
          <cell r="H502">
            <v>0.57072000000000001</v>
          </cell>
        </row>
        <row r="503">
          <cell r="C503" t="str">
            <v>FOAM PIECE</v>
          </cell>
          <cell r="D503" t="str">
            <v>12mmx25mmx70mm FOAM PIECE</v>
          </cell>
          <cell r="E503" t="str">
            <v>QC ONICS</v>
          </cell>
          <cell r="H503">
            <v>0.105</v>
          </cell>
        </row>
        <row r="504">
          <cell r="C504" t="str">
            <v>09402876</v>
          </cell>
          <cell r="D504" t="str">
            <v>SCREW-M 6.0x15.0</v>
          </cell>
          <cell r="E504" t="str">
            <v>STERLING</v>
          </cell>
          <cell r="H504">
            <v>5.1999999999999998E-2</v>
          </cell>
        </row>
        <row r="505">
          <cell r="C505" t="str">
            <v>09402877</v>
          </cell>
          <cell r="D505" t="str">
            <v>NUT RETAINER-M 6.0x1.0</v>
          </cell>
          <cell r="E505" t="str">
            <v>STERLING</v>
          </cell>
          <cell r="H505">
            <v>1.7999999999999999E-2</v>
          </cell>
        </row>
        <row r="506">
          <cell r="C506" t="str">
            <v>02984172</v>
          </cell>
          <cell r="D506" t="str">
            <v>LUG SERRATED RING</v>
          </cell>
          <cell r="E506" t="str">
            <v>STERLING</v>
          </cell>
          <cell r="H506">
            <v>5.7070000000000003E-2</v>
          </cell>
        </row>
        <row r="507">
          <cell r="C507" t="str">
            <v>COAX PACKAGING</v>
          </cell>
          <cell r="D507" t="str">
            <v>COAX PACKAGING</v>
          </cell>
          <cell r="E507" t="str">
            <v>TENATRONICS</v>
          </cell>
          <cell r="H507">
            <v>1.32E-2</v>
          </cell>
        </row>
        <row r="508">
          <cell r="C508" t="str">
            <v>ASTM D-710</v>
          </cell>
          <cell r="D508" t="str">
            <v>PHENOLIC BOARD</v>
          </cell>
          <cell r="E508" t="str">
            <v>STERLING</v>
          </cell>
          <cell r="H508">
            <v>2.725E-2</v>
          </cell>
        </row>
        <row r="509">
          <cell r="C509" t="str">
            <v>BAR CODE</v>
          </cell>
          <cell r="D509" t="str">
            <v>Bar Code Label (common)</v>
          </cell>
          <cell r="E509" t="str">
            <v>FURUKAWA</v>
          </cell>
          <cell r="H509">
            <v>3.0000000000000001E-3</v>
          </cell>
        </row>
        <row r="510">
          <cell r="C510" t="str">
            <v>PART LABEL</v>
          </cell>
          <cell r="D510" t="str">
            <v>PART LABEL</v>
          </cell>
          <cell r="E510" t="str">
            <v>STERLING</v>
          </cell>
          <cell r="H510">
            <v>0.01</v>
          </cell>
        </row>
        <row r="511">
          <cell r="C511">
            <v>15359285</v>
          </cell>
          <cell r="D511" t="str">
            <v>CAM LEVER FOR CONNECTOR</v>
          </cell>
          <cell r="E511" t="str">
            <v xml:space="preserve"> </v>
          </cell>
          <cell r="F511" t="str">
            <v>PSG</v>
          </cell>
          <cell r="H511">
            <v>6.93E-2</v>
          </cell>
        </row>
        <row r="512">
          <cell r="C512">
            <v>25358666</v>
          </cell>
          <cell r="D512" t="str">
            <v>Bracket</v>
          </cell>
          <cell r="E512" t="str">
            <v>UNUVAR</v>
          </cell>
          <cell r="F512" t="str">
            <v>BOSCH</v>
          </cell>
          <cell r="H512">
            <v>2.4799999999999999E-2</v>
          </cell>
        </row>
        <row r="513">
          <cell r="C513">
            <v>12059168</v>
          </cell>
          <cell r="D513" t="str">
            <v>PACKARD CAVITY PLUG</v>
          </cell>
          <cell r="E513" t="str">
            <v>PRECISION</v>
          </cell>
          <cell r="F513" t="str">
            <v>PSG</v>
          </cell>
          <cell r="H513">
            <v>2.0299999999999999E-2</v>
          </cell>
        </row>
        <row r="514">
          <cell r="C514">
            <v>25346583</v>
          </cell>
          <cell r="D514" t="str">
            <v>Upper Ceramic</v>
          </cell>
          <cell r="E514" t="str">
            <v>DPI</v>
          </cell>
          <cell r="H514">
            <v>0.12</v>
          </cell>
        </row>
        <row r="515">
          <cell r="C515">
            <v>25346584</v>
          </cell>
          <cell r="D515" t="str">
            <v>Lower Ceramic</v>
          </cell>
          <cell r="E515" t="str">
            <v>DPI</v>
          </cell>
          <cell r="H515">
            <v>0.13100000000000001</v>
          </cell>
        </row>
        <row r="516">
          <cell r="C516" t="str">
            <v>25322726 - DPI</v>
          </cell>
          <cell r="D516" t="str">
            <v>Lower adapter steatite ceramic spacer (Ceramtec)</v>
          </cell>
          <cell r="E516" t="str">
            <v>DPI</v>
          </cell>
          <cell r="F516" t="str">
            <v>CERAMTEC</v>
          </cell>
          <cell r="H516">
            <v>0.10100000000000001</v>
          </cell>
        </row>
        <row r="517">
          <cell r="C517" t="str">
            <v>25343848 - DPI</v>
          </cell>
          <cell r="D517" t="str">
            <v>Upper adapter 4 hole steatite ceramic insulator (Ceramtec)</v>
          </cell>
          <cell r="E517" t="str">
            <v>DPI</v>
          </cell>
          <cell r="F517" t="str">
            <v>CERAMTEC</v>
          </cell>
          <cell r="H517">
            <v>0.13200000000000001</v>
          </cell>
        </row>
        <row r="518">
          <cell r="C518">
            <v>25335161</v>
          </cell>
          <cell r="D518" t="str">
            <v>terminal lock piece(seramic)</v>
          </cell>
          <cell r="E518" t="str">
            <v>LEONI</v>
          </cell>
          <cell r="F518" t="str">
            <v>CERAMTEC</v>
          </cell>
          <cell r="H518">
            <v>4.0067999999999999E-2</v>
          </cell>
        </row>
        <row r="519">
          <cell r="C519">
            <v>25371235</v>
          </cell>
          <cell r="D519" t="str">
            <v>CERAMIC EDGE CARD</v>
          </cell>
          <cell r="E519" t="str">
            <v>TBD</v>
          </cell>
          <cell r="F519" t="str">
            <v>TBD</v>
          </cell>
          <cell r="H519">
            <v>0.1</v>
          </cell>
        </row>
        <row r="520">
          <cell r="C520" t="str">
            <v>0.812-32 - DPI</v>
          </cell>
          <cell r="D520" t="str">
            <v>Plastic protective tube packaging (Harmen West)</v>
          </cell>
          <cell r="E520" t="str">
            <v>DPI</v>
          </cell>
          <cell r="F520" t="str">
            <v>HARMEN WEST</v>
          </cell>
          <cell r="H520">
            <v>2.23E-2</v>
          </cell>
        </row>
        <row r="521">
          <cell r="C521">
            <v>25322734</v>
          </cell>
          <cell r="D521" t="str">
            <v>GORETEX MEMBRANE Goretex PTFE Breathable membrane</v>
          </cell>
          <cell r="E521" t="str">
            <v>DPI</v>
          </cell>
          <cell r="F521" t="str">
            <v>GORE</v>
          </cell>
          <cell r="H521">
            <v>0.10199999999999999</v>
          </cell>
        </row>
        <row r="522">
          <cell r="C522" t="str">
            <v>TRIM_RESISTOR</v>
          </cell>
          <cell r="D522" t="str">
            <v>TRIM RESISTOR</v>
          </cell>
          <cell r="E522" t="str">
            <v>TBD</v>
          </cell>
          <cell r="F522" t="str">
            <v>TBD</v>
          </cell>
          <cell r="H522">
            <v>0.95</v>
          </cell>
        </row>
        <row r="523">
          <cell r="C523">
            <v>25322917</v>
          </cell>
          <cell r="D523" t="str">
            <v>UPPER_SHIELD Upper shield deep drawn 444 stainless steel</v>
          </cell>
          <cell r="E523" t="str">
            <v>DPI</v>
          </cell>
          <cell r="F523" t="str">
            <v>METAL FLOW</v>
          </cell>
          <cell r="H523">
            <v>0.14660000000000001</v>
          </cell>
        </row>
        <row r="524">
          <cell r="C524">
            <v>25340140</v>
          </cell>
          <cell r="D524" t="str">
            <v>Upper Shield</v>
          </cell>
          <cell r="E524" t="str">
            <v>DPI</v>
          </cell>
          <cell r="H524">
            <v>0.16520000000000001</v>
          </cell>
        </row>
        <row r="525">
          <cell r="C525">
            <v>25329659</v>
          </cell>
          <cell r="D525" t="str">
            <v>OUTER_SHIELD     -    0.11679</v>
          </cell>
          <cell r="E525" t="str">
            <v>TBD</v>
          </cell>
          <cell r="F525" t="str">
            <v>METAL FLOW</v>
          </cell>
          <cell r="H525">
            <v>0.16789999999999999</v>
          </cell>
        </row>
        <row r="526">
          <cell r="C526">
            <v>25329659</v>
          </cell>
          <cell r="D526" t="str">
            <v>shield</v>
          </cell>
          <cell r="E526" t="str">
            <v>LEONI</v>
          </cell>
          <cell r="F526" t="str">
            <v>KOENIG</v>
          </cell>
          <cell r="H526">
            <v>0.27896400000000005</v>
          </cell>
        </row>
        <row r="527">
          <cell r="C527">
            <v>25331555</v>
          </cell>
          <cell r="D527" t="str">
            <v>OUTER_SHIELD Outer shield deep drawn 304L stainless steel</v>
          </cell>
          <cell r="E527" t="str">
            <v>DPI</v>
          </cell>
          <cell r="F527" t="str">
            <v>METAL FLOW</v>
          </cell>
          <cell r="H527">
            <v>7.6300000000000007E-2</v>
          </cell>
        </row>
        <row r="528">
          <cell r="C528">
            <v>25322732</v>
          </cell>
          <cell r="D528" t="str">
            <v>OUTER SHIELD 4-HOLE SEAL</v>
          </cell>
          <cell r="F528" t="str">
            <v>ZHONG DING</v>
          </cell>
          <cell r="H528">
            <v>6.7000000000000004E-2</v>
          </cell>
        </row>
        <row r="529">
          <cell r="C529">
            <v>25334819</v>
          </cell>
          <cell r="D529" t="str">
            <v>Outer Shield Seal (Rubber)</v>
          </cell>
          <cell r="E529" t="str">
            <v>LEONI</v>
          </cell>
          <cell r="F529" t="str">
            <v>VERITAS</v>
          </cell>
          <cell r="H529">
            <v>0.13482</v>
          </cell>
        </row>
        <row r="530">
          <cell r="C530">
            <v>25356698</v>
          </cell>
          <cell r="D530" t="str">
            <v>OUTER_SHIELD_SEAL     -     0.0746</v>
          </cell>
          <cell r="E530" t="str">
            <v>TBD</v>
          </cell>
          <cell r="F530" t="str">
            <v>OSR</v>
          </cell>
          <cell r="H530">
            <v>7.46E-2</v>
          </cell>
        </row>
        <row r="531">
          <cell r="C531">
            <v>25326169</v>
          </cell>
          <cell r="D531" t="str">
            <v>HEATER ELEMENT Alumina heater w/0.6mm Ni Leads (Kyocera)</v>
          </cell>
          <cell r="F531" t="str">
            <v>KYOCERA</v>
          </cell>
          <cell r="H531">
            <v>1.645</v>
          </cell>
        </row>
        <row r="532">
          <cell r="C532">
            <v>25337391</v>
          </cell>
          <cell r="D532" t="str">
            <v>Heater Assembly</v>
          </cell>
          <cell r="E532" t="str">
            <v>DPI</v>
          </cell>
          <cell r="H532">
            <v>1.95</v>
          </cell>
        </row>
        <row r="533">
          <cell r="C533">
            <v>25346795</v>
          </cell>
          <cell r="D533" t="str">
            <v>Heater Assembly</v>
          </cell>
          <cell r="E533" t="str">
            <v>DPI</v>
          </cell>
          <cell r="H533">
            <v>2.08</v>
          </cell>
        </row>
      </sheetData>
      <sheetData sheetId="12" refreshError="1">
        <row r="2">
          <cell r="B2">
            <v>332364</v>
          </cell>
          <cell r="C2" t="str">
            <v>CLIP</v>
          </cell>
          <cell r="D2" t="str">
            <v>332364    -    RETAINER    -    0.01035</v>
          </cell>
          <cell r="F2">
            <v>1.035E-2</v>
          </cell>
          <cell r="G2" t="str">
            <v/>
          </cell>
          <cell r="H2">
            <v>1.035E-2</v>
          </cell>
        </row>
        <row r="3">
          <cell r="B3">
            <v>2962752</v>
          </cell>
          <cell r="C3" t="str">
            <v>CLIP</v>
          </cell>
          <cell r="D3" t="str">
            <v>2962752    -    CLIP, HARNESS    -    0.0566</v>
          </cell>
          <cell r="F3">
            <v>5.6599999999999998E-2</v>
          </cell>
          <cell r="G3" t="str">
            <v/>
          </cell>
          <cell r="H3">
            <v>5.6599999999999998E-2</v>
          </cell>
        </row>
        <row r="4">
          <cell r="B4">
            <v>10718045</v>
          </cell>
          <cell r="C4" t="str">
            <v>CLIP</v>
          </cell>
          <cell r="D4" t="str">
            <v>10718045    -    CLAMP    -    0.167455</v>
          </cell>
          <cell r="F4">
            <v>0.16745499999999999</v>
          </cell>
          <cell r="G4" t="str">
            <v/>
          </cell>
          <cell r="H4">
            <v>0.16745499999999999</v>
          </cell>
        </row>
        <row r="5">
          <cell r="B5">
            <v>10718059</v>
          </cell>
          <cell r="C5" t="str">
            <v>CLIP</v>
          </cell>
          <cell r="D5" t="str">
            <v>10718059    -    CABLE TIE    -    0.030736</v>
          </cell>
          <cell r="F5">
            <v>3.0735999999999999E-2</v>
          </cell>
          <cell r="G5" t="str">
            <v/>
          </cell>
          <cell r="H5">
            <v>3.0735999999999999E-2</v>
          </cell>
        </row>
        <row r="6">
          <cell r="B6">
            <v>10718098</v>
          </cell>
          <cell r="C6" t="str">
            <v>CLIP</v>
          </cell>
          <cell r="D6" t="str">
            <v>10718098    -    HALTER    -    0.113767</v>
          </cell>
          <cell r="F6">
            <v>0.11376699999999999</v>
          </cell>
          <cell r="G6" t="str">
            <v/>
          </cell>
          <cell r="H6">
            <v>0.11376699999999999</v>
          </cell>
        </row>
        <row r="7">
          <cell r="B7">
            <v>10718623</v>
          </cell>
          <cell r="C7" t="str">
            <v>CLIP</v>
          </cell>
          <cell r="D7" t="str">
            <v>10718623    -    RELAY RETAINER    -    0.20942</v>
          </cell>
          <cell r="F7">
            <v>0.20942</v>
          </cell>
          <cell r="G7" t="str">
            <v/>
          </cell>
          <cell r="H7">
            <v>0.20942</v>
          </cell>
        </row>
        <row r="8">
          <cell r="B8">
            <v>10720051</v>
          </cell>
          <cell r="C8" t="str">
            <v>CLIP</v>
          </cell>
          <cell r="D8" t="str">
            <v>10720051    -    10720051    -    0.051329</v>
          </cell>
          <cell r="F8">
            <v>5.1329E-2</v>
          </cell>
          <cell r="G8" t="str">
            <v/>
          </cell>
          <cell r="H8">
            <v>5.1329E-2</v>
          </cell>
        </row>
        <row r="9">
          <cell r="B9">
            <v>10720153</v>
          </cell>
          <cell r="C9" t="str">
            <v>CLIP</v>
          </cell>
          <cell r="D9" t="str">
            <v>10720153    -    MDPO 4 GY *    -    0.096521</v>
          </cell>
          <cell r="F9">
            <v>9.6520999999999996E-2</v>
          </cell>
          <cell r="G9" t="str">
            <v/>
          </cell>
          <cell r="H9">
            <v>9.6520999999999996E-2</v>
          </cell>
        </row>
        <row r="10">
          <cell r="B10">
            <v>12010340</v>
          </cell>
          <cell r="C10" t="str">
            <v>CLIP</v>
          </cell>
          <cell r="D10" t="str">
            <v>12010340    -    CLIP, ROSEBUD, TAPEON     -    0.0228</v>
          </cell>
          <cell r="F10">
            <v>2.2800000000000001E-2</v>
          </cell>
          <cell r="H10">
            <v>2.2800000000000001E-2</v>
          </cell>
        </row>
        <row r="11">
          <cell r="B11">
            <v>10720178</v>
          </cell>
          <cell r="C11" t="str">
            <v>CLIP</v>
          </cell>
          <cell r="D11" t="str">
            <v>10720178    -    LOCATOR    -    0.047742</v>
          </cell>
          <cell r="F11">
            <v>4.7742E-2</v>
          </cell>
          <cell r="G11" t="str">
            <v/>
          </cell>
          <cell r="H11">
            <v>4.7742E-2</v>
          </cell>
        </row>
        <row r="12">
          <cell r="B12">
            <v>10720210</v>
          </cell>
          <cell r="C12" t="str">
            <v>CLIP</v>
          </cell>
          <cell r="D12" t="str">
            <v>10720210    -    T50RFT6-BK    -    0.037103</v>
          </cell>
          <cell r="F12">
            <v>3.7102999999999997E-2</v>
          </cell>
          <cell r="G12" t="str">
            <v/>
          </cell>
          <cell r="H12">
            <v>3.7102999999999997E-2</v>
          </cell>
        </row>
        <row r="13">
          <cell r="B13">
            <v>10720239</v>
          </cell>
          <cell r="C13" t="str">
            <v>CLIP</v>
          </cell>
          <cell r="D13" t="str">
            <v>10720239    -    10720239    -    0.226387</v>
          </cell>
          <cell r="F13">
            <v>0.226387</v>
          </cell>
          <cell r="G13" t="str">
            <v/>
          </cell>
          <cell r="H13">
            <v>0.226387</v>
          </cell>
        </row>
        <row r="14">
          <cell r="B14">
            <v>10720292</v>
          </cell>
          <cell r="C14" t="str">
            <v>CLIP</v>
          </cell>
          <cell r="D14" t="str">
            <v>10720292    -    ZUH 70    -    0.212281</v>
          </cell>
          <cell r="F14">
            <v>0.212281</v>
          </cell>
          <cell r="G14" t="str">
            <v/>
          </cell>
          <cell r="H14">
            <v>0.212281</v>
          </cell>
        </row>
        <row r="15">
          <cell r="B15">
            <v>10720299</v>
          </cell>
          <cell r="C15" t="str">
            <v>CLIP</v>
          </cell>
          <cell r="D15" t="str">
            <v>10720299    -    ZUH-138    -    0.178763</v>
          </cell>
          <cell r="F15">
            <v>0.17876300000000001</v>
          </cell>
          <cell r="G15" t="str">
            <v/>
          </cell>
          <cell r="H15">
            <v>0.17876300000000001</v>
          </cell>
        </row>
        <row r="16">
          <cell r="B16">
            <v>10720300</v>
          </cell>
          <cell r="C16" t="str">
            <v>CLIP</v>
          </cell>
          <cell r="D16" t="str">
            <v>10720300    -    TIES, BAND BLK    -    0.163852</v>
          </cell>
          <cell r="F16">
            <v>0.163852</v>
          </cell>
          <cell r="G16" t="str">
            <v/>
          </cell>
          <cell r="H16">
            <v>0.163852</v>
          </cell>
        </row>
        <row r="17">
          <cell r="B17">
            <v>10720334</v>
          </cell>
          <cell r="C17" t="str">
            <v>CLIP</v>
          </cell>
          <cell r="D17" t="str">
            <v>10720334    -    CTMS5-BK    -    0.039652</v>
          </cell>
          <cell r="F17">
            <v>3.9652E-2</v>
          </cell>
          <cell r="G17" t="str">
            <v/>
          </cell>
          <cell r="H17">
            <v>3.9652E-2</v>
          </cell>
        </row>
        <row r="18">
          <cell r="B18">
            <v>10720411</v>
          </cell>
          <cell r="C18" t="str">
            <v>CLIP</v>
          </cell>
          <cell r="D18" t="str">
            <v>10720411    -    MDPO 4 NA *    -    0.100744</v>
          </cell>
          <cell r="F18">
            <v>0.100744</v>
          </cell>
          <cell r="G18" t="str">
            <v/>
          </cell>
          <cell r="H18">
            <v>0.100744</v>
          </cell>
        </row>
        <row r="19">
          <cell r="B19">
            <v>10720426</v>
          </cell>
          <cell r="C19" t="str">
            <v>CLIP</v>
          </cell>
          <cell r="D19" t="str">
            <v>10720426    -    PLASTIC    -    0.200765</v>
          </cell>
          <cell r="F19">
            <v>0.200765</v>
          </cell>
          <cell r="G19" t="str">
            <v/>
          </cell>
          <cell r="H19">
            <v>0.200765</v>
          </cell>
        </row>
        <row r="20">
          <cell r="B20">
            <v>10720428</v>
          </cell>
          <cell r="C20" t="str">
            <v>CLIP</v>
          </cell>
          <cell r="D20" t="str">
            <v>10720428    -    MDPO 4 BK *    -    0.066098</v>
          </cell>
          <cell r="F20">
            <v>6.6098000000000004E-2</v>
          </cell>
          <cell r="G20" t="str">
            <v/>
          </cell>
          <cell r="H20">
            <v>6.6098000000000004E-2</v>
          </cell>
        </row>
        <row r="21">
          <cell r="B21">
            <v>10720449</v>
          </cell>
          <cell r="C21" t="str">
            <v>CLIP</v>
          </cell>
          <cell r="D21" t="str">
            <v>10720449    -    PLASTIC    -    0.084912</v>
          </cell>
          <cell r="F21">
            <v>8.4912000000000001E-2</v>
          </cell>
          <cell r="G21" t="str">
            <v/>
          </cell>
          <cell r="H21">
            <v>8.4912000000000001E-2</v>
          </cell>
        </row>
        <row r="22">
          <cell r="B22">
            <v>10720468</v>
          </cell>
          <cell r="C22" t="str">
            <v>CLIP</v>
          </cell>
          <cell r="D22" t="str">
            <v>10720468    -    T18R-BK    -    0.004249</v>
          </cell>
          <cell r="F22">
            <v>4.2490000000000002E-3</v>
          </cell>
          <cell r="G22" t="str">
            <v/>
          </cell>
          <cell r="H22">
            <v>4.2490000000000002E-3</v>
          </cell>
        </row>
        <row r="23">
          <cell r="B23">
            <v>10720491</v>
          </cell>
          <cell r="C23" t="str">
            <v>CLIP</v>
          </cell>
          <cell r="D23" t="str">
            <v>10720491    -    9    -    0.06489</v>
          </cell>
          <cell r="F23">
            <v>6.4890000000000003E-2</v>
          </cell>
          <cell r="G23" t="str">
            <v/>
          </cell>
          <cell r="H23">
            <v>6.4890000000000003E-2</v>
          </cell>
        </row>
        <row r="24">
          <cell r="B24">
            <v>10721037</v>
          </cell>
          <cell r="C24" t="str">
            <v>CLIP</v>
          </cell>
          <cell r="D24" t="str">
            <v>10721037    -    HT2,0X0,9X20-BK    -    0.00793</v>
          </cell>
          <cell r="F24">
            <v>7.9299999999999995E-3</v>
          </cell>
          <cell r="G24" t="str">
            <v/>
          </cell>
          <cell r="H24">
            <v>7.9299999999999995E-3</v>
          </cell>
        </row>
        <row r="25">
          <cell r="B25">
            <v>10722509</v>
          </cell>
          <cell r="C25" t="str">
            <v>CLIP</v>
          </cell>
          <cell r="D25" t="str">
            <v>10722509    -    HOUSING 2.P. ZE    -    0.063824</v>
          </cell>
          <cell r="F25">
            <v>6.3824000000000006E-2</v>
          </cell>
          <cell r="G25" t="str">
            <v/>
          </cell>
          <cell r="H25">
            <v>6.3824000000000006E-2</v>
          </cell>
        </row>
        <row r="26">
          <cell r="B26">
            <v>10722683</v>
          </cell>
          <cell r="C26" t="str">
            <v>CLIP</v>
          </cell>
          <cell r="D26" t="str">
            <v>10722683    -    COVER    -    0.02</v>
          </cell>
          <cell r="F26">
            <v>0.02</v>
          </cell>
          <cell r="G26" t="str">
            <v/>
          </cell>
          <cell r="H26">
            <v>0.02</v>
          </cell>
        </row>
        <row r="27">
          <cell r="B27">
            <v>10723112</v>
          </cell>
          <cell r="C27" t="str">
            <v>CLIP</v>
          </cell>
          <cell r="D27" t="str">
            <v>10723112    -    CONNECTOR HOLDER    -    0.206364</v>
          </cell>
          <cell r="F27">
            <v>0.20636399999999999</v>
          </cell>
          <cell r="G27" t="str">
            <v/>
          </cell>
          <cell r="H27">
            <v>0.20636399999999999</v>
          </cell>
        </row>
        <row r="28">
          <cell r="B28">
            <v>10723118</v>
          </cell>
          <cell r="C28" t="str">
            <v>CLIP</v>
          </cell>
          <cell r="D28" t="str">
            <v>10723118    -    SPLICE COVER    -    0.062475</v>
          </cell>
          <cell r="F28">
            <v>6.2475000000000003E-2</v>
          </cell>
          <cell r="G28" t="str">
            <v/>
          </cell>
          <cell r="H28">
            <v>6.2475000000000003E-2</v>
          </cell>
        </row>
        <row r="29">
          <cell r="B29">
            <v>10723119</v>
          </cell>
          <cell r="C29" t="str">
            <v>CLIP</v>
          </cell>
          <cell r="D29" t="str">
            <v>10723119    -    COVER    -    0.060856</v>
          </cell>
          <cell r="F29">
            <v>6.0856E-2</v>
          </cell>
          <cell r="G29" t="str">
            <v/>
          </cell>
          <cell r="H29">
            <v>6.0856E-2</v>
          </cell>
        </row>
        <row r="30">
          <cell r="B30">
            <v>10725349</v>
          </cell>
          <cell r="C30" t="str">
            <v>CLIP</v>
          </cell>
          <cell r="D30" t="str">
            <v>10725349    -    SPLI,  SPLICE CLIP  RING TERM,    -    0.255015</v>
          </cell>
          <cell r="F30">
            <v>0.25501499999999999</v>
          </cell>
          <cell r="G30" t="str">
            <v/>
          </cell>
          <cell r="H30">
            <v>0.25501499999999999</v>
          </cell>
        </row>
        <row r="31">
          <cell r="B31">
            <v>10725350</v>
          </cell>
          <cell r="C31" t="str">
            <v>CLIP</v>
          </cell>
          <cell r="D31" t="str">
            <v>10725350    -    CLIP    -    0.221308</v>
          </cell>
          <cell r="F31">
            <v>0.221308</v>
          </cell>
          <cell r="G31" t="str">
            <v/>
          </cell>
          <cell r="H31">
            <v>0.221308</v>
          </cell>
        </row>
        <row r="32">
          <cell r="B32">
            <v>10725351</v>
          </cell>
          <cell r="C32" t="str">
            <v>CLIP</v>
          </cell>
          <cell r="D32" t="str">
            <v>10725351    -    SPLI,  SPLICE CLIP  RING TERM,    -    0.245245</v>
          </cell>
          <cell r="F32">
            <v>0.24524499999999999</v>
          </cell>
          <cell r="G32" t="str">
            <v/>
          </cell>
          <cell r="H32">
            <v>0.24524499999999999</v>
          </cell>
        </row>
        <row r="33">
          <cell r="B33">
            <v>10726376</v>
          </cell>
          <cell r="C33" t="str">
            <v>CLIP</v>
          </cell>
          <cell r="D33" t="str">
            <v>10726376    -    METAL    -    0.033059</v>
          </cell>
          <cell r="F33">
            <v>3.3058999999999998E-2</v>
          </cell>
          <cell r="G33" t="str">
            <v/>
          </cell>
          <cell r="H33">
            <v>3.3058999999999998E-2</v>
          </cell>
        </row>
        <row r="34">
          <cell r="B34">
            <v>10726392</v>
          </cell>
          <cell r="C34" t="str">
            <v>CLIP</v>
          </cell>
          <cell r="D34" t="str">
            <v>10726392    -    PLASTIC    -    0.102659</v>
          </cell>
          <cell r="F34">
            <v>0.102659</v>
          </cell>
          <cell r="G34" t="str">
            <v/>
          </cell>
          <cell r="H34">
            <v>0.102659</v>
          </cell>
        </row>
        <row r="35">
          <cell r="B35">
            <v>10726397</v>
          </cell>
          <cell r="C35" t="str">
            <v>CLIP</v>
          </cell>
          <cell r="D35" t="str">
            <v>10726397    -    CLIP (AGRAFE MAINT. AXEE)    -    0.021401</v>
          </cell>
          <cell r="F35">
            <v>2.1401E-2</v>
          </cell>
          <cell r="G35" t="str">
            <v/>
          </cell>
          <cell r="H35">
            <v>2.1401E-2</v>
          </cell>
        </row>
        <row r="36">
          <cell r="B36">
            <v>10726400</v>
          </cell>
          <cell r="C36" t="str">
            <v>CLIP</v>
          </cell>
          <cell r="D36" t="str">
            <v>10726400    -    MDCLI 4 BK    -    0.198693</v>
          </cell>
          <cell r="F36">
            <v>0.19869300000000001</v>
          </cell>
          <cell r="G36" t="str">
            <v/>
          </cell>
          <cell r="H36">
            <v>0.19869300000000001</v>
          </cell>
        </row>
        <row r="37">
          <cell r="B37">
            <v>10726584</v>
          </cell>
          <cell r="C37" t="str">
            <v>CLIP</v>
          </cell>
          <cell r="D37" t="str">
            <v>10726584    -    CLIP,CONN    -    0.021603</v>
          </cell>
          <cell r="F37">
            <v>2.1603000000000001E-2</v>
          </cell>
          <cell r="G37" t="str">
            <v/>
          </cell>
          <cell r="H37">
            <v>2.1603000000000001E-2</v>
          </cell>
        </row>
        <row r="38">
          <cell r="B38">
            <v>10726637</v>
          </cell>
          <cell r="C38" t="str">
            <v>CLIP</v>
          </cell>
          <cell r="D38" t="str">
            <v>10726637    -    COVER BATTERY BLACK    -    0.227177</v>
          </cell>
          <cell r="F38">
            <v>0.22717699999999999</v>
          </cell>
          <cell r="G38" t="str">
            <v/>
          </cell>
          <cell r="H38">
            <v>0.22717699999999999</v>
          </cell>
        </row>
        <row r="39">
          <cell r="B39">
            <v>10726649</v>
          </cell>
          <cell r="C39" t="str">
            <v>CLIP</v>
          </cell>
          <cell r="D39" t="str">
            <v>10726649    -    CABLE TIE    -    0.00708</v>
          </cell>
          <cell r="F39">
            <v>7.0800000000000004E-3</v>
          </cell>
          <cell r="G39" t="str">
            <v/>
          </cell>
          <cell r="H39">
            <v>7.0800000000000004E-3</v>
          </cell>
        </row>
        <row r="40">
          <cell r="B40">
            <v>10726653</v>
          </cell>
          <cell r="C40" t="str">
            <v>CLIP</v>
          </cell>
          <cell r="D40" t="str">
            <v>10726653    -    MOLLETTA    -    0.038225</v>
          </cell>
          <cell r="F40">
            <v>3.8225000000000002E-2</v>
          </cell>
          <cell r="G40" t="str">
            <v/>
          </cell>
          <cell r="H40">
            <v>3.8225000000000002E-2</v>
          </cell>
        </row>
        <row r="41">
          <cell r="B41">
            <v>10726668</v>
          </cell>
          <cell r="C41" t="str">
            <v>CLIP</v>
          </cell>
          <cell r="D41" t="str">
            <v>10726668    -    BRIDA LYS FUSION TF5BKIT 1/456    -    0.016466</v>
          </cell>
          <cell r="F41">
            <v>1.6466000000000001E-2</v>
          </cell>
          <cell r="G41" t="str">
            <v/>
          </cell>
          <cell r="H41">
            <v>1.6466000000000001E-2</v>
          </cell>
        </row>
        <row r="42">
          <cell r="B42">
            <v>10726670</v>
          </cell>
          <cell r="C42" t="str">
            <v>CLIP</v>
          </cell>
          <cell r="D42" t="str">
            <v>10726670    -    CLIP    -    0.029672</v>
          </cell>
          <cell r="F42">
            <v>2.9672E-2</v>
          </cell>
          <cell r="G42" t="str">
            <v/>
          </cell>
          <cell r="H42">
            <v>2.9672E-2</v>
          </cell>
        </row>
        <row r="43">
          <cell r="B43">
            <v>10726931</v>
          </cell>
          <cell r="C43" t="str">
            <v>CLIP</v>
          </cell>
          <cell r="D43" t="str">
            <v>10726931    -    10726931    -    0.02714</v>
          </cell>
          <cell r="F43">
            <v>2.7140000000000001E-2</v>
          </cell>
          <cell r="G43" t="str">
            <v/>
          </cell>
          <cell r="H43">
            <v>2.7140000000000001E-2</v>
          </cell>
        </row>
        <row r="44">
          <cell r="B44">
            <v>10727025</v>
          </cell>
          <cell r="C44" t="str">
            <v>CLIP</v>
          </cell>
          <cell r="D44" t="str">
            <v>10727025    -    SPLICE BOX    -    0.362437</v>
          </cell>
          <cell r="F44">
            <v>0.36243700000000001</v>
          </cell>
          <cell r="G44" t="str">
            <v/>
          </cell>
          <cell r="H44">
            <v>0.36243700000000001</v>
          </cell>
        </row>
        <row r="45">
          <cell r="B45">
            <v>10730131</v>
          </cell>
          <cell r="C45" t="str">
            <v>CLIP</v>
          </cell>
          <cell r="D45" t="str">
            <v>10730131    -    8    -    0.054204</v>
          </cell>
          <cell r="F45">
            <v>5.4204000000000002E-2</v>
          </cell>
          <cell r="G45" t="str">
            <v/>
          </cell>
          <cell r="H45">
            <v>5.4204000000000002E-2</v>
          </cell>
        </row>
        <row r="46">
          <cell r="B46">
            <v>10735931</v>
          </cell>
          <cell r="C46" t="str">
            <v>CLIP</v>
          </cell>
          <cell r="D46" t="str">
            <v>10735931    -    CLIP    -    0.045378</v>
          </cell>
          <cell r="F46">
            <v>4.5378000000000002E-2</v>
          </cell>
          <cell r="G46" t="str">
            <v/>
          </cell>
          <cell r="H46">
            <v>4.5378000000000002E-2</v>
          </cell>
        </row>
        <row r="47">
          <cell r="B47">
            <v>10735932</v>
          </cell>
          <cell r="C47" t="str">
            <v>CLIP</v>
          </cell>
          <cell r="D47" t="str">
            <v>10735932    -    CLIP    -    0.134396</v>
          </cell>
          <cell r="F47">
            <v>0.13439599999999999</v>
          </cell>
          <cell r="G47" t="str">
            <v/>
          </cell>
          <cell r="H47">
            <v>0.13439599999999999</v>
          </cell>
        </row>
        <row r="48">
          <cell r="B48">
            <v>10736159</v>
          </cell>
          <cell r="C48" t="str">
            <v>CLIP</v>
          </cell>
          <cell r="D48" t="str">
            <v>10736159    -    PROTECTOR TERM. BATERIA 465217    -    0.220362</v>
          </cell>
          <cell r="F48">
            <v>0.220362</v>
          </cell>
          <cell r="G48" t="str">
            <v/>
          </cell>
          <cell r="H48">
            <v>0.220362</v>
          </cell>
        </row>
        <row r="49">
          <cell r="B49">
            <v>10736165</v>
          </cell>
          <cell r="C49" t="str">
            <v>CLIP</v>
          </cell>
          <cell r="D49" t="str">
            <v>10736165    -    STAND OFF CLIPP (SOCP23-BK)    -    0.048574</v>
          </cell>
          <cell r="F49">
            <v>4.8573999999999999E-2</v>
          </cell>
          <cell r="G49" t="str">
            <v/>
          </cell>
          <cell r="H49">
            <v>4.8573999999999999E-2</v>
          </cell>
        </row>
        <row r="50">
          <cell r="B50">
            <v>10737995</v>
          </cell>
          <cell r="C50" t="str">
            <v>CLIP</v>
          </cell>
          <cell r="D50" t="str">
            <v>10737995    -    CABLE TIE    -    0.02248</v>
          </cell>
          <cell r="F50">
            <v>2.248E-2</v>
          </cell>
          <cell r="G50" t="str">
            <v/>
          </cell>
          <cell r="H50">
            <v>2.248E-2</v>
          </cell>
        </row>
        <row r="51">
          <cell r="B51">
            <v>10737997</v>
          </cell>
          <cell r="C51" t="str">
            <v>CLIP</v>
          </cell>
          <cell r="D51" t="str">
            <v>10737997    -    CLIP    -    0.040076</v>
          </cell>
          <cell r="F51">
            <v>4.0076000000000001E-2</v>
          </cell>
          <cell r="G51" t="str">
            <v/>
          </cell>
          <cell r="H51">
            <v>4.0076000000000001E-2</v>
          </cell>
        </row>
        <row r="52">
          <cell r="B52">
            <v>10737999</v>
          </cell>
          <cell r="C52" t="str">
            <v>CLIP</v>
          </cell>
          <cell r="D52" t="str">
            <v>10737999    -    CLIP    -    0.019417</v>
          </cell>
          <cell r="F52">
            <v>1.9417E-2</v>
          </cell>
          <cell r="G52" t="str">
            <v/>
          </cell>
          <cell r="H52">
            <v>1.9417E-2</v>
          </cell>
        </row>
        <row r="53">
          <cell r="B53">
            <v>10738432</v>
          </cell>
          <cell r="C53" t="str">
            <v>CLIP</v>
          </cell>
          <cell r="D53" t="str">
            <v>10738432    -    PLASTIC    -    0.079605</v>
          </cell>
          <cell r="F53">
            <v>7.9604999999999995E-2</v>
          </cell>
          <cell r="G53" t="str">
            <v/>
          </cell>
          <cell r="H53">
            <v>7.9604999999999995E-2</v>
          </cell>
        </row>
        <row r="54">
          <cell r="B54">
            <v>10738885</v>
          </cell>
          <cell r="C54" t="str">
            <v>CLIP</v>
          </cell>
          <cell r="D54" t="str">
            <v>10738885    -    10738885    -    0.076522</v>
          </cell>
          <cell r="F54">
            <v>7.6522000000000007E-2</v>
          </cell>
          <cell r="G54" t="str">
            <v/>
          </cell>
          <cell r="H54">
            <v>7.6522000000000007E-2</v>
          </cell>
        </row>
        <row r="55">
          <cell r="B55">
            <v>10740087</v>
          </cell>
          <cell r="C55" t="str">
            <v>CLIP</v>
          </cell>
          <cell r="D55" t="str">
            <v>10740087    -    CLIP    -    0.033982</v>
          </cell>
          <cell r="F55">
            <v>3.3981999999999998E-2</v>
          </cell>
          <cell r="G55" t="str">
            <v/>
          </cell>
          <cell r="H55">
            <v>3.3981999999999998E-2</v>
          </cell>
        </row>
        <row r="56">
          <cell r="B56">
            <v>10741051</v>
          </cell>
          <cell r="C56" t="str">
            <v>CLIP</v>
          </cell>
          <cell r="D56" t="str">
            <v>10741051    -    COVER BLACK    -    0.120362</v>
          </cell>
          <cell r="F56">
            <v>0.120362</v>
          </cell>
          <cell r="G56" t="str">
            <v/>
          </cell>
          <cell r="H56">
            <v>0.120362</v>
          </cell>
        </row>
        <row r="57">
          <cell r="B57">
            <v>10748137</v>
          </cell>
          <cell r="C57" t="str">
            <v>CLIP</v>
          </cell>
          <cell r="D57" t="str">
            <v>10748137    -    CLIP    -    0.0511</v>
          </cell>
          <cell r="F57">
            <v>5.11E-2</v>
          </cell>
          <cell r="G57" t="str">
            <v/>
          </cell>
          <cell r="H57">
            <v>5.11E-2</v>
          </cell>
        </row>
        <row r="58">
          <cell r="B58">
            <v>10748239</v>
          </cell>
          <cell r="C58" t="str">
            <v>CLIP</v>
          </cell>
          <cell r="D58" t="str">
            <v>10748239    -    COVER    -    0.275943</v>
          </cell>
          <cell r="F58">
            <v>0.27594299999999999</v>
          </cell>
          <cell r="G58" t="str">
            <v/>
          </cell>
          <cell r="H58">
            <v>0.27594299999999999</v>
          </cell>
        </row>
        <row r="59">
          <cell r="B59">
            <v>10749701</v>
          </cell>
          <cell r="C59" t="str">
            <v>CLIP</v>
          </cell>
          <cell r="D59" t="str">
            <v>10749701    -    ASM MOUN WIRE TIE    -    0.066118</v>
          </cell>
          <cell r="F59">
            <v>6.6117999999999996E-2</v>
          </cell>
          <cell r="G59" t="str">
            <v/>
          </cell>
          <cell r="H59">
            <v>6.6117999999999996E-2</v>
          </cell>
        </row>
        <row r="60">
          <cell r="B60">
            <v>10749726</v>
          </cell>
          <cell r="C60" t="str">
            <v>CLIP</v>
          </cell>
          <cell r="D60" t="str">
            <v>10749726    -    MOUN WIRE TIE    -    0.011604</v>
          </cell>
          <cell r="F60">
            <v>1.1604E-2</v>
          </cell>
          <cell r="G60" t="str">
            <v/>
          </cell>
          <cell r="H60">
            <v>1.1604E-2</v>
          </cell>
        </row>
        <row r="61">
          <cell r="B61">
            <v>10749727</v>
          </cell>
          <cell r="C61" t="str">
            <v>CLIP</v>
          </cell>
          <cell r="D61" t="str">
            <v>10749727    -    DV ABRAC.CAN.OV    -    0.12984</v>
          </cell>
          <cell r="F61">
            <v>0.12984000000000001</v>
          </cell>
          <cell r="G61" t="str">
            <v/>
          </cell>
          <cell r="H61">
            <v>0.12984000000000001</v>
          </cell>
        </row>
        <row r="62">
          <cell r="B62">
            <v>10750633</v>
          </cell>
          <cell r="C62" t="str">
            <v>CLIP</v>
          </cell>
          <cell r="D62" t="str">
            <v>10750633    -    PLASTIC    -    0.24005</v>
          </cell>
          <cell r="F62">
            <v>0.24005000000000001</v>
          </cell>
          <cell r="G62" t="str">
            <v/>
          </cell>
          <cell r="H62">
            <v>0.24005000000000001</v>
          </cell>
        </row>
        <row r="63">
          <cell r="B63">
            <v>10751054</v>
          </cell>
          <cell r="C63" t="str">
            <v>CLIP</v>
          </cell>
          <cell r="D63" t="str">
            <v>10751054    -    CLIP    -    0.034543</v>
          </cell>
          <cell r="F63">
            <v>3.4542999999999997E-2</v>
          </cell>
          <cell r="G63" t="str">
            <v/>
          </cell>
          <cell r="H63">
            <v>3.4542999999999997E-2</v>
          </cell>
        </row>
        <row r="64">
          <cell r="B64">
            <v>10751491</v>
          </cell>
          <cell r="C64" t="str">
            <v>CLIP</v>
          </cell>
          <cell r="D64" t="str">
            <v>10751491    -    PLASTIC    -    0.153826</v>
          </cell>
          <cell r="F64">
            <v>0.15382599999999999</v>
          </cell>
          <cell r="G64" t="str">
            <v/>
          </cell>
          <cell r="H64">
            <v>0.15382599999999999</v>
          </cell>
        </row>
        <row r="65">
          <cell r="B65">
            <v>10751611</v>
          </cell>
          <cell r="C65" t="str">
            <v>CLIP</v>
          </cell>
          <cell r="D65" t="str">
            <v>10751611    -    CLIP    -    0.059561</v>
          </cell>
          <cell r="F65">
            <v>5.9561000000000003E-2</v>
          </cell>
          <cell r="G65" t="str">
            <v/>
          </cell>
          <cell r="H65">
            <v>5.9561000000000003E-2</v>
          </cell>
        </row>
        <row r="66">
          <cell r="B66">
            <v>10752305</v>
          </cell>
          <cell r="C66" t="str">
            <v>CLIP</v>
          </cell>
          <cell r="D66" t="str">
            <v>10752305    -    PLASTIC    -    0.481561</v>
          </cell>
          <cell r="F66">
            <v>0.48156100000000002</v>
          </cell>
          <cell r="G66" t="str">
            <v/>
          </cell>
          <cell r="H66">
            <v>0.48156100000000002</v>
          </cell>
        </row>
        <row r="67">
          <cell r="B67">
            <v>10752365</v>
          </cell>
          <cell r="C67" t="str">
            <v>CLIP</v>
          </cell>
          <cell r="D67" t="str">
            <v>10752365    -    METAL    -    0.130441</v>
          </cell>
          <cell r="F67">
            <v>0.130441</v>
          </cell>
          <cell r="G67" t="str">
            <v/>
          </cell>
          <cell r="H67">
            <v>0.130441</v>
          </cell>
        </row>
        <row r="68">
          <cell r="B68">
            <v>10756512</v>
          </cell>
          <cell r="C68" t="str">
            <v>CLIP</v>
          </cell>
          <cell r="D68" t="str">
            <v>10756512    -    CABLE TIE NATURAL    -    0.056457</v>
          </cell>
          <cell r="F68">
            <v>5.6457E-2</v>
          </cell>
          <cell r="G68" t="str">
            <v/>
          </cell>
          <cell r="H68">
            <v>5.6457E-2</v>
          </cell>
        </row>
        <row r="69">
          <cell r="B69">
            <v>10756806</v>
          </cell>
          <cell r="C69" t="str">
            <v>CLIP</v>
          </cell>
          <cell r="D69" t="str">
            <v>10756806    -    TAPE ON CLIP    -    0.088781</v>
          </cell>
          <cell r="F69">
            <v>8.8780999999999999E-2</v>
          </cell>
          <cell r="G69" t="str">
            <v/>
          </cell>
          <cell r="H69">
            <v>8.8780999999999999E-2</v>
          </cell>
        </row>
        <row r="70">
          <cell r="B70">
            <v>10756856</v>
          </cell>
          <cell r="C70" t="str">
            <v>CLIP</v>
          </cell>
          <cell r="D70" t="str">
            <v>10756856    -    METAL CLIP    -    0.030292</v>
          </cell>
          <cell r="F70">
            <v>3.0291999999999999E-2</v>
          </cell>
          <cell r="G70" t="str">
            <v/>
          </cell>
          <cell r="H70">
            <v>3.0291999999999999E-2</v>
          </cell>
        </row>
        <row r="71">
          <cell r="B71">
            <v>10756888</v>
          </cell>
          <cell r="C71" t="str">
            <v>CLIP</v>
          </cell>
          <cell r="D71" t="str">
            <v>10756888    -    GM-24418664    -    0.071786</v>
          </cell>
          <cell r="F71">
            <v>7.1786000000000003E-2</v>
          </cell>
          <cell r="G71" t="str">
            <v/>
          </cell>
          <cell r="H71">
            <v>7.1786000000000003E-2</v>
          </cell>
        </row>
        <row r="72">
          <cell r="B72">
            <v>10756975</v>
          </cell>
          <cell r="C72" t="str">
            <v>CLIP</v>
          </cell>
          <cell r="D72" t="str">
            <v>10756975    -    LOCK CONN LK 6 BLK    -    0.075793</v>
          </cell>
          <cell r="F72">
            <v>7.5792999999999999E-2</v>
          </cell>
          <cell r="G72" t="str">
            <v/>
          </cell>
          <cell r="H72">
            <v>7.5792999999999999E-2</v>
          </cell>
        </row>
        <row r="73">
          <cell r="B73">
            <v>10757071</v>
          </cell>
          <cell r="C73" t="str">
            <v>CLIP</v>
          </cell>
          <cell r="D73" t="str">
            <v>10757071    -    GM-24424833    -    0.08447</v>
          </cell>
          <cell r="F73">
            <v>8.4470000000000003E-2</v>
          </cell>
          <cell r="G73" t="str">
            <v/>
          </cell>
          <cell r="H73">
            <v>8.4470000000000003E-2</v>
          </cell>
        </row>
        <row r="74">
          <cell r="B74">
            <v>10757099</v>
          </cell>
          <cell r="C74" t="str">
            <v>CLIP</v>
          </cell>
          <cell r="D74" t="str">
            <v>10757099    -    CAVITY PLUG    -    0.086925</v>
          </cell>
          <cell r="F74">
            <v>8.6925000000000002E-2</v>
          </cell>
          <cell r="G74" t="str">
            <v/>
          </cell>
          <cell r="H74">
            <v>8.6925000000000002E-2</v>
          </cell>
        </row>
        <row r="75">
          <cell r="B75">
            <v>10757114</v>
          </cell>
          <cell r="C75" t="str">
            <v>CLIP</v>
          </cell>
          <cell r="D75" t="str">
            <v>10757114    -    MOUNTING BRACKET 8.00    -    0.026906</v>
          </cell>
          <cell r="F75">
            <v>2.6905999999999999E-2</v>
          </cell>
          <cell r="G75" t="str">
            <v/>
          </cell>
          <cell r="H75">
            <v>2.6905999999999999E-2</v>
          </cell>
        </row>
        <row r="76">
          <cell r="B76">
            <v>10757135</v>
          </cell>
          <cell r="C76" t="str">
            <v>CLIP</v>
          </cell>
          <cell r="D76" t="str">
            <v>10757135    -    MOUNTING BRACKET 6.20    -    0.042977</v>
          </cell>
          <cell r="F76">
            <v>4.2977000000000001E-2</v>
          </cell>
          <cell r="G76" t="str">
            <v/>
          </cell>
          <cell r="H76">
            <v>4.2977000000000001E-2</v>
          </cell>
        </row>
        <row r="77">
          <cell r="B77">
            <v>10757171</v>
          </cell>
          <cell r="C77" t="str">
            <v>CLIP</v>
          </cell>
          <cell r="D77" t="str">
            <v>10757171    -    T50S-HS-BK    -    0.015012</v>
          </cell>
          <cell r="F77">
            <v>1.5011999999999999E-2</v>
          </cell>
          <cell r="G77" t="str">
            <v/>
          </cell>
          <cell r="H77">
            <v>1.5011999999999999E-2</v>
          </cell>
        </row>
        <row r="78">
          <cell r="B78">
            <v>10757189</v>
          </cell>
          <cell r="C78" t="str">
            <v>CLIP</v>
          </cell>
          <cell r="D78" t="str">
            <v>10757189    -    HARNESS CLIP    -    0.092873</v>
          </cell>
          <cell r="F78">
            <v>9.2872999999999997E-2</v>
          </cell>
          <cell r="G78" t="str">
            <v/>
          </cell>
          <cell r="H78">
            <v>9.2872999999999997E-2</v>
          </cell>
        </row>
        <row r="79">
          <cell r="B79">
            <v>12176838</v>
          </cell>
          <cell r="C79" t="str">
            <v>CLIP</v>
          </cell>
          <cell r="D79" t="str">
            <v>12176838    -   CLIP CDT 16MM   -   0.06182</v>
          </cell>
          <cell r="F79">
            <v>6.182E-2</v>
          </cell>
          <cell r="H79">
            <v>6.182E-2</v>
          </cell>
        </row>
        <row r="80">
          <cell r="B80">
            <v>10757380</v>
          </cell>
          <cell r="C80" t="str">
            <v>CLIP</v>
          </cell>
          <cell r="D80" t="str">
            <v>10757380    -    CABLE STRAP WITH SEALING    -    0.065444</v>
          </cell>
          <cell r="F80">
            <v>6.5444000000000002E-2</v>
          </cell>
          <cell r="G80" t="str">
            <v/>
          </cell>
          <cell r="H80">
            <v>6.5444000000000002E-2</v>
          </cell>
        </row>
        <row r="81">
          <cell r="B81">
            <v>10757381</v>
          </cell>
          <cell r="C81" t="str">
            <v>CLIP</v>
          </cell>
          <cell r="D81" t="str">
            <v>10757381    -    CABLE STRAP    -    0.033169</v>
          </cell>
          <cell r="F81">
            <v>3.3168999999999997E-2</v>
          </cell>
          <cell r="G81" t="str">
            <v/>
          </cell>
          <cell r="H81">
            <v>3.3168999999999997E-2</v>
          </cell>
        </row>
        <row r="82">
          <cell r="B82">
            <v>10757382</v>
          </cell>
          <cell r="C82" t="str">
            <v>CLIP</v>
          </cell>
          <cell r="D82" t="str">
            <v>10757382    -    10757382    -    0.033351</v>
          </cell>
          <cell r="F82">
            <v>3.3350999999999999E-2</v>
          </cell>
          <cell r="G82" t="str">
            <v/>
          </cell>
          <cell r="H82">
            <v>3.3350999999999999E-2</v>
          </cell>
        </row>
        <row r="83">
          <cell r="B83">
            <v>10757396</v>
          </cell>
          <cell r="C83" t="str">
            <v>CLIP</v>
          </cell>
          <cell r="D83" t="str">
            <v>10757396    -    TAPE ON CLIP. METAL    -    0.077817</v>
          </cell>
          <cell r="F83">
            <v>7.7816999999999997E-2</v>
          </cell>
          <cell r="G83" t="str">
            <v/>
          </cell>
          <cell r="H83">
            <v>7.7816999999999997E-2</v>
          </cell>
        </row>
        <row r="84">
          <cell r="B84">
            <v>10762448</v>
          </cell>
          <cell r="C84" t="str">
            <v>CLIP</v>
          </cell>
          <cell r="D84" t="str">
            <v>10762448    -    COVER    -    0.620919</v>
          </cell>
          <cell r="F84">
            <v>0.620919</v>
          </cell>
          <cell r="G84" t="str">
            <v/>
          </cell>
          <cell r="H84">
            <v>0.620919</v>
          </cell>
        </row>
        <row r="85">
          <cell r="B85">
            <v>10762673</v>
          </cell>
          <cell r="C85" t="str">
            <v>CLIP</v>
          </cell>
          <cell r="D85" t="str">
            <v>10762673    -    MISC COVER    -    0.097693</v>
          </cell>
          <cell r="F85">
            <v>9.7693000000000002E-2</v>
          </cell>
          <cell r="G85" t="str">
            <v/>
          </cell>
          <cell r="H85">
            <v>9.7693000000000002E-2</v>
          </cell>
        </row>
        <row r="86">
          <cell r="B86">
            <v>10762697</v>
          </cell>
          <cell r="C86" t="str">
            <v>CLIP</v>
          </cell>
          <cell r="D86" t="str">
            <v>10762697    -    SPINKA 6200981    -    0.043803</v>
          </cell>
          <cell r="F86">
            <v>4.3803000000000002E-2</v>
          </cell>
          <cell r="G86" t="str">
            <v/>
          </cell>
          <cell r="H86">
            <v>4.3803000000000002E-2</v>
          </cell>
        </row>
        <row r="87">
          <cell r="B87">
            <v>10762831</v>
          </cell>
          <cell r="C87" t="str">
            <v>CLIP</v>
          </cell>
          <cell r="D87" t="str">
            <v>10762831    -    BODY CLIP    -    0.026416</v>
          </cell>
          <cell r="F87">
            <v>2.6415999999999999E-2</v>
          </cell>
          <cell r="G87" t="str">
            <v/>
          </cell>
          <cell r="H87">
            <v>2.6415999999999999E-2</v>
          </cell>
        </row>
        <row r="88">
          <cell r="B88">
            <v>10763673</v>
          </cell>
          <cell r="C88" t="str">
            <v>CLIP</v>
          </cell>
          <cell r="D88" t="str">
            <v>10763673    -    MOUN CLIP    -    0.0482</v>
          </cell>
          <cell r="F88">
            <v>4.82E-2</v>
          </cell>
          <cell r="G88" t="str">
            <v/>
          </cell>
          <cell r="H88">
            <v>4.82E-2</v>
          </cell>
        </row>
        <row r="89">
          <cell r="B89">
            <v>10763723</v>
          </cell>
          <cell r="C89" t="str">
            <v>CLIP</v>
          </cell>
          <cell r="D89" t="str">
            <v>10763723    -    CLIP (AGRAFE SUR BCP3B)    -    0.082324</v>
          </cell>
          <cell r="F89">
            <v>8.2323999999999994E-2</v>
          </cell>
          <cell r="G89" t="str">
            <v/>
          </cell>
          <cell r="H89">
            <v>8.2323999999999994E-2</v>
          </cell>
        </row>
        <row r="90">
          <cell r="B90">
            <v>10768650</v>
          </cell>
          <cell r="C90" t="str">
            <v>CLIP</v>
          </cell>
          <cell r="D90" t="str">
            <v>10768650    -    TAPE ON CLIP    -    0.103026</v>
          </cell>
          <cell r="F90">
            <v>0.10302600000000001</v>
          </cell>
          <cell r="G90" t="str">
            <v/>
          </cell>
          <cell r="H90">
            <v>0.10302600000000001</v>
          </cell>
        </row>
        <row r="91">
          <cell r="B91">
            <v>10768653</v>
          </cell>
          <cell r="C91" t="str">
            <v>CLIP</v>
          </cell>
          <cell r="D91" t="str">
            <v>10768653    -    10768653    -    0.038786</v>
          </cell>
          <cell r="F91">
            <v>3.8786000000000001E-2</v>
          </cell>
          <cell r="G91" t="str">
            <v/>
          </cell>
          <cell r="H91">
            <v>3.8786000000000001E-2</v>
          </cell>
        </row>
        <row r="92">
          <cell r="B92">
            <v>10768658</v>
          </cell>
          <cell r="C92" t="str">
            <v>CLIP</v>
          </cell>
          <cell r="D92" t="str">
            <v>10768658    -    CABLE STRAP    -    0.033026</v>
          </cell>
          <cell r="F92">
            <v>3.3026E-2</v>
          </cell>
          <cell r="G92" t="str">
            <v/>
          </cell>
          <cell r="H92">
            <v>3.3026E-2</v>
          </cell>
        </row>
        <row r="93">
          <cell r="B93">
            <v>10768708</v>
          </cell>
          <cell r="C93" t="str">
            <v>CLIP</v>
          </cell>
          <cell r="D93" t="str">
            <v>10768708    -    CLIP    -    0.016921</v>
          </cell>
          <cell r="F93">
            <v>1.6920999999999999E-2</v>
          </cell>
          <cell r="G93" t="str">
            <v/>
          </cell>
          <cell r="H93">
            <v>1.6920999999999999E-2</v>
          </cell>
        </row>
        <row r="94">
          <cell r="B94">
            <v>10768926</v>
          </cell>
          <cell r="C94" t="str">
            <v>CLIP</v>
          </cell>
          <cell r="D94" t="str">
            <v>10768926    -    COVER FOR 14F CONN    -    0.132871</v>
          </cell>
          <cell r="F94">
            <v>0.13287099999999999</v>
          </cell>
          <cell r="G94" t="str">
            <v/>
          </cell>
          <cell r="H94">
            <v>0.13287099999999999</v>
          </cell>
        </row>
        <row r="95">
          <cell r="B95">
            <v>10768936</v>
          </cell>
          <cell r="C95" t="str">
            <v>CLIP</v>
          </cell>
          <cell r="D95" t="str">
            <v>10768936    -    TAPE ON CLIP    -    0.041521</v>
          </cell>
          <cell r="F95">
            <v>4.1521000000000002E-2</v>
          </cell>
          <cell r="G95" t="str">
            <v/>
          </cell>
          <cell r="H95">
            <v>4.1521000000000002E-2</v>
          </cell>
        </row>
        <row r="96">
          <cell r="B96">
            <v>10768958</v>
          </cell>
          <cell r="C96" t="str">
            <v>CLIP</v>
          </cell>
          <cell r="D96" t="str">
            <v>10768958    -    KLAMMER    -    0.046087</v>
          </cell>
          <cell r="F96">
            <v>4.6087000000000003E-2</v>
          </cell>
          <cell r="G96" t="str">
            <v/>
          </cell>
          <cell r="H96">
            <v>4.6087000000000003E-2</v>
          </cell>
        </row>
        <row r="97">
          <cell r="B97">
            <v>10769014</v>
          </cell>
          <cell r="C97" t="str">
            <v>CLIP</v>
          </cell>
          <cell r="D97" t="str">
            <v>10769014    -    BODY CLIP    -    0.043868</v>
          </cell>
          <cell r="F97">
            <v>4.3867999999999997E-2</v>
          </cell>
          <cell r="G97" t="str">
            <v/>
          </cell>
          <cell r="H97">
            <v>4.3867999999999997E-2</v>
          </cell>
        </row>
        <row r="98">
          <cell r="B98">
            <v>10769030</v>
          </cell>
          <cell r="C98" t="str">
            <v>CLIP</v>
          </cell>
          <cell r="D98" t="str">
            <v>10769030    -    T50SFT5-BKGY    -    0.061602</v>
          </cell>
          <cell r="F98">
            <v>6.1601999999999997E-2</v>
          </cell>
          <cell r="G98" t="str">
            <v/>
          </cell>
          <cell r="H98">
            <v>6.1601999999999997E-2</v>
          </cell>
        </row>
        <row r="99">
          <cell r="B99">
            <v>10769087</v>
          </cell>
          <cell r="C99" t="str">
            <v>CLIP</v>
          </cell>
          <cell r="D99" t="str">
            <v>10769087    -    BRACKET FOR UPPER CONTROL ARM (ZUH 219)    -    0.048794</v>
          </cell>
          <cell r="F99">
            <v>4.8793999999999997E-2</v>
          </cell>
          <cell r="G99" t="str">
            <v/>
          </cell>
          <cell r="H99">
            <v>4.8793999999999997E-2</v>
          </cell>
        </row>
        <row r="100">
          <cell r="B100">
            <v>10769093</v>
          </cell>
          <cell r="C100" t="str">
            <v>CLIP</v>
          </cell>
          <cell r="D100" t="str">
            <v>10769093    -    GM-24442218    -    0.203888</v>
          </cell>
          <cell r="F100">
            <v>0.20388800000000001</v>
          </cell>
          <cell r="G100" t="str">
            <v/>
          </cell>
          <cell r="H100">
            <v>0.20388800000000001</v>
          </cell>
        </row>
        <row r="101">
          <cell r="B101">
            <v>10769271</v>
          </cell>
          <cell r="C101" t="str">
            <v>CLIP</v>
          </cell>
          <cell r="D101" t="str">
            <v>10769271    -    BRIDE-ENRU    -    0.032919</v>
          </cell>
          <cell r="F101">
            <v>3.2918999999999997E-2</v>
          </cell>
          <cell r="G101" t="str">
            <v/>
          </cell>
          <cell r="H101">
            <v>3.2918999999999997E-2</v>
          </cell>
        </row>
        <row r="102">
          <cell r="B102">
            <v>10769585</v>
          </cell>
          <cell r="C102" t="str">
            <v>CLIP</v>
          </cell>
          <cell r="D102" t="str">
            <v>10769585    -    T30R-HS-BK    -    0.008497</v>
          </cell>
          <cell r="F102">
            <v>8.4969999999999993E-3</v>
          </cell>
          <cell r="G102" t="str">
            <v/>
          </cell>
          <cell r="H102">
            <v>8.4969999999999993E-3</v>
          </cell>
        </row>
        <row r="103">
          <cell r="B103">
            <v>10774357</v>
          </cell>
          <cell r="C103" t="str">
            <v>CLIP</v>
          </cell>
          <cell r="D103" t="str">
            <v>10774357    -    SPLICE COVER 17 WAY    -    0.118204</v>
          </cell>
          <cell r="F103">
            <v>0.118204</v>
          </cell>
          <cell r="G103" t="str">
            <v/>
          </cell>
          <cell r="H103">
            <v>0.118204</v>
          </cell>
        </row>
        <row r="104">
          <cell r="B104">
            <v>10774361</v>
          </cell>
          <cell r="C104" t="str">
            <v>CLIP</v>
          </cell>
          <cell r="D104" t="str">
            <v>10774361    -    COVER    -    0.199974</v>
          </cell>
          <cell r="F104">
            <v>0.19997400000000001</v>
          </cell>
          <cell r="G104" t="str">
            <v/>
          </cell>
          <cell r="H104">
            <v>0.19997400000000001</v>
          </cell>
        </row>
        <row r="105">
          <cell r="B105">
            <v>10774452</v>
          </cell>
          <cell r="C105" t="str">
            <v>CLIP</v>
          </cell>
          <cell r="D105" t="str">
            <v>10774452    -    CABLE TIE    -    0.01375</v>
          </cell>
          <cell r="F105">
            <v>1.375E-2</v>
          </cell>
          <cell r="G105" t="str">
            <v/>
          </cell>
          <cell r="H105">
            <v>1.375E-2</v>
          </cell>
        </row>
        <row r="106">
          <cell r="B106">
            <v>10774453</v>
          </cell>
          <cell r="C106" t="str">
            <v>CLIP</v>
          </cell>
          <cell r="D106" t="str">
            <v>10774453    -    PLT1.5M-M20    -    0.008027</v>
          </cell>
          <cell r="F106">
            <v>8.0269999999999994E-3</v>
          </cell>
          <cell r="G106" t="str">
            <v/>
          </cell>
          <cell r="H106">
            <v>8.0269999999999994E-3</v>
          </cell>
        </row>
        <row r="107">
          <cell r="B107">
            <v>10774455</v>
          </cell>
          <cell r="C107" t="str">
            <v>CLIP</v>
          </cell>
          <cell r="D107" t="str">
            <v>10774455    -    CABLE TIE    -    0.00465</v>
          </cell>
          <cell r="F107">
            <v>4.6499999999999996E-3</v>
          </cell>
          <cell r="G107" t="str">
            <v/>
          </cell>
          <cell r="H107">
            <v>4.6499999999999996E-3</v>
          </cell>
        </row>
        <row r="108">
          <cell r="B108">
            <v>10774456</v>
          </cell>
          <cell r="C108" t="str">
            <v>CLIP</v>
          </cell>
          <cell r="D108" t="str">
            <v>10774456    -    CABLE TIE    -    0.00743</v>
          </cell>
          <cell r="F108">
            <v>7.43E-3</v>
          </cell>
          <cell r="G108" t="str">
            <v/>
          </cell>
          <cell r="H108">
            <v>7.43E-3</v>
          </cell>
        </row>
        <row r="109">
          <cell r="B109">
            <v>10774485</v>
          </cell>
          <cell r="C109" t="str">
            <v>CLIP</v>
          </cell>
          <cell r="D109" t="str">
            <v>10774485    -    CLIP    -    0.01688</v>
          </cell>
          <cell r="F109">
            <v>1.6879999999999999E-2</v>
          </cell>
          <cell r="G109" t="str">
            <v/>
          </cell>
          <cell r="H109">
            <v>1.6879999999999999E-2</v>
          </cell>
        </row>
        <row r="110">
          <cell r="B110">
            <v>10774492</v>
          </cell>
          <cell r="C110" t="str">
            <v>CLIP</v>
          </cell>
          <cell r="D110" t="str">
            <v>10774492    -    WIRE RETAINER    -    0.018324</v>
          </cell>
          <cell r="F110">
            <v>1.8324E-2</v>
          </cell>
          <cell r="G110" t="str">
            <v/>
          </cell>
          <cell r="H110">
            <v>1.8324E-2</v>
          </cell>
        </row>
        <row r="111">
          <cell r="B111">
            <v>10774518</v>
          </cell>
          <cell r="C111" t="str">
            <v>CLIP</v>
          </cell>
          <cell r="D111" t="str">
            <v>10774518    -    PLWP1S-D    -    0.017535</v>
          </cell>
          <cell r="F111">
            <v>1.7534999999999999E-2</v>
          </cell>
          <cell r="G111" t="str">
            <v/>
          </cell>
          <cell r="H111">
            <v>1.7534999999999999E-2</v>
          </cell>
        </row>
        <row r="112">
          <cell r="B112">
            <v>10774522</v>
          </cell>
          <cell r="C112" t="str">
            <v>CLIP</v>
          </cell>
          <cell r="D112" t="str">
            <v>10774522    -    10774522    -    0.032465</v>
          </cell>
          <cell r="F112">
            <v>3.2465000000000001E-2</v>
          </cell>
          <cell r="G112" t="str">
            <v/>
          </cell>
          <cell r="H112">
            <v>3.2465000000000001E-2</v>
          </cell>
        </row>
        <row r="113">
          <cell r="B113">
            <v>10774540</v>
          </cell>
          <cell r="C113" t="str">
            <v>CLIP</v>
          </cell>
          <cell r="D113" t="str">
            <v>10774540    -    CABLE TIE 2.5*99MM BLK    -    0.00317</v>
          </cell>
          <cell r="F113">
            <v>3.1700000000000001E-3</v>
          </cell>
          <cell r="G113" t="str">
            <v/>
          </cell>
          <cell r="H113">
            <v>3.1700000000000001E-3</v>
          </cell>
        </row>
        <row r="114">
          <cell r="B114">
            <v>10774646</v>
          </cell>
          <cell r="C114" t="str">
            <v>CLIP</v>
          </cell>
          <cell r="D114" t="str">
            <v>10774646    -    TIE    -    0.0371</v>
          </cell>
          <cell r="F114">
            <v>3.7100000000000001E-2</v>
          </cell>
          <cell r="G114" t="str">
            <v/>
          </cell>
          <cell r="H114">
            <v>3.7100000000000001E-2</v>
          </cell>
        </row>
        <row r="115">
          <cell r="B115">
            <v>10774768</v>
          </cell>
          <cell r="C115" t="str">
            <v>CLIP</v>
          </cell>
          <cell r="D115" t="str">
            <v>10774768    -    CLIP    -    0.026528</v>
          </cell>
          <cell r="F115">
            <v>2.6527999999999999E-2</v>
          </cell>
          <cell r="G115" t="str">
            <v/>
          </cell>
          <cell r="H115">
            <v>2.6527999999999999E-2</v>
          </cell>
        </row>
        <row r="116">
          <cell r="B116">
            <v>10774771</v>
          </cell>
          <cell r="C116" t="str">
            <v>CLIP</v>
          </cell>
          <cell r="D116" t="str">
            <v>10774771    -    CLIP (UCX90048)    -    0.031046</v>
          </cell>
          <cell r="F116">
            <v>3.1046000000000001E-2</v>
          </cell>
          <cell r="G116" t="str">
            <v/>
          </cell>
          <cell r="H116">
            <v>3.1046000000000001E-2</v>
          </cell>
        </row>
        <row r="117">
          <cell r="B117">
            <v>10774772</v>
          </cell>
          <cell r="C117" t="str">
            <v>CLIP</v>
          </cell>
          <cell r="D117" t="str">
            <v>10774772    -    RETAINER CABLE TIE UCX 90-090 (W700471)    -    0.032263</v>
          </cell>
          <cell r="F117">
            <v>3.2263E-2</v>
          </cell>
          <cell r="G117" t="str">
            <v/>
          </cell>
          <cell r="H117">
            <v>3.2263E-2</v>
          </cell>
        </row>
        <row r="118">
          <cell r="B118">
            <v>10774800</v>
          </cell>
          <cell r="C118" t="str">
            <v>CLIP</v>
          </cell>
          <cell r="D118" t="str">
            <v>10774800    -    ZUH 3    -    0.028431</v>
          </cell>
          <cell r="F118">
            <v>2.8431000000000001E-2</v>
          </cell>
          <cell r="G118" t="str">
            <v/>
          </cell>
          <cell r="H118">
            <v>2.8431000000000001E-2</v>
          </cell>
        </row>
        <row r="119">
          <cell r="B119">
            <v>10774947</v>
          </cell>
          <cell r="C119" t="str">
            <v>CLIP</v>
          </cell>
          <cell r="D119" t="str">
            <v>10774947    -    LOCATOR    -    0.040636</v>
          </cell>
          <cell r="F119">
            <v>4.0635999999999999E-2</v>
          </cell>
          <cell r="G119" t="str">
            <v/>
          </cell>
          <cell r="H119">
            <v>4.0635999999999999E-2</v>
          </cell>
        </row>
        <row r="120">
          <cell r="B120">
            <v>10774993</v>
          </cell>
          <cell r="C120" t="str">
            <v>CLIP</v>
          </cell>
          <cell r="D120" t="str">
            <v>10774993    -    RETAINER DS    -    0.271085</v>
          </cell>
          <cell r="F120">
            <v>0.27108500000000002</v>
          </cell>
          <cell r="G120" t="str">
            <v/>
          </cell>
          <cell r="H120">
            <v>0.27108500000000002</v>
          </cell>
        </row>
        <row r="121">
          <cell r="B121">
            <v>10775018</v>
          </cell>
          <cell r="C121" t="str">
            <v>CLIP</v>
          </cell>
          <cell r="D121" t="str">
            <v>10775018    -    137    -    0.126745</v>
          </cell>
          <cell r="F121">
            <v>0.126745</v>
          </cell>
          <cell r="G121" t="str">
            <v/>
          </cell>
          <cell r="H121">
            <v>0.126745</v>
          </cell>
        </row>
        <row r="122">
          <cell r="B122">
            <v>10775186</v>
          </cell>
          <cell r="C122" t="str">
            <v>CLIP</v>
          </cell>
          <cell r="D122" t="str">
            <v>10775186    -    PLASTIC    -    0.016759</v>
          </cell>
          <cell r="F122">
            <v>1.6759E-2</v>
          </cell>
          <cell r="G122" t="str">
            <v/>
          </cell>
          <cell r="H122">
            <v>1.6759E-2</v>
          </cell>
        </row>
        <row r="123">
          <cell r="B123">
            <v>10775187</v>
          </cell>
          <cell r="C123" t="str">
            <v>CLIP</v>
          </cell>
          <cell r="D123" t="str">
            <v>10775187    -    PLASTIC    -    0.119967</v>
          </cell>
          <cell r="F123">
            <v>0.119967</v>
          </cell>
          <cell r="G123" t="str">
            <v/>
          </cell>
          <cell r="H123">
            <v>0.119967</v>
          </cell>
        </row>
        <row r="124">
          <cell r="B124">
            <v>10775189</v>
          </cell>
          <cell r="C124" t="str">
            <v>CLIP</v>
          </cell>
          <cell r="D124" t="str">
            <v>10775189    -    10775189    -    0.027206</v>
          </cell>
          <cell r="F124">
            <v>2.7206000000000001E-2</v>
          </cell>
          <cell r="G124" t="str">
            <v/>
          </cell>
          <cell r="H124">
            <v>2.7206000000000001E-2</v>
          </cell>
        </row>
        <row r="125">
          <cell r="B125">
            <v>10775363</v>
          </cell>
          <cell r="C125" t="str">
            <v>CLIP</v>
          </cell>
          <cell r="D125" t="str">
            <v>10775363    -    CLIP, CONN    -    0.383019</v>
          </cell>
          <cell r="F125">
            <v>0.383019</v>
          </cell>
          <cell r="G125" t="str">
            <v/>
          </cell>
          <cell r="H125">
            <v>0.383019</v>
          </cell>
        </row>
        <row r="126">
          <cell r="B126">
            <v>10775390</v>
          </cell>
          <cell r="C126" t="str">
            <v>CLIP</v>
          </cell>
          <cell r="D126" t="str">
            <v>10775390    -    CLIP, CONN    -    0.090175</v>
          </cell>
          <cell r="F126">
            <v>9.0175000000000005E-2</v>
          </cell>
          <cell r="G126" t="str">
            <v/>
          </cell>
          <cell r="H126">
            <v>9.0175000000000005E-2</v>
          </cell>
        </row>
        <row r="127">
          <cell r="B127">
            <v>10775480</v>
          </cell>
          <cell r="C127" t="str">
            <v>CLIP</v>
          </cell>
          <cell r="D127" t="str">
            <v>10775480    -    TERMINAL    -    0.170073</v>
          </cell>
          <cell r="F127">
            <v>0.170073</v>
          </cell>
          <cell r="G127" t="str">
            <v/>
          </cell>
          <cell r="H127">
            <v>0.170073</v>
          </cell>
        </row>
        <row r="128">
          <cell r="B128">
            <v>10775481</v>
          </cell>
          <cell r="C128" t="str">
            <v>CLIP</v>
          </cell>
          <cell r="D128" t="str">
            <v>10775481    -    CLIP    -    0.195926</v>
          </cell>
          <cell r="F128">
            <v>0.19592599999999999</v>
          </cell>
          <cell r="G128" t="str">
            <v/>
          </cell>
          <cell r="H128">
            <v>0.19592599999999999</v>
          </cell>
        </row>
        <row r="129">
          <cell r="B129">
            <v>10775490</v>
          </cell>
          <cell r="C129" t="str">
            <v>CLIP</v>
          </cell>
          <cell r="D129" t="str">
            <v>10775490    -    T18I-HS-BK    -    0.011604</v>
          </cell>
          <cell r="F129">
            <v>1.1604E-2</v>
          </cell>
          <cell r="G129" t="str">
            <v/>
          </cell>
          <cell r="H129">
            <v>1.1604E-2</v>
          </cell>
        </row>
        <row r="130">
          <cell r="B130">
            <v>10775492</v>
          </cell>
          <cell r="C130" t="str">
            <v>CLIP</v>
          </cell>
          <cell r="D130" t="str">
            <v>10775492    -    T30RFT6-BK    -    0.031035</v>
          </cell>
          <cell r="F130">
            <v>3.1035E-2</v>
          </cell>
          <cell r="G130" t="str">
            <v/>
          </cell>
          <cell r="H130">
            <v>3.1035E-2</v>
          </cell>
        </row>
        <row r="131">
          <cell r="B131">
            <v>10775493</v>
          </cell>
          <cell r="C131" t="str">
            <v>CLIP</v>
          </cell>
          <cell r="D131" t="str">
            <v>10775493    -    T50RFT7-BK    -    0.072931</v>
          </cell>
          <cell r="F131">
            <v>7.2930999999999996E-2</v>
          </cell>
          <cell r="G131" t="str">
            <v/>
          </cell>
          <cell r="H131">
            <v>7.2930999999999996E-2</v>
          </cell>
        </row>
        <row r="132">
          <cell r="B132">
            <v>10775497</v>
          </cell>
          <cell r="C132" t="str">
            <v>CLIP</v>
          </cell>
          <cell r="D132" t="str">
            <v>10775497    -    T50SSBS5-BK    -    0.060187</v>
          </cell>
          <cell r="F132">
            <v>6.0186999999999997E-2</v>
          </cell>
          <cell r="G132" t="str">
            <v/>
          </cell>
          <cell r="H132">
            <v>6.0186999999999997E-2</v>
          </cell>
        </row>
        <row r="133">
          <cell r="B133">
            <v>10775498</v>
          </cell>
          <cell r="C133" t="str">
            <v>CLIP</v>
          </cell>
          <cell r="D133" t="str">
            <v>10775498    -    CABLE TIE    -    0.055094</v>
          </cell>
          <cell r="F133">
            <v>5.5093999999999997E-2</v>
          </cell>
          <cell r="G133" t="str">
            <v/>
          </cell>
          <cell r="H133">
            <v>5.5093999999999997E-2</v>
          </cell>
        </row>
        <row r="134">
          <cell r="B134">
            <v>10775509</v>
          </cell>
          <cell r="C134" t="str">
            <v>CLIP</v>
          </cell>
          <cell r="D134" t="str">
            <v>10775509    -    LABEL    -    0.01031</v>
          </cell>
          <cell r="F134">
            <v>1.031E-2</v>
          </cell>
          <cell r="G134" t="str">
            <v/>
          </cell>
          <cell r="H134">
            <v>1.031E-2</v>
          </cell>
        </row>
        <row r="135">
          <cell r="B135">
            <v>10775510</v>
          </cell>
          <cell r="C135" t="str">
            <v>CLIP</v>
          </cell>
          <cell r="D135" t="str">
            <v>10775510    -    T50REC2,5A-BK    -    0.128728</v>
          </cell>
          <cell r="F135">
            <v>0.12872800000000001</v>
          </cell>
          <cell r="G135" t="str">
            <v/>
          </cell>
          <cell r="H135">
            <v>0.12872800000000001</v>
          </cell>
        </row>
        <row r="136">
          <cell r="B136">
            <v>10775521</v>
          </cell>
          <cell r="C136" t="str">
            <v>CLIP</v>
          </cell>
          <cell r="D136" t="str">
            <v>10775521    -    T50SDOP-HS-BK    -    0.038349</v>
          </cell>
          <cell r="F136">
            <v>3.8349000000000001E-2</v>
          </cell>
          <cell r="G136" t="str">
            <v/>
          </cell>
          <cell r="H136">
            <v>3.8349000000000001E-2</v>
          </cell>
        </row>
        <row r="137">
          <cell r="B137">
            <v>10775526</v>
          </cell>
          <cell r="C137" t="str">
            <v>CLIP</v>
          </cell>
          <cell r="D137" t="str">
            <v>10775526    -    SUP RELAIS    -    0.178734</v>
          </cell>
          <cell r="F137">
            <v>0.178734</v>
          </cell>
          <cell r="G137" t="str">
            <v/>
          </cell>
          <cell r="H137">
            <v>0.178734</v>
          </cell>
        </row>
        <row r="138">
          <cell r="B138">
            <v>10775527</v>
          </cell>
          <cell r="C138" t="str">
            <v>CLIP</v>
          </cell>
          <cell r="D138" t="str">
            <v>10775527    -    CABLE TIE    -    0.219263</v>
          </cell>
          <cell r="F138">
            <v>0.21926300000000001</v>
          </cell>
          <cell r="G138" t="str">
            <v/>
          </cell>
          <cell r="H138">
            <v>0.21926300000000001</v>
          </cell>
        </row>
        <row r="139">
          <cell r="B139">
            <v>10775528</v>
          </cell>
          <cell r="C139" t="str">
            <v>CLIP</v>
          </cell>
          <cell r="D139" t="str">
            <v>10775528    -    METAL    -    0.107216</v>
          </cell>
          <cell r="F139">
            <v>0.10721600000000001</v>
          </cell>
          <cell r="G139" t="str">
            <v/>
          </cell>
          <cell r="H139">
            <v>0.10721600000000001</v>
          </cell>
        </row>
        <row r="140">
          <cell r="B140">
            <v>10775529</v>
          </cell>
          <cell r="C140" t="str">
            <v>CLIP</v>
          </cell>
          <cell r="D140" t="str">
            <v>10775529    -    10775529    -    0.303478</v>
          </cell>
          <cell r="F140">
            <v>0.30347800000000003</v>
          </cell>
          <cell r="G140" t="str">
            <v/>
          </cell>
          <cell r="H140">
            <v>0.30347800000000003</v>
          </cell>
        </row>
        <row r="141">
          <cell r="B141">
            <v>10775533</v>
          </cell>
          <cell r="C141" t="str">
            <v>CLIP</v>
          </cell>
          <cell r="D141" t="str">
            <v>10775533    -    PLASTIC    -    0.037107</v>
          </cell>
          <cell r="F141">
            <v>3.7107000000000001E-2</v>
          </cell>
          <cell r="G141" t="str">
            <v/>
          </cell>
          <cell r="H141">
            <v>3.7107000000000001E-2</v>
          </cell>
        </row>
        <row r="142">
          <cell r="B142">
            <v>10775535</v>
          </cell>
          <cell r="C142" t="str">
            <v>CLIP</v>
          </cell>
          <cell r="D142" t="str">
            <v>10775535    -    T50SL5-NA    -    0.0309</v>
          </cell>
          <cell r="F142">
            <v>3.09E-2</v>
          </cell>
          <cell r="G142" t="str">
            <v/>
          </cell>
          <cell r="H142">
            <v>3.09E-2</v>
          </cell>
        </row>
        <row r="143">
          <cell r="B143">
            <v>10775537</v>
          </cell>
          <cell r="C143" t="str">
            <v>CLIP</v>
          </cell>
          <cell r="D143" t="str">
            <v>10775537    -    MOUN WIRE TIE CLIP    -    0.046013</v>
          </cell>
          <cell r="F143">
            <v>4.6012999999999998E-2</v>
          </cell>
          <cell r="G143" t="str">
            <v/>
          </cell>
          <cell r="H143">
            <v>4.6012999999999998E-2</v>
          </cell>
        </row>
        <row r="144">
          <cell r="B144">
            <v>10775547</v>
          </cell>
          <cell r="C144" t="str">
            <v>CLIP</v>
          </cell>
          <cell r="D144" t="str">
            <v>10775547    -    PLT2I-C76    -    0.269499</v>
          </cell>
          <cell r="F144">
            <v>0.26949899999999999</v>
          </cell>
          <cell r="G144" t="str">
            <v/>
          </cell>
          <cell r="H144">
            <v>0.26949899999999999</v>
          </cell>
        </row>
        <row r="145">
          <cell r="B145">
            <v>10775550</v>
          </cell>
          <cell r="C145" t="str">
            <v>CLIP</v>
          </cell>
          <cell r="D145" t="str">
            <v>10775550    -    T50VSL5-NA    -    0.025632</v>
          </cell>
          <cell r="F145">
            <v>2.5631999999999999E-2</v>
          </cell>
          <cell r="G145" t="str">
            <v/>
          </cell>
          <cell r="H145">
            <v>2.5631999999999999E-2</v>
          </cell>
        </row>
        <row r="146">
          <cell r="B146">
            <v>10775557</v>
          </cell>
          <cell r="C146" t="str">
            <v>CLIP</v>
          </cell>
          <cell r="D146" t="str">
            <v>10775557    -    LK2A-W-BK    -    0.015922</v>
          </cell>
          <cell r="F146">
            <v>1.5921999999999999E-2</v>
          </cell>
          <cell r="G146" t="str">
            <v/>
          </cell>
          <cell r="H146">
            <v>1.5921999999999999E-2</v>
          </cell>
        </row>
        <row r="147">
          <cell r="B147">
            <v>10775602</v>
          </cell>
          <cell r="C147" t="str">
            <v>CLIP</v>
          </cell>
          <cell r="D147" t="str">
            <v>10775602    -    LFC155-N66-BK    -    0.034823</v>
          </cell>
          <cell r="F147">
            <v>3.4823E-2</v>
          </cell>
          <cell r="G147" t="str">
            <v/>
          </cell>
          <cell r="H147">
            <v>3.4823E-2</v>
          </cell>
        </row>
        <row r="148">
          <cell r="B148">
            <v>10775618</v>
          </cell>
          <cell r="C148" t="str">
            <v>CLIP</v>
          </cell>
          <cell r="D148" t="str">
            <v>10775618    -    T40R-W-BK    -    0.010762</v>
          </cell>
          <cell r="F148">
            <v>1.0762000000000001E-2</v>
          </cell>
          <cell r="G148" t="str">
            <v/>
          </cell>
          <cell r="H148">
            <v>1.0762000000000001E-2</v>
          </cell>
        </row>
        <row r="149">
          <cell r="B149">
            <v>10775811</v>
          </cell>
          <cell r="C149" t="str">
            <v>CLIP</v>
          </cell>
          <cell r="D149" t="str">
            <v>10775811    -    HT3,5X1,1X25-BK    -    0.013359</v>
          </cell>
          <cell r="F149">
            <v>1.3358999999999999E-2</v>
          </cell>
          <cell r="G149" t="str">
            <v/>
          </cell>
          <cell r="H149">
            <v>1.3358999999999999E-2</v>
          </cell>
        </row>
        <row r="150">
          <cell r="B150">
            <v>10775884</v>
          </cell>
          <cell r="C150" t="str">
            <v>CLIP</v>
          </cell>
          <cell r="D150" t="str">
            <v>10775884    -    CLIP    -    0.040022</v>
          </cell>
          <cell r="F150">
            <v>4.0022000000000002E-2</v>
          </cell>
          <cell r="G150" t="str">
            <v/>
          </cell>
          <cell r="H150">
            <v>4.0022000000000002E-2</v>
          </cell>
        </row>
        <row r="151">
          <cell r="B151">
            <v>10775885</v>
          </cell>
          <cell r="C151" t="str">
            <v>CLIP</v>
          </cell>
          <cell r="D151" t="str">
            <v>10775885    -    CLIP    -    0.054015</v>
          </cell>
          <cell r="F151">
            <v>5.4015000000000001E-2</v>
          </cell>
          <cell r="G151" t="str">
            <v/>
          </cell>
          <cell r="H151">
            <v>5.4015000000000001E-2</v>
          </cell>
        </row>
        <row r="152">
          <cell r="B152">
            <v>10776037</v>
          </cell>
          <cell r="C152" t="str">
            <v>CLIP</v>
          </cell>
          <cell r="D152" t="str">
            <v>10776037    -    CABLE TIE 187MM    -    0.016557</v>
          </cell>
          <cell r="F152">
            <v>1.6556999999999999E-2</v>
          </cell>
          <cell r="G152" t="str">
            <v/>
          </cell>
          <cell r="H152">
            <v>1.6556999999999999E-2</v>
          </cell>
        </row>
        <row r="153">
          <cell r="B153">
            <v>10776483</v>
          </cell>
          <cell r="C153" t="str">
            <v>CLIP</v>
          </cell>
          <cell r="D153" t="str">
            <v>10776483    -    MOUN CLIP    -    0.02468</v>
          </cell>
          <cell r="F153">
            <v>2.4680000000000001E-2</v>
          </cell>
          <cell r="G153" t="str">
            <v/>
          </cell>
          <cell r="H153">
            <v>2.4680000000000001E-2</v>
          </cell>
        </row>
        <row r="154">
          <cell r="B154">
            <v>10776867</v>
          </cell>
          <cell r="C154" t="str">
            <v>CLIP</v>
          </cell>
          <cell r="D154" t="str">
            <v>10776867    -    SPLI,  SPLICE CLIP  15 WAY    -    0.228851</v>
          </cell>
          <cell r="F154">
            <v>0.228851</v>
          </cell>
          <cell r="G154" t="str">
            <v/>
          </cell>
          <cell r="H154">
            <v>0.228851</v>
          </cell>
        </row>
        <row r="155">
          <cell r="B155">
            <v>10776871</v>
          </cell>
          <cell r="C155" t="str">
            <v>CLIP</v>
          </cell>
          <cell r="D155" t="str">
            <v>10776871    -    SPLI,  SPLICE CLIP  17 WAY    -    0.290017</v>
          </cell>
          <cell r="F155">
            <v>0.29001700000000002</v>
          </cell>
          <cell r="G155" t="str">
            <v/>
          </cell>
          <cell r="H155">
            <v>0.29001700000000002</v>
          </cell>
        </row>
        <row r="156">
          <cell r="B156">
            <v>10777269</v>
          </cell>
          <cell r="C156" t="str">
            <v>CLIP</v>
          </cell>
          <cell r="D156" t="str">
            <v>10777269    -    RETAINER LOOM BLACK    -    0.064225</v>
          </cell>
          <cell r="F156">
            <v>6.4225000000000004E-2</v>
          </cell>
          <cell r="G156" t="str">
            <v/>
          </cell>
          <cell r="H156">
            <v>6.4225000000000004E-2</v>
          </cell>
        </row>
        <row r="157">
          <cell r="B157">
            <v>10777270</v>
          </cell>
          <cell r="C157" t="str">
            <v>CLIP</v>
          </cell>
          <cell r="D157" t="str">
            <v>10777270    -    CLIP (AGRAFE DE MAINTIEN)    -    0.081488</v>
          </cell>
          <cell r="F157">
            <v>8.1488000000000005E-2</v>
          </cell>
          <cell r="G157" t="str">
            <v/>
          </cell>
          <cell r="H157">
            <v>8.1488000000000005E-2</v>
          </cell>
        </row>
        <row r="158">
          <cell r="B158">
            <v>10777271</v>
          </cell>
          <cell r="C158" t="str">
            <v>CLIP</v>
          </cell>
          <cell r="D158" t="str">
            <v>10777271    -    LOCATOR    -    0.036083</v>
          </cell>
          <cell r="F158">
            <v>3.6082999999999997E-2</v>
          </cell>
          <cell r="G158" t="str">
            <v/>
          </cell>
          <cell r="H158">
            <v>3.6082999999999997E-2</v>
          </cell>
        </row>
        <row r="159">
          <cell r="B159">
            <v>10777275</v>
          </cell>
          <cell r="C159" t="str">
            <v>CLIP</v>
          </cell>
          <cell r="D159" t="str">
            <v>10777275    -    HOUSING FOR BULB HOLDER    -    0.045541</v>
          </cell>
          <cell r="F159">
            <v>4.5540999999999998E-2</v>
          </cell>
          <cell r="G159" t="str">
            <v/>
          </cell>
          <cell r="H159">
            <v>4.5540999999999998E-2</v>
          </cell>
        </row>
        <row r="160">
          <cell r="B160">
            <v>10777606</v>
          </cell>
          <cell r="C160" t="str">
            <v>CLIP</v>
          </cell>
          <cell r="D160" t="str">
            <v>10777606    -    PLASTIC    -    0.197276</v>
          </cell>
          <cell r="F160">
            <v>0.19727600000000001</v>
          </cell>
          <cell r="G160" t="str">
            <v/>
          </cell>
          <cell r="H160">
            <v>0.19727600000000001</v>
          </cell>
        </row>
        <row r="161">
          <cell r="B161">
            <v>10777607</v>
          </cell>
          <cell r="C161" t="str">
            <v>CLIP</v>
          </cell>
          <cell r="D161" t="str">
            <v>10777607    -    MOLLETA    -    0.076449</v>
          </cell>
          <cell r="F161">
            <v>7.6449000000000003E-2</v>
          </cell>
          <cell r="G161" t="str">
            <v/>
          </cell>
          <cell r="H161">
            <v>7.6449000000000003E-2</v>
          </cell>
        </row>
        <row r="162">
          <cell r="B162">
            <v>10777609</v>
          </cell>
          <cell r="C162" t="str">
            <v>CLIP</v>
          </cell>
          <cell r="D162" t="str">
            <v>10777609    -    MOLLETA    -    0.152786</v>
          </cell>
          <cell r="F162">
            <v>0.15278600000000001</v>
          </cell>
          <cell r="G162" t="str">
            <v/>
          </cell>
          <cell r="H162">
            <v>0.15278600000000001</v>
          </cell>
        </row>
        <row r="163">
          <cell r="B163">
            <v>10777610</v>
          </cell>
          <cell r="C163" t="str">
            <v>CLIP</v>
          </cell>
          <cell r="D163" t="str">
            <v>10777610    -    MOLLETTA    -    0.073586</v>
          </cell>
          <cell r="F163">
            <v>7.3585999999999999E-2</v>
          </cell>
          <cell r="G163" t="str">
            <v/>
          </cell>
          <cell r="H163">
            <v>7.3585999999999999E-2</v>
          </cell>
        </row>
        <row r="164">
          <cell r="B164">
            <v>10777618</v>
          </cell>
          <cell r="C164" t="str">
            <v>CLIP</v>
          </cell>
          <cell r="D164" t="str">
            <v>10777618    -    PLT3S-M20    -    0.025389</v>
          </cell>
          <cell r="F164">
            <v>2.5388999999999998E-2</v>
          </cell>
          <cell r="G164" t="str">
            <v/>
          </cell>
          <cell r="H164">
            <v>2.5388999999999998E-2</v>
          </cell>
        </row>
        <row r="165">
          <cell r="B165">
            <v>10777619</v>
          </cell>
          <cell r="C165" t="str">
            <v>CLIP</v>
          </cell>
          <cell r="D165" t="str">
            <v>10777619    -    PLWP40SC-D30    -    0.034249</v>
          </cell>
          <cell r="F165">
            <v>3.4249000000000002E-2</v>
          </cell>
          <cell r="G165" t="str">
            <v/>
          </cell>
          <cell r="H165">
            <v>3.4249000000000002E-2</v>
          </cell>
        </row>
        <row r="166">
          <cell r="B166">
            <v>10777854</v>
          </cell>
          <cell r="C166" t="str">
            <v>CLIP</v>
          </cell>
          <cell r="D166" t="str">
            <v>10777854    -    REGLETA DOBLE IC    -    0.113888</v>
          </cell>
          <cell r="F166">
            <v>0.113888</v>
          </cell>
          <cell r="G166" t="str">
            <v/>
          </cell>
          <cell r="H166">
            <v>0.113888</v>
          </cell>
        </row>
        <row r="167">
          <cell r="B167">
            <v>10778042</v>
          </cell>
          <cell r="C167" t="str">
            <v>CLIP</v>
          </cell>
          <cell r="D167" t="str">
            <v>10778042    -    127    -    0.155999</v>
          </cell>
          <cell r="F167">
            <v>0.155999</v>
          </cell>
          <cell r="G167" t="str">
            <v/>
          </cell>
          <cell r="H167">
            <v>0.155999</v>
          </cell>
        </row>
        <row r="168">
          <cell r="B168">
            <v>10778043</v>
          </cell>
          <cell r="C168" t="str">
            <v>CLIP</v>
          </cell>
          <cell r="D168" t="str">
            <v>10778043    -    133    -    0.125247</v>
          </cell>
          <cell r="F168">
            <v>0.125247</v>
          </cell>
          <cell r="G168" t="str">
            <v/>
          </cell>
          <cell r="H168">
            <v>0.125247</v>
          </cell>
        </row>
        <row r="169">
          <cell r="B169">
            <v>10778067</v>
          </cell>
          <cell r="C169" t="str">
            <v>CLIP</v>
          </cell>
          <cell r="D169" t="str">
            <v>10778067    -    132    -    0.086629</v>
          </cell>
          <cell r="F169">
            <v>8.6628999999999998E-2</v>
          </cell>
          <cell r="G169" t="str">
            <v/>
          </cell>
          <cell r="H169">
            <v>8.6628999999999998E-2</v>
          </cell>
        </row>
        <row r="170">
          <cell r="B170">
            <v>10778273</v>
          </cell>
          <cell r="C170" t="str">
            <v>CLIP</v>
          </cell>
          <cell r="D170" t="str">
            <v>10778273    -    CLIP CONNECTOR    -    0.070085</v>
          </cell>
          <cell r="F170">
            <v>7.0084999999999995E-2</v>
          </cell>
          <cell r="G170" t="str">
            <v/>
          </cell>
          <cell r="H170">
            <v>7.0084999999999995E-2</v>
          </cell>
        </row>
        <row r="171">
          <cell r="B171">
            <v>10778296</v>
          </cell>
          <cell r="C171" t="str">
            <v>CLIP</v>
          </cell>
          <cell r="D171" t="str">
            <v>10778296    -    CLIP    -    0.307989</v>
          </cell>
          <cell r="F171">
            <v>0.30798900000000001</v>
          </cell>
          <cell r="G171" t="str">
            <v/>
          </cell>
          <cell r="H171">
            <v>0.30798900000000001</v>
          </cell>
        </row>
        <row r="172">
          <cell r="B172">
            <v>10778298</v>
          </cell>
          <cell r="C172" t="str">
            <v>CLIP</v>
          </cell>
          <cell r="D172" t="str">
            <v>10778298    -    MOLLETTA    -    0.071366</v>
          </cell>
          <cell r="F172">
            <v>7.1365999999999999E-2</v>
          </cell>
          <cell r="G172" t="str">
            <v/>
          </cell>
          <cell r="H172">
            <v>7.1365999999999999E-2</v>
          </cell>
        </row>
        <row r="173">
          <cell r="B173">
            <v>10778300</v>
          </cell>
          <cell r="C173" t="str">
            <v>CLIP</v>
          </cell>
          <cell r="D173" t="str">
            <v>10778300    -    MOLLETA    -    0.048995</v>
          </cell>
          <cell r="F173">
            <v>4.8994999999999997E-2</v>
          </cell>
          <cell r="G173" t="str">
            <v/>
          </cell>
          <cell r="H173">
            <v>4.8994999999999997E-2</v>
          </cell>
        </row>
        <row r="174">
          <cell r="B174">
            <v>10778301</v>
          </cell>
          <cell r="C174" t="str">
            <v>CLIP</v>
          </cell>
          <cell r="D174" t="str">
            <v>10778301    -    MOLLETA    -    0.085834</v>
          </cell>
          <cell r="F174">
            <v>8.5833999999999994E-2</v>
          </cell>
          <cell r="G174" t="str">
            <v/>
          </cell>
          <cell r="H174">
            <v>8.5833999999999994E-2</v>
          </cell>
        </row>
        <row r="175">
          <cell r="B175">
            <v>10778302</v>
          </cell>
          <cell r="C175" t="str">
            <v>CLIP</v>
          </cell>
          <cell r="D175" t="str">
            <v>10778302    -    MOLLETA    -    0.111071</v>
          </cell>
          <cell r="F175">
            <v>0.111071</v>
          </cell>
          <cell r="G175" t="str">
            <v/>
          </cell>
          <cell r="H175">
            <v>0.111071</v>
          </cell>
        </row>
        <row r="176">
          <cell r="B176">
            <v>10778303</v>
          </cell>
          <cell r="C176" t="str">
            <v>CLIP</v>
          </cell>
          <cell r="D176" t="str">
            <v>10778303    -    MOLLETA    -    0.05117</v>
          </cell>
          <cell r="F176">
            <v>5.117E-2</v>
          </cell>
          <cell r="G176" t="str">
            <v/>
          </cell>
          <cell r="H176">
            <v>5.117E-2</v>
          </cell>
        </row>
        <row r="177">
          <cell r="B177">
            <v>10778477</v>
          </cell>
          <cell r="C177" t="str">
            <v>CLIP</v>
          </cell>
          <cell r="D177" t="str">
            <v>10778477    -    CHANNEL    -    0.461613</v>
          </cell>
          <cell r="F177">
            <v>0.461613</v>
          </cell>
          <cell r="G177" t="str">
            <v/>
          </cell>
          <cell r="H177">
            <v>0.461613</v>
          </cell>
        </row>
        <row r="178">
          <cell r="B178">
            <v>10778478</v>
          </cell>
          <cell r="C178" t="str">
            <v>CLIP</v>
          </cell>
          <cell r="D178" t="str">
            <v>10778478    -    CANALINO PASSA CAVI    -    0.886453</v>
          </cell>
          <cell r="F178">
            <v>0.88645300000000005</v>
          </cell>
          <cell r="G178" t="str">
            <v/>
          </cell>
          <cell r="H178">
            <v>0.88645300000000005</v>
          </cell>
        </row>
        <row r="179">
          <cell r="B179">
            <v>10778479</v>
          </cell>
          <cell r="C179" t="str">
            <v>CLIP</v>
          </cell>
          <cell r="D179" t="str">
            <v>10778479    -    MOLLETA PROTO TOOL 1 CAV    -    0.040962</v>
          </cell>
          <cell r="F179">
            <v>4.0961999999999998E-2</v>
          </cell>
          <cell r="G179" t="str">
            <v/>
          </cell>
          <cell r="H179">
            <v>4.0961999999999998E-2</v>
          </cell>
        </row>
        <row r="180">
          <cell r="B180">
            <v>10778480</v>
          </cell>
          <cell r="C180" t="str">
            <v>CLIP</v>
          </cell>
          <cell r="D180" t="str">
            <v>10778480    -    CHANNEL LYBRA 2.4 JTD    -    0.937652</v>
          </cell>
          <cell r="F180">
            <v>0.93765200000000004</v>
          </cell>
          <cell r="G180" t="str">
            <v/>
          </cell>
          <cell r="H180">
            <v>0.93765200000000004</v>
          </cell>
        </row>
        <row r="181">
          <cell r="B181">
            <v>10778481</v>
          </cell>
          <cell r="C181" t="str">
            <v>CLIP</v>
          </cell>
          <cell r="D181" t="str">
            <v>10778481    -    STAFFA RITEGNO    -    0.439979</v>
          </cell>
          <cell r="F181">
            <v>0.43997900000000001</v>
          </cell>
          <cell r="G181" t="str">
            <v/>
          </cell>
          <cell r="H181">
            <v>0.43997900000000001</v>
          </cell>
        </row>
        <row r="182">
          <cell r="B182">
            <v>10778482</v>
          </cell>
          <cell r="C182" t="str">
            <v>CLIP</v>
          </cell>
          <cell r="D182" t="str">
            <v>10778482    -    MOLLETTA    -    0.051618</v>
          </cell>
          <cell r="F182">
            <v>5.1617999999999997E-2</v>
          </cell>
          <cell r="G182" t="str">
            <v/>
          </cell>
          <cell r="H182">
            <v>5.1617999999999997E-2</v>
          </cell>
        </row>
        <row r="183">
          <cell r="B183">
            <v>10778483</v>
          </cell>
          <cell r="C183" t="str">
            <v>CLIP</v>
          </cell>
          <cell r="D183" t="str">
            <v>10778483    -    SPLI,  SPLICE CLIP  3 WAY    -    0.027109</v>
          </cell>
          <cell r="F183">
            <v>2.7109000000000001E-2</v>
          </cell>
          <cell r="G183" t="str">
            <v/>
          </cell>
          <cell r="H183">
            <v>2.7109000000000001E-2</v>
          </cell>
        </row>
        <row r="184">
          <cell r="B184">
            <v>10778515</v>
          </cell>
          <cell r="C184" t="str">
            <v>CLIP</v>
          </cell>
          <cell r="D184" t="str">
            <v>10778515    -    MOLLETA 414 TIPO A    -    0.015059</v>
          </cell>
          <cell r="F184">
            <v>1.5058999999999999E-2</v>
          </cell>
          <cell r="G184" t="str">
            <v/>
          </cell>
          <cell r="H184">
            <v>1.5058999999999999E-2</v>
          </cell>
        </row>
        <row r="185">
          <cell r="B185">
            <v>10778606</v>
          </cell>
          <cell r="C185" t="str">
            <v>CLIP</v>
          </cell>
          <cell r="D185" t="str">
            <v>10778606    -    HALTER    -    0.065588</v>
          </cell>
          <cell r="F185">
            <v>6.5587999999999994E-2</v>
          </cell>
          <cell r="G185" t="str">
            <v/>
          </cell>
          <cell r="H185">
            <v>6.5587999999999994E-2</v>
          </cell>
        </row>
        <row r="186">
          <cell r="B186">
            <v>10778608</v>
          </cell>
          <cell r="C186" t="str">
            <v>CLIP</v>
          </cell>
          <cell r="D186" t="str">
            <v>10778608    -    SUPPORT CONNECTEUR    -    0.103558</v>
          </cell>
          <cell r="F186">
            <v>0.103558</v>
          </cell>
          <cell r="G186" t="str">
            <v/>
          </cell>
          <cell r="H186">
            <v>0.103558</v>
          </cell>
        </row>
        <row r="187">
          <cell r="B187">
            <v>10778666</v>
          </cell>
          <cell r="C187" t="str">
            <v>CLIP</v>
          </cell>
          <cell r="D187" t="str">
            <v>10778666    -    135    -    0.126516</v>
          </cell>
          <cell r="F187">
            <v>0.12651599999999999</v>
          </cell>
          <cell r="G187" t="str">
            <v/>
          </cell>
          <cell r="H187">
            <v>0.12651599999999999</v>
          </cell>
        </row>
        <row r="188">
          <cell r="B188">
            <v>10778748</v>
          </cell>
          <cell r="C188" t="str">
            <v>CLIP</v>
          </cell>
          <cell r="D188" t="str">
            <v>10778748    -    RETAINER    -    0.0214</v>
          </cell>
          <cell r="F188">
            <v>2.1399999999999999E-2</v>
          </cell>
          <cell r="G188" t="str">
            <v/>
          </cell>
          <cell r="H188">
            <v>2.1399999999999999E-2</v>
          </cell>
        </row>
        <row r="189">
          <cell r="B189">
            <v>10778813</v>
          </cell>
          <cell r="C189" t="str">
            <v>CLIP</v>
          </cell>
          <cell r="D189" t="str">
            <v>10778813    -    LANIERE AGRAFABLE    -    0.083061</v>
          </cell>
          <cell r="F189">
            <v>8.3060999999999996E-2</v>
          </cell>
          <cell r="G189" t="str">
            <v/>
          </cell>
          <cell r="H189">
            <v>8.3060999999999996E-2</v>
          </cell>
        </row>
        <row r="190">
          <cell r="B190">
            <v>10778820</v>
          </cell>
          <cell r="C190" t="str">
            <v>CLIP</v>
          </cell>
          <cell r="D190" t="str">
            <v>10778820    -    MOLLETA    -    0.092328</v>
          </cell>
          <cell r="F190">
            <v>9.2327999999999993E-2</v>
          </cell>
          <cell r="G190" t="str">
            <v/>
          </cell>
          <cell r="H190">
            <v>9.2327999999999993E-2</v>
          </cell>
        </row>
        <row r="191">
          <cell r="B191">
            <v>10778821</v>
          </cell>
          <cell r="C191" t="str">
            <v>CLIP</v>
          </cell>
          <cell r="D191" t="str">
            <v>10778821    -    CHANNEL    -    0.173106</v>
          </cell>
          <cell r="F191">
            <v>0.17310600000000001</v>
          </cell>
          <cell r="G191" t="str">
            <v/>
          </cell>
          <cell r="H191">
            <v>0.17310600000000001</v>
          </cell>
        </row>
        <row r="192">
          <cell r="B192">
            <v>10778822</v>
          </cell>
          <cell r="C192" t="str">
            <v>CLIP</v>
          </cell>
          <cell r="D192" t="str">
            <v>10778822    -    MOLLETTA    -    0.032061</v>
          </cell>
          <cell r="F192">
            <v>3.2060999999999999E-2</v>
          </cell>
          <cell r="G192" t="str">
            <v/>
          </cell>
          <cell r="H192">
            <v>3.2060999999999999E-2</v>
          </cell>
        </row>
        <row r="193">
          <cell r="B193">
            <v>10778867</v>
          </cell>
          <cell r="C193" t="str">
            <v>CLIP</v>
          </cell>
          <cell r="D193" t="str">
            <v>10778867    -    CLIP    -    0.043328</v>
          </cell>
          <cell r="F193">
            <v>4.3327999999999998E-2</v>
          </cell>
          <cell r="G193" t="str">
            <v/>
          </cell>
          <cell r="H193">
            <v>4.3327999999999998E-2</v>
          </cell>
        </row>
        <row r="194">
          <cell r="B194">
            <v>10778868</v>
          </cell>
          <cell r="C194" t="str">
            <v>CLIP</v>
          </cell>
          <cell r="D194" t="str">
            <v>10778868    -    CABLE TIE    -    0.02418</v>
          </cell>
          <cell r="F194">
            <v>2.418E-2</v>
          </cell>
          <cell r="G194" t="str">
            <v/>
          </cell>
          <cell r="H194">
            <v>2.418E-2</v>
          </cell>
        </row>
        <row r="195">
          <cell r="B195">
            <v>10778869</v>
          </cell>
          <cell r="C195" t="str">
            <v>CLIP</v>
          </cell>
          <cell r="D195" t="str">
            <v>10778869    -    RING TERMINAL (0,3-0,5)    -    0.123547</v>
          </cell>
          <cell r="F195">
            <v>0.123547</v>
          </cell>
          <cell r="G195" t="str">
            <v/>
          </cell>
          <cell r="H195">
            <v>0.123547</v>
          </cell>
        </row>
        <row r="196">
          <cell r="B196">
            <v>10779158</v>
          </cell>
          <cell r="C196" t="str">
            <v>CLIP</v>
          </cell>
          <cell r="D196" t="str">
            <v>10779158    -    PLT1.5I-M20    -    0.008436</v>
          </cell>
          <cell r="F196">
            <v>8.4360000000000008E-3</v>
          </cell>
          <cell r="G196" t="str">
            <v/>
          </cell>
          <cell r="H196">
            <v>8.4360000000000008E-3</v>
          </cell>
        </row>
        <row r="197">
          <cell r="B197">
            <v>10779161</v>
          </cell>
          <cell r="C197" t="str">
            <v>CLIP</v>
          </cell>
          <cell r="D197" t="str">
            <v>10779161    -    SEAL CBL 1W YEL I/D 2.2 O/D 5.65    -    0.010781</v>
          </cell>
          <cell r="F197">
            <v>1.0781000000000001E-2</v>
          </cell>
          <cell r="G197" t="str">
            <v/>
          </cell>
          <cell r="H197">
            <v>1.0781000000000001E-2</v>
          </cell>
        </row>
        <row r="198">
          <cell r="B198">
            <v>10779306</v>
          </cell>
          <cell r="C198" t="str">
            <v>CLIP</v>
          </cell>
          <cell r="D198" t="str">
            <v>10779306    -    ACC2, CABLE CHANNEL BK KKI-115    -    0.102524</v>
          </cell>
          <cell r="F198">
            <v>0.102524</v>
          </cell>
          <cell r="G198" t="str">
            <v/>
          </cell>
          <cell r="H198">
            <v>0.102524</v>
          </cell>
        </row>
        <row r="199">
          <cell r="B199">
            <v>10779307</v>
          </cell>
          <cell r="C199" t="str">
            <v>CLIP</v>
          </cell>
          <cell r="D199" t="str">
            <v>10779307    -    ACC2, CABLE CHANNEL BK KKI-114    -    0.102524</v>
          </cell>
          <cell r="F199">
            <v>0.102524</v>
          </cell>
          <cell r="G199" t="str">
            <v/>
          </cell>
          <cell r="H199">
            <v>0.102524</v>
          </cell>
        </row>
        <row r="200">
          <cell r="B200">
            <v>10779317</v>
          </cell>
          <cell r="C200" t="str">
            <v>CLIP</v>
          </cell>
          <cell r="D200" t="str">
            <v>10779317    -    LANIERE AGRAF. XF 93028    -    0.249415</v>
          </cell>
          <cell r="F200">
            <v>0.249415</v>
          </cell>
          <cell r="G200" t="str">
            <v/>
          </cell>
          <cell r="H200">
            <v>0.249415</v>
          </cell>
        </row>
        <row r="201">
          <cell r="B201">
            <v>10779391</v>
          </cell>
          <cell r="C201" t="str">
            <v>CLIP</v>
          </cell>
          <cell r="D201" t="str">
            <v>10779391    -    VW-7L0 971 341 C    -    1.32898</v>
          </cell>
          <cell r="F201">
            <v>1.3289800000000001</v>
          </cell>
          <cell r="G201" t="str">
            <v/>
          </cell>
          <cell r="H201">
            <v>1.3289800000000001</v>
          </cell>
        </row>
        <row r="202">
          <cell r="B202">
            <v>10779413</v>
          </cell>
          <cell r="C202" t="str">
            <v>CLIP</v>
          </cell>
          <cell r="D202" t="str">
            <v>10779413    -    ZUH 173    -    0.033464</v>
          </cell>
          <cell r="F202">
            <v>3.3464000000000001E-2</v>
          </cell>
          <cell r="G202" t="str">
            <v/>
          </cell>
          <cell r="H202">
            <v>3.3464000000000001E-2</v>
          </cell>
        </row>
        <row r="203">
          <cell r="B203">
            <v>10779437</v>
          </cell>
          <cell r="C203" t="str">
            <v>CLIP</v>
          </cell>
          <cell r="D203" t="str">
            <v>10779437    -    METAL (CHAPA FLEJE)    -    0.066477</v>
          </cell>
          <cell r="F203">
            <v>6.6476999999999994E-2</v>
          </cell>
          <cell r="G203" t="str">
            <v/>
          </cell>
          <cell r="H203">
            <v>6.6476999999999994E-2</v>
          </cell>
        </row>
        <row r="204">
          <cell r="B204">
            <v>10779440</v>
          </cell>
          <cell r="C204" t="str">
            <v>CLIP</v>
          </cell>
          <cell r="D204" t="str">
            <v>10779440    -    T50SFT6LG-BK    -    0.04183</v>
          </cell>
          <cell r="F204">
            <v>4.1829999999999999E-2</v>
          </cell>
          <cell r="G204" t="str">
            <v/>
          </cell>
          <cell r="H204">
            <v>4.1829999999999999E-2</v>
          </cell>
        </row>
        <row r="205">
          <cell r="B205">
            <v>10779454</v>
          </cell>
          <cell r="C205" t="str">
            <v>CLIP</v>
          </cell>
          <cell r="D205" t="str">
            <v>10779454    -    MOLLETA    -    0.059237</v>
          </cell>
          <cell r="F205">
            <v>5.9236999999999998E-2</v>
          </cell>
          <cell r="G205" t="str">
            <v/>
          </cell>
          <cell r="H205">
            <v>5.9236999999999998E-2</v>
          </cell>
        </row>
        <row r="206">
          <cell r="B206">
            <v>10779463</v>
          </cell>
          <cell r="C206" t="str">
            <v>CLIP</v>
          </cell>
          <cell r="D206" t="str">
            <v>10779463    -    10779463    -    0.654167</v>
          </cell>
          <cell r="F206">
            <v>0.65416700000000005</v>
          </cell>
          <cell r="G206" t="str">
            <v/>
          </cell>
          <cell r="H206">
            <v>0.65416700000000005</v>
          </cell>
        </row>
        <row r="207">
          <cell r="B207">
            <v>10779589</v>
          </cell>
          <cell r="C207" t="str">
            <v>CLIP</v>
          </cell>
          <cell r="D207" t="str">
            <v>10779589    -    MOLLETA    -    0.102551</v>
          </cell>
          <cell r="F207">
            <v>0.102551</v>
          </cell>
          <cell r="G207" t="str">
            <v/>
          </cell>
          <cell r="H207">
            <v>0.102551</v>
          </cell>
        </row>
        <row r="208">
          <cell r="B208">
            <v>10779591</v>
          </cell>
          <cell r="C208" t="str">
            <v>CLIP</v>
          </cell>
          <cell r="D208" t="str">
            <v>10779591    -    10779591    -    1.383898</v>
          </cell>
          <cell r="F208">
            <v>1.3838980000000001</v>
          </cell>
          <cell r="G208" t="str">
            <v/>
          </cell>
          <cell r="H208">
            <v>1.3838980000000001</v>
          </cell>
        </row>
        <row r="209">
          <cell r="B209">
            <v>10779656</v>
          </cell>
          <cell r="C209" t="str">
            <v>CLIP</v>
          </cell>
          <cell r="D209" t="str">
            <v>10779656    -    T50RFT8-HS-BK    -    0.114695</v>
          </cell>
          <cell r="F209">
            <v>0.11469500000000001</v>
          </cell>
          <cell r="G209" t="str">
            <v/>
          </cell>
          <cell r="H209">
            <v>0.11469500000000001</v>
          </cell>
        </row>
        <row r="210">
          <cell r="B210">
            <v>10779694</v>
          </cell>
          <cell r="C210" t="str">
            <v>CLIP</v>
          </cell>
          <cell r="D210" t="str">
            <v>10779694    -    TIE    -    0.10723</v>
          </cell>
          <cell r="F210">
            <v>0.10723000000000001</v>
          </cell>
          <cell r="G210" t="str">
            <v/>
          </cell>
          <cell r="H210">
            <v>0.10723000000000001</v>
          </cell>
        </row>
        <row r="211">
          <cell r="B211">
            <v>10779728</v>
          </cell>
          <cell r="C211" t="str">
            <v>CLIP</v>
          </cell>
          <cell r="D211" t="str">
            <v>10779728    -    MOUN CLIP CABLE    -    0.108623</v>
          </cell>
          <cell r="F211">
            <v>0.108623</v>
          </cell>
          <cell r="G211" t="str">
            <v/>
          </cell>
          <cell r="H211">
            <v>0.108623</v>
          </cell>
        </row>
        <row r="212">
          <cell r="B212">
            <v>10779814</v>
          </cell>
          <cell r="C212" t="str">
            <v>CLIP</v>
          </cell>
          <cell r="D212" t="str">
            <v>10779814    -    CLIP    -    0.041155</v>
          </cell>
          <cell r="F212">
            <v>4.1154999999999997E-2</v>
          </cell>
          <cell r="G212" t="str">
            <v/>
          </cell>
          <cell r="H212">
            <v>4.1154999999999997E-2</v>
          </cell>
        </row>
        <row r="213">
          <cell r="B213">
            <v>10779837</v>
          </cell>
          <cell r="C213" t="str">
            <v>CLIP</v>
          </cell>
          <cell r="D213" t="str">
            <v>10779837    -    PLASTIC    -    1.600605</v>
          </cell>
          <cell r="F213">
            <v>1.6006050000000001</v>
          </cell>
          <cell r="G213" t="str">
            <v/>
          </cell>
          <cell r="H213">
            <v>1.6006050000000001</v>
          </cell>
        </row>
        <row r="214">
          <cell r="B214">
            <v>10779961</v>
          </cell>
          <cell r="C214" t="str">
            <v>CLIP</v>
          </cell>
          <cell r="D214" t="str">
            <v>10779961    -    RELEASABLE CABLE TIE 150 MM LENGHT    -    0.037879</v>
          </cell>
          <cell r="F214">
            <v>3.7879000000000003E-2</v>
          </cell>
          <cell r="G214" t="str">
            <v/>
          </cell>
          <cell r="H214">
            <v>3.7879000000000003E-2</v>
          </cell>
        </row>
        <row r="215">
          <cell r="B215">
            <v>10780005</v>
          </cell>
          <cell r="C215" t="str">
            <v>CLIP</v>
          </cell>
          <cell r="D215" t="str">
            <v>10780005    -    BODY CLIP    -    0.041506</v>
          </cell>
          <cell r="F215">
            <v>4.1506000000000001E-2</v>
          </cell>
          <cell r="G215" t="str">
            <v/>
          </cell>
          <cell r="H215">
            <v>4.1506000000000001E-2</v>
          </cell>
        </row>
        <row r="216">
          <cell r="B216">
            <v>10780025</v>
          </cell>
          <cell r="C216" t="str">
            <v>CLIP</v>
          </cell>
          <cell r="D216" t="str">
            <v>10780025    -    T50SD6-HS-BK    -    0.039369</v>
          </cell>
          <cell r="F216">
            <v>3.9369000000000001E-2</v>
          </cell>
          <cell r="G216" t="str">
            <v/>
          </cell>
          <cell r="H216">
            <v>3.9369000000000001E-2</v>
          </cell>
        </row>
        <row r="217">
          <cell r="B217">
            <v>10780039</v>
          </cell>
          <cell r="C217" t="str">
            <v>CLIP</v>
          </cell>
          <cell r="D217" t="str">
            <v>10780039    -    T50RSFM-HS-BK    -    0.026717</v>
          </cell>
          <cell r="F217">
            <v>2.6717000000000001E-2</v>
          </cell>
          <cell r="G217" t="str">
            <v/>
          </cell>
          <cell r="H217">
            <v>2.6717000000000001E-2</v>
          </cell>
        </row>
        <row r="218">
          <cell r="B218">
            <v>10780084</v>
          </cell>
          <cell r="C218" t="str">
            <v>CLIP</v>
          </cell>
          <cell r="D218" t="str">
            <v>10780084    -    REGLETA    -    0.110968</v>
          </cell>
          <cell r="F218">
            <v>0.110968</v>
          </cell>
          <cell r="G218" t="str">
            <v/>
          </cell>
          <cell r="H218">
            <v>0.110968</v>
          </cell>
        </row>
        <row r="219">
          <cell r="B219">
            <v>10780140</v>
          </cell>
          <cell r="C219" t="str">
            <v>CLIP</v>
          </cell>
          <cell r="D219" t="str">
            <v>10780140    -    CHANNEL OM 611/612    -    1.708621</v>
          </cell>
          <cell r="F219">
            <v>1.7086209999999999</v>
          </cell>
          <cell r="G219" t="str">
            <v/>
          </cell>
          <cell r="H219">
            <v>1.7086209999999999</v>
          </cell>
        </row>
        <row r="220">
          <cell r="B220">
            <v>10780153</v>
          </cell>
          <cell r="C220" t="str">
            <v>CLIP</v>
          </cell>
          <cell r="D220" t="str">
            <v>10780153    -    HV1201-BK    -    0.027615</v>
          </cell>
          <cell r="F220">
            <v>2.7615000000000001E-2</v>
          </cell>
          <cell r="G220" t="str">
            <v/>
          </cell>
          <cell r="H220">
            <v>2.7615000000000001E-2</v>
          </cell>
        </row>
        <row r="221">
          <cell r="B221">
            <v>10780154</v>
          </cell>
          <cell r="C221" t="str">
            <v>CLIP</v>
          </cell>
          <cell r="D221" t="str">
            <v>10780154    -    T18R-W-BK    -    0.003116</v>
          </cell>
          <cell r="F221">
            <v>3.1159999999999998E-3</v>
          </cell>
          <cell r="G221" t="str">
            <v/>
          </cell>
          <cell r="H221">
            <v>3.1159999999999998E-3</v>
          </cell>
        </row>
        <row r="222">
          <cell r="B222">
            <v>10780273</v>
          </cell>
          <cell r="C222" t="str">
            <v>CLIP</v>
          </cell>
          <cell r="D222" t="str">
            <v>10780273    -    10780273    -    0.027861</v>
          </cell>
          <cell r="F222">
            <v>2.7861E-2</v>
          </cell>
          <cell r="G222" t="str">
            <v/>
          </cell>
          <cell r="H222">
            <v>2.7861E-2</v>
          </cell>
        </row>
        <row r="223">
          <cell r="B223">
            <v>10781130</v>
          </cell>
          <cell r="C223" t="str">
            <v>CLIP</v>
          </cell>
          <cell r="D223" t="str">
            <v>10781130    -    CHANNEL LYBRA 2.4 JTD + COVER    -    1.406484</v>
          </cell>
          <cell r="F223">
            <v>1.4064840000000001</v>
          </cell>
          <cell r="G223" t="str">
            <v/>
          </cell>
          <cell r="H223">
            <v>1.4064840000000001</v>
          </cell>
        </row>
        <row r="224">
          <cell r="B224">
            <v>10787266</v>
          </cell>
          <cell r="C224" t="str">
            <v>CLIP</v>
          </cell>
          <cell r="D224" t="str">
            <v>10787266    -    TAPE ON CLIP    -    0.025976</v>
          </cell>
          <cell r="F224">
            <v>2.5975999999999999E-2</v>
          </cell>
          <cell r="G224" t="str">
            <v/>
          </cell>
          <cell r="H224">
            <v>2.5975999999999999E-2</v>
          </cell>
        </row>
        <row r="225">
          <cell r="B225">
            <v>10787303</v>
          </cell>
          <cell r="C225" t="str">
            <v>CLIP</v>
          </cell>
          <cell r="D225" t="str">
            <v>10787303    -    COPRI GUARNIZIONE    -    0.504892</v>
          </cell>
          <cell r="F225">
            <v>0.50489200000000001</v>
          </cell>
          <cell r="G225" t="str">
            <v/>
          </cell>
          <cell r="H225">
            <v>0.50489200000000001</v>
          </cell>
        </row>
        <row r="226">
          <cell r="B226">
            <v>10787304</v>
          </cell>
          <cell r="C226" t="str">
            <v>CLIP</v>
          </cell>
          <cell r="D226" t="str">
            <v>10787304    -    ZUH 202    -    0.028202</v>
          </cell>
          <cell r="F226">
            <v>2.8202000000000001E-2</v>
          </cell>
          <cell r="G226" t="str">
            <v/>
          </cell>
          <cell r="H226">
            <v>2.8202000000000001E-2</v>
          </cell>
        </row>
        <row r="227">
          <cell r="B227">
            <v>10787341</v>
          </cell>
          <cell r="C227" t="str">
            <v>CLIP</v>
          </cell>
          <cell r="D227" t="str">
            <v>10787341    -    CABLE TIE WITH CLIP    -    0.022743</v>
          </cell>
          <cell r="F227">
            <v>2.2742999999999999E-2</v>
          </cell>
          <cell r="G227" t="str">
            <v/>
          </cell>
          <cell r="H227">
            <v>2.2742999999999999E-2</v>
          </cell>
        </row>
        <row r="228">
          <cell r="B228">
            <v>10787348</v>
          </cell>
          <cell r="C228" t="str">
            <v>CLIP</v>
          </cell>
          <cell r="D228" t="str">
            <v>10787348    -    10787348    -    0.088125</v>
          </cell>
          <cell r="F228">
            <v>8.8124999999999995E-2</v>
          </cell>
          <cell r="G228" t="str">
            <v/>
          </cell>
          <cell r="H228">
            <v>8.8124999999999995E-2</v>
          </cell>
        </row>
        <row r="229">
          <cell r="B229">
            <v>10787364</v>
          </cell>
          <cell r="C229" t="str">
            <v>CLIP</v>
          </cell>
          <cell r="D229" t="str">
            <v>10787364    -    CABLE TIE    -    0.023695</v>
          </cell>
          <cell r="F229">
            <v>2.3695000000000001E-2</v>
          </cell>
          <cell r="G229" t="str">
            <v/>
          </cell>
          <cell r="H229">
            <v>2.3695000000000001E-2</v>
          </cell>
        </row>
        <row r="230">
          <cell r="B230">
            <v>10787394</v>
          </cell>
          <cell r="C230" t="str">
            <v>CLIP</v>
          </cell>
          <cell r="D230" t="str">
            <v>10787394    -    FASCETTA STRIP RITEGNO CAVI 4 NATURAL    -    0.026488</v>
          </cell>
          <cell r="F230">
            <v>2.6488000000000001E-2</v>
          </cell>
          <cell r="G230" t="str">
            <v/>
          </cell>
          <cell r="H230">
            <v>2.6488000000000001E-2</v>
          </cell>
        </row>
        <row r="231">
          <cell r="B231">
            <v>10787442</v>
          </cell>
          <cell r="C231" t="str">
            <v>CLIP</v>
          </cell>
          <cell r="D231" t="str">
            <v>10787442    -    COW20DP7-BN    -    0.060451</v>
          </cell>
          <cell r="F231">
            <v>6.0450999999999998E-2</v>
          </cell>
          <cell r="G231" t="str">
            <v/>
          </cell>
          <cell r="H231">
            <v>6.0450999999999998E-2</v>
          </cell>
        </row>
        <row r="232">
          <cell r="B232">
            <v>10787601</v>
          </cell>
          <cell r="C232" t="str">
            <v>CLIP</v>
          </cell>
          <cell r="D232" t="str">
            <v>10787601    -    T80ISBH5SD-HS-BK    -    0.086951</v>
          </cell>
          <cell r="F232">
            <v>8.6951000000000001E-2</v>
          </cell>
          <cell r="G232" t="str">
            <v/>
          </cell>
          <cell r="H232">
            <v>8.6951000000000001E-2</v>
          </cell>
        </row>
        <row r="233">
          <cell r="B233">
            <v>10787602</v>
          </cell>
          <cell r="C233" t="str">
            <v>CLIP</v>
          </cell>
          <cell r="D233" t="str">
            <v>10787602    -    T50RSBH5SD-HS-BK    -    0.063444</v>
          </cell>
          <cell r="F233">
            <v>6.3444E-2</v>
          </cell>
          <cell r="G233" t="str">
            <v/>
          </cell>
          <cell r="H233">
            <v>6.3444E-2</v>
          </cell>
        </row>
        <row r="234">
          <cell r="B234">
            <v>10787623</v>
          </cell>
          <cell r="C234" t="str">
            <v>CLIP</v>
          </cell>
          <cell r="D234" t="str">
            <v>10787623    -    10787623    -    0.168669</v>
          </cell>
          <cell r="F234">
            <v>0.16866900000000001</v>
          </cell>
          <cell r="G234" t="str">
            <v/>
          </cell>
          <cell r="H234">
            <v>0.16866900000000001</v>
          </cell>
        </row>
        <row r="235">
          <cell r="B235">
            <v>10787666</v>
          </cell>
          <cell r="C235" t="str">
            <v>CLIP</v>
          </cell>
          <cell r="D235" t="str">
            <v>10787666    -    LRT230-BK    -    0.09828</v>
          </cell>
          <cell r="F235">
            <v>9.8280000000000006E-2</v>
          </cell>
          <cell r="G235" t="str">
            <v/>
          </cell>
          <cell r="H235">
            <v>9.8280000000000006E-2</v>
          </cell>
        </row>
        <row r="236">
          <cell r="B236">
            <v>12084561</v>
          </cell>
          <cell r="C236" t="str">
            <v>CLIP</v>
          </cell>
          <cell r="D236" t="str">
            <v>12084561   -   CLIP CONN ROSEBUD    -    0.0192</v>
          </cell>
          <cell r="F236">
            <v>1.9199999999999998E-2</v>
          </cell>
          <cell r="H236">
            <v>1.9199999999999998E-2</v>
          </cell>
        </row>
        <row r="237">
          <cell r="B237">
            <v>10787783</v>
          </cell>
          <cell r="C237" t="str">
            <v>CLIP</v>
          </cell>
          <cell r="D237" t="str">
            <v>10787783    -    HOUSING 2.P. ZL    -    0.063824</v>
          </cell>
          <cell r="F237">
            <v>6.3824000000000006E-2</v>
          </cell>
          <cell r="G237" t="str">
            <v/>
          </cell>
          <cell r="H237">
            <v>6.3824000000000006E-2</v>
          </cell>
        </row>
        <row r="238">
          <cell r="B238">
            <v>10787784</v>
          </cell>
          <cell r="C238" t="str">
            <v>CLIP</v>
          </cell>
          <cell r="D238" t="str">
            <v>10787784    -    T50ROSSBS5-BK    -    0.058967</v>
          </cell>
          <cell r="F238">
            <v>5.8966999999999999E-2</v>
          </cell>
          <cell r="G238" t="str">
            <v/>
          </cell>
          <cell r="H238">
            <v>5.8966999999999999E-2</v>
          </cell>
        </row>
        <row r="239">
          <cell r="B239">
            <v>10787790</v>
          </cell>
          <cell r="C239" t="str">
            <v>CLIP</v>
          </cell>
          <cell r="D239" t="str">
            <v>10787790    -    VW-7L0 971 341 M    -    0.879711</v>
          </cell>
          <cell r="F239">
            <v>0.87971100000000002</v>
          </cell>
          <cell r="G239" t="str">
            <v/>
          </cell>
          <cell r="H239">
            <v>0.87971100000000002</v>
          </cell>
        </row>
        <row r="240">
          <cell r="B240">
            <v>10787791</v>
          </cell>
          <cell r="C240" t="str">
            <v>CLIP</v>
          </cell>
          <cell r="D240" t="str">
            <v>10787791    -    VW-7L6 971 341 B    -    0.143167</v>
          </cell>
          <cell r="F240">
            <v>0.14316699999999999</v>
          </cell>
          <cell r="G240" t="str">
            <v/>
          </cell>
          <cell r="H240">
            <v>0.14316699999999999</v>
          </cell>
        </row>
        <row r="241">
          <cell r="B241">
            <v>10787798</v>
          </cell>
          <cell r="C241" t="str">
            <v>CLIP</v>
          </cell>
          <cell r="D241" t="str">
            <v>10787798    -    MOUNTING WIRE TIE    -    0.155176</v>
          </cell>
          <cell r="F241">
            <v>0.15517600000000001</v>
          </cell>
          <cell r="G241" t="str">
            <v/>
          </cell>
          <cell r="H241">
            <v>0.15517600000000001</v>
          </cell>
        </row>
        <row r="242">
          <cell r="B242">
            <v>10787801</v>
          </cell>
          <cell r="C242" t="str">
            <v>CLIP</v>
          </cell>
          <cell r="D242" t="str">
            <v>10787801    -    WICKELTEIL FT6    -    0.020375</v>
          </cell>
          <cell r="F242">
            <v>2.0375000000000001E-2</v>
          </cell>
          <cell r="G242" t="str">
            <v/>
          </cell>
          <cell r="H242">
            <v>2.0375000000000001E-2</v>
          </cell>
        </row>
        <row r="243">
          <cell r="B243">
            <v>10787821</v>
          </cell>
          <cell r="C243" t="str">
            <v>CLIP</v>
          </cell>
          <cell r="D243" t="str">
            <v>10787821    -    T50MD7-HS-BK    -    0.074206</v>
          </cell>
          <cell r="F243">
            <v>7.4205999999999994E-2</v>
          </cell>
          <cell r="G243" t="str">
            <v/>
          </cell>
          <cell r="H243">
            <v>7.4205999999999994E-2</v>
          </cell>
        </row>
        <row r="244">
          <cell r="B244">
            <v>10787831</v>
          </cell>
          <cell r="C244" t="str">
            <v>CLIP</v>
          </cell>
          <cell r="D244" t="str">
            <v>10787831    -    CLIP    -    0.053704</v>
          </cell>
          <cell r="F244">
            <v>5.3704000000000002E-2</v>
          </cell>
          <cell r="G244" t="str">
            <v/>
          </cell>
          <cell r="H244">
            <v>5.3704000000000002E-2</v>
          </cell>
        </row>
        <row r="245">
          <cell r="B245">
            <v>10787850</v>
          </cell>
          <cell r="C245" t="str">
            <v>CLIP</v>
          </cell>
          <cell r="D245" t="str">
            <v>10787850    -    TPA    -    0.047227</v>
          </cell>
          <cell r="F245">
            <v>4.7226999999999998E-2</v>
          </cell>
          <cell r="G245" t="str">
            <v/>
          </cell>
          <cell r="H245">
            <v>4.7226999999999998E-2</v>
          </cell>
        </row>
        <row r="246">
          <cell r="B246" t="str">
            <v>08905563</v>
          </cell>
          <cell r="C246" t="str">
            <v>CLIP</v>
          </cell>
          <cell r="D246" t="str">
            <v>08905563   -    CLIP, CONN    -   0.0192</v>
          </cell>
          <cell r="F246">
            <v>1.9199999999999998E-2</v>
          </cell>
          <cell r="H246">
            <v>1.9199999999999998E-2</v>
          </cell>
        </row>
        <row r="247">
          <cell r="B247">
            <v>10787852</v>
          </cell>
          <cell r="C247" t="str">
            <v>CLIP</v>
          </cell>
          <cell r="D247" t="str">
            <v>10787852    -    COVER BLK    -    0.140468</v>
          </cell>
          <cell r="F247">
            <v>0.14046800000000001</v>
          </cell>
          <cell r="G247" t="str">
            <v/>
          </cell>
          <cell r="H247">
            <v>0.14046800000000001</v>
          </cell>
        </row>
        <row r="248">
          <cell r="B248">
            <v>10787869</v>
          </cell>
          <cell r="C248" t="str">
            <v>CLIP</v>
          </cell>
          <cell r="D248" t="str">
            <v>10787869    -    PLT1.5I-M30    -    0.008463</v>
          </cell>
          <cell r="F248">
            <v>8.463E-3</v>
          </cell>
          <cell r="G248" t="str">
            <v/>
          </cell>
          <cell r="H248">
            <v>8.463E-3</v>
          </cell>
        </row>
        <row r="249">
          <cell r="B249">
            <v>10787878</v>
          </cell>
          <cell r="C249" t="str">
            <v>CLIP</v>
          </cell>
          <cell r="D249" t="str">
            <v>10787878    -    PLUG CAV    -    0.2</v>
          </cell>
          <cell r="F249">
            <v>0.2</v>
          </cell>
          <cell r="G249" t="str">
            <v/>
          </cell>
          <cell r="H249">
            <v>0.2</v>
          </cell>
        </row>
        <row r="250">
          <cell r="B250">
            <v>10787901</v>
          </cell>
          <cell r="C250" t="str">
            <v>CLIP</v>
          </cell>
          <cell r="D250" t="str">
            <v>10787901    -    AGRAFE SUPPORT UN TUBE    -    0.047891</v>
          </cell>
          <cell r="F250">
            <v>4.7891000000000003E-2</v>
          </cell>
          <cell r="G250" t="str">
            <v/>
          </cell>
          <cell r="H250">
            <v>4.7891000000000003E-2</v>
          </cell>
        </row>
        <row r="251">
          <cell r="B251">
            <v>10787908</v>
          </cell>
          <cell r="C251" t="str">
            <v>CLIP</v>
          </cell>
          <cell r="D251" t="str">
            <v>10787908    -    10787908    -    0.149295</v>
          </cell>
          <cell r="F251">
            <v>0.14929500000000001</v>
          </cell>
          <cell r="G251" t="str">
            <v/>
          </cell>
          <cell r="H251">
            <v>0.14929500000000001</v>
          </cell>
        </row>
        <row r="252">
          <cell r="B252">
            <v>10787921</v>
          </cell>
          <cell r="C252" t="str">
            <v>CLIP</v>
          </cell>
          <cell r="D252" t="str">
            <v>10787921    -    T50SOSSBH5E-BK    -    0.038592</v>
          </cell>
          <cell r="F252">
            <v>3.8592000000000001E-2</v>
          </cell>
          <cell r="G252" t="str">
            <v/>
          </cell>
          <cell r="H252">
            <v>3.8592000000000001E-2</v>
          </cell>
        </row>
        <row r="253">
          <cell r="B253">
            <v>10787945</v>
          </cell>
          <cell r="C253" t="str">
            <v>CLIP</v>
          </cell>
          <cell r="D253" t="str">
            <v>10787945    -    INTERFACE FLANGE SEAL    -    3.86</v>
          </cell>
          <cell r="F253">
            <v>3.86</v>
          </cell>
          <cell r="G253" t="str">
            <v/>
          </cell>
          <cell r="H253">
            <v>3.86</v>
          </cell>
        </row>
        <row r="254">
          <cell r="B254">
            <v>10787965</v>
          </cell>
          <cell r="C254" t="str">
            <v>CLIP</v>
          </cell>
          <cell r="D254" t="str">
            <v>10787965    -    MOUN CLAMP CDT    -    0.013827</v>
          </cell>
          <cell r="F254">
            <v>1.3827000000000001E-2</v>
          </cell>
          <cell r="G254" t="str">
            <v/>
          </cell>
          <cell r="H254">
            <v>1.3827000000000001E-2</v>
          </cell>
        </row>
        <row r="255">
          <cell r="B255">
            <v>10787967</v>
          </cell>
          <cell r="C255" t="str">
            <v>CLIP</v>
          </cell>
          <cell r="D255" t="str">
            <v>10787967    -    MOUN BOLT 6.50 CONN    -    0.201737</v>
          </cell>
          <cell r="F255">
            <v>0.201737</v>
          </cell>
          <cell r="G255" t="str">
            <v/>
          </cell>
          <cell r="H255">
            <v>0.201737</v>
          </cell>
        </row>
        <row r="256">
          <cell r="B256">
            <v>10787968</v>
          </cell>
          <cell r="C256" t="str">
            <v>CLIP</v>
          </cell>
          <cell r="D256" t="str">
            <v>10787968    -    10787968    -    0.311997</v>
          </cell>
          <cell r="F256">
            <v>0.31199700000000002</v>
          </cell>
          <cell r="G256" t="str">
            <v/>
          </cell>
          <cell r="H256">
            <v>0.31199700000000002</v>
          </cell>
        </row>
        <row r="257">
          <cell r="B257">
            <v>10787997</v>
          </cell>
          <cell r="C257" t="str">
            <v>CLIP</v>
          </cell>
          <cell r="D257" t="str">
            <v>10787997    -    MOUN WIRE TIE    -    0.111322</v>
          </cell>
          <cell r="F257">
            <v>0.111322</v>
          </cell>
          <cell r="G257" t="str">
            <v/>
          </cell>
          <cell r="H257">
            <v>0.111322</v>
          </cell>
        </row>
        <row r="258">
          <cell r="B258">
            <v>10788003</v>
          </cell>
          <cell r="C258" t="str">
            <v>CLIP</v>
          </cell>
          <cell r="D258" t="str">
            <v>10788003    -    LU KABEL BAND/WIRE TIE    -    0.10923</v>
          </cell>
          <cell r="F258">
            <v>0.10922999999999999</v>
          </cell>
          <cell r="G258" t="str">
            <v/>
          </cell>
          <cell r="H258">
            <v>0.10922999999999999</v>
          </cell>
        </row>
        <row r="259">
          <cell r="B259">
            <v>10788044</v>
          </cell>
          <cell r="C259" t="str">
            <v>CLIP</v>
          </cell>
          <cell r="D259" t="str">
            <v>10788044    -    MOUN CLIP CDT    -    0.304954</v>
          </cell>
          <cell r="F259">
            <v>0.304954</v>
          </cell>
          <cell r="G259" t="str">
            <v/>
          </cell>
          <cell r="H259">
            <v>0.304954</v>
          </cell>
        </row>
        <row r="260">
          <cell r="B260">
            <v>10788073</v>
          </cell>
          <cell r="C260" t="str">
            <v>CLIP</v>
          </cell>
          <cell r="D260" t="str">
            <v>10788073    -    MOUN CLIP    -    0.048183</v>
          </cell>
          <cell r="F260">
            <v>4.8182999999999997E-2</v>
          </cell>
          <cell r="G260" t="str">
            <v/>
          </cell>
          <cell r="H260">
            <v>4.8182999999999997E-2</v>
          </cell>
        </row>
        <row r="261">
          <cell r="B261">
            <v>10788074</v>
          </cell>
          <cell r="C261" t="str">
            <v>CLIP</v>
          </cell>
          <cell r="D261" t="str">
            <v>10788074    -    MOUN CLIP ZN/CROZ    -    0.042735</v>
          </cell>
          <cell r="F261">
            <v>4.2735000000000002E-2</v>
          </cell>
          <cell r="G261" t="str">
            <v/>
          </cell>
          <cell r="H261">
            <v>4.2735000000000002E-2</v>
          </cell>
        </row>
        <row r="262">
          <cell r="B262">
            <v>10788091</v>
          </cell>
          <cell r="C262" t="str">
            <v>CLIP</v>
          </cell>
          <cell r="D262" t="str">
            <v>10788091    -    MOUN CLIP    -    0.066618</v>
          </cell>
          <cell r="F262">
            <v>6.6617999999999997E-2</v>
          </cell>
          <cell r="G262" t="str">
            <v/>
          </cell>
          <cell r="H262">
            <v>6.6617999999999997E-2</v>
          </cell>
        </row>
        <row r="263">
          <cell r="B263">
            <v>10788105</v>
          </cell>
          <cell r="C263" t="str">
            <v>CLIP</v>
          </cell>
          <cell r="D263" t="str">
            <v>10788105    -    MOLLETA COR / TUCHER D6    -    0.094455</v>
          </cell>
          <cell r="F263">
            <v>9.4454999999999997E-2</v>
          </cell>
          <cell r="G263" t="str">
            <v/>
          </cell>
          <cell r="H263">
            <v>9.4454999999999997E-2</v>
          </cell>
        </row>
        <row r="264">
          <cell r="B264">
            <v>10788107</v>
          </cell>
          <cell r="C264" t="str">
            <v>CLIP</v>
          </cell>
          <cell r="D264" t="str">
            <v>10788107    -    FASCETTA    -    0.079339</v>
          </cell>
          <cell r="F264">
            <v>7.9339000000000007E-2</v>
          </cell>
          <cell r="G264" t="str">
            <v/>
          </cell>
          <cell r="H264">
            <v>7.9339000000000007E-2</v>
          </cell>
        </row>
        <row r="265">
          <cell r="B265">
            <v>10788108</v>
          </cell>
          <cell r="C265" t="str">
            <v>CLIP</v>
          </cell>
          <cell r="D265" t="str">
            <v>10788108    -    MOLLETA COR / TUCHER D13    -    0.109406</v>
          </cell>
          <cell r="F265">
            <v>0.109406</v>
          </cell>
          <cell r="G265" t="str">
            <v/>
          </cell>
          <cell r="H265">
            <v>0.109406</v>
          </cell>
        </row>
        <row r="266">
          <cell r="B266">
            <v>10788151</v>
          </cell>
          <cell r="C266" t="str">
            <v>CLIP</v>
          </cell>
          <cell r="D266" t="str">
            <v>10788151    -    T50RDH-HS-BK    -    0.038052</v>
          </cell>
          <cell r="F266">
            <v>3.8052000000000002E-2</v>
          </cell>
          <cell r="G266" t="str">
            <v/>
          </cell>
          <cell r="H266">
            <v>3.8052000000000002E-2</v>
          </cell>
        </row>
        <row r="267">
          <cell r="B267">
            <v>10788155</v>
          </cell>
          <cell r="C267" t="str">
            <v>CLIP</v>
          </cell>
          <cell r="D267" t="str">
            <v>10788155    -    T50R-HS-BK    -    0.01402</v>
          </cell>
          <cell r="F267">
            <v>1.4019999999999999E-2</v>
          </cell>
          <cell r="G267" t="str">
            <v/>
          </cell>
          <cell r="H267">
            <v>1.4019999999999999E-2</v>
          </cell>
        </row>
        <row r="268">
          <cell r="B268">
            <v>10788195</v>
          </cell>
          <cell r="C268" t="str">
            <v>CLIP</v>
          </cell>
          <cell r="D268" t="str">
            <v>10788195    -    ANWICKELTEIL SFT6,5-D16-3-ZD    -    0.043335</v>
          </cell>
          <cell r="F268">
            <v>4.3334999999999999E-2</v>
          </cell>
          <cell r="G268" t="str">
            <v/>
          </cell>
          <cell r="H268">
            <v>4.3334999999999999E-2</v>
          </cell>
        </row>
        <row r="269">
          <cell r="B269">
            <v>10788211</v>
          </cell>
          <cell r="C269" t="str">
            <v>CLIP</v>
          </cell>
          <cell r="D269" t="str">
            <v>10788211    -    VERLNGERUNG A-SULE LINKS UNTERTEIL    -    2.298829</v>
          </cell>
          <cell r="F269">
            <v>2.298829</v>
          </cell>
          <cell r="G269" t="str">
            <v/>
          </cell>
          <cell r="H269">
            <v>2.298829</v>
          </cell>
        </row>
        <row r="270">
          <cell r="B270">
            <v>10788212</v>
          </cell>
          <cell r="C270" t="str">
            <v>CLIP</v>
          </cell>
          <cell r="D270" t="str">
            <v>10788212    -    VERLNGERUNG A-SULE LINKS OBTERTEIL    -    1.798353</v>
          </cell>
          <cell r="F270">
            <v>1.7983530000000001</v>
          </cell>
          <cell r="G270" t="str">
            <v/>
          </cell>
          <cell r="H270">
            <v>1.7983530000000001</v>
          </cell>
        </row>
        <row r="271">
          <cell r="B271">
            <v>10788214</v>
          </cell>
          <cell r="C271" t="str">
            <v>CLIP</v>
          </cell>
          <cell r="D271" t="str">
            <v>10788214    -    VERLNGERUNG A-SULE RECHTS OBTERTEIL    -    1.642502</v>
          </cell>
          <cell r="F271">
            <v>1.6425019999999999</v>
          </cell>
          <cell r="G271" t="str">
            <v/>
          </cell>
          <cell r="H271">
            <v>1.6425019999999999</v>
          </cell>
        </row>
        <row r="272">
          <cell r="B272">
            <v>10788262</v>
          </cell>
          <cell r="C272" t="str">
            <v>CLIP</v>
          </cell>
          <cell r="D272" t="str">
            <v>10788262    -    T30RFT5-BKGY    -    0.074889</v>
          </cell>
          <cell r="F272">
            <v>7.4888999999999997E-2</v>
          </cell>
          <cell r="G272" t="str">
            <v/>
          </cell>
          <cell r="H272">
            <v>7.4888999999999997E-2</v>
          </cell>
        </row>
        <row r="273">
          <cell r="B273">
            <v>10788293</v>
          </cell>
          <cell r="C273" t="str">
            <v>CLIP</v>
          </cell>
          <cell r="D273" t="str">
            <v>10788293    -    CABLE TIE    -    0.011186</v>
          </cell>
          <cell r="F273">
            <v>1.1186E-2</v>
          </cell>
          <cell r="G273" t="str">
            <v/>
          </cell>
          <cell r="H273">
            <v>1.1186E-2</v>
          </cell>
        </row>
        <row r="274">
          <cell r="B274">
            <v>10788309</v>
          </cell>
          <cell r="C274" t="str">
            <v>CLIP</v>
          </cell>
          <cell r="D274" t="str">
            <v>10788309    -    ZUH 236    -    0.060682</v>
          </cell>
          <cell r="F274">
            <v>6.0682E-2</v>
          </cell>
          <cell r="G274" t="str">
            <v/>
          </cell>
          <cell r="H274">
            <v>6.0682E-2</v>
          </cell>
        </row>
        <row r="275">
          <cell r="B275">
            <v>10788381</v>
          </cell>
          <cell r="C275" t="str">
            <v>CLIP</v>
          </cell>
          <cell r="D275" t="str">
            <v>10788381    -    96    -    0.208286</v>
          </cell>
          <cell r="F275">
            <v>0.208286</v>
          </cell>
          <cell r="G275" t="str">
            <v/>
          </cell>
          <cell r="H275">
            <v>0.208286</v>
          </cell>
        </row>
        <row r="276">
          <cell r="B276">
            <v>10788489</v>
          </cell>
          <cell r="C276" t="str">
            <v>CLIP</v>
          </cell>
          <cell r="D276" t="str">
            <v>10788489    -    VEDENI KABELU    -    0.024669</v>
          </cell>
          <cell r="F276">
            <v>2.4669E-2</v>
          </cell>
          <cell r="G276" t="str">
            <v/>
          </cell>
          <cell r="H276">
            <v>2.4669E-2</v>
          </cell>
        </row>
        <row r="277">
          <cell r="B277">
            <v>15374233</v>
          </cell>
          <cell r="C277" t="str">
            <v>CLIP</v>
          </cell>
          <cell r="D277" t="str">
            <v>15374233    -   METAL CLIP    -    0.03497</v>
          </cell>
          <cell r="F277">
            <v>3.4970000000000001E-2</v>
          </cell>
          <cell r="H277">
            <v>3.4970000000000001E-2</v>
          </cell>
        </row>
        <row r="278">
          <cell r="B278">
            <v>10788552</v>
          </cell>
          <cell r="C278" t="str">
            <v>CLIP</v>
          </cell>
          <cell r="D278" t="str">
            <v>10788552    -    10788552    -    0.198625</v>
          </cell>
          <cell r="F278">
            <v>0.198625</v>
          </cell>
          <cell r="G278" t="str">
            <v/>
          </cell>
          <cell r="H278">
            <v>0.198625</v>
          </cell>
        </row>
        <row r="279">
          <cell r="B279">
            <v>10788553</v>
          </cell>
          <cell r="C279" t="str">
            <v>CLIP</v>
          </cell>
          <cell r="D279" t="str">
            <v>10788553    -    CORRUGATED HOSE CLIP    -    0.1017</v>
          </cell>
          <cell r="F279">
            <v>0.1017</v>
          </cell>
          <cell r="G279" t="str">
            <v/>
          </cell>
          <cell r="H279">
            <v>0.1017</v>
          </cell>
        </row>
        <row r="280">
          <cell r="B280">
            <v>10788556</v>
          </cell>
          <cell r="C280" t="str">
            <v>CLIP</v>
          </cell>
          <cell r="D280" t="str">
            <v>10788556    -    CABLE STRAP    -    0.0655</v>
          </cell>
          <cell r="F280">
            <v>6.5500000000000003E-2</v>
          </cell>
          <cell r="G280" t="str">
            <v/>
          </cell>
          <cell r="H280">
            <v>6.5500000000000003E-2</v>
          </cell>
        </row>
        <row r="281">
          <cell r="B281">
            <v>10788564</v>
          </cell>
          <cell r="C281" t="str">
            <v>CLIP</v>
          </cell>
          <cell r="D281" t="str">
            <v>10788564    -    BODY CLIP    -    0.058265</v>
          </cell>
          <cell r="F281">
            <v>5.8264999999999997E-2</v>
          </cell>
          <cell r="G281" t="str">
            <v/>
          </cell>
          <cell r="H281">
            <v>5.8264999999999997E-2</v>
          </cell>
        </row>
        <row r="282">
          <cell r="B282">
            <v>10788567</v>
          </cell>
          <cell r="C282" t="str">
            <v>CLIP</v>
          </cell>
          <cell r="D282" t="str">
            <v>10788567    -    T80I-HS-BK    -    0.017561</v>
          </cell>
          <cell r="F282">
            <v>1.7561E-2</v>
          </cell>
          <cell r="G282" t="str">
            <v/>
          </cell>
          <cell r="H282">
            <v>1.7561E-2</v>
          </cell>
        </row>
        <row r="283">
          <cell r="B283">
            <v>10788682</v>
          </cell>
          <cell r="C283" t="str">
            <v>CLIP</v>
          </cell>
          <cell r="D283" t="str">
            <v>10788682    -    PLASTIC FASTENER    -    0.024869</v>
          </cell>
          <cell r="F283">
            <v>2.4868999999999999E-2</v>
          </cell>
          <cell r="G283" t="str">
            <v/>
          </cell>
          <cell r="H283">
            <v>2.4868999999999999E-2</v>
          </cell>
        </row>
        <row r="284">
          <cell r="B284">
            <v>10788739</v>
          </cell>
          <cell r="C284" t="str">
            <v>CLIP</v>
          </cell>
          <cell r="D284" t="str">
            <v>10788739    -    CLIP    -    0.087846</v>
          </cell>
          <cell r="F284">
            <v>8.7845999999999994E-2</v>
          </cell>
          <cell r="G284" t="str">
            <v/>
          </cell>
          <cell r="H284">
            <v>8.7845999999999994E-2</v>
          </cell>
        </row>
        <row r="285">
          <cell r="B285">
            <v>10788747</v>
          </cell>
          <cell r="C285" t="str">
            <v>CLIP</v>
          </cell>
          <cell r="D285" t="str">
            <v>10788747    -    SOC-25    -    0.049251</v>
          </cell>
          <cell r="F285">
            <v>4.9251000000000003E-2</v>
          </cell>
          <cell r="G285" t="str">
            <v/>
          </cell>
          <cell r="H285">
            <v>4.9251000000000003E-2</v>
          </cell>
        </row>
        <row r="286">
          <cell r="B286">
            <v>10788748</v>
          </cell>
          <cell r="C286" t="str">
            <v>CLIP</v>
          </cell>
          <cell r="D286" t="str">
            <v>10788748    -    CLIP    -    0.08711</v>
          </cell>
          <cell r="F286">
            <v>8.7110000000000007E-2</v>
          </cell>
          <cell r="G286" t="str">
            <v/>
          </cell>
          <cell r="H286">
            <v>8.7110000000000007E-2</v>
          </cell>
        </row>
        <row r="287">
          <cell r="B287">
            <v>10788767</v>
          </cell>
          <cell r="C287" t="str">
            <v>CLIP</v>
          </cell>
          <cell r="D287" t="str">
            <v>10788767    -    STRIP MANOVRA VERDE    -    0.06342</v>
          </cell>
          <cell r="F287">
            <v>6.3420000000000004E-2</v>
          </cell>
          <cell r="G287" t="str">
            <v/>
          </cell>
          <cell r="H287">
            <v>6.3420000000000004E-2</v>
          </cell>
        </row>
        <row r="288">
          <cell r="B288">
            <v>10788768</v>
          </cell>
          <cell r="C288" t="str">
            <v>CLIP</v>
          </cell>
          <cell r="D288" t="str">
            <v>10788768    -    STRIP MANOVRA GIALLO    -    0.06342</v>
          </cell>
          <cell r="F288">
            <v>6.3420000000000004E-2</v>
          </cell>
          <cell r="G288" t="str">
            <v/>
          </cell>
          <cell r="H288">
            <v>6.3420000000000004E-2</v>
          </cell>
        </row>
        <row r="289">
          <cell r="B289">
            <v>10788944</v>
          </cell>
          <cell r="C289" t="str">
            <v>CLIP</v>
          </cell>
          <cell r="D289" t="str">
            <v>10788944    -    VW-7L6 971 905 B    -    0.067063</v>
          </cell>
          <cell r="F289">
            <v>6.7062999999999998E-2</v>
          </cell>
          <cell r="G289" t="str">
            <v/>
          </cell>
          <cell r="H289">
            <v>6.7062999999999998E-2</v>
          </cell>
        </row>
        <row r="290">
          <cell r="B290">
            <v>10788973</v>
          </cell>
          <cell r="C290" t="str">
            <v>CLIP</v>
          </cell>
          <cell r="D290" t="str">
            <v>10788973    -    VW-7L0 971 341    -    1.302128</v>
          </cell>
          <cell r="F290">
            <v>1.302128</v>
          </cell>
          <cell r="G290" t="str">
            <v/>
          </cell>
          <cell r="H290">
            <v>1.302128</v>
          </cell>
        </row>
        <row r="291">
          <cell r="B291">
            <v>10788974</v>
          </cell>
          <cell r="C291" t="str">
            <v>CLIP</v>
          </cell>
          <cell r="D291" t="str">
            <v>10788974    -    VW-7L0 971 342    -    1.302128</v>
          </cell>
          <cell r="F291">
            <v>1.302128</v>
          </cell>
          <cell r="G291" t="str">
            <v/>
          </cell>
          <cell r="H291">
            <v>1.302128</v>
          </cell>
        </row>
        <row r="292">
          <cell r="B292">
            <v>10788975</v>
          </cell>
          <cell r="C292" t="str">
            <v>CLIP</v>
          </cell>
          <cell r="D292" t="str">
            <v>10788975    -    VW-7L0 971 445    -    1.374993</v>
          </cell>
          <cell r="F292">
            <v>1.3749929999999999</v>
          </cell>
          <cell r="G292" t="str">
            <v/>
          </cell>
          <cell r="H292">
            <v>1.3749929999999999</v>
          </cell>
        </row>
        <row r="293">
          <cell r="B293">
            <v>10788976</v>
          </cell>
          <cell r="C293" t="str">
            <v>CLIP</v>
          </cell>
          <cell r="D293" t="str">
            <v>10788976    -    VW-7L0 971 839    -    0.906497</v>
          </cell>
          <cell r="F293">
            <v>0.906497</v>
          </cell>
          <cell r="G293" t="str">
            <v/>
          </cell>
          <cell r="H293">
            <v>0.906497</v>
          </cell>
        </row>
        <row r="294">
          <cell r="B294">
            <v>10788977</v>
          </cell>
          <cell r="C294" t="str">
            <v>CLIP</v>
          </cell>
          <cell r="D294" t="str">
            <v>10788977    -    VW-7L0 971 446    -    1.374993</v>
          </cell>
          <cell r="F294">
            <v>1.3749929999999999</v>
          </cell>
          <cell r="G294" t="str">
            <v/>
          </cell>
          <cell r="H294">
            <v>1.3749929999999999</v>
          </cell>
        </row>
        <row r="295">
          <cell r="B295">
            <v>10788978</v>
          </cell>
          <cell r="C295" t="str">
            <v>CLIP</v>
          </cell>
          <cell r="D295" t="str">
            <v>10788978    -    VW-7L0 971 839 A    -    0.906497</v>
          </cell>
          <cell r="F295">
            <v>0.906497</v>
          </cell>
          <cell r="G295" t="str">
            <v/>
          </cell>
          <cell r="H295">
            <v>0.906497</v>
          </cell>
        </row>
        <row r="296">
          <cell r="B296">
            <v>10789063</v>
          </cell>
          <cell r="C296" t="str">
            <v>CLIP</v>
          </cell>
          <cell r="D296" t="str">
            <v>10789063    -    MOUN CLIP    -    0.197977</v>
          </cell>
          <cell r="F296">
            <v>0.19797699999999999</v>
          </cell>
          <cell r="G296" t="str">
            <v/>
          </cell>
          <cell r="H296">
            <v>0.19797699999999999</v>
          </cell>
        </row>
        <row r="297">
          <cell r="B297">
            <v>10789069</v>
          </cell>
          <cell r="C297" t="str">
            <v>CLIP</v>
          </cell>
          <cell r="D297" t="str">
            <v>10789069    -    CLIP FOR ANTENNA ZUH 258    -    0.027527</v>
          </cell>
          <cell r="F297">
            <v>2.7526999999999999E-2</v>
          </cell>
          <cell r="G297" t="str">
            <v/>
          </cell>
          <cell r="H297">
            <v>2.7526999999999999E-2</v>
          </cell>
        </row>
        <row r="298">
          <cell r="B298">
            <v>10789151</v>
          </cell>
          <cell r="C298" t="str">
            <v>CLIP</v>
          </cell>
          <cell r="D298" t="str">
            <v>10789151    -    ZUH 88    -    0.181286</v>
          </cell>
          <cell r="F298">
            <v>0.181286</v>
          </cell>
          <cell r="G298" t="str">
            <v/>
          </cell>
          <cell r="H298">
            <v>0.181286</v>
          </cell>
        </row>
        <row r="299">
          <cell r="B299">
            <v>10789231</v>
          </cell>
          <cell r="C299" t="str">
            <v>CLIP</v>
          </cell>
          <cell r="D299" t="str">
            <v>10789231    -    ZUH-92    -    0.146683</v>
          </cell>
          <cell r="F299">
            <v>0.14668300000000001</v>
          </cell>
          <cell r="G299" t="str">
            <v/>
          </cell>
          <cell r="H299">
            <v>0.14668300000000001</v>
          </cell>
        </row>
        <row r="300">
          <cell r="B300">
            <v>10793453</v>
          </cell>
          <cell r="C300" t="str">
            <v>CLIP</v>
          </cell>
          <cell r="D300" t="str">
            <v>10793453    -    CLIP    -    0.255575</v>
          </cell>
          <cell r="F300">
            <v>0.255575</v>
          </cell>
          <cell r="G300" t="str">
            <v/>
          </cell>
          <cell r="H300">
            <v>0.255575</v>
          </cell>
        </row>
        <row r="301">
          <cell r="B301">
            <v>10793455</v>
          </cell>
          <cell r="C301" t="str">
            <v>CLIP</v>
          </cell>
          <cell r="D301" t="str">
            <v>10793455    -    CLIP    -    0.058797</v>
          </cell>
          <cell r="F301">
            <v>5.8797000000000002E-2</v>
          </cell>
          <cell r="G301" t="str">
            <v/>
          </cell>
          <cell r="H301">
            <v>5.8797000000000002E-2</v>
          </cell>
        </row>
        <row r="302">
          <cell r="B302">
            <v>10793456</v>
          </cell>
          <cell r="C302" t="str">
            <v>CLIP</v>
          </cell>
          <cell r="D302" t="str">
            <v>10793456    -    CABLE TIE    -    0.138309</v>
          </cell>
          <cell r="F302">
            <v>0.13830899999999999</v>
          </cell>
          <cell r="G302" t="str">
            <v/>
          </cell>
          <cell r="H302">
            <v>0.13830899999999999</v>
          </cell>
        </row>
        <row r="303">
          <cell r="B303">
            <v>10793606</v>
          </cell>
          <cell r="C303" t="str">
            <v>CLIP</v>
          </cell>
          <cell r="D303" t="str">
            <v>10793606    -    HV4821-NA    -    0.017946</v>
          </cell>
          <cell r="F303">
            <v>1.7946E-2</v>
          </cell>
          <cell r="G303" t="str">
            <v/>
          </cell>
          <cell r="H303">
            <v>1.7946E-2</v>
          </cell>
        </row>
        <row r="304">
          <cell r="B304">
            <v>10793609</v>
          </cell>
          <cell r="C304" t="str">
            <v>CLIP</v>
          </cell>
          <cell r="D304" t="str">
            <v>10793609    -    EMB-76,2-22-1,9    -    0.362676</v>
          </cell>
          <cell r="F304">
            <v>0.362676</v>
          </cell>
          <cell r="G304" t="str">
            <v/>
          </cell>
          <cell r="H304">
            <v>0.362676</v>
          </cell>
        </row>
        <row r="305">
          <cell r="B305">
            <v>10793610</v>
          </cell>
          <cell r="C305" t="str">
            <v>CLIP</v>
          </cell>
          <cell r="D305" t="str">
            <v>10793610    -    DC-A 211 997 01 90    -    0.048149</v>
          </cell>
          <cell r="F305">
            <v>4.8148999999999997E-2</v>
          </cell>
          <cell r="G305" t="str">
            <v/>
          </cell>
          <cell r="H305">
            <v>4.8148999999999997E-2</v>
          </cell>
        </row>
        <row r="306">
          <cell r="B306">
            <v>10793626</v>
          </cell>
          <cell r="C306" t="str">
            <v>CLIP</v>
          </cell>
          <cell r="D306" t="str">
            <v>10793626    -    T50SSL5-NA    -    0.017677</v>
          </cell>
          <cell r="F306">
            <v>1.7676999999999998E-2</v>
          </cell>
          <cell r="G306" t="str">
            <v/>
          </cell>
          <cell r="H306">
            <v>1.7676999999999998E-2</v>
          </cell>
        </row>
        <row r="307">
          <cell r="B307">
            <v>10793737</v>
          </cell>
          <cell r="C307" t="str">
            <v>CLIP</v>
          </cell>
          <cell r="D307" t="str">
            <v>10793737    -    MOLLETTA    -    0.060332</v>
          </cell>
          <cell r="F307">
            <v>6.0331999999999997E-2</v>
          </cell>
          <cell r="G307" t="str">
            <v/>
          </cell>
          <cell r="H307">
            <v>6.0331999999999997E-2</v>
          </cell>
        </row>
        <row r="308">
          <cell r="B308">
            <v>10810301</v>
          </cell>
          <cell r="C308" t="str">
            <v>CLIP</v>
          </cell>
          <cell r="D308" t="str">
            <v>10810301    -    TIE WRAP    -    0.023742</v>
          </cell>
          <cell r="F308">
            <v>2.3741999999999999E-2</v>
          </cell>
          <cell r="G308" t="str">
            <v/>
          </cell>
          <cell r="H308">
            <v>2.3741999999999999E-2</v>
          </cell>
        </row>
        <row r="309">
          <cell r="B309">
            <v>10810315</v>
          </cell>
          <cell r="C309" t="str">
            <v>CLIP</v>
          </cell>
          <cell r="D309" t="str">
            <v>10810315    -    CLIP    -    0.066274</v>
          </cell>
          <cell r="F309">
            <v>6.6274E-2</v>
          </cell>
          <cell r="G309" t="str">
            <v/>
          </cell>
          <cell r="H309">
            <v>6.6274E-2</v>
          </cell>
        </row>
        <row r="310">
          <cell r="B310">
            <v>10810367</v>
          </cell>
          <cell r="C310" t="str">
            <v>CLIP</v>
          </cell>
          <cell r="D310" t="str">
            <v>10810367    -    MOLLETA    -    0.116475</v>
          </cell>
          <cell r="F310">
            <v>0.116475</v>
          </cell>
          <cell r="G310" t="str">
            <v/>
          </cell>
          <cell r="H310">
            <v>0.116475</v>
          </cell>
        </row>
        <row r="311">
          <cell r="B311">
            <v>10810371</v>
          </cell>
          <cell r="C311" t="str">
            <v>CLIP</v>
          </cell>
          <cell r="D311" t="str">
            <v>10810371    -    T50RDHSBS5-HS-BK    -    0.099313</v>
          </cell>
          <cell r="F311">
            <v>9.9312999999999999E-2</v>
          </cell>
          <cell r="G311" t="str">
            <v/>
          </cell>
          <cell r="H311">
            <v>9.9312999999999999E-2</v>
          </cell>
        </row>
        <row r="312">
          <cell r="B312">
            <v>10810384</v>
          </cell>
          <cell r="C312" t="str">
            <v>CLIP</v>
          </cell>
          <cell r="D312" t="str">
            <v>10810384    -    CLIP    -    0.220381</v>
          </cell>
          <cell r="F312">
            <v>0.22038099999999999</v>
          </cell>
          <cell r="G312" t="str">
            <v/>
          </cell>
          <cell r="H312">
            <v>0.22038099999999999</v>
          </cell>
        </row>
        <row r="313">
          <cell r="B313">
            <v>10810412</v>
          </cell>
          <cell r="C313" t="str">
            <v>CLIP</v>
          </cell>
          <cell r="D313" t="str">
            <v>10810412    -    T50SOSEC5A-BK    -    0.110176</v>
          </cell>
          <cell r="F313">
            <v>0.110176</v>
          </cell>
          <cell r="G313" t="str">
            <v/>
          </cell>
          <cell r="H313">
            <v>0.110176</v>
          </cell>
        </row>
        <row r="314">
          <cell r="B314">
            <v>10810476</v>
          </cell>
          <cell r="C314" t="str">
            <v>CLIP</v>
          </cell>
          <cell r="D314" t="str">
            <v>10810476    -    RING TERMINAL (0,35-1,0)    -    0.031332</v>
          </cell>
          <cell r="F314">
            <v>3.1331999999999999E-2</v>
          </cell>
          <cell r="G314" t="str">
            <v/>
          </cell>
          <cell r="H314">
            <v>3.1331999999999999E-2</v>
          </cell>
        </row>
        <row r="315">
          <cell r="B315">
            <v>10810536</v>
          </cell>
          <cell r="C315" t="str">
            <v>CLIP</v>
          </cell>
          <cell r="D315" t="str">
            <v>10810536    -    BRACKET FOR BRAKE LINE ZUH 262    -    0.083629</v>
          </cell>
          <cell r="F315">
            <v>8.3628999999999995E-2</v>
          </cell>
          <cell r="G315" t="str">
            <v/>
          </cell>
          <cell r="H315">
            <v>8.3628999999999995E-2</v>
          </cell>
        </row>
        <row r="316">
          <cell r="B316">
            <v>10810587</v>
          </cell>
          <cell r="C316" t="str">
            <v>CLIP</v>
          </cell>
          <cell r="D316" t="str">
            <v>10810587    -    MOLLETA TIPO CLIP    -    0.215493</v>
          </cell>
          <cell r="F316">
            <v>0.21549299999999999</v>
          </cell>
          <cell r="G316" t="str">
            <v/>
          </cell>
          <cell r="H316">
            <v>0.21549299999999999</v>
          </cell>
        </row>
        <row r="317">
          <cell r="B317">
            <v>10810606</v>
          </cell>
          <cell r="C317" t="str">
            <v>CLIP</v>
          </cell>
          <cell r="D317" t="str">
            <v>10810606    -    HALTER WELLSCHLAUCH D21    -    0.079612</v>
          </cell>
          <cell r="F317">
            <v>7.9612000000000002E-2</v>
          </cell>
          <cell r="G317" t="str">
            <v/>
          </cell>
          <cell r="H317">
            <v>7.9612000000000002E-2</v>
          </cell>
        </row>
        <row r="318">
          <cell r="B318">
            <v>10810607</v>
          </cell>
          <cell r="C318" t="str">
            <v>CLIP</v>
          </cell>
          <cell r="D318" t="str">
            <v>10810607    -    HALTER WELLSCHLAUCH D24    -    0.080287</v>
          </cell>
          <cell r="F318">
            <v>8.0286999999999997E-2</v>
          </cell>
          <cell r="G318" t="str">
            <v/>
          </cell>
          <cell r="H318">
            <v>8.0286999999999997E-2</v>
          </cell>
        </row>
        <row r="319">
          <cell r="B319">
            <v>10810671</v>
          </cell>
          <cell r="C319" t="str">
            <v>CLIP</v>
          </cell>
          <cell r="D319" t="str">
            <v>10810671    -    ENGINE CABLE CHANNEL    -    0.390976</v>
          </cell>
          <cell r="F319">
            <v>0.39097599999999999</v>
          </cell>
          <cell r="G319" t="str">
            <v/>
          </cell>
          <cell r="H319">
            <v>0.39097599999999999</v>
          </cell>
        </row>
        <row r="320">
          <cell r="B320">
            <v>10810726</v>
          </cell>
          <cell r="C320" t="str">
            <v>CLIP</v>
          </cell>
          <cell r="D320" t="str">
            <v>10810726    -    VW-7L0 971 848 G    -    0.040481</v>
          </cell>
          <cell r="F320">
            <v>4.0481000000000003E-2</v>
          </cell>
          <cell r="G320" t="str">
            <v/>
          </cell>
          <cell r="H320">
            <v>4.0481000000000003E-2</v>
          </cell>
        </row>
        <row r="321">
          <cell r="B321">
            <v>10810733</v>
          </cell>
          <cell r="C321" t="str">
            <v>CLIP</v>
          </cell>
          <cell r="D321" t="str">
            <v>10810733    -    ZUH 201    -    0.035218</v>
          </cell>
          <cell r="F321">
            <v>3.5217999999999999E-2</v>
          </cell>
          <cell r="G321" t="str">
            <v/>
          </cell>
          <cell r="H321">
            <v>3.5217999999999999E-2</v>
          </cell>
        </row>
        <row r="322">
          <cell r="B322">
            <v>10810752</v>
          </cell>
          <cell r="C322" t="str">
            <v>CLIP</v>
          </cell>
          <cell r="D322" t="str">
            <v>10810752    -    CLIP    -    0.120613</v>
          </cell>
          <cell r="F322">
            <v>0.120613</v>
          </cell>
          <cell r="G322" t="str">
            <v/>
          </cell>
          <cell r="H322">
            <v>0.120613</v>
          </cell>
        </row>
        <row r="323">
          <cell r="B323">
            <v>10810753</v>
          </cell>
          <cell r="C323" t="str">
            <v>CLIP</v>
          </cell>
          <cell r="D323" t="str">
            <v>10810753    -    CLIP    -    0.172666</v>
          </cell>
          <cell r="F323">
            <v>0.17266599999999999</v>
          </cell>
          <cell r="G323" t="str">
            <v/>
          </cell>
          <cell r="H323">
            <v>0.17266599999999999</v>
          </cell>
        </row>
        <row r="324">
          <cell r="B324">
            <v>10810756</v>
          </cell>
          <cell r="C324" t="str">
            <v>CLIP</v>
          </cell>
          <cell r="D324" t="str">
            <v>10810756    -    CHPD66-BK    -    0.056943</v>
          </cell>
          <cell r="F324">
            <v>5.6943000000000001E-2</v>
          </cell>
          <cell r="G324" t="str">
            <v/>
          </cell>
          <cell r="H324">
            <v>5.6943000000000001E-2</v>
          </cell>
        </row>
        <row r="325">
          <cell r="B325">
            <v>10810803</v>
          </cell>
          <cell r="C325" t="str">
            <v>CLIP</v>
          </cell>
          <cell r="D325" t="str">
            <v>10810803    -    CLIP    -    0.16251</v>
          </cell>
          <cell r="F325">
            <v>0.16250999999999999</v>
          </cell>
          <cell r="G325" t="str">
            <v/>
          </cell>
          <cell r="H325">
            <v>0.16250999999999999</v>
          </cell>
        </row>
        <row r="326">
          <cell r="B326">
            <v>10810804</v>
          </cell>
          <cell r="C326" t="str">
            <v>CLIP</v>
          </cell>
          <cell r="D326" t="str">
            <v>10810804    -    MOUN CLIP    -    0.025133</v>
          </cell>
          <cell r="F326">
            <v>2.5132999999999999E-2</v>
          </cell>
          <cell r="G326" t="str">
            <v/>
          </cell>
          <cell r="H326">
            <v>2.5132999999999999E-2</v>
          </cell>
        </row>
        <row r="327">
          <cell r="B327">
            <v>10810808</v>
          </cell>
          <cell r="C327" t="str">
            <v>CLIP</v>
          </cell>
          <cell r="D327" t="str">
            <v>10810808    -    CLIP    -    0.124056</v>
          </cell>
          <cell r="F327">
            <v>0.124056</v>
          </cell>
          <cell r="G327" t="str">
            <v/>
          </cell>
          <cell r="H327">
            <v>0.124056</v>
          </cell>
        </row>
        <row r="328">
          <cell r="B328">
            <v>10810809</v>
          </cell>
          <cell r="C328" t="str">
            <v>CLIP</v>
          </cell>
          <cell r="D328" t="str">
            <v>10810809    -    MOUN CLIP    -    0.022117</v>
          </cell>
          <cell r="F328">
            <v>2.2117000000000001E-2</v>
          </cell>
          <cell r="G328" t="str">
            <v/>
          </cell>
          <cell r="H328">
            <v>2.2117000000000001E-2</v>
          </cell>
        </row>
        <row r="329">
          <cell r="B329">
            <v>10810810</v>
          </cell>
          <cell r="C329" t="str">
            <v>CLIP</v>
          </cell>
          <cell r="D329" t="str">
            <v>10810810    -    CLIP    -    0.098013</v>
          </cell>
          <cell r="F329">
            <v>9.8013000000000003E-2</v>
          </cell>
          <cell r="G329" t="str">
            <v/>
          </cell>
          <cell r="H329">
            <v>9.8013000000000003E-2</v>
          </cell>
        </row>
        <row r="330">
          <cell r="B330">
            <v>10810811</v>
          </cell>
          <cell r="C330" t="str">
            <v>CLIP</v>
          </cell>
          <cell r="D330" t="str">
            <v>10810811    -    MOUN CLIP    -    0.031164</v>
          </cell>
          <cell r="F330">
            <v>3.1164000000000001E-2</v>
          </cell>
          <cell r="G330" t="str">
            <v/>
          </cell>
          <cell r="H330">
            <v>3.1164000000000001E-2</v>
          </cell>
        </row>
        <row r="331">
          <cell r="B331">
            <v>10810815</v>
          </cell>
          <cell r="C331" t="str">
            <v>CLIP</v>
          </cell>
          <cell r="D331" t="str">
            <v>10810815    -    MOUN CLIP    -    0.130086</v>
          </cell>
          <cell r="F331">
            <v>0.13008600000000001</v>
          </cell>
          <cell r="G331" t="str">
            <v/>
          </cell>
          <cell r="H331">
            <v>0.13008600000000001</v>
          </cell>
        </row>
        <row r="332">
          <cell r="B332">
            <v>10810817</v>
          </cell>
          <cell r="C332" t="str">
            <v>CLIP</v>
          </cell>
          <cell r="D332" t="str">
            <v>10810817    -    CLIP    -    0.090142</v>
          </cell>
          <cell r="F332">
            <v>9.0142E-2</v>
          </cell>
          <cell r="G332" t="str">
            <v/>
          </cell>
          <cell r="H332">
            <v>9.0142E-2</v>
          </cell>
        </row>
        <row r="333">
          <cell r="B333">
            <v>10810818</v>
          </cell>
          <cell r="C333" t="str">
            <v>CLIP</v>
          </cell>
          <cell r="D333" t="str">
            <v>10810818    -    MOUN CLIP    -    0.061323</v>
          </cell>
          <cell r="F333">
            <v>6.1323000000000003E-2</v>
          </cell>
          <cell r="G333" t="str">
            <v/>
          </cell>
          <cell r="H333">
            <v>6.1323000000000003E-2</v>
          </cell>
        </row>
        <row r="334">
          <cell r="B334">
            <v>10810820</v>
          </cell>
          <cell r="C334" t="str">
            <v>CLIP</v>
          </cell>
          <cell r="D334" t="str">
            <v>10810820    -    MOUN CLIP    -    0.012566</v>
          </cell>
          <cell r="F334">
            <v>1.2566000000000001E-2</v>
          </cell>
          <cell r="G334" t="str">
            <v/>
          </cell>
          <cell r="H334">
            <v>1.2566000000000001E-2</v>
          </cell>
        </row>
        <row r="335">
          <cell r="B335">
            <v>10810821</v>
          </cell>
          <cell r="C335" t="str">
            <v>CLIP</v>
          </cell>
          <cell r="D335" t="str">
            <v>10810821    -    CLIP    -    0.175637</v>
          </cell>
          <cell r="F335">
            <v>0.17563699999999999</v>
          </cell>
          <cell r="G335" t="str">
            <v/>
          </cell>
          <cell r="H335">
            <v>0.17563699999999999</v>
          </cell>
        </row>
        <row r="336">
          <cell r="B336">
            <v>10810822</v>
          </cell>
          <cell r="C336" t="str">
            <v>CLIP</v>
          </cell>
          <cell r="D336" t="str">
            <v>10810822    -    MOUN CLIP    -    0.012566</v>
          </cell>
          <cell r="F336">
            <v>1.2566000000000001E-2</v>
          </cell>
          <cell r="G336" t="str">
            <v/>
          </cell>
          <cell r="H336">
            <v>1.2566000000000001E-2</v>
          </cell>
        </row>
        <row r="337">
          <cell r="B337">
            <v>10810823</v>
          </cell>
          <cell r="C337" t="str">
            <v>CLIP</v>
          </cell>
          <cell r="D337" t="str">
            <v>10810823    -    MOUN CLIP    -    0.026138</v>
          </cell>
          <cell r="F337">
            <v>2.6138000000000002E-2</v>
          </cell>
          <cell r="G337" t="str">
            <v/>
          </cell>
          <cell r="H337">
            <v>2.6138000000000002E-2</v>
          </cell>
        </row>
        <row r="338">
          <cell r="B338">
            <v>10810825</v>
          </cell>
          <cell r="C338" t="str">
            <v>CLIP</v>
          </cell>
          <cell r="D338" t="str">
            <v>10810825    -    MOUN CLIP    -    0.020106</v>
          </cell>
          <cell r="F338">
            <v>2.0105999999999999E-2</v>
          </cell>
          <cell r="G338" t="str">
            <v/>
          </cell>
          <cell r="H338">
            <v>2.0105999999999999E-2</v>
          </cell>
        </row>
        <row r="339">
          <cell r="B339">
            <v>10810888</v>
          </cell>
          <cell r="C339" t="str">
            <v>CLIP</v>
          </cell>
          <cell r="D339" t="str">
            <v>10810888    -    T50RDHFT7-HS-BK    -    0.107948</v>
          </cell>
          <cell r="F339">
            <v>0.107948</v>
          </cell>
          <cell r="G339" t="str">
            <v/>
          </cell>
          <cell r="H339">
            <v>0.107948</v>
          </cell>
        </row>
        <row r="340">
          <cell r="B340">
            <v>10810889</v>
          </cell>
          <cell r="C340" t="str">
            <v>CLIP</v>
          </cell>
          <cell r="D340" t="str">
            <v>10810889    -    GM-90508801    -    0.018269</v>
          </cell>
          <cell r="F340">
            <v>1.8269000000000001E-2</v>
          </cell>
          <cell r="G340" t="str">
            <v/>
          </cell>
          <cell r="H340">
            <v>1.8269000000000001E-2</v>
          </cell>
        </row>
        <row r="341">
          <cell r="B341">
            <v>10810903</v>
          </cell>
          <cell r="C341" t="str">
            <v>CLIP</v>
          </cell>
          <cell r="D341" t="str">
            <v>10810903    -    T50ROSSFT6,5D16-2ZD-BKGN    -    0.11483</v>
          </cell>
          <cell r="F341">
            <v>0.11483</v>
          </cell>
          <cell r="G341" t="str">
            <v/>
          </cell>
          <cell r="H341">
            <v>0.11483</v>
          </cell>
        </row>
        <row r="342">
          <cell r="B342">
            <v>10810911</v>
          </cell>
          <cell r="C342" t="str">
            <v>CLIP</v>
          </cell>
          <cell r="D342" t="str">
            <v>10810911    -    MOUN CLIP 6.50 CDT    -    0.154501</v>
          </cell>
          <cell r="F342">
            <v>0.154501</v>
          </cell>
          <cell r="G342" t="str">
            <v/>
          </cell>
          <cell r="H342">
            <v>0.154501</v>
          </cell>
        </row>
        <row r="343">
          <cell r="B343">
            <v>10810912</v>
          </cell>
          <cell r="C343" t="str">
            <v>CLIP</v>
          </cell>
          <cell r="D343" t="str">
            <v>10810912    -    CLIP    -    0.060586</v>
          </cell>
          <cell r="F343">
            <v>6.0586000000000001E-2</v>
          </cell>
          <cell r="G343" t="str">
            <v/>
          </cell>
          <cell r="H343">
            <v>6.0586000000000001E-2</v>
          </cell>
        </row>
        <row r="344">
          <cell r="B344">
            <v>10810913</v>
          </cell>
          <cell r="C344" t="str">
            <v>CLIP</v>
          </cell>
          <cell r="D344" t="str">
            <v>10810913    -    AGRAFE SUPPORT COUVERCLE    -    0.017191</v>
          </cell>
          <cell r="F344">
            <v>1.7191000000000001E-2</v>
          </cell>
          <cell r="G344" t="str">
            <v/>
          </cell>
          <cell r="H344">
            <v>1.7191000000000001E-2</v>
          </cell>
        </row>
        <row r="345">
          <cell r="B345">
            <v>10810968</v>
          </cell>
          <cell r="C345" t="str">
            <v>CLIP</v>
          </cell>
          <cell r="D345" t="str">
            <v>10810968    -    ZUH 278    -    0.157884</v>
          </cell>
          <cell r="F345">
            <v>0.157884</v>
          </cell>
          <cell r="G345" t="str">
            <v/>
          </cell>
          <cell r="H345">
            <v>0.157884</v>
          </cell>
        </row>
        <row r="346">
          <cell r="B346">
            <v>10811012</v>
          </cell>
          <cell r="C346" t="str">
            <v>CLIP</v>
          </cell>
          <cell r="D346" t="str">
            <v>10811012    -    CLIP    -    0.03156</v>
          </cell>
          <cell r="F346">
            <v>3.1559999999999998E-2</v>
          </cell>
          <cell r="G346" t="str">
            <v/>
          </cell>
          <cell r="H346">
            <v>3.1559999999999998E-2</v>
          </cell>
        </row>
        <row r="347">
          <cell r="B347">
            <v>10811078</v>
          </cell>
          <cell r="C347" t="str">
            <v>CLIP</v>
          </cell>
          <cell r="D347" t="str">
            <v>10811078    -    T50SOSSFT6,5D16-2ZD-BK    -    0.11429</v>
          </cell>
          <cell r="F347">
            <v>0.11429</v>
          </cell>
          <cell r="G347" t="str">
            <v/>
          </cell>
          <cell r="H347">
            <v>0.11429</v>
          </cell>
        </row>
        <row r="348">
          <cell r="B348">
            <v>10811141</v>
          </cell>
          <cell r="C348" t="str">
            <v>CLIP</v>
          </cell>
          <cell r="D348" t="str">
            <v>10811141    -    CLIP    -    0.125972</v>
          </cell>
          <cell r="F348">
            <v>0.125972</v>
          </cell>
          <cell r="G348" t="str">
            <v/>
          </cell>
          <cell r="H348">
            <v>0.125972</v>
          </cell>
        </row>
        <row r="349">
          <cell r="B349">
            <v>10811172</v>
          </cell>
          <cell r="C349" t="str">
            <v>CLIP</v>
          </cell>
          <cell r="D349" t="str">
            <v>10811172    -    CLIP    -    0.189796</v>
          </cell>
          <cell r="F349">
            <v>0.18979599999999999</v>
          </cell>
          <cell r="G349" t="str">
            <v/>
          </cell>
          <cell r="H349">
            <v>0.18979599999999999</v>
          </cell>
        </row>
        <row r="350">
          <cell r="B350">
            <v>10811191</v>
          </cell>
          <cell r="C350" t="str">
            <v>CLIP</v>
          </cell>
          <cell r="D350" t="str">
            <v>10811191    -    CLIP    -    0.103</v>
          </cell>
          <cell r="F350">
            <v>0.10299999999999999</v>
          </cell>
          <cell r="G350" t="str">
            <v/>
          </cell>
          <cell r="H350">
            <v>0.10299999999999999</v>
          </cell>
        </row>
        <row r="351">
          <cell r="B351">
            <v>10811265</v>
          </cell>
          <cell r="C351" t="str">
            <v>CLIP</v>
          </cell>
          <cell r="D351" t="str">
            <v>10811265    -    T50SSFT6,5D14,2/DC-A1645461243    -    0.074631</v>
          </cell>
          <cell r="F351">
            <v>7.4631000000000003E-2</v>
          </cell>
          <cell r="G351" t="str">
            <v/>
          </cell>
          <cell r="H351">
            <v>7.4631000000000003E-2</v>
          </cell>
        </row>
        <row r="352">
          <cell r="B352">
            <v>10811272</v>
          </cell>
          <cell r="C352" t="str">
            <v>CLIP</v>
          </cell>
          <cell r="D352" t="str">
            <v>10811272    -    MOUN CLIP CABLE    -    0.087287</v>
          </cell>
          <cell r="F352">
            <v>8.7287000000000003E-2</v>
          </cell>
          <cell r="G352" t="str">
            <v/>
          </cell>
          <cell r="H352">
            <v>8.7287000000000003E-2</v>
          </cell>
        </row>
        <row r="353">
          <cell r="B353">
            <v>10811273</v>
          </cell>
          <cell r="C353" t="str">
            <v>CLIP</v>
          </cell>
          <cell r="D353" t="str">
            <v>10811273    -    CONNECTOR CAP    -    0.098962</v>
          </cell>
          <cell r="F353">
            <v>9.8961999999999994E-2</v>
          </cell>
          <cell r="G353" t="str">
            <v/>
          </cell>
          <cell r="H353">
            <v>9.8961999999999994E-2</v>
          </cell>
        </row>
        <row r="354">
          <cell r="B354">
            <v>10811303</v>
          </cell>
          <cell r="C354" t="str">
            <v>CLIP</v>
          </cell>
          <cell r="D354" t="str">
            <v>10811303    -    CLIP    -    0.284309</v>
          </cell>
          <cell r="F354">
            <v>0.28430899999999998</v>
          </cell>
          <cell r="G354" t="str">
            <v/>
          </cell>
          <cell r="H354">
            <v>0.28430899999999998</v>
          </cell>
        </row>
        <row r="355">
          <cell r="B355">
            <v>10811308</v>
          </cell>
          <cell r="C355" t="str">
            <v>CLIP</v>
          </cell>
          <cell r="D355" t="str">
            <v>10811308    -    MOUN WIRE TIE    -    0.017677</v>
          </cell>
          <cell r="F355">
            <v>1.7676999999999998E-2</v>
          </cell>
          <cell r="G355" t="str">
            <v/>
          </cell>
          <cell r="H355">
            <v>1.7676999999999998E-2</v>
          </cell>
        </row>
        <row r="356">
          <cell r="B356">
            <v>10811309</v>
          </cell>
          <cell r="C356" t="str">
            <v>CLIP</v>
          </cell>
          <cell r="D356" t="str">
            <v>10811309    -    MOUN WIRE TIE STRAP    -    0.016057</v>
          </cell>
          <cell r="F356">
            <v>1.6056999999999998E-2</v>
          </cell>
          <cell r="G356" t="str">
            <v/>
          </cell>
          <cell r="H356">
            <v>1.6056999999999998E-2</v>
          </cell>
        </row>
        <row r="357">
          <cell r="B357">
            <v>10811325</v>
          </cell>
          <cell r="C357" t="str">
            <v>CLIP</v>
          </cell>
          <cell r="D357" t="str">
            <v>10811325    -    CLIP    -    0.164238</v>
          </cell>
          <cell r="F357">
            <v>0.164238</v>
          </cell>
          <cell r="G357" t="str">
            <v/>
          </cell>
          <cell r="H357">
            <v>0.164238</v>
          </cell>
        </row>
        <row r="358">
          <cell r="B358">
            <v>10811409</v>
          </cell>
          <cell r="C358" t="str">
            <v>CLIP</v>
          </cell>
          <cell r="D358" t="str">
            <v>10811409    -    T50ROSEC5B-BK    -    0.111876</v>
          </cell>
          <cell r="F358">
            <v>0.111876</v>
          </cell>
          <cell r="G358" t="str">
            <v/>
          </cell>
          <cell r="H358">
            <v>0.111876</v>
          </cell>
        </row>
        <row r="359">
          <cell r="B359">
            <v>10811444</v>
          </cell>
          <cell r="C359" t="str">
            <v>CLIP</v>
          </cell>
          <cell r="D359" t="str">
            <v>10811444    -    HALTER SW    -    0.077197</v>
          </cell>
          <cell r="F359">
            <v>7.7197000000000002E-2</v>
          </cell>
          <cell r="G359" t="str">
            <v/>
          </cell>
          <cell r="H359">
            <v>7.7197000000000002E-2</v>
          </cell>
        </row>
        <row r="360">
          <cell r="B360">
            <v>10811445</v>
          </cell>
          <cell r="C360" t="str">
            <v>CLIP</v>
          </cell>
          <cell r="D360" t="str">
            <v>10811445    -    HALTER TR    -    0.089624</v>
          </cell>
          <cell r="F360">
            <v>8.9623999999999995E-2</v>
          </cell>
          <cell r="G360" t="str">
            <v/>
          </cell>
          <cell r="H360">
            <v>8.9623999999999995E-2</v>
          </cell>
        </row>
        <row r="361">
          <cell r="B361">
            <v>10811454</v>
          </cell>
          <cell r="C361" t="str">
            <v>CLIP</v>
          </cell>
          <cell r="D361" t="str">
            <v>10811454    -    BODY CLIP    -    0.130441</v>
          </cell>
          <cell r="F361">
            <v>0.130441</v>
          </cell>
          <cell r="G361" t="str">
            <v/>
          </cell>
          <cell r="H361">
            <v>0.130441</v>
          </cell>
        </row>
        <row r="362">
          <cell r="B362">
            <v>10811465</v>
          </cell>
          <cell r="C362" t="str">
            <v>CLIP</v>
          </cell>
          <cell r="D362" t="str">
            <v>10811465    -    T50RFT10-BK    -    0.106734</v>
          </cell>
          <cell r="F362">
            <v>0.106734</v>
          </cell>
          <cell r="G362" t="str">
            <v/>
          </cell>
          <cell r="H362">
            <v>0.106734</v>
          </cell>
        </row>
        <row r="363">
          <cell r="B363">
            <v>10811500</v>
          </cell>
          <cell r="C363" t="str">
            <v>CLIP</v>
          </cell>
          <cell r="D363" t="str">
            <v>10811500    -    RETAINER    -    0.065415</v>
          </cell>
          <cell r="F363">
            <v>6.5415000000000001E-2</v>
          </cell>
          <cell r="G363" t="str">
            <v/>
          </cell>
          <cell r="H363">
            <v>6.5415000000000001E-2</v>
          </cell>
        </row>
        <row r="364">
          <cell r="B364">
            <v>10811501</v>
          </cell>
          <cell r="C364" t="str">
            <v>CLIP</v>
          </cell>
          <cell r="D364" t="str">
            <v>10811501    -    RETAINER    -    0.022457</v>
          </cell>
          <cell r="F364">
            <v>2.2457000000000001E-2</v>
          </cell>
          <cell r="G364" t="str">
            <v/>
          </cell>
          <cell r="H364">
            <v>2.2457000000000001E-2</v>
          </cell>
        </row>
        <row r="365">
          <cell r="B365">
            <v>10811568</v>
          </cell>
          <cell r="C365" t="str">
            <v>CLIP</v>
          </cell>
          <cell r="D365" t="str">
            <v>10811568    -    MISC SUBHARNESS BLK    -    0.347459</v>
          </cell>
          <cell r="F365">
            <v>0.34745900000000002</v>
          </cell>
          <cell r="G365" t="str">
            <v/>
          </cell>
          <cell r="H365">
            <v>0.34745900000000002</v>
          </cell>
        </row>
        <row r="366">
          <cell r="B366">
            <v>10811592</v>
          </cell>
          <cell r="C366" t="str">
            <v>CLIP</v>
          </cell>
          <cell r="D366" t="str">
            <v>10811592    -    CLIP    -    0.060883</v>
          </cell>
          <cell r="F366">
            <v>6.0883E-2</v>
          </cell>
          <cell r="G366" t="str">
            <v/>
          </cell>
          <cell r="H366">
            <v>6.0883E-2</v>
          </cell>
        </row>
        <row r="367">
          <cell r="B367">
            <v>10811623</v>
          </cell>
          <cell r="C367" t="str">
            <v>CLIP</v>
          </cell>
          <cell r="D367" t="str">
            <v>10811623    -    BRIDE PLASTIQUE D16 A19    -    0.284039</v>
          </cell>
          <cell r="F367">
            <v>0.28403899999999999</v>
          </cell>
          <cell r="G367" t="str">
            <v/>
          </cell>
          <cell r="H367">
            <v>0.28403899999999999</v>
          </cell>
        </row>
        <row r="368">
          <cell r="B368">
            <v>10811667</v>
          </cell>
          <cell r="C368" t="str">
            <v>CLIP</v>
          </cell>
          <cell r="D368" t="str">
            <v>10811667    -    CABLE CHANNEL    -    0.353727</v>
          </cell>
          <cell r="F368">
            <v>0.35372700000000001</v>
          </cell>
          <cell r="G368" t="str">
            <v/>
          </cell>
          <cell r="H368">
            <v>0.35372700000000001</v>
          </cell>
        </row>
        <row r="369">
          <cell r="B369">
            <v>10811668</v>
          </cell>
          <cell r="C369" t="str">
            <v>CLIP</v>
          </cell>
          <cell r="D369" t="str">
            <v>10811668    -    CZP 0220    -    0.05448</v>
          </cell>
          <cell r="F369">
            <v>5.4480000000000001E-2</v>
          </cell>
          <cell r="G369" t="str">
            <v/>
          </cell>
          <cell r="H369">
            <v>5.4480000000000001E-2</v>
          </cell>
        </row>
        <row r="370">
          <cell r="B370">
            <v>10811694</v>
          </cell>
          <cell r="C370" t="str">
            <v>CLIP</v>
          </cell>
          <cell r="D370" t="str">
            <v>10811694    -    LFC165-BK    -    0.03648</v>
          </cell>
          <cell r="F370">
            <v>3.6479999999999999E-2</v>
          </cell>
          <cell r="G370" t="str">
            <v/>
          </cell>
          <cell r="H370">
            <v>3.6479999999999999E-2</v>
          </cell>
        </row>
        <row r="371">
          <cell r="B371">
            <v>10811697</v>
          </cell>
          <cell r="C371" t="str">
            <v>CLIP</v>
          </cell>
          <cell r="D371" t="str">
            <v>10811697    -    PLASTIC    -    0.134212</v>
          </cell>
          <cell r="F371">
            <v>0.134212</v>
          </cell>
          <cell r="G371" t="str">
            <v/>
          </cell>
          <cell r="H371">
            <v>0.134212</v>
          </cell>
        </row>
        <row r="372">
          <cell r="B372">
            <v>10811698</v>
          </cell>
          <cell r="C372" t="str">
            <v>CLIP</v>
          </cell>
          <cell r="D372" t="str">
            <v>10811698    -    CLIP    -    0.304189</v>
          </cell>
          <cell r="F372">
            <v>0.30418899999999999</v>
          </cell>
          <cell r="G372" t="str">
            <v/>
          </cell>
          <cell r="H372">
            <v>0.30418899999999999</v>
          </cell>
        </row>
        <row r="373">
          <cell r="B373">
            <v>10811776</v>
          </cell>
          <cell r="C373" t="str">
            <v>CLIP</v>
          </cell>
          <cell r="D373" t="str">
            <v>10811776    -    CLIP    -    0.201459</v>
          </cell>
          <cell r="F373">
            <v>0.201459</v>
          </cell>
          <cell r="G373" t="str">
            <v/>
          </cell>
          <cell r="H373">
            <v>0.201459</v>
          </cell>
        </row>
        <row r="374">
          <cell r="B374">
            <v>10811817</v>
          </cell>
          <cell r="C374" t="str">
            <v>CLIP</v>
          </cell>
          <cell r="D374" t="str">
            <v>10811817    -    VW-7L0 971 446 A/839 C-SET    -    2.088262</v>
          </cell>
          <cell r="F374">
            <v>2.0882619999999998</v>
          </cell>
          <cell r="G374" t="str">
            <v/>
          </cell>
          <cell r="H374">
            <v>2.0882619999999998</v>
          </cell>
        </row>
        <row r="375">
          <cell r="B375">
            <v>10811818</v>
          </cell>
          <cell r="C375" t="str">
            <v>CLIP</v>
          </cell>
          <cell r="D375" t="str">
            <v>10811818    -    VW-7L0 971 445 A/839 B-SET    -    2.088262</v>
          </cell>
          <cell r="F375">
            <v>2.0882619999999998</v>
          </cell>
          <cell r="G375" t="str">
            <v/>
          </cell>
          <cell r="H375">
            <v>2.0882619999999998</v>
          </cell>
        </row>
        <row r="376">
          <cell r="B376">
            <v>10811832</v>
          </cell>
          <cell r="C376" t="str">
            <v>CLIP</v>
          </cell>
          <cell r="D376" t="str">
            <v>10811832    -    T40LFT6-BK    -    0.066983</v>
          </cell>
          <cell r="F376">
            <v>6.6983000000000001E-2</v>
          </cell>
          <cell r="G376" t="str">
            <v/>
          </cell>
          <cell r="H376">
            <v>6.6983000000000001E-2</v>
          </cell>
        </row>
        <row r="377">
          <cell r="B377">
            <v>10811959</v>
          </cell>
          <cell r="C377" t="str">
            <v>CLIP</v>
          </cell>
          <cell r="D377" t="str">
            <v>10811959    -    T50ROSSFT6,5D16-2ZD-KURZ    -    0.111322</v>
          </cell>
          <cell r="F377">
            <v>0.111322</v>
          </cell>
          <cell r="G377" t="str">
            <v/>
          </cell>
          <cell r="H377">
            <v>0.111322</v>
          </cell>
        </row>
        <row r="378">
          <cell r="B378">
            <v>10811974</v>
          </cell>
          <cell r="C378" t="str">
            <v>CLIP</v>
          </cell>
          <cell r="D378" t="str">
            <v>10811974    -    FHRUNG LENKSULE    -    0.636842</v>
          </cell>
          <cell r="F378">
            <v>0.63684200000000002</v>
          </cell>
          <cell r="G378" t="str">
            <v/>
          </cell>
          <cell r="H378">
            <v>0.63684200000000002</v>
          </cell>
        </row>
        <row r="379">
          <cell r="B379">
            <v>10811984</v>
          </cell>
          <cell r="C379" t="str">
            <v>CLIP</v>
          </cell>
          <cell r="D379" t="str">
            <v>10811984    -    LOCAT AGRAFE 6.2 X 12.2    -    0.043455</v>
          </cell>
          <cell r="F379">
            <v>4.3455000000000001E-2</v>
          </cell>
          <cell r="G379" t="str">
            <v/>
          </cell>
          <cell r="H379">
            <v>4.3455000000000001E-2</v>
          </cell>
        </row>
        <row r="380">
          <cell r="B380">
            <v>10812003</v>
          </cell>
          <cell r="C380" t="str">
            <v>CLIP</v>
          </cell>
          <cell r="D380" t="str">
            <v>10812003    -    CLIP    -    0.0229</v>
          </cell>
          <cell r="F380">
            <v>2.29E-2</v>
          </cell>
          <cell r="G380" t="str">
            <v/>
          </cell>
          <cell r="H380">
            <v>2.29E-2</v>
          </cell>
        </row>
        <row r="381">
          <cell r="B381">
            <v>10812031</v>
          </cell>
          <cell r="C381" t="str">
            <v>CLIP</v>
          </cell>
          <cell r="D381" t="str">
            <v>10812031    -    AGRAFE MAINTIEN DE FAISCEAUX    -    0.099474</v>
          </cell>
          <cell r="F381">
            <v>9.9474000000000007E-2</v>
          </cell>
          <cell r="G381" t="str">
            <v/>
          </cell>
          <cell r="H381">
            <v>9.9474000000000007E-2</v>
          </cell>
        </row>
        <row r="382">
          <cell r="B382">
            <v>10812043</v>
          </cell>
          <cell r="C382" t="str">
            <v>CLIP</v>
          </cell>
          <cell r="D382" t="str">
            <v>10812043    -    MOUNT CLIP    -    0.039423</v>
          </cell>
          <cell r="F382">
            <v>3.9423E-2</v>
          </cell>
          <cell r="G382" t="str">
            <v/>
          </cell>
          <cell r="H382">
            <v>3.9423E-2</v>
          </cell>
        </row>
        <row r="383">
          <cell r="B383">
            <v>10812058</v>
          </cell>
          <cell r="C383" t="str">
            <v>CLIP</v>
          </cell>
          <cell r="D383" t="str">
            <v>10812058    -    VW-7L0 971 616    -    1.307795</v>
          </cell>
          <cell r="F383">
            <v>1.307795</v>
          </cell>
          <cell r="G383" t="str">
            <v/>
          </cell>
          <cell r="H383">
            <v>1.307795</v>
          </cell>
        </row>
        <row r="384">
          <cell r="B384">
            <v>10812164</v>
          </cell>
          <cell r="C384" t="str">
            <v>CLIP</v>
          </cell>
          <cell r="D384" t="str">
            <v>10812164    -    HOLDER FOR TUBE AND CONDUIT    -    0.283506</v>
          </cell>
          <cell r="F384">
            <v>0.28350599999999998</v>
          </cell>
          <cell r="G384" t="str">
            <v/>
          </cell>
          <cell r="H384">
            <v>0.28350599999999998</v>
          </cell>
        </row>
        <row r="385">
          <cell r="B385">
            <v>10812222</v>
          </cell>
          <cell r="C385" t="str">
            <v>CLIP</v>
          </cell>
          <cell r="D385" t="str">
            <v>10812222    -    TIE    -    0.10923</v>
          </cell>
          <cell r="F385">
            <v>0.10922999999999999</v>
          </cell>
          <cell r="G385" t="str">
            <v/>
          </cell>
          <cell r="H385">
            <v>0.10922999999999999</v>
          </cell>
        </row>
        <row r="386">
          <cell r="B386">
            <v>10814665</v>
          </cell>
          <cell r="C386" t="str">
            <v>CLIP</v>
          </cell>
          <cell r="D386" t="str">
            <v>10814665    -    SCHELLE    -    0.056573</v>
          </cell>
          <cell r="F386">
            <v>5.6572999999999998E-2</v>
          </cell>
          <cell r="G386" t="str">
            <v/>
          </cell>
          <cell r="H386">
            <v>5.6572999999999998E-2</v>
          </cell>
        </row>
        <row r="387">
          <cell r="B387">
            <v>10814683</v>
          </cell>
          <cell r="C387" t="str">
            <v>CLIP</v>
          </cell>
          <cell r="D387" t="str">
            <v>10814683    -    ZUH 137    -    0.01238</v>
          </cell>
          <cell r="F387">
            <v>1.238E-2</v>
          </cell>
          <cell r="G387" t="str">
            <v/>
          </cell>
          <cell r="H387">
            <v>1.238E-2</v>
          </cell>
        </row>
        <row r="388">
          <cell r="B388">
            <v>10819242</v>
          </cell>
          <cell r="C388" t="str">
            <v>CLIP</v>
          </cell>
          <cell r="D388" t="str">
            <v>10819242    -    CABLE TIE RED    -    0.023222</v>
          </cell>
          <cell r="F388">
            <v>2.3222E-2</v>
          </cell>
          <cell r="G388" t="str">
            <v/>
          </cell>
          <cell r="H388">
            <v>2.3222E-2</v>
          </cell>
        </row>
        <row r="389">
          <cell r="B389">
            <v>10819346</v>
          </cell>
          <cell r="C389" t="str">
            <v>CLIP</v>
          </cell>
          <cell r="D389" t="str">
            <v>10819346    -    CONNECTOR CAP    -    0.089206</v>
          </cell>
          <cell r="F389">
            <v>8.9205999999999994E-2</v>
          </cell>
          <cell r="G389" t="str">
            <v/>
          </cell>
          <cell r="H389">
            <v>8.9205999999999994E-2</v>
          </cell>
        </row>
        <row r="390">
          <cell r="B390">
            <v>10819347</v>
          </cell>
          <cell r="C390" t="str">
            <v>CLIP</v>
          </cell>
          <cell r="D390" t="str">
            <v>10819347    -    10819347    -    0.185048</v>
          </cell>
          <cell r="F390">
            <v>0.18504799999999999</v>
          </cell>
          <cell r="G390" t="str">
            <v/>
          </cell>
          <cell r="H390">
            <v>0.18504799999999999</v>
          </cell>
        </row>
        <row r="391">
          <cell r="B391">
            <v>10819350</v>
          </cell>
          <cell r="C391" t="str">
            <v>CLIP</v>
          </cell>
          <cell r="D391" t="str">
            <v>10819350    -    HALTER TR    -    0.091689</v>
          </cell>
          <cell r="F391">
            <v>9.1689000000000007E-2</v>
          </cell>
          <cell r="G391" t="str">
            <v/>
          </cell>
          <cell r="H391">
            <v>9.1689000000000007E-2</v>
          </cell>
        </row>
        <row r="392">
          <cell r="B392">
            <v>10819522</v>
          </cell>
          <cell r="C392" t="str">
            <v>CLIP</v>
          </cell>
          <cell r="D392" t="str">
            <v>10819522    -    ZUH 287    -    0.166906</v>
          </cell>
          <cell r="F392">
            <v>0.166906</v>
          </cell>
          <cell r="G392" t="str">
            <v/>
          </cell>
          <cell r="H392">
            <v>0.166906</v>
          </cell>
        </row>
        <row r="393">
          <cell r="B393">
            <v>10819531</v>
          </cell>
          <cell r="C393" t="str">
            <v>CLIP</v>
          </cell>
          <cell r="D393" t="str">
            <v>10819531    -    CLIP    -    1.782498</v>
          </cell>
          <cell r="F393">
            <v>1.7824979999999999</v>
          </cell>
          <cell r="G393" t="str">
            <v/>
          </cell>
          <cell r="H393">
            <v>1.7824979999999999</v>
          </cell>
        </row>
        <row r="394">
          <cell r="B394">
            <v>10819569</v>
          </cell>
          <cell r="C394" t="str">
            <v>CLIP</v>
          </cell>
          <cell r="D394" t="str">
            <v>10819569    -    HALTER    -    0.154771</v>
          </cell>
          <cell r="F394">
            <v>0.15477099999999999</v>
          </cell>
          <cell r="G394" t="str">
            <v/>
          </cell>
          <cell r="H394">
            <v>0.15477099999999999</v>
          </cell>
        </row>
        <row r="395">
          <cell r="B395">
            <v>10819591</v>
          </cell>
          <cell r="C395" t="str">
            <v>CLIP</v>
          </cell>
          <cell r="D395" t="str">
            <v>10819591    -    CONNECTOR CLIP EC6    -    0.184997</v>
          </cell>
          <cell r="F395">
            <v>0.18499699999999999</v>
          </cell>
          <cell r="G395" t="str">
            <v/>
          </cell>
          <cell r="H395">
            <v>0.18499699999999999</v>
          </cell>
        </row>
        <row r="396">
          <cell r="B396">
            <v>10819592</v>
          </cell>
          <cell r="C396" t="str">
            <v>CLIP</v>
          </cell>
          <cell r="D396" t="str">
            <v>10819592    -    WSFT6 CLIP    -    0.14654</v>
          </cell>
          <cell r="F396">
            <v>0.14654</v>
          </cell>
          <cell r="G396" t="str">
            <v/>
          </cell>
          <cell r="H396">
            <v>0.14654</v>
          </cell>
        </row>
        <row r="397">
          <cell r="B397">
            <v>10819606</v>
          </cell>
          <cell r="C397" t="str">
            <v>CLIP</v>
          </cell>
          <cell r="D397" t="str">
            <v>10819606    -    RETAINER CLIP    -    0.173176</v>
          </cell>
          <cell r="F397">
            <v>0.173176</v>
          </cell>
          <cell r="G397" t="str">
            <v/>
          </cell>
          <cell r="H397">
            <v>0.173176</v>
          </cell>
        </row>
        <row r="398">
          <cell r="B398">
            <v>10819609</v>
          </cell>
          <cell r="C398" t="str">
            <v>CLIP</v>
          </cell>
          <cell r="D398" t="str">
            <v>10819609    -    RETAINER CLIP    -    0.208091</v>
          </cell>
          <cell r="F398">
            <v>0.208091</v>
          </cell>
          <cell r="G398" t="str">
            <v/>
          </cell>
          <cell r="H398">
            <v>0.208091</v>
          </cell>
        </row>
        <row r="399">
          <cell r="B399">
            <v>10819673</v>
          </cell>
          <cell r="C399" t="str">
            <v>CLIP</v>
          </cell>
          <cell r="D399" t="str">
            <v>10819673    -    PLT1M-M76    -    0.29003</v>
          </cell>
          <cell r="F399">
            <v>0.29003000000000001</v>
          </cell>
          <cell r="G399" t="str">
            <v/>
          </cell>
          <cell r="H399">
            <v>0.29003000000000001</v>
          </cell>
        </row>
        <row r="400">
          <cell r="B400">
            <v>10819805</v>
          </cell>
          <cell r="C400" t="str">
            <v>CLIP</v>
          </cell>
          <cell r="D400" t="str">
            <v>10819805    -    STRIP MANOVRA LUNGO    -    0.08366</v>
          </cell>
          <cell r="F400">
            <v>8.3659999999999998E-2</v>
          </cell>
          <cell r="G400" t="str">
            <v/>
          </cell>
          <cell r="H400">
            <v>8.3659999999999998E-2</v>
          </cell>
        </row>
        <row r="401">
          <cell r="B401">
            <v>10819851</v>
          </cell>
          <cell r="C401" t="str">
            <v>CLIP</v>
          </cell>
          <cell r="D401" t="str">
            <v>10819851    -    CLIP    -    0.019134</v>
          </cell>
          <cell r="F401">
            <v>1.9134000000000002E-2</v>
          </cell>
          <cell r="G401" t="str">
            <v/>
          </cell>
          <cell r="H401">
            <v>1.9134000000000002E-2</v>
          </cell>
        </row>
        <row r="402">
          <cell r="B402">
            <v>10819969</v>
          </cell>
          <cell r="C402" t="str">
            <v>CLIP</v>
          </cell>
          <cell r="D402" t="str">
            <v>10819969    -    CBTO50R-HS-BK    -    0.184099</v>
          </cell>
          <cell r="F402">
            <v>0.18409900000000001</v>
          </cell>
          <cell r="G402" t="str">
            <v/>
          </cell>
          <cell r="H402">
            <v>0.18409900000000001</v>
          </cell>
        </row>
        <row r="403">
          <cell r="B403">
            <v>10820011</v>
          </cell>
          <cell r="C403" t="str">
            <v>CLIP</v>
          </cell>
          <cell r="D403" t="str">
            <v>10820011    -    CLIP    -    0.09792</v>
          </cell>
          <cell r="F403">
            <v>9.7919999999999993E-2</v>
          </cell>
          <cell r="G403" t="str">
            <v/>
          </cell>
          <cell r="H403">
            <v>9.7919999999999993E-2</v>
          </cell>
        </row>
        <row r="404">
          <cell r="B404">
            <v>10820013</v>
          </cell>
          <cell r="C404" t="str">
            <v>CLIP</v>
          </cell>
          <cell r="D404" t="str">
            <v>10820013    -    MOLLETA    -    0.038534</v>
          </cell>
          <cell r="F404">
            <v>3.8533999999999999E-2</v>
          </cell>
          <cell r="G404" t="str">
            <v/>
          </cell>
          <cell r="H404">
            <v>3.8533999999999999E-2</v>
          </cell>
        </row>
        <row r="405">
          <cell r="B405">
            <v>10820014</v>
          </cell>
          <cell r="C405" t="str">
            <v>CLIP</v>
          </cell>
          <cell r="D405" t="str">
            <v>10820014    -    MOLLETTA    -    0.058586</v>
          </cell>
          <cell r="F405">
            <v>5.8585999999999999E-2</v>
          </cell>
          <cell r="G405" t="str">
            <v/>
          </cell>
          <cell r="H405">
            <v>5.8585999999999999E-2</v>
          </cell>
        </row>
        <row r="406">
          <cell r="B406">
            <v>10820028</v>
          </cell>
          <cell r="C406" t="str">
            <v>CLIP</v>
          </cell>
          <cell r="D406" t="str">
            <v>10820028    -    T50SOSWSP5E-BK    -    0.046418</v>
          </cell>
          <cell r="F406">
            <v>4.6418000000000001E-2</v>
          </cell>
          <cell r="G406" t="str">
            <v/>
          </cell>
          <cell r="H406">
            <v>4.6418000000000001E-2</v>
          </cell>
        </row>
        <row r="407">
          <cell r="B407">
            <v>10820055</v>
          </cell>
          <cell r="C407" t="str">
            <v>CLIP</v>
          </cell>
          <cell r="D407" t="str">
            <v>10820055    -    VW-7L6 971 816    -    0.065993</v>
          </cell>
          <cell r="F407">
            <v>6.5992999999999996E-2</v>
          </cell>
          <cell r="G407" t="str">
            <v/>
          </cell>
          <cell r="H407">
            <v>6.5992999999999996E-2</v>
          </cell>
        </row>
        <row r="408">
          <cell r="B408">
            <v>10820056</v>
          </cell>
          <cell r="C408" t="str">
            <v>CLIP</v>
          </cell>
          <cell r="D408" t="str">
            <v>10820056    -    VW-7L6 971 880    -    0.054664</v>
          </cell>
          <cell r="F408">
            <v>5.4663999999999997E-2</v>
          </cell>
          <cell r="G408" t="str">
            <v/>
          </cell>
          <cell r="H408">
            <v>5.4663999999999997E-2</v>
          </cell>
        </row>
        <row r="409">
          <cell r="B409">
            <v>10820089</v>
          </cell>
          <cell r="C409" t="str">
            <v>CLIP</v>
          </cell>
          <cell r="D409" t="str">
            <v>10820089    -    LOCK RETAINER 40 YEL    -    0.143167</v>
          </cell>
          <cell r="F409">
            <v>0.14316699999999999</v>
          </cell>
          <cell r="G409" t="str">
            <v/>
          </cell>
          <cell r="H409">
            <v>0.14316699999999999</v>
          </cell>
        </row>
        <row r="410">
          <cell r="B410">
            <v>10820095</v>
          </cell>
          <cell r="C410" t="str">
            <v>CLIP</v>
          </cell>
          <cell r="D410" t="str">
            <v>10820095    -    T30LL-HS-BK    -    0.030447</v>
          </cell>
          <cell r="F410">
            <v>3.0446999999999998E-2</v>
          </cell>
          <cell r="G410" t="str">
            <v/>
          </cell>
          <cell r="H410">
            <v>3.0446999999999998E-2</v>
          </cell>
        </row>
        <row r="411">
          <cell r="B411">
            <v>10820211</v>
          </cell>
          <cell r="C411" t="str">
            <v>CLIP</v>
          </cell>
          <cell r="D411" t="str">
            <v>10820211    -    T50RDHEC2,5-BK-SET    -    0.122252</v>
          </cell>
          <cell r="F411">
            <v>0.122252</v>
          </cell>
          <cell r="G411" t="str">
            <v/>
          </cell>
          <cell r="H411">
            <v>0.122252</v>
          </cell>
        </row>
        <row r="412">
          <cell r="B412">
            <v>10820212</v>
          </cell>
          <cell r="C412" t="str">
            <v>CLIP</v>
          </cell>
          <cell r="D412" t="str">
            <v>10820212    -    T50RFT6LG-BK-SET    -    0.051548</v>
          </cell>
          <cell r="F412">
            <v>5.1547999999999997E-2</v>
          </cell>
          <cell r="G412" t="str">
            <v/>
          </cell>
          <cell r="H412">
            <v>5.1547999999999997E-2</v>
          </cell>
        </row>
        <row r="413">
          <cell r="B413">
            <v>10820299</v>
          </cell>
          <cell r="C413" t="str">
            <v>CLIP</v>
          </cell>
          <cell r="D413" t="str">
            <v>10820299    -    LOCK TPA 8 NAT    -    0.052577</v>
          </cell>
          <cell r="F413">
            <v>5.2576999999999999E-2</v>
          </cell>
          <cell r="G413" t="str">
            <v/>
          </cell>
          <cell r="H413">
            <v>5.2576999999999999E-2</v>
          </cell>
        </row>
        <row r="414">
          <cell r="B414">
            <v>10820300</v>
          </cell>
          <cell r="C414" t="str">
            <v>CLIP</v>
          </cell>
          <cell r="D414" t="str">
            <v>10820300    -    LOCK TPA 10 NAT    -    0.052577</v>
          </cell>
          <cell r="F414">
            <v>5.2576999999999999E-2</v>
          </cell>
          <cell r="G414" t="str">
            <v/>
          </cell>
          <cell r="H414">
            <v>5.2576999999999999E-2</v>
          </cell>
        </row>
        <row r="415">
          <cell r="B415">
            <v>10820358</v>
          </cell>
          <cell r="C415" t="str">
            <v>CLIP</v>
          </cell>
          <cell r="D415" t="str">
            <v>10820358    -    MOLETTA 7X7 CABLE STRIP    -    0.026488</v>
          </cell>
          <cell r="F415">
            <v>2.6488000000000001E-2</v>
          </cell>
          <cell r="G415" t="str">
            <v/>
          </cell>
          <cell r="H415">
            <v>2.6488000000000001E-2</v>
          </cell>
        </row>
        <row r="416">
          <cell r="B416">
            <v>10820384</v>
          </cell>
          <cell r="C416" t="str">
            <v>CLIP</v>
          </cell>
          <cell r="D416" t="str">
            <v>10820384    -    TAPE-ON-CLIP    -    0.074857</v>
          </cell>
          <cell r="F416">
            <v>7.4857000000000007E-2</v>
          </cell>
          <cell r="G416" t="str">
            <v/>
          </cell>
          <cell r="H416">
            <v>7.4857000000000007E-2</v>
          </cell>
        </row>
        <row r="417">
          <cell r="B417">
            <v>10820391</v>
          </cell>
          <cell r="C417" t="str">
            <v>CLIP</v>
          </cell>
          <cell r="D417" t="str">
            <v>10820391    -    WRAP CLIP    -    0.202797</v>
          </cell>
          <cell r="F417">
            <v>0.20279700000000001</v>
          </cell>
          <cell r="G417" t="str">
            <v/>
          </cell>
          <cell r="H417">
            <v>0.20279700000000001</v>
          </cell>
        </row>
        <row r="418">
          <cell r="B418">
            <v>10820392</v>
          </cell>
          <cell r="C418" t="str">
            <v>CLIP</v>
          </cell>
          <cell r="D418" t="str">
            <v>10820392    -    CLIP    -    0.051374</v>
          </cell>
          <cell r="F418">
            <v>5.1374000000000003E-2</v>
          </cell>
          <cell r="G418" t="str">
            <v/>
          </cell>
          <cell r="H418">
            <v>5.1374000000000003E-2</v>
          </cell>
        </row>
        <row r="419">
          <cell r="B419">
            <v>10820393</v>
          </cell>
          <cell r="C419" t="str">
            <v>CLIP</v>
          </cell>
          <cell r="D419" t="str">
            <v>10820393    -    WRAP CLIP    -    0.060954</v>
          </cell>
          <cell r="F419">
            <v>6.0954000000000001E-2</v>
          </cell>
          <cell r="G419" t="str">
            <v/>
          </cell>
          <cell r="H419">
            <v>6.0954000000000001E-2</v>
          </cell>
        </row>
        <row r="420">
          <cell r="B420">
            <v>10820395</v>
          </cell>
          <cell r="C420" t="str">
            <v>CLIP</v>
          </cell>
          <cell r="D420" t="str">
            <v>10820395    -    WRAP CLIP    -    0.022841</v>
          </cell>
          <cell r="F420">
            <v>2.2841E-2</v>
          </cell>
          <cell r="G420" t="str">
            <v/>
          </cell>
          <cell r="H420">
            <v>2.2841E-2</v>
          </cell>
        </row>
        <row r="421">
          <cell r="B421">
            <v>10820396</v>
          </cell>
          <cell r="C421" t="str">
            <v>CLIP</v>
          </cell>
          <cell r="D421" t="str">
            <v>10820396    -    CLIP    -    0.033402</v>
          </cell>
          <cell r="F421">
            <v>3.3402000000000001E-2</v>
          </cell>
          <cell r="G421" t="str">
            <v/>
          </cell>
          <cell r="H421">
            <v>3.3402000000000001E-2</v>
          </cell>
        </row>
        <row r="422">
          <cell r="B422">
            <v>10820397</v>
          </cell>
          <cell r="C422" t="str">
            <v>CLIP</v>
          </cell>
          <cell r="D422" t="str">
            <v>10820397    -    CHANNEL    -    0.55758</v>
          </cell>
          <cell r="F422">
            <v>0.55757999999999996</v>
          </cell>
          <cell r="G422" t="str">
            <v/>
          </cell>
          <cell r="H422">
            <v>0.55757999999999996</v>
          </cell>
        </row>
        <row r="423">
          <cell r="B423">
            <v>10820398</v>
          </cell>
          <cell r="C423" t="str">
            <v>CLIP</v>
          </cell>
          <cell r="D423" t="str">
            <v>10820398    -    TUCKER CLIP    -    0.029245</v>
          </cell>
          <cell r="F423">
            <v>2.9245E-2</v>
          </cell>
          <cell r="G423" t="str">
            <v/>
          </cell>
          <cell r="H423">
            <v>2.9245E-2</v>
          </cell>
        </row>
        <row r="424">
          <cell r="B424">
            <v>10820420</v>
          </cell>
          <cell r="C424" t="str">
            <v>CLIP</v>
          </cell>
          <cell r="D424" t="str">
            <v>10820420    -    BRIDE ENRUBANNE PUIT    -    0.018014</v>
          </cell>
          <cell r="F424">
            <v>1.8013999999999999E-2</v>
          </cell>
          <cell r="G424" t="str">
            <v/>
          </cell>
          <cell r="H424">
            <v>1.8013999999999999E-2</v>
          </cell>
        </row>
        <row r="425">
          <cell r="B425">
            <v>10820429</v>
          </cell>
          <cell r="C425" t="str">
            <v>CLIP</v>
          </cell>
          <cell r="D425" t="str">
            <v>10820429    -    TAPE-ON-CLIP    -    0.078209</v>
          </cell>
          <cell r="F425">
            <v>7.8209000000000001E-2</v>
          </cell>
          <cell r="G425" t="str">
            <v/>
          </cell>
          <cell r="H425">
            <v>7.8209000000000001E-2</v>
          </cell>
        </row>
        <row r="426">
          <cell r="B426">
            <v>10820439</v>
          </cell>
          <cell r="C426" t="str">
            <v>CLIP</v>
          </cell>
          <cell r="D426" t="str">
            <v>10820439    -    CABLE TIE    -    0.15</v>
          </cell>
          <cell r="F426">
            <v>0.15</v>
          </cell>
          <cell r="G426" t="str">
            <v/>
          </cell>
          <cell r="H426">
            <v>0.15</v>
          </cell>
        </row>
        <row r="427">
          <cell r="B427">
            <v>10820459</v>
          </cell>
          <cell r="C427" t="str">
            <v>CLIP</v>
          </cell>
          <cell r="D427" t="str">
            <v>10820459    -    WRAP CLIP    -    0.026043</v>
          </cell>
          <cell r="F427">
            <v>2.6043E-2</v>
          </cell>
          <cell r="G427" t="str">
            <v/>
          </cell>
          <cell r="H427">
            <v>2.6043E-2</v>
          </cell>
        </row>
        <row r="428">
          <cell r="B428">
            <v>10820588</v>
          </cell>
          <cell r="C428" t="str">
            <v>CLIP</v>
          </cell>
          <cell r="D428" t="str">
            <v>10820588    -    MOLLETA    -    0.114695</v>
          </cell>
          <cell r="F428">
            <v>0.11469500000000001</v>
          </cell>
          <cell r="G428" t="str">
            <v/>
          </cell>
          <cell r="H428">
            <v>0.11469500000000001</v>
          </cell>
        </row>
        <row r="429">
          <cell r="B429">
            <v>10820803</v>
          </cell>
          <cell r="C429" t="str">
            <v>CLIP</v>
          </cell>
          <cell r="D429" t="str">
            <v>10820803    -    RETAINER    -    0.066658</v>
          </cell>
          <cell r="F429">
            <v>6.6657999999999995E-2</v>
          </cell>
          <cell r="G429" t="str">
            <v/>
          </cell>
          <cell r="H429">
            <v>6.6657999999999995E-2</v>
          </cell>
        </row>
        <row r="430">
          <cell r="B430">
            <v>10820821</v>
          </cell>
          <cell r="C430" t="str">
            <v>CLIP</v>
          </cell>
          <cell r="D430" t="str">
            <v>10820821    -    CLIP    -    0.013665</v>
          </cell>
          <cell r="F430">
            <v>1.3665E-2</v>
          </cell>
          <cell r="G430" t="str">
            <v/>
          </cell>
          <cell r="H430">
            <v>1.3665E-2</v>
          </cell>
        </row>
        <row r="431">
          <cell r="B431">
            <v>10846251</v>
          </cell>
          <cell r="C431" t="str">
            <v>CLIP</v>
          </cell>
          <cell r="D431" t="str">
            <v>10846251    -    176    -    0.497386</v>
          </cell>
          <cell r="F431">
            <v>0.49738599999999999</v>
          </cell>
          <cell r="G431" t="str">
            <v/>
          </cell>
          <cell r="H431">
            <v>0.49738599999999999</v>
          </cell>
        </row>
        <row r="432">
          <cell r="B432">
            <v>10846290</v>
          </cell>
          <cell r="C432" t="str">
            <v>CLIP</v>
          </cell>
          <cell r="D432" t="str">
            <v>10846290    -    BODY CLIP    -    0.110539</v>
          </cell>
          <cell r="F432">
            <v>0.110539</v>
          </cell>
          <cell r="G432" t="str">
            <v/>
          </cell>
          <cell r="H432">
            <v>0.110539</v>
          </cell>
        </row>
        <row r="433">
          <cell r="B433">
            <v>10846302</v>
          </cell>
          <cell r="C433" t="str">
            <v>CLIP</v>
          </cell>
          <cell r="D433" t="str">
            <v>10846302    -    BODY CLIP    -    0.043336</v>
          </cell>
          <cell r="F433">
            <v>4.3336E-2</v>
          </cell>
          <cell r="G433" t="str">
            <v/>
          </cell>
          <cell r="H433">
            <v>4.3336E-2</v>
          </cell>
        </row>
        <row r="434">
          <cell r="B434">
            <v>10846444</v>
          </cell>
          <cell r="C434" t="str">
            <v>CLIP</v>
          </cell>
          <cell r="D434" t="str">
            <v>10846444    -    10846444    -    0.104506</v>
          </cell>
          <cell r="F434">
            <v>0.104506</v>
          </cell>
          <cell r="G434" t="str">
            <v/>
          </cell>
          <cell r="H434">
            <v>0.104506</v>
          </cell>
        </row>
        <row r="435">
          <cell r="B435">
            <v>10846450</v>
          </cell>
          <cell r="C435" t="str">
            <v>CLIP</v>
          </cell>
          <cell r="D435" t="str">
            <v>10846450    -    HALTER    -    0.090353</v>
          </cell>
          <cell r="F435">
            <v>9.0353000000000003E-2</v>
          </cell>
          <cell r="G435" t="str">
            <v/>
          </cell>
          <cell r="H435">
            <v>9.0353000000000003E-2</v>
          </cell>
        </row>
        <row r="436">
          <cell r="B436">
            <v>10846647</v>
          </cell>
          <cell r="C436" t="str">
            <v>CLIP</v>
          </cell>
          <cell r="D436" t="str">
            <v>10846647    -    MOUN WIRE TIE STRAP    -    0.024153</v>
          </cell>
          <cell r="F436">
            <v>2.4153000000000001E-2</v>
          </cell>
          <cell r="G436" t="str">
            <v/>
          </cell>
          <cell r="H436">
            <v>2.4153000000000001E-2</v>
          </cell>
        </row>
        <row r="437">
          <cell r="B437">
            <v>10846669</v>
          </cell>
          <cell r="C437" t="str">
            <v>CLIP</v>
          </cell>
          <cell r="D437" t="str">
            <v>10846669    -    MOUN WIRE TIE STRAP    -    0.021994</v>
          </cell>
          <cell r="F437">
            <v>2.1994E-2</v>
          </cell>
          <cell r="G437" t="str">
            <v/>
          </cell>
          <cell r="H437">
            <v>2.1994E-2</v>
          </cell>
        </row>
        <row r="438">
          <cell r="B438">
            <v>10846671</v>
          </cell>
          <cell r="C438" t="str">
            <v>CLIP</v>
          </cell>
          <cell r="D438" t="str">
            <v>10846671    -    10846671    -    0.35557</v>
          </cell>
          <cell r="F438">
            <v>0.35557</v>
          </cell>
          <cell r="G438" t="str">
            <v/>
          </cell>
          <cell r="H438">
            <v>0.35557</v>
          </cell>
        </row>
        <row r="439">
          <cell r="B439">
            <v>10846674</v>
          </cell>
          <cell r="C439" t="str">
            <v>CLIP</v>
          </cell>
          <cell r="D439" t="str">
            <v>10846674    -    10846674    -    0.541874</v>
          </cell>
          <cell r="F439">
            <v>0.54187399999999997</v>
          </cell>
          <cell r="G439" t="str">
            <v/>
          </cell>
          <cell r="H439">
            <v>0.54187399999999997</v>
          </cell>
        </row>
        <row r="440">
          <cell r="B440">
            <v>10846682</v>
          </cell>
          <cell r="C440" t="str">
            <v>CLIP</v>
          </cell>
          <cell r="D440" t="str">
            <v>10846682    -    10846682    -    0.295238</v>
          </cell>
          <cell r="F440">
            <v>0.295238</v>
          </cell>
          <cell r="G440" t="str">
            <v/>
          </cell>
          <cell r="H440">
            <v>0.295238</v>
          </cell>
        </row>
        <row r="441">
          <cell r="B441">
            <v>10846770</v>
          </cell>
          <cell r="C441" t="str">
            <v>CLIP</v>
          </cell>
          <cell r="D441" t="str">
            <v>10846770    -    BODY CLIP    -    0.014944</v>
          </cell>
          <cell r="F441">
            <v>1.4944000000000001E-2</v>
          </cell>
          <cell r="G441" t="str">
            <v/>
          </cell>
          <cell r="H441">
            <v>1.4944000000000001E-2</v>
          </cell>
        </row>
        <row r="442">
          <cell r="B442">
            <v>10846771</v>
          </cell>
          <cell r="C442" t="str">
            <v>CLIP</v>
          </cell>
          <cell r="D442" t="str">
            <v>10846771    -    BODY CLIP    -    0.033169</v>
          </cell>
          <cell r="F442">
            <v>3.3168999999999997E-2</v>
          </cell>
          <cell r="G442" t="str">
            <v/>
          </cell>
          <cell r="H442">
            <v>3.3168999999999997E-2</v>
          </cell>
        </row>
        <row r="443">
          <cell r="B443">
            <v>10846966</v>
          </cell>
          <cell r="C443" t="str">
            <v>CLIP</v>
          </cell>
          <cell r="D443" t="str">
            <v>10846966    -    ZUH 304 (=ZUH 3 IN PP MATERIAL)    -    0.026636</v>
          </cell>
          <cell r="F443">
            <v>2.6636E-2</v>
          </cell>
          <cell r="G443" t="str">
            <v/>
          </cell>
          <cell r="H443">
            <v>2.6636E-2</v>
          </cell>
        </row>
        <row r="444">
          <cell r="B444">
            <v>10846982</v>
          </cell>
          <cell r="C444" t="str">
            <v>CLIP</v>
          </cell>
          <cell r="D444" t="str">
            <v>10846982    -    CABLE TIE GREEN    -    0.173338</v>
          </cell>
          <cell r="F444">
            <v>0.17333799999999999</v>
          </cell>
          <cell r="G444" t="str">
            <v/>
          </cell>
          <cell r="H444">
            <v>0.17333799999999999</v>
          </cell>
        </row>
        <row r="445">
          <cell r="B445">
            <v>10847003</v>
          </cell>
          <cell r="C445" t="str">
            <v>CLIP</v>
          </cell>
          <cell r="D445" t="str">
            <v>10847003    -    MOUN CLIP TAPE ON ROSEBUD    -    0.075398</v>
          </cell>
          <cell r="F445">
            <v>7.5398000000000007E-2</v>
          </cell>
          <cell r="G445" t="str">
            <v/>
          </cell>
          <cell r="H445">
            <v>7.5398000000000007E-2</v>
          </cell>
        </row>
        <row r="446">
          <cell r="B446">
            <v>10847006</v>
          </cell>
          <cell r="C446" t="str">
            <v>CLIP</v>
          </cell>
          <cell r="D446" t="str">
            <v>10847006    -    CONNECTOR-EDGE-CLIP-11    -    0.157193</v>
          </cell>
          <cell r="F446">
            <v>0.157193</v>
          </cell>
          <cell r="G446" t="str">
            <v/>
          </cell>
          <cell r="H446">
            <v>0.157193</v>
          </cell>
        </row>
        <row r="447">
          <cell r="B447">
            <v>10847075</v>
          </cell>
          <cell r="C447" t="str">
            <v>CLIP</v>
          </cell>
          <cell r="D447" t="str">
            <v>10847075    -    T50SOSKL-BK    -    0.111592</v>
          </cell>
          <cell r="F447">
            <v>0.111592</v>
          </cell>
          <cell r="G447" t="str">
            <v/>
          </cell>
          <cell r="H447">
            <v>0.111592</v>
          </cell>
        </row>
        <row r="448">
          <cell r="B448">
            <v>10847100</v>
          </cell>
          <cell r="C448" t="str">
            <v>CLIP</v>
          </cell>
          <cell r="D448" t="str">
            <v>10847100    -    CLIP    -    0.127811</v>
          </cell>
          <cell r="F448">
            <v>0.12781100000000001</v>
          </cell>
          <cell r="G448" t="str">
            <v/>
          </cell>
          <cell r="H448">
            <v>0.12781100000000001</v>
          </cell>
        </row>
        <row r="449">
          <cell r="B449">
            <v>10847101</v>
          </cell>
          <cell r="C449" t="str">
            <v>CLIP</v>
          </cell>
          <cell r="D449" t="str">
            <v>10847101    -    CLIP    -    0.859271</v>
          </cell>
          <cell r="F449">
            <v>0.85927100000000001</v>
          </cell>
          <cell r="G449" t="str">
            <v/>
          </cell>
          <cell r="H449">
            <v>0.85927100000000001</v>
          </cell>
        </row>
        <row r="450">
          <cell r="B450">
            <v>10847111</v>
          </cell>
          <cell r="C450" t="str">
            <v>CLIP</v>
          </cell>
          <cell r="D450" t="str">
            <v>10847111    -    CLIP FOR CONN.TK TYPE    -    0.057983</v>
          </cell>
          <cell r="F450">
            <v>5.7983E-2</v>
          </cell>
          <cell r="G450" t="str">
            <v/>
          </cell>
          <cell r="H450">
            <v>5.7983E-2</v>
          </cell>
        </row>
        <row r="451">
          <cell r="B451">
            <v>10847115</v>
          </cell>
          <cell r="C451" t="str">
            <v>CLIP</v>
          </cell>
          <cell r="D451" t="str">
            <v>10847115    -    MOUN CLIP    -    0.012566</v>
          </cell>
          <cell r="F451">
            <v>1.2566000000000001E-2</v>
          </cell>
          <cell r="G451" t="str">
            <v/>
          </cell>
          <cell r="H451">
            <v>1.2566000000000001E-2</v>
          </cell>
        </row>
        <row r="452">
          <cell r="B452">
            <v>10847116</v>
          </cell>
          <cell r="C452" t="str">
            <v>CLIP</v>
          </cell>
          <cell r="D452" t="str">
            <v>10847116    -    CLIP    -    0.058507</v>
          </cell>
          <cell r="F452">
            <v>5.8507000000000003E-2</v>
          </cell>
          <cell r="G452" t="str">
            <v/>
          </cell>
          <cell r="H452">
            <v>5.8507000000000003E-2</v>
          </cell>
        </row>
        <row r="453">
          <cell r="B453">
            <v>10847117</v>
          </cell>
          <cell r="C453" t="str">
            <v>CLIP</v>
          </cell>
          <cell r="D453" t="str">
            <v>10847117    -    CLIP    -    0.119155</v>
          </cell>
          <cell r="F453">
            <v>0.119155</v>
          </cell>
          <cell r="G453" t="str">
            <v/>
          </cell>
          <cell r="H453">
            <v>0.119155</v>
          </cell>
        </row>
        <row r="454">
          <cell r="B454">
            <v>10847123</v>
          </cell>
          <cell r="C454" t="str">
            <v>CLIP</v>
          </cell>
          <cell r="D454" t="str">
            <v>10847123    -    CLIP    -    0.49013</v>
          </cell>
          <cell r="F454">
            <v>0.49013000000000001</v>
          </cell>
          <cell r="G454" t="str">
            <v/>
          </cell>
          <cell r="H454">
            <v>0.49013000000000001</v>
          </cell>
        </row>
        <row r="455">
          <cell r="B455">
            <v>10847170</v>
          </cell>
          <cell r="C455" t="str">
            <v>CLIP</v>
          </cell>
          <cell r="D455" t="str">
            <v>10847170    -    SPACER    -    0.04488</v>
          </cell>
          <cell r="F455">
            <v>4.4880000000000003E-2</v>
          </cell>
          <cell r="G455" t="str">
            <v/>
          </cell>
          <cell r="H455">
            <v>4.4880000000000003E-2</v>
          </cell>
        </row>
        <row r="456">
          <cell r="B456">
            <v>10847176</v>
          </cell>
          <cell r="C456" t="str">
            <v>CLIP</v>
          </cell>
          <cell r="D456" t="str">
            <v>10847176    -    TCDSFT6-HEX-BK    -    0.059762</v>
          </cell>
          <cell r="F456">
            <v>5.9762000000000003E-2</v>
          </cell>
          <cell r="G456" t="str">
            <v/>
          </cell>
          <cell r="H456">
            <v>5.9762000000000003E-2</v>
          </cell>
        </row>
        <row r="457">
          <cell r="B457">
            <v>10847210</v>
          </cell>
          <cell r="C457" t="str">
            <v>CLIP</v>
          </cell>
          <cell r="D457" t="str">
            <v>10847210    -    FUSE BLOCK    -    0.39453</v>
          </cell>
          <cell r="F457">
            <v>0.39452999999999999</v>
          </cell>
          <cell r="G457" t="str">
            <v/>
          </cell>
          <cell r="H457">
            <v>0.39452999999999999</v>
          </cell>
        </row>
        <row r="458">
          <cell r="B458">
            <v>10847237</v>
          </cell>
          <cell r="C458" t="str">
            <v>CLIP</v>
          </cell>
          <cell r="D458" t="str">
            <v>10847237    -    COVER    -    0.38072</v>
          </cell>
          <cell r="F458">
            <v>0.38072</v>
          </cell>
          <cell r="G458" t="str">
            <v/>
          </cell>
          <cell r="H458">
            <v>0.38072</v>
          </cell>
        </row>
        <row r="459">
          <cell r="B459">
            <v>10847409</v>
          </cell>
          <cell r="C459" t="str">
            <v>CLIP</v>
          </cell>
          <cell r="D459" t="str">
            <v>10847409    -    T50REC2,5-BK-SET    -    0.119807</v>
          </cell>
          <cell r="F459">
            <v>0.119807</v>
          </cell>
          <cell r="G459" t="str">
            <v/>
          </cell>
          <cell r="H459">
            <v>0.119807</v>
          </cell>
        </row>
        <row r="460">
          <cell r="B460">
            <v>10847410</v>
          </cell>
          <cell r="C460" t="str">
            <v>CLIP</v>
          </cell>
          <cell r="D460" t="str">
            <v>10847410    -    T50RFT6-BK-SET    -    0.032712</v>
          </cell>
          <cell r="F460">
            <v>3.2711999999999998E-2</v>
          </cell>
          <cell r="G460" t="str">
            <v/>
          </cell>
          <cell r="H460">
            <v>3.2711999999999998E-2</v>
          </cell>
        </row>
        <row r="461">
          <cell r="B461">
            <v>10847411</v>
          </cell>
          <cell r="C461" t="str">
            <v>CLIP</v>
          </cell>
          <cell r="D461" t="str">
            <v>10847411    -    T30RFT6-BK-SET    -    0.026766</v>
          </cell>
          <cell r="F461">
            <v>2.6766000000000002E-2</v>
          </cell>
          <cell r="G461" t="str">
            <v/>
          </cell>
          <cell r="H461">
            <v>2.6766000000000002E-2</v>
          </cell>
        </row>
        <row r="462">
          <cell r="B462">
            <v>10847412</v>
          </cell>
          <cell r="C462" t="str">
            <v>CLIP</v>
          </cell>
          <cell r="D462" t="str">
            <v>10847412    -    T50RSFT6,5D18-BK-SET    -    0.064718</v>
          </cell>
          <cell r="F462">
            <v>6.4717999999999998E-2</v>
          </cell>
          <cell r="G462" t="str">
            <v/>
          </cell>
          <cell r="H462">
            <v>6.4717999999999998E-2</v>
          </cell>
        </row>
        <row r="463">
          <cell r="B463">
            <v>10847417</v>
          </cell>
          <cell r="C463" t="str">
            <v>CLIP</v>
          </cell>
          <cell r="D463" t="str">
            <v>10847417    -    T50RDHFT7-HS-BK-SET    -    0.102529</v>
          </cell>
          <cell r="F463">
            <v>0.102529</v>
          </cell>
          <cell r="G463" t="str">
            <v/>
          </cell>
          <cell r="H463">
            <v>0.102529</v>
          </cell>
        </row>
        <row r="464">
          <cell r="B464">
            <v>10847418</v>
          </cell>
          <cell r="C464" t="str">
            <v>CLIP</v>
          </cell>
          <cell r="D464" t="str">
            <v>10847418    -    T50ROSEC5-BK-SET    -    0.098847</v>
          </cell>
          <cell r="F464">
            <v>9.8847000000000004E-2</v>
          </cell>
          <cell r="G464" t="str">
            <v/>
          </cell>
          <cell r="H464">
            <v>9.8847000000000004E-2</v>
          </cell>
        </row>
        <row r="465">
          <cell r="B465">
            <v>10847419</v>
          </cell>
          <cell r="C465" t="str">
            <v>CLIP</v>
          </cell>
          <cell r="D465" t="str">
            <v>10847419    -    T50RFT7-BK-SET    -    0.078454</v>
          </cell>
          <cell r="F465">
            <v>7.8453999999999996E-2</v>
          </cell>
          <cell r="G465" t="str">
            <v/>
          </cell>
          <cell r="H465">
            <v>7.8453999999999996E-2</v>
          </cell>
        </row>
        <row r="466">
          <cell r="B466">
            <v>10847422</v>
          </cell>
          <cell r="C466" t="str">
            <v>CLIP</v>
          </cell>
          <cell r="D466" t="str">
            <v>10847422    -    T30RFT6LG-BK-SET    -    0.047582</v>
          </cell>
          <cell r="F466">
            <v>4.7581999999999999E-2</v>
          </cell>
          <cell r="G466" t="str">
            <v/>
          </cell>
          <cell r="H466">
            <v>4.7581999999999999E-2</v>
          </cell>
        </row>
        <row r="467">
          <cell r="B467">
            <v>10847424</v>
          </cell>
          <cell r="C467" t="str">
            <v>CLIP</v>
          </cell>
          <cell r="D467" t="str">
            <v>10847424    -    T50RDHSFT6.5-BK-SET    -    0.084686</v>
          </cell>
          <cell r="F467">
            <v>8.4685999999999997E-2</v>
          </cell>
          <cell r="G467" t="str">
            <v/>
          </cell>
          <cell r="H467">
            <v>8.4685999999999997E-2</v>
          </cell>
        </row>
        <row r="468">
          <cell r="B468">
            <v>10847475</v>
          </cell>
          <cell r="C468" t="str">
            <v>CLIP</v>
          </cell>
          <cell r="D468" t="str">
            <v>10847475    -    T50SOSEC5-BK-SET    -    0.097573</v>
          </cell>
          <cell r="F468">
            <v>9.7572999999999993E-2</v>
          </cell>
          <cell r="G468" t="str">
            <v/>
          </cell>
          <cell r="H468">
            <v>9.7572999999999993E-2</v>
          </cell>
        </row>
        <row r="469">
          <cell r="B469">
            <v>10847509</v>
          </cell>
          <cell r="C469" t="str">
            <v>CLIP</v>
          </cell>
          <cell r="D469" t="str">
            <v>10847509    -    FOLIENCLIP    -    0.071988</v>
          </cell>
          <cell r="F469">
            <v>7.1987999999999996E-2</v>
          </cell>
          <cell r="G469" t="str">
            <v/>
          </cell>
          <cell r="H469">
            <v>7.1987999999999996E-2</v>
          </cell>
        </row>
        <row r="470">
          <cell r="B470">
            <v>10847516</v>
          </cell>
          <cell r="C470" t="str">
            <v>CLIP</v>
          </cell>
          <cell r="D470" t="str">
            <v>10847516    -    RC-90-NA    -    0.080154</v>
          </cell>
          <cell r="F470">
            <v>8.0154000000000003E-2</v>
          </cell>
          <cell r="G470" t="str">
            <v/>
          </cell>
          <cell r="H470">
            <v>8.0154000000000003E-2</v>
          </cell>
        </row>
        <row r="471">
          <cell r="B471">
            <v>10863300</v>
          </cell>
          <cell r="C471" t="str">
            <v>CLIP</v>
          </cell>
          <cell r="D471" t="str">
            <v>10863300    -    EMB-25-22-1,9    -    0.150678</v>
          </cell>
          <cell r="F471">
            <v>0.15067800000000001</v>
          </cell>
          <cell r="G471" t="str">
            <v/>
          </cell>
          <cell r="H471">
            <v>0.15067800000000001</v>
          </cell>
        </row>
        <row r="472">
          <cell r="B472">
            <v>10863574</v>
          </cell>
          <cell r="C472" t="str">
            <v>CLIP</v>
          </cell>
          <cell r="D472" t="str">
            <v>10863574    -    CABLE TIE ZUH 303    -    0.170383</v>
          </cell>
          <cell r="F472">
            <v>0.17038300000000001</v>
          </cell>
          <cell r="G472" t="str">
            <v/>
          </cell>
          <cell r="H472">
            <v>0.17038300000000001</v>
          </cell>
        </row>
        <row r="473">
          <cell r="B473">
            <v>10863633</v>
          </cell>
          <cell r="C473" t="str">
            <v>CLIP</v>
          </cell>
          <cell r="D473" t="str">
            <v>10863633    -    CLIP    -    0.115078</v>
          </cell>
          <cell r="F473">
            <v>0.115078</v>
          </cell>
          <cell r="G473" t="str">
            <v/>
          </cell>
          <cell r="H473">
            <v>0.115078</v>
          </cell>
        </row>
        <row r="474">
          <cell r="B474">
            <v>10863634</v>
          </cell>
          <cell r="C474" t="str">
            <v>CLIP</v>
          </cell>
          <cell r="D474" t="str">
            <v>10863634    -    CLIP    -    0.184769</v>
          </cell>
          <cell r="F474">
            <v>0.18476899999999999</v>
          </cell>
          <cell r="G474" t="str">
            <v/>
          </cell>
          <cell r="H474">
            <v>0.18476899999999999</v>
          </cell>
        </row>
        <row r="475">
          <cell r="B475">
            <v>10863677</v>
          </cell>
          <cell r="C475" t="str">
            <v>CLIP</v>
          </cell>
          <cell r="D475" t="str">
            <v>10863677    -    CLIP    -    0.041897</v>
          </cell>
          <cell r="F475">
            <v>4.1896999999999997E-2</v>
          </cell>
          <cell r="G475" t="str">
            <v/>
          </cell>
          <cell r="H475">
            <v>4.1896999999999997E-2</v>
          </cell>
        </row>
        <row r="476">
          <cell r="B476">
            <v>10864049</v>
          </cell>
          <cell r="C476" t="str">
            <v>CLIP</v>
          </cell>
          <cell r="D476" t="str">
            <v>10864049    -    TIE BAND ZUH-12 BLK    -    0.026312</v>
          </cell>
          <cell r="F476">
            <v>2.6311999999999999E-2</v>
          </cell>
          <cell r="G476" t="str">
            <v/>
          </cell>
          <cell r="H476">
            <v>2.6311999999999999E-2</v>
          </cell>
        </row>
        <row r="477">
          <cell r="B477">
            <v>10864293</v>
          </cell>
          <cell r="C477" t="str">
            <v>CLIP</v>
          </cell>
          <cell r="D477" t="str">
            <v>10864293    -    CLIP    -    0.129673</v>
          </cell>
          <cell r="F477">
            <v>0.12967300000000001</v>
          </cell>
          <cell r="G477" t="str">
            <v/>
          </cell>
          <cell r="H477">
            <v>0.12967300000000001</v>
          </cell>
        </row>
        <row r="478">
          <cell r="B478">
            <v>10864677</v>
          </cell>
          <cell r="C478" t="str">
            <v>CLIP</v>
          </cell>
          <cell r="D478" t="str">
            <v>10864677    -    SPACER    -    0.09579</v>
          </cell>
          <cell r="F478">
            <v>9.579E-2</v>
          </cell>
          <cell r="G478" t="str">
            <v/>
          </cell>
          <cell r="H478">
            <v>9.579E-2</v>
          </cell>
        </row>
        <row r="479">
          <cell r="B479">
            <v>10865199</v>
          </cell>
          <cell r="C479" t="str">
            <v>CLIP</v>
          </cell>
          <cell r="D479" t="str">
            <v>10865199    -    GROMMET    -    0.34</v>
          </cell>
          <cell r="F479">
            <v>0.34</v>
          </cell>
          <cell r="G479" t="str">
            <v/>
          </cell>
          <cell r="H479">
            <v>0.34</v>
          </cell>
        </row>
        <row r="480">
          <cell r="B480">
            <v>10867008</v>
          </cell>
          <cell r="C480" t="str">
            <v>CLIP</v>
          </cell>
          <cell r="D480" t="str">
            <v>10867008    -    SNAP FIT VENT.    -    0.341387</v>
          </cell>
          <cell r="F480">
            <v>0.341387</v>
          </cell>
          <cell r="G480" t="str">
            <v/>
          </cell>
          <cell r="H480">
            <v>0.341387</v>
          </cell>
        </row>
        <row r="481">
          <cell r="B481" t="str">
            <v>12004737S</v>
          </cell>
          <cell r="C481" t="str">
            <v>CLIP</v>
          </cell>
          <cell r="D481" t="str">
            <v>12004737S    -    RETAINER    -    0.0078</v>
          </cell>
          <cell r="F481">
            <v>7.7999999999999996E-3</v>
          </cell>
          <cell r="G481" t="str">
            <v/>
          </cell>
          <cell r="H481">
            <v>7.7999999999999996E-3</v>
          </cell>
        </row>
        <row r="482">
          <cell r="B482">
            <v>12033872</v>
          </cell>
          <cell r="C482" t="str">
            <v>CLIP</v>
          </cell>
          <cell r="D482" t="str">
            <v>12033872    -    CLIP    -    0.0558</v>
          </cell>
          <cell r="F482">
            <v>5.5800000000000002E-2</v>
          </cell>
          <cell r="G482" t="str">
            <v/>
          </cell>
          <cell r="H482">
            <v>5.5800000000000002E-2</v>
          </cell>
        </row>
        <row r="483">
          <cell r="B483">
            <v>12040700</v>
          </cell>
          <cell r="C483" t="str">
            <v>CLIP</v>
          </cell>
          <cell r="D483" t="str">
            <v>12040700    -    CLIP    -    0.030909</v>
          </cell>
          <cell r="F483">
            <v>3.0908999999999999E-2</v>
          </cell>
          <cell r="G483" t="str">
            <v/>
          </cell>
          <cell r="H483">
            <v>3.0908999999999999E-2</v>
          </cell>
        </row>
        <row r="484">
          <cell r="B484">
            <v>12047783</v>
          </cell>
          <cell r="C484" t="str">
            <v>CLIP</v>
          </cell>
          <cell r="D484" t="str">
            <v>12047783    -    LOCK TPA M/P 150 3 GRA MD    -    0.029106</v>
          </cell>
          <cell r="F484">
            <v>2.9106E-2</v>
          </cell>
          <cell r="G484" t="str">
            <v/>
          </cell>
          <cell r="H484">
            <v>2.9106E-2</v>
          </cell>
        </row>
        <row r="485">
          <cell r="B485" t="str">
            <v>12047948X</v>
          </cell>
          <cell r="C485" t="str">
            <v>CLIP</v>
          </cell>
          <cell r="D485" t="str">
            <v>12047948X    -    LOCK TPA M/P 150 4 BLK    -    0.039013</v>
          </cell>
          <cell r="F485">
            <v>3.9012999999999999E-2</v>
          </cell>
          <cell r="G485" t="str">
            <v/>
          </cell>
          <cell r="H485">
            <v>3.9012999999999999E-2</v>
          </cell>
        </row>
        <row r="486">
          <cell r="B486">
            <v>12052227</v>
          </cell>
          <cell r="C486" t="str">
            <v>CLIP</v>
          </cell>
          <cell r="D486" t="str">
            <v>12052227    -    CLIP    -    0.0259</v>
          </cell>
          <cell r="F486">
            <v>2.5899999999999999E-2</v>
          </cell>
          <cell r="G486" t="str">
            <v/>
          </cell>
          <cell r="H486">
            <v>2.5899999999999999E-2</v>
          </cell>
        </row>
        <row r="487">
          <cell r="B487">
            <v>12052634</v>
          </cell>
          <cell r="C487" t="str">
            <v>CLIP</v>
          </cell>
          <cell r="D487" t="str">
            <v>12052634    -    LOCK TPA M/P 150 BLU    -    0.018812</v>
          </cell>
          <cell r="F487">
            <v>1.8811999999999999E-2</v>
          </cell>
          <cell r="G487" t="str">
            <v/>
          </cell>
          <cell r="H487">
            <v>1.8811999999999999E-2</v>
          </cell>
        </row>
        <row r="488">
          <cell r="B488" t="str">
            <v>12052634X</v>
          </cell>
          <cell r="C488" t="str">
            <v>CLIP</v>
          </cell>
          <cell r="D488" t="str">
            <v>12052634X    -    LOCK TPA M/P 150 BLU    -    0.018812</v>
          </cell>
          <cell r="F488">
            <v>1.8811999999999999E-2</v>
          </cell>
          <cell r="G488" t="str">
            <v/>
          </cell>
          <cell r="H488">
            <v>1.8811999999999999E-2</v>
          </cell>
        </row>
        <row r="489">
          <cell r="B489">
            <v>12064765</v>
          </cell>
          <cell r="C489" t="str">
            <v>CLIP</v>
          </cell>
          <cell r="D489" t="str">
            <v>12064765    -    LOCK TPA M/P 150 BLK    -    0.029408</v>
          </cell>
          <cell r="F489">
            <v>2.9408E-2</v>
          </cell>
          <cell r="G489" t="str">
            <v/>
          </cell>
          <cell r="H489">
            <v>2.9408E-2</v>
          </cell>
        </row>
        <row r="490">
          <cell r="B490">
            <v>12064771</v>
          </cell>
          <cell r="C490" t="str">
            <v>CLIP</v>
          </cell>
          <cell r="D490" t="str">
            <v>12064771    -    LOCK TPA M/P 150 GRA    -    0.022605</v>
          </cell>
          <cell r="F490">
            <v>2.2605E-2</v>
          </cell>
          <cell r="G490" t="str">
            <v/>
          </cell>
          <cell r="H490">
            <v>2.2605E-2</v>
          </cell>
        </row>
        <row r="491">
          <cell r="B491">
            <v>12064897</v>
          </cell>
          <cell r="C491" t="str">
            <v>CLIP</v>
          </cell>
          <cell r="D491" t="str">
            <v>12064897    -    MOUN CLIP CDT 25MM NAIL    -    0.0854</v>
          </cell>
          <cell r="F491">
            <v>8.5400000000000004E-2</v>
          </cell>
          <cell r="G491" t="str">
            <v/>
          </cell>
          <cell r="H491">
            <v>8.5400000000000004E-2</v>
          </cell>
        </row>
        <row r="492">
          <cell r="B492">
            <v>12064999</v>
          </cell>
          <cell r="C492" t="str">
            <v>CLIP</v>
          </cell>
          <cell r="D492" t="str">
            <v>12064999    -    LOCK-SECONDARY    -    0.016709</v>
          </cell>
          <cell r="F492">
            <v>1.6709000000000002E-2</v>
          </cell>
          <cell r="G492" t="str">
            <v/>
          </cell>
          <cell r="H492">
            <v>1.6709000000000002E-2</v>
          </cell>
        </row>
        <row r="493">
          <cell r="B493">
            <v>12065361</v>
          </cell>
          <cell r="C493" t="str">
            <v>CLIP</v>
          </cell>
          <cell r="D493" t="str">
            <v>12065361    -    FASTENER - 1/4 TURN RATCHET    -    0.0169</v>
          </cell>
          <cell r="F493">
            <v>1.6899999999999998E-2</v>
          </cell>
          <cell r="G493" t="str">
            <v/>
          </cell>
          <cell r="H493">
            <v>1.6899999999999998E-2</v>
          </cell>
        </row>
        <row r="494">
          <cell r="B494">
            <v>12066263</v>
          </cell>
          <cell r="C494" t="str">
            <v>CLIP</v>
          </cell>
          <cell r="D494" t="str">
            <v>12066263    -    PP STICK - 330 MM X 2.6 MM I.D.    -    0.019</v>
          </cell>
          <cell r="F494">
            <v>1.9E-2</v>
          </cell>
          <cell r="G494" t="str">
            <v/>
          </cell>
          <cell r="H494">
            <v>1.9E-2</v>
          </cell>
        </row>
        <row r="495">
          <cell r="B495">
            <v>12077904</v>
          </cell>
          <cell r="C495" t="str">
            <v>CLIP</v>
          </cell>
          <cell r="D495" t="str">
            <v>12077904    -    LOCK TPA M/P 280 BLU    -    0.023306</v>
          </cell>
          <cell r="F495">
            <v>2.3306E-2</v>
          </cell>
          <cell r="G495" t="str">
            <v/>
          </cell>
          <cell r="H495">
            <v>2.3306E-2</v>
          </cell>
        </row>
        <row r="496">
          <cell r="B496">
            <v>12078497</v>
          </cell>
          <cell r="C496" t="str">
            <v>CLIP</v>
          </cell>
          <cell r="D496" t="str">
            <v>12078497    -    TERMINAL    -    0.24</v>
          </cell>
          <cell r="F496">
            <v>0.24</v>
          </cell>
          <cell r="G496" t="str">
            <v/>
          </cell>
          <cell r="H496">
            <v>0.24</v>
          </cell>
        </row>
        <row r="497">
          <cell r="B497">
            <v>12084149</v>
          </cell>
          <cell r="C497" t="str">
            <v>CLIP</v>
          </cell>
          <cell r="D497" t="str">
            <v>12084149    -    CLIP - CONN    -    0.035014</v>
          </cell>
          <cell r="F497">
            <v>3.5014000000000003E-2</v>
          </cell>
          <cell r="G497" t="str">
            <v/>
          </cell>
          <cell r="H497">
            <v>3.5014000000000003E-2</v>
          </cell>
        </row>
        <row r="498">
          <cell r="B498">
            <v>12084887</v>
          </cell>
          <cell r="C498" t="str">
            <v>CLIP</v>
          </cell>
          <cell r="D498" t="str">
            <v>12084887    -    CLIP    -    0.1029</v>
          </cell>
          <cell r="F498">
            <v>0.10290000000000001</v>
          </cell>
          <cell r="G498" t="str">
            <v/>
          </cell>
          <cell r="H498">
            <v>0.10290000000000001</v>
          </cell>
        </row>
        <row r="499">
          <cell r="B499">
            <v>12089763</v>
          </cell>
          <cell r="C499" t="str">
            <v>CLIP</v>
          </cell>
          <cell r="D499" t="str">
            <v>12089763    -    CLIP - RETAINER    -    0.0204</v>
          </cell>
          <cell r="F499">
            <v>2.0400000000000001E-2</v>
          </cell>
          <cell r="G499" t="str">
            <v/>
          </cell>
          <cell r="H499">
            <v>2.0400000000000001E-2</v>
          </cell>
        </row>
        <row r="500">
          <cell r="B500">
            <v>12089993</v>
          </cell>
          <cell r="C500" t="str">
            <v>CLIP</v>
          </cell>
          <cell r="D500" t="str">
            <v>12089993    -    WIRE TIE - 3/4" X 43.2" WHITE    -    0.0871</v>
          </cell>
          <cell r="F500">
            <v>8.7099999999999997E-2</v>
          </cell>
          <cell r="G500" t="str">
            <v/>
          </cell>
          <cell r="H500">
            <v>8.7099999999999997E-2</v>
          </cell>
        </row>
        <row r="501">
          <cell r="B501">
            <v>12092053</v>
          </cell>
          <cell r="C501" t="str">
            <v>CLIP</v>
          </cell>
          <cell r="D501" t="str">
            <v>12092053    -    LOCK CPA M/P TETHER ORN    -    0.033704</v>
          </cell>
          <cell r="F501">
            <v>3.3703999999999998E-2</v>
          </cell>
          <cell r="G501" t="str">
            <v/>
          </cell>
          <cell r="H501">
            <v>3.3703999999999998E-2</v>
          </cell>
        </row>
        <row r="502">
          <cell r="B502">
            <v>1210</v>
          </cell>
          <cell r="C502" t="str">
            <v>CLIP</v>
          </cell>
          <cell r="D502" t="str">
            <v>1210    -    SOCKEL    -    1.027399</v>
          </cell>
          <cell r="F502">
            <v>1.027399</v>
          </cell>
          <cell r="G502" t="str">
            <v/>
          </cell>
          <cell r="H502">
            <v>1.027399</v>
          </cell>
        </row>
        <row r="503">
          <cell r="B503">
            <v>12103032</v>
          </cell>
          <cell r="C503" t="str">
            <v>CLIP</v>
          </cell>
          <cell r="D503" t="str">
            <v>12103032    -    TPA    -    0.041</v>
          </cell>
          <cell r="F503">
            <v>4.1000000000000002E-2</v>
          </cell>
          <cell r="G503" t="str">
            <v/>
          </cell>
          <cell r="H503">
            <v>4.1000000000000002E-2</v>
          </cell>
        </row>
        <row r="504">
          <cell r="B504">
            <v>12103524</v>
          </cell>
          <cell r="C504" t="str">
            <v>CLIP</v>
          </cell>
          <cell r="D504" t="str">
            <v>12103524    -    BOOT    -    0.42</v>
          </cell>
          <cell r="F504">
            <v>0.42</v>
          </cell>
          <cell r="G504" t="str">
            <v/>
          </cell>
          <cell r="H504">
            <v>0.42</v>
          </cell>
        </row>
        <row r="505">
          <cell r="B505">
            <v>12103525</v>
          </cell>
          <cell r="C505" t="str">
            <v>CLIP</v>
          </cell>
          <cell r="D505" t="str">
            <v>12103525    -    RECEPTACLE    -    2.83</v>
          </cell>
          <cell r="F505">
            <v>2.83</v>
          </cell>
          <cell r="G505" t="str">
            <v/>
          </cell>
          <cell r="H505">
            <v>2.83</v>
          </cell>
        </row>
        <row r="506">
          <cell r="B506">
            <v>12103644</v>
          </cell>
          <cell r="C506" t="str">
            <v>CLIP</v>
          </cell>
          <cell r="D506" t="str">
            <v>12103644    -    SECONDARY LOCK    -    0.341117</v>
          </cell>
          <cell r="F506">
            <v>0.341117</v>
          </cell>
          <cell r="G506" t="str">
            <v/>
          </cell>
          <cell r="H506">
            <v>0.341117</v>
          </cell>
        </row>
        <row r="507">
          <cell r="B507">
            <v>12103789</v>
          </cell>
          <cell r="C507" t="str">
            <v>CLIP</v>
          </cell>
          <cell r="D507" t="str">
            <v>12103789    -    WEDGE LOCK    -    0.0619</v>
          </cell>
          <cell r="F507">
            <v>6.1899999999999997E-2</v>
          </cell>
          <cell r="G507" t="str">
            <v/>
          </cell>
          <cell r="H507">
            <v>6.1899999999999997E-2</v>
          </cell>
        </row>
        <row r="508">
          <cell r="B508">
            <v>12103796</v>
          </cell>
          <cell r="C508" t="str">
            <v>CLIP</v>
          </cell>
          <cell r="D508" t="str">
            <v>12103796    -    LOCK WEDGE DOVETAIL    -    0.0741</v>
          </cell>
          <cell r="F508">
            <v>7.4099999999999999E-2</v>
          </cell>
          <cell r="G508" t="str">
            <v/>
          </cell>
          <cell r="H508">
            <v>7.4099999999999999E-2</v>
          </cell>
        </row>
        <row r="509">
          <cell r="B509">
            <v>12103797</v>
          </cell>
          <cell r="C509" t="str">
            <v>CLIP</v>
          </cell>
          <cell r="D509" t="str">
            <v>12103797    -    SEC LH-MAXI    -    0.1107</v>
          </cell>
          <cell r="F509">
            <v>0.11070000000000001</v>
          </cell>
          <cell r="G509" t="str">
            <v/>
          </cell>
          <cell r="H509">
            <v>0.11070000000000001</v>
          </cell>
        </row>
        <row r="510">
          <cell r="B510">
            <v>12103800</v>
          </cell>
          <cell r="C510" t="str">
            <v>CLIP</v>
          </cell>
          <cell r="D510" t="str">
            <v>12103800    -    SEC. LOCK 28F    -    0.2948</v>
          </cell>
          <cell r="F510">
            <v>0.29480000000000001</v>
          </cell>
          <cell r="G510" t="str">
            <v/>
          </cell>
          <cell r="H510">
            <v>0.29480000000000001</v>
          </cell>
        </row>
        <row r="511">
          <cell r="B511">
            <v>12103803</v>
          </cell>
          <cell r="C511" t="str">
            <v>CLIP</v>
          </cell>
          <cell r="D511" t="str">
            <v>12103803    -    SEC LK- 28M    -    0.2867</v>
          </cell>
          <cell r="F511">
            <v>0.28670000000000001</v>
          </cell>
          <cell r="G511" t="str">
            <v/>
          </cell>
          <cell r="H511">
            <v>0.28670000000000001</v>
          </cell>
        </row>
        <row r="512">
          <cell r="B512">
            <v>12103804</v>
          </cell>
          <cell r="C512" t="str">
            <v>CLIP</v>
          </cell>
          <cell r="D512" t="str">
            <v>12103804    -    SEC LK- 28M    -    0.279</v>
          </cell>
          <cell r="F512">
            <v>0.27900000000000003</v>
          </cell>
          <cell r="G512" t="str">
            <v/>
          </cell>
          <cell r="H512">
            <v>0.27900000000000003</v>
          </cell>
        </row>
        <row r="513">
          <cell r="B513">
            <v>12103809</v>
          </cell>
          <cell r="C513" t="str">
            <v>CLIP</v>
          </cell>
          <cell r="D513" t="str">
            <v>12103809    -    SEC LK    -    0.0293</v>
          </cell>
          <cell r="F513">
            <v>2.93E-2</v>
          </cell>
          <cell r="G513" t="str">
            <v/>
          </cell>
          <cell r="H513">
            <v>2.93E-2</v>
          </cell>
        </row>
        <row r="514">
          <cell r="B514">
            <v>12103838</v>
          </cell>
          <cell r="C514" t="str">
            <v>CLIP</v>
          </cell>
          <cell r="D514" t="str">
            <v>12103838    -    UT #110634-AK02    -    0.124</v>
          </cell>
          <cell r="F514">
            <v>0.124</v>
          </cell>
          <cell r="G514" t="str">
            <v/>
          </cell>
          <cell r="H514">
            <v>0.124</v>
          </cell>
        </row>
        <row r="515">
          <cell r="B515">
            <v>12103839</v>
          </cell>
          <cell r="C515" t="str">
            <v>CLIP</v>
          </cell>
          <cell r="D515" t="str">
            <v>12103839    -    UT #110640-AK02    -    0.0994</v>
          </cell>
          <cell r="F515">
            <v>9.9400000000000002E-2</v>
          </cell>
          <cell r="G515" t="str">
            <v/>
          </cell>
          <cell r="H515">
            <v>9.9400000000000002E-2</v>
          </cell>
        </row>
        <row r="516">
          <cell r="B516">
            <v>12103840</v>
          </cell>
          <cell r="C516" t="str">
            <v>CLIP</v>
          </cell>
          <cell r="D516" t="str">
            <v>12103840    -    UT #110653-AK02    -    0.0736</v>
          </cell>
          <cell r="F516">
            <v>7.3599999999999999E-2</v>
          </cell>
          <cell r="G516" t="str">
            <v/>
          </cell>
          <cell r="H516">
            <v>7.3599999999999999E-2</v>
          </cell>
        </row>
        <row r="517">
          <cell r="B517">
            <v>12103843</v>
          </cell>
          <cell r="C517" t="str">
            <v>CLIP</v>
          </cell>
          <cell r="D517" t="str">
            <v>12103843    -    RECEPTACLE    -    7.77</v>
          </cell>
          <cell r="F517">
            <v>7.77</v>
          </cell>
          <cell r="G517" t="str">
            <v/>
          </cell>
          <cell r="H517">
            <v>7.77</v>
          </cell>
        </row>
        <row r="518">
          <cell r="B518">
            <v>12103872</v>
          </cell>
          <cell r="C518" t="str">
            <v>CLIP</v>
          </cell>
          <cell r="D518" t="str">
            <v>12103872    -    SEC LK 28F    -    0.3038</v>
          </cell>
          <cell r="F518">
            <v>0.30380000000000001</v>
          </cell>
          <cell r="G518" t="str">
            <v/>
          </cell>
          <cell r="H518">
            <v>0.30380000000000001</v>
          </cell>
        </row>
        <row r="519">
          <cell r="B519">
            <v>12103894</v>
          </cell>
          <cell r="C519" t="str">
            <v>CLIP</v>
          </cell>
          <cell r="D519" t="str">
            <v>12103894    -    MOUN WIRE TIE    -    0.0085</v>
          </cell>
          <cell r="F519">
            <v>8.5000000000000006E-3</v>
          </cell>
          <cell r="G519" t="str">
            <v/>
          </cell>
          <cell r="H519">
            <v>8.5000000000000006E-3</v>
          </cell>
        </row>
        <row r="520">
          <cell r="B520">
            <v>12103933</v>
          </cell>
          <cell r="C520" t="str">
            <v>CLIP</v>
          </cell>
          <cell r="D520" t="str">
            <v>12103933    -    MIC REL SEC LK    -    0.1629</v>
          </cell>
          <cell r="F520">
            <v>0.16289999999999999</v>
          </cell>
          <cell r="G520" t="str">
            <v/>
          </cell>
          <cell r="H520">
            <v>0.16289999999999999</v>
          </cell>
        </row>
        <row r="521">
          <cell r="B521">
            <v>12103934</v>
          </cell>
          <cell r="C521" t="str">
            <v>CLIP</v>
          </cell>
          <cell r="D521" t="str">
            <v>12103934    -    MIC REL SEC LK    -    0.1629</v>
          </cell>
          <cell r="F521">
            <v>0.16289999999999999</v>
          </cell>
          <cell r="G521" t="str">
            <v/>
          </cell>
          <cell r="H521">
            <v>0.16289999999999999</v>
          </cell>
        </row>
        <row r="522">
          <cell r="B522">
            <v>12104229</v>
          </cell>
          <cell r="C522" t="str">
            <v>CLIP</v>
          </cell>
          <cell r="D522" t="str">
            <v>12104229    -    CLAMP CABLE TIE    -    0.00328</v>
          </cell>
          <cell r="F522">
            <v>3.2799999999999999E-3</v>
          </cell>
          <cell r="G522" t="str">
            <v/>
          </cell>
          <cell r="H522">
            <v>3.2799999999999999E-3</v>
          </cell>
        </row>
        <row r="523">
          <cell r="B523">
            <v>12105914</v>
          </cell>
          <cell r="C523" t="str">
            <v>CLIP</v>
          </cell>
          <cell r="D523" t="str">
            <v>12105914    -    MOUN BOLT    -    0.098519</v>
          </cell>
          <cell r="F523">
            <v>9.8518999999999995E-2</v>
          </cell>
          <cell r="G523" t="str">
            <v/>
          </cell>
          <cell r="H523">
            <v>9.8518999999999995E-2</v>
          </cell>
        </row>
        <row r="524">
          <cell r="B524">
            <v>12110290</v>
          </cell>
          <cell r="C524" t="str">
            <v>CLIP</v>
          </cell>
          <cell r="D524" t="str">
            <v>12110290    -    CLIP, CONN ROSEBUD    -    0.0483</v>
          </cell>
          <cell r="F524">
            <v>4.8300000000000003E-2</v>
          </cell>
          <cell r="G524" t="str">
            <v/>
          </cell>
          <cell r="H524">
            <v>4.8300000000000003E-2</v>
          </cell>
        </row>
        <row r="525">
          <cell r="B525">
            <v>12110783</v>
          </cell>
          <cell r="C525" t="str">
            <v>CLIP</v>
          </cell>
          <cell r="D525" t="str">
            <v>12110783    -    CLIP    -    0.1132</v>
          </cell>
          <cell r="F525">
            <v>0.1132</v>
          </cell>
          <cell r="G525" t="str">
            <v/>
          </cell>
          <cell r="H525">
            <v>0.1132</v>
          </cell>
        </row>
        <row r="526">
          <cell r="B526">
            <v>12124051</v>
          </cell>
          <cell r="C526" t="str">
            <v>CLIP</v>
          </cell>
          <cell r="D526" t="str">
            <v>12124051    -    SEAL WIRE END    -    0.887</v>
          </cell>
          <cell r="F526">
            <v>0.88700000000000001</v>
          </cell>
          <cell r="G526" t="str">
            <v/>
          </cell>
          <cell r="H526">
            <v>0.88700000000000001</v>
          </cell>
        </row>
        <row r="527">
          <cell r="B527">
            <v>12124065</v>
          </cell>
          <cell r="C527" t="str">
            <v>CLIP</v>
          </cell>
          <cell r="D527" t="str">
            <v>12124065    -    LAMP SOCKET    -    0.04</v>
          </cell>
          <cell r="F527">
            <v>0.04</v>
          </cell>
          <cell r="G527" t="str">
            <v/>
          </cell>
          <cell r="H527">
            <v>0.04</v>
          </cell>
        </row>
        <row r="528">
          <cell r="B528">
            <v>12124715</v>
          </cell>
          <cell r="C528" t="str">
            <v>CLIP</v>
          </cell>
          <cell r="D528" t="str">
            <v>12124715    -    WIRE TIE    -    0.0266</v>
          </cell>
          <cell r="F528">
            <v>2.6599999999999999E-2</v>
          </cell>
          <cell r="G528" t="str">
            <v/>
          </cell>
          <cell r="H528">
            <v>2.6599999999999999E-2</v>
          </cell>
        </row>
        <row r="529">
          <cell r="B529">
            <v>12124889</v>
          </cell>
          <cell r="C529" t="str">
            <v>CLIP</v>
          </cell>
          <cell r="D529" t="str">
            <v>12124889    -    WIRE TIES    -    0.0822</v>
          </cell>
          <cell r="F529">
            <v>8.2199999999999995E-2</v>
          </cell>
          <cell r="G529" t="str">
            <v/>
          </cell>
          <cell r="H529">
            <v>8.2199999999999995E-2</v>
          </cell>
        </row>
        <row r="530">
          <cell r="B530">
            <v>12124890</v>
          </cell>
          <cell r="C530" t="str">
            <v>CLIP</v>
          </cell>
          <cell r="D530" t="str">
            <v>12124890    -    WIRE TIES    -    0.0423</v>
          </cell>
          <cell r="F530">
            <v>4.2299999999999997E-2</v>
          </cell>
          <cell r="G530" t="str">
            <v/>
          </cell>
          <cell r="H530">
            <v>4.2299999999999997E-2</v>
          </cell>
        </row>
        <row r="531">
          <cell r="B531">
            <v>12124961</v>
          </cell>
          <cell r="C531" t="str">
            <v>CLIP</v>
          </cell>
          <cell r="D531" t="str">
            <v>12124961    -    W. TIE    -    0.01735</v>
          </cell>
          <cell r="F531">
            <v>1.7350000000000001E-2</v>
          </cell>
          <cell r="G531" t="str">
            <v/>
          </cell>
          <cell r="H531">
            <v>1.7350000000000001E-2</v>
          </cell>
        </row>
        <row r="532">
          <cell r="B532">
            <v>12131205</v>
          </cell>
          <cell r="C532" t="str">
            <v>CLIP</v>
          </cell>
          <cell r="D532" t="str">
            <v>12131205    -    CABLE TIE    -    0.00708</v>
          </cell>
          <cell r="F532">
            <v>7.0800000000000004E-3</v>
          </cell>
          <cell r="G532" t="str">
            <v/>
          </cell>
          <cell r="H532">
            <v>7.0800000000000004E-3</v>
          </cell>
        </row>
        <row r="533">
          <cell r="B533">
            <v>12131720</v>
          </cell>
          <cell r="C533" t="str">
            <v>CLIP</v>
          </cell>
          <cell r="D533" t="str">
            <v>12131720    -    HT3,5X1,1X30-BK    -    0.016144</v>
          </cell>
          <cell r="F533">
            <v>1.6143999999999999E-2</v>
          </cell>
          <cell r="G533" t="str">
            <v/>
          </cell>
          <cell r="H533">
            <v>1.6143999999999999E-2</v>
          </cell>
        </row>
        <row r="534">
          <cell r="B534">
            <v>12132203</v>
          </cell>
          <cell r="C534" t="str">
            <v>CLIP</v>
          </cell>
          <cell r="D534" t="str">
            <v>12132203    -    TWIST LOCK CABLE TIE    -    0.02641</v>
          </cell>
          <cell r="F534">
            <v>2.6409999999999999E-2</v>
          </cell>
          <cell r="G534" t="str">
            <v/>
          </cell>
          <cell r="H534">
            <v>2.6409999999999999E-2</v>
          </cell>
        </row>
        <row r="535">
          <cell r="B535">
            <v>12142803</v>
          </cell>
          <cell r="C535" t="str">
            <v>CLIP</v>
          </cell>
          <cell r="D535" t="str">
            <v>12142803    -    68    -    0.030806</v>
          </cell>
          <cell r="F535">
            <v>3.0806E-2</v>
          </cell>
          <cell r="G535" t="str">
            <v/>
          </cell>
          <cell r="H535">
            <v>3.0806E-2</v>
          </cell>
        </row>
        <row r="536">
          <cell r="B536" t="str">
            <v>12146899S</v>
          </cell>
          <cell r="C536" t="str">
            <v>CLIP</v>
          </cell>
          <cell r="D536" t="str">
            <v>12146899S    -    ALIGNMENT OVERLAY    -    0.187</v>
          </cell>
          <cell r="F536">
            <v>0.187</v>
          </cell>
          <cell r="G536" t="str">
            <v/>
          </cell>
          <cell r="H536">
            <v>0.187</v>
          </cell>
        </row>
        <row r="537">
          <cell r="B537">
            <v>12147111</v>
          </cell>
          <cell r="C537" t="str">
            <v>CLIP</v>
          </cell>
          <cell r="D537" t="str">
            <v>12147111    -    MOUN CLIP STRAP    -    0.03683</v>
          </cell>
          <cell r="F537">
            <v>3.6830000000000002E-2</v>
          </cell>
          <cell r="G537" t="str">
            <v/>
          </cell>
          <cell r="H537">
            <v>3.6830000000000002E-2</v>
          </cell>
        </row>
        <row r="538">
          <cell r="B538">
            <v>12147112</v>
          </cell>
          <cell r="C538" t="str">
            <v>CLIP</v>
          </cell>
          <cell r="D538" t="str">
            <v>12147112    -    PLWP1S-D30    -    0.046944</v>
          </cell>
          <cell r="F538">
            <v>4.6944E-2</v>
          </cell>
          <cell r="G538" t="str">
            <v/>
          </cell>
          <cell r="H538">
            <v>4.6944E-2</v>
          </cell>
        </row>
        <row r="539">
          <cell r="B539">
            <v>12147164</v>
          </cell>
          <cell r="C539" t="str">
            <v>CLIP</v>
          </cell>
          <cell r="D539" t="str">
            <v>12147164    -    ZUH 2    -    0.039509</v>
          </cell>
          <cell r="F539">
            <v>3.9509000000000002E-2</v>
          </cell>
          <cell r="G539" t="str">
            <v/>
          </cell>
          <cell r="H539">
            <v>3.9509000000000002E-2</v>
          </cell>
        </row>
        <row r="540">
          <cell r="B540">
            <v>12147519</v>
          </cell>
          <cell r="C540" t="str">
            <v>CLIP</v>
          </cell>
          <cell r="D540" t="str">
            <v>12147519    -    ZUH 7    -    0.030347</v>
          </cell>
          <cell r="F540">
            <v>3.0346999999999999E-2</v>
          </cell>
          <cell r="G540" t="str">
            <v/>
          </cell>
          <cell r="H540">
            <v>3.0346999999999999E-2</v>
          </cell>
        </row>
        <row r="541">
          <cell r="B541">
            <v>12147646</v>
          </cell>
          <cell r="C541" t="str">
            <v>CLIP</v>
          </cell>
          <cell r="D541" t="str">
            <v>12147646    -    89    -    0.035893</v>
          </cell>
          <cell r="F541">
            <v>3.5893000000000001E-2</v>
          </cell>
          <cell r="G541" t="str">
            <v/>
          </cell>
          <cell r="H541">
            <v>3.5893000000000001E-2</v>
          </cell>
        </row>
        <row r="542">
          <cell r="B542">
            <v>12157940</v>
          </cell>
          <cell r="C542" t="str">
            <v>CLIP</v>
          </cell>
          <cell r="D542" t="str">
            <v>12157940    -    CABLE TIE    -    0.0026</v>
          </cell>
          <cell r="F542">
            <v>2.5999999999999999E-3</v>
          </cell>
          <cell r="G542" t="str">
            <v/>
          </cell>
          <cell r="H542">
            <v>2.5999999999999999E-3</v>
          </cell>
        </row>
        <row r="543">
          <cell r="B543">
            <v>12158013</v>
          </cell>
          <cell r="C543" t="str">
            <v>CLIP</v>
          </cell>
          <cell r="D543" t="str">
            <v>12158013    -    MOUN WIRE TIE    -    0.00868</v>
          </cell>
          <cell r="F543">
            <v>8.6800000000000002E-3</v>
          </cell>
          <cell r="G543" t="str">
            <v/>
          </cell>
          <cell r="H543">
            <v>8.6800000000000002E-3</v>
          </cell>
        </row>
        <row r="544">
          <cell r="B544">
            <v>12160374</v>
          </cell>
          <cell r="C544" t="str">
            <v>CLIP</v>
          </cell>
          <cell r="D544" t="str">
            <v>12160374    -    MOUN CLIP CDT 19MM NAIL    -    0.0552</v>
          </cell>
          <cell r="F544">
            <v>5.5199999999999999E-2</v>
          </cell>
          <cell r="G544" t="str">
            <v/>
          </cell>
          <cell r="H544">
            <v>5.5199999999999999E-2</v>
          </cell>
        </row>
        <row r="545">
          <cell r="B545">
            <v>12160437</v>
          </cell>
          <cell r="C545" t="str">
            <v>CLIP</v>
          </cell>
          <cell r="D545" t="str">
            <v>12160437    -    LOCK TPA 16 BLU    -    0.018404</v>
          </cell>
          <cell r="F545">
            <v>1.8404E-2</v>
          </cell>
          <cell r="G545" t="str">
            <v/>
          </cell>
          <cell r="H545">
            <v>1.8404E-2</v>
          </cell>
        </row>
        <row r="546">
          <cell r="B546">
            <v>12160857</v>
          </cell>
          <cell r="C546" t="str">
            <v>CLIP</v>
          </cell>
          <cell r="D546" t="str">
            <v>12160857    -    ROSEBUD CLIP    -    0.037913</v>
          </cell>
          <cell r="F546">
            <v>3.7913000000000002E-2</v>
          </cell>
          <cell r="G546" t="str">
            <v/>
          </cell>
          <cell r="H546">
            <v>3.7913000000000002E-2</v>
          </cell>
        </row>
        <row r="547">
          <cell r="B547">
            <v>12162253</v>
          </cell>
          <cell r="C547" t="str">
            <v>CLIP</v>
          </cell>
          <cell r="D547" t="str">
            <v>12162253    -    WIRE TIE    -    0.0219</v>
          </cell>
          <cell r="F547">
            <v>2.1899999999999999E-2</v>
          </cell>
          <cell r="G547" t="str">
            <v/>
          </cell>
          <cell r="H547">
            <v>2.1899999999999999E-2</v>
          </cell>
        </row>
        <row r="548">
          <cell r="B548">
            <v>12176375</v>
          </cell>
          <cell r="C548" t="str">
            <v>CLIP</v>
          </cell>
          <cell r="D548" t="str">
            <v>12176375    -    RETAINER    -    0.048</v>
          </cell>
          <cell r="F548">
            <v>4.8000000000000001E-2</v>
          </cell>
          <cell r="G548" t="str">
            <v/>
          </cell>
          <cell r="H548">
            <v>4.8000000000000001E-2</v>
          </cell>
        </row>
        <row r="549">
          <cell r="B549">
            <v>12176839</v>
          </cell>
          <cell r="C549" t="str">
            <v>CLIP</v>
          </cell>
          <cell r="D549" t="str">
            <v>12176839    -    MOUN CLIP CDT 16MM NAIL    -    0.091</v>
          </cell>
          <cell r="F549">
            <v>9.0999999999999998E-2</v>
          </cell>
          <cell r="G549" t="str">
            <v/>
          </cell>
          <cell r="H549">
            <v>9.0999999999999998E-2</v>
          </cell>
        </row>
        <row r="550">
          <cell r="B550">
            <v>12185092</v>
          </cell>
          <cell r="C550" t="str">
            <v>CLIP</v>
          </cell>
          <cell r="D550" t="str">
            <v>12185092    -    ZUH 8    -    0.028633</v>
          </cell>
          <cell r="F550">
            <v>2.8632999999999999E-2</v>
          </cell>
          <cell r="G550" t="str">
            <v/>
          </cell>
          <cell r="H550">
            <v>2.8632999999999999E-2</v>
          </cell>
        </row>
        <row r="551">
          <cell r="B551">
            <v>12185111</v>
          </cell>
          <cell r="C551" t="str">
            <v>CLIP</v>
          </cell>
          <cell r="D551" t="str">
            <v>12185111    -    CLIP, HARN BLK    -    0.044839</v>
          </cell>
          <cell r="F551">
            <v>4.4838999999999997E-2</v>
          </cell>
          <cell r="G551" t="str">
            <v/>
          </cell>
          <cell r="H551">
            <v>4.4838999999999997E-2</v>
          </cell>
        </row>
        <row r="552">
          <cell r="B552">
            <v>12185128</v>
          </cell>
          <cell r="C552" t="str">
            <v>CLIP</v>
          </cell>
          <cell r="D552" t="str">
            <v>12185128    -    CLIP    -    0.016368</v>
          </cell>
          <cell r="F552">
            <v>1.6368000000000001E-2</v>
          </cell>
          <cell r="G552" t="str">
            <v/>
          </cell>
          <cell r="H552">
            <v>1.6368000000000001E-2</v>
          </cell>
        </row>
        <row r="553">
          <cell r="B553">
            <v>12185542</v>
          </cell>
          <cell r="C553" t="str">
            <v>CLIP</v>
          </cell>
          <cell r="D553" t="str">
            <v>12185542    -    GROMMET STOPFEN 30 MIT SCHLITZ    -    0.096587</v>
          </cell>
          <cell r="F553">
            <v>9.6587000000000006E-2</v>
          </cell>
          <cell r="G553" t="str">
            <v/>
          </cell>
          <cell r="H553">
            <v>9.6587000000000006E-2</v>
          </cell>
        </row>
        <row r="554">
          <cell r="B554">
            <v>12186089</v>
          </cell>
          <cell r="C554" t="str">
            <v>CLIP</v>
          </cell>
          <cell r="D554" t="str">
            <v>12186089    -    CONN CLIP    -    0.028633</v>
          </cell>
          <cell r="F554">
            <v>2.8632999999999999E-2</v>
          </cell>
          <cell r="G554" t="str">
            <v/>
          </cell>
          <cell r="H554">
            <v>2.8632999999999999E-2</v>
          </cell>
        </row>
        <row r="555">
          <cell r="B555">
            <v>12186309</v>
          </cell>
          <cell r="C555" t="str">
            <v>CLIP</v>
          </cell>
          <cell r="D555" t="str">
            <v>12186309    -    WIRE TIE    -    0.0839</v>
          </cell>
          <cell r="F555">
            <v>8.3900000000000002E-2</v>
          </cell>
          <cell r="G555" t="str">
            <v/>
          </cell>
          <cell r="H555">
            <v>8.3900000000000002E-2</v>
          </cell>
        </row>
        <row r="556">
          <cell r="B556">
            <v>12186329</v>
          </cell>
          <cell r="C556" t="str">
            <v>CLIP</v>
          </cell>
          <cell r="D556" t="str">
            <v>12186329    -    WIRE TIE    -    0.0701</v>
          </cell>
          <cell r="F556">
            <v>7.0099999999999996E-2</v>
          </cell>
          <cell r="G556" t="str">
            <v/>
          </cell>
          <cell r="H556">
            <v>7.0099999999999996E-2</v>
          </cell>
        </row>
        <row r="557">
          <cell r="B557">
            <v>12186330</v>
          </cell>
          <cell r="C557" t="str">
            <v>CLIP</v>
          </cell>
          <cell r="D557" t="str">
            <v>12186330    -    WIRE TIE    -    0.0094</v>
          </cell>
          <cell r="F557">
            <v>9.4000000000000004E-3</v>
          </cell>
          <cell r="G557" t="str">
            <v/>
          </cell>
          <cell r="H557">
            <v>9.4000000000000004E-3</v>
          </cell>
        </row>
        <row r="558">
          <cell r="B558">
            <v>12186331</v>
          </cell>
          <cell r="C558" t="str">
            <v>CLIP</v>
          </cell>
          <cell r="D558" t="str">
            <v>12186331    -    WIRE TIE    -    0.015643</v>
          </cell>
          <cell r="F558">
            <v>1.5643000000000001E-2</v>
          </cell>
          <cell r="G558" t="str">
            <v/>
          </cell>
          <cell r="H558">
            <v>1.5643000000000001E-2</v>
          </cell>
        </row>
        <row r="559">
          <cell r="B559">
            <v>12186484</v>
          </cell>
          <cell r="C559" t="str">
            <v>CLIP</v>
          </cell>
          <cell r="D559" t="str">
            <v>12186484    -    COVER    -    2.96062</v>
          </cell>
          <cell r="F559">
            <v>2.96062</v>
          </cell>
          <cell r="G559" t="str">
            <v/>
          </cell>
          <cell r="H559">
            <v>2.96062</v>
          </cell>
        </row>
        <row r="560">
          <cell r="B560">
            <v>12186486</v>
          </cell>
          <cell r="C560" t="str">
            <v>CLIP</v>
          </cell>
          <cell r="D560" t="str">
            <v>12186486    -    COVER    -    0.167455</v>
          </cell>
          <cell r="F560">
            <v>0.16745499999999999</v>
          </cell>
          <cell r="G560" t="str">
            <v/>
          </cell>
          <cell r="H560">
            <v>0.16745499999999999</v>
          </cell>
        </row>
        <row r="561">
          <cell r="B561">
            <v>12186708</v>
          </cell>
          <cell r="C561" t="str">
            <v>CLIP</v>
          </cell>
          <cell r="D561" t="str">
            <v>12186708    -    COVER    -    0.186211</v>
          </cell>
          <cell r="F561">
            <v>0.18621099999999999</v>
          </cell>
          <cell r="G561" t="str">
            <v/>
          </cell>
          <cell r="H561">
            <v>0.18621099999999999</v>
          </cell>
        </row>
        <row r="562">
          <cell r="B562">
            <v>12186765</v>
          </cell>
          <cell r="C562" t="str">
            <v>CLIP</v>
          </cell>
          <cell r="D562" t="str">
            <v>12186765    -    WIRE TIE    -    0.0057</v>
          </cell>
          <cell r="F562">
            <v>5.7000000000000002E-3</v>
          </cell>
          <cell r="G562" t="str">
            <v/>
          </cell>
          <cell r="H562">
            <v>5.7000000000000002E-3</v>
          </cell>
        </row>
        <row r="563">
          <cell r="B563">
            <v>12186786</v>
          </cell>
          <cell r="C563" t="str">
            <v>CLIP</v>
          </cell>
          <cell r="D563" t="str">
            <v>12186786    -    SECONDARY LOCK (TPA)    -    0.109433</v>
          </cell>
          <cell r="F563">
            <v>0.109433</v>
          </cell>
          <cell r="G563" t="str">
            <v/>
          </cell>
          <cell r="H563">
            <v>0.109433</v>
          </cell>
        </row>
        <row r="564">
          <cell r="B564">
            <v>12186789</v>
          </cell>
          <cell r="C564" t="str">
            <v>CLIP</v>
          </cell>
          <cell r="D564" t="str">
            <v>12186789    -    SECONDARY LOCK (TPA)    -    0.109433</v>
          </cell>
          <cell r="F564">
            <v>0.109433</v>
          </cell>
          <cell r="G564" t="str">
            <v/>
          </cell>
          <cell r="H564">
            <v>0.109433</v>
          </cell>
        </row>
        <row r="565">
          <cell r="B565">
            <v>12186943</v>
          </cell>
          <cell r="C565" t="str">
            <v>CLIP</v>
          </cell>
          <cell r="D565" t="str">
            <v>12186943    -    ARO TIE GREEN IN COLOR    -    0.00703</v>
          </cell>
          <cell r="F565">
            <v>7.0299999999999998E-3</v>
          </cell>
          <cell r="G565" t="str">
            <v/>
          </cell>
          <cell r="H565">
            <v>7.0299999999999998E-3</v>
          </cell>
        </row>
        <row r="566">
          <cell r="B566">
            <v>12186944</v>
          </cell>
          <cell r="C566" t="str">
            <v>CLIP</v>
          </cell>
          <cell r="D566" t="str">
            <v>12186944    -    ARO TIE WHITE IN COLOR    -    0.006935</v>
          </cell>
          <cell r="F566">
            <v>6.9350000000000002E-3</v>
          </cell>
          <cell r="G566" t="str">
            <v/>
          </cell>
          <cell r="H566">
            <v>6.9350000000000002E-3</v>
          </cell>
        </row>
        <row r="567">
          <cell r="B567">
            <v>12186955</v>
          </cell>
          <cell r="C567" t="str">
            <v>CLIP</v>
          </cell>
          <cell r="D567" t="str">
            <v>12186955    -    WIRE TIE YELLOW IN COLOR    -    0.00735</v>
          </cell>
          <cell r="F567">
            <v>7.3499999999999998E-3</v>
          </cell>
          <cell r="G567" t="str">
            <v/>
          </cell>
          <cell r="H567">
            <v>7.3499999999999998E-3</v>
          </cell>
        </row>
        <row r="568">
          <cell r="B568">
            <v>12186957</v>
          </cell>
          <cell r="C568" t="str">
            <v>CLIP</v>
          </cell>
          <cell r="D568" t="str">
            <v>12186957    -    PP STICK GRAY    -    0.06</v>
          </cell>
          <cell r="F568">
            <v>0.06</v>
          </cell>
          <cell r="G568" t="str">
            <v/>
          </cell>
          <cell r="H568">
            <v>0.06</v>
          </cell>
        </row>
        <row r="569">
          <cell r="B569">
            <v>12191294</v>
          </cell>
          <cell r="C569" t="str">
            <v>CLIP</v>
          </cell>
          <cell r="D569" t="str">
            <v>12191294    -    HARNESS CLIP    -    0.1174</v>
          </cell>
          <cell r="F569">
            <v>0.1174</v>
          </cell>
          <cell r="G569" t="str">
            <v/>
          </cell>
          <cell r="H569">
            <v>0.1174</v>
          </cell>
        </row>
        <row r="570">
          <cell r="B570">
            <v>12191560</v>
          </cell>
          <cell r="C570" t="str">
            <v>CLIP</v>
          </cell>
          <cell r="D570" t="str">
            <v>12191560    -    COVER ASSY    -    1.565</v>
          </cell>
          <cell r="F570">
            <v>1.5649999999999999</v>
          </cell>
          <cell r="G570" t="str">
            <v/>
          </cell>
          <cell r="H570">
            <v>1.5649999999999999</v>
          </cell>
        </row>
        <row r="571">
          <cell r="B571">
            <v>12191682</v>
          </cell>
          <cell r="C571" t="str">
            <v>CLIP</v>
          </cell>
          <cell r="D571" t="str">
            <v>12191682    -    LOCK TPA GT 150 280 BLK    -    0.023113</v>
          </cell>
          <cell r="F571">
            <v>2.3113000000000002E-2</v>
          </cell>
          <cell r="G571" t="str">
            <v/>
          </cell>
          <cell r="H571">
            <v>2.3113000000000002E-2</v>
          </cell>
        </row>
        <row r="572">
          <cell r="B572">
            <v>12191683</v>
          </cell>
          <cell r="C572" t="str">
            <v>CLIP</v>
          </cell>
          <cell r="D572" t="str">
            <v>12191683    -    MOUN STABILIZER    -    0.020914</v>
          </cell>
          <cell r="F572">
            <v>2.0913999999999999E-2</v>
          </cell>
          <cell r="G572" t="str">
            <v/>
          </cell>
          <cell r="H572">
            <v>2.0913999999999999E-2</v>
          </cell>
        </row>
        <row r="573">
          <cell r="B573">
            <v>15355584</v>
          </cell>
          <cell r="C573" t="str">
            <v>CONNECTOR</v>
          </cell>
          <cell r="D573" t="str">
            <v>15355584      -     CONN 3F     -     0.1</v>
          </cell>
          <cell r="F573">
            <v>0.1</v>
          </cell>
          <cell r="H573">
            <v>0.1</v>
          </cell>
        </row>
        <row r="574">
          <cell r="B574">
            <v>15355585</v>
          </cell>
          <cell r="C574" t="str">
            <v>LOCK</v>
          </cell>
          <cell r="D574" t="str">
            <v>15355585      -    TPA FOR CONN 3F     -     0.035</v>
          </cell>
          <cell r="F574">
            <v>3.5000000000000003E-2</v>
          </cell>
          <cell r="H574">
            <v>3.5000000000000003E-2</v>
          </cell>
        </row>
        <row r="575">
          <cell r="B575">
            <v>26095490</v>
          </cell>
          <cell r="C575" t="str">
            <v>SWITCH</v>
          </cell>
          <cell r="D575" t="str">
            <v>26095490    -    KEY BUZZER SWITCH    -    0.915</v>
          </cell>
          <cell r="F575">
            <v>0.91500000000000004</v>
          </cell>
          <cell r="H575">
            <v>0.91500000000000004</v>
          </cell>
        </row>
        <row r="576">
          <cell r="B576">
            <v>12191731</v>
          </cell>
          <cell r="C576" t="str">
            <v>CLIP</v>
          </cell>
          <cell r="D576" t="str">
            <v>12191731    -    LOCK TPA GT 150 GRA MD    -    0.01921</v>
          </cell>
          <cell r="F576">
            <v>1.9210000000000001E-2</v>
          </cell>
          <cell r="G576" t="str">
            <v/>
          </cell>
          <cell r="H576">
            <v>1.9210000000000001E-2</v>
          </cell>
        </row>
        <row r="577">
          <cell r="B577">
            <v>12047786</v>
          </cell>
          <cell r="C577" t="str">
            <v>LOCK</v>
          </cell>
          <cell r="D577" t="str">
            <v>12047786   -   '04 LOCK TPA M/P 150   -   0.0834</v>
          </cell>
          <cell r="F577">
            <v>8.3400000000000002E-2</v>
          </cell>
          <cell r="H577">
            <v>8.3400000000000002E-2</v>
          </cell>
        </row>
        <row r="578">
          <cell r="B578">
            <v>12191826</v>
          </cell>
          <cell r="C578" t="str">
            <v>CLIP</v>
          </cell>
          <cell r="D578" t="str">
            <v>12191826    -    LOCK TPA GT 280 BLU    -    0.024804</v>
          </cell>
          <cell r="F578">
            <v>2.4804E-2</v>
          </cell>
          <cell r="G578" t="str">
            <v/>
          </cell>
          <cell r="H578">
            <v>2.4804E-2</v>
          </cell>
        </row>
        <row r="579">
          <cell r="B579">
            <v>12193931</v>
          </cell>
          <cell r="C579" t="str">
            <v>CLIP</v>
          </cell>
          <cell r="D579" t="str">
            <v>12193931    -    LOCK TPA M/P 280 BLU    -    0.010209</v>
          </cell>
          <cell r="F579">
            <v>1.0208999999999999E-2</v>
          </cell>
          <cell r="G579" t="str">
            <v/>
          </cell>
          <cell r="H579">
            <v>1.0208999999999999E-2</v>
          </cell>
        </row>
        <row r="580">
          <cell r="B580">
            <v>12196859</v>
          </cell>
          <cell r="C580" t="str">
            <v>CLIP</v>
          </cell>
          <cell r="D580" t="str">
            <v>12196859    -    TPA    -    0.043854</v>
          </cell>
          <cell r="F580">
            <v>4.3853999999999997E-2</v>
          </cell>
          <cell r="G580" t="str">
            <v/>
          </cell>
          <cell r="H580">
            <v>4.3853999999999997E-2</v>
          </cell>
        </row>
        <row r="581">
          <cell r="B581">
            <v>12196965</v>
          </cell>
          <cell r="C581" t="str">
            <v>CLIP</v>
          </cell>
          <cell r="D581" t="str">
            <v>12196965    -    LOCK STRIP    -    0.05</v>
          </cell>
          <cell r="F581">
            <v>0.05</v>
          </cell>
          <cell r="G581" t="str">
            <v/>
          </cell>
          <cell r="H581">
            <v>0.05</v>
          </cell>
        </row>
        <row r="582">
          <cell r="B582">
            <v>12198038</v>
          </cell>
          <cell r="C582" t="str">
            <v>CLIP</v>
          </cell>
          <cell r="D582" t="str">
            <v>12198038    -    PLT1M-M0    -    0.004469</v>
          </cell>
          <cell r="F582">
            <v>4.4689999999999999E-3</v>
          </cell>
          <cell r="G582" t="str">
            <v/>
          </cell>
          <cell r="H582">
            <v>4.4689999999999999E-3</v>
          </cell>
        </row>
        <row r="583">
          <cell r="B583">
            <v>12198199</v>
          </cell>
          <cell r="C583" t="str">
            <v>CLIP</v>
          </cell>
          <cell r="D583" t="str">
            <v>12198199    -    CLIP FOR CORUGATED HOSE    -    0.047466</v>
          </cell>
          <cell r="F583">
            <v>4.7466000000000001E-2</v>
          </cell>
          <cell r="G583" t="str">
            <v/>
          </cell>
          <cell r="H583">
            <v>4.7466000000000001E-2</v>
          </cell>
        </row>
        <row r="584">
          <cell r="B584">
            <v>12198484</v>
          </cell>
          <cell r="C584" t="str">
            <v>CLIP</v>
          </cell>
          <cell r="D584" t="str">
            <v>12198484    -    T50SSL5-HS-BK    -    0.018216</v>
          </cell>
          <cell r="F584">
            <v>1.8216E-2</v>
          </cell>
          <cell r="G584" t="str">
            <v/>
          </cell>
          <cell r="H584">
            <v>1.8216E-2</v>
          </cell>
        </row>
        <row r="585">
          <cell r="B585">
            <v>12198532</v>
          </cell>
          <cell r="C585" t="str">
            <v>CLIP</v>
          </cell>
          <cell r="D585" t="str">
            <v>12198532    -    CABLE TIE ZSB    -    0.046323</v>
          </cell>
          <cell r="F585">
            <v>4.6323000000000003E-2</v>
          </cell>
          <cell r="G585" t="str">
            <v/>
          </cell>
          <cell r="H585">
            <v>4.6323000000000003E-2</v>
          </cell>
        </row>
        <row r="586">
          <cell r="B586">
            <v>12198562</v>
          </cell>
          <cell r="C586" t="str">
            <v>CLIP</v>
          </cell>
          <cell r="D586" t="str">
            <v>12198562    -    TIES, BAND ZUH-12 BLK    -    0.026312</v>
          </cell>
          <cell r="F586">
            <v>2.6311999999999999E-2</v>
          </cell>
          <cell r="G586" t="str">
            <v/>
          </cell>
          <cell r="H586">
            <v>2.6311999999999999E-2</v>
          </cell>
        </row>
        <row r="587">
          <cell r="B587">
            <v>12803552</v>
          </cell>
          <cell r="C587" t="str">
            <v>CLIP</v>
          </cell>
          <cell r="D587" t="str">
            <v>12803552    -    FUSE HOLDER FOR SAAB    -    0.307248</v>
          </cell>
          <cell r="F587">
            <v>0.30724800000000002</v>
          </cell>
          <cell r="G587" t="str">
            <v/>
          </cell>
          <cell r="H587">
            <v>0.30724800000000002</v>
          </cell>
        </row>
        <row r="588">
          <cell r="B588">
            <v>12860021</v>
          </cell>
          <cell r="C588" t="str">
            <v>CLIP</v>
          </cell>
          <cell r="D588" t="str">
            <v>12860021    -    BASE W/TERMINALS-RADIO SEA RAY    -    1.61848</v>
          </cell>
          <cell r="F588">
            <v>1.6184799999999999</v>
          </cell>
          <cell r="G588" t="str">
            <v/>
          </cell>
          <cell r="H588">
            <v>1.6184799999999999</v>
          </cell>
        </row>
        <row r="589">
          <cell r="B589">
            <v>12948973</v>
          </cell>
          <cell r="C589" t="str">
            <v>CLIP</v>
          </cell>
          <cell r="D589" t="str">
            <v>12948973    -    FASTENER    -    0.024869</v>
          </cell>
          <cell r="F589">
            <v>2.4868999999999999E-2</v>
          </cell>
          <cell r="G589" t="str">
            <v/>
          </cell>
          <cell r="H589">
            <v>2.4868999999999999E-2</v>
          </cell>
        </row>
        <row r="590">
          <cell r="B590">
            <v>13506642</v>
          </cell>
          <cell r="C590" t="str">
            <v>CLIP</v>
          </cell>
          <cell r="D590" t="str">
            <v>13506642    -    COVER    -    1.44696</v>
          </cell>
          <cell r="F590">
            <v>1.44696</v>
          </cell>
          <cell r="G590" t="str">
            <v/>
          </cell>
          <cell r="H590">
            <v>1.44696</v>
          </cell>
        </row>
        <row r="591">
          <cell r="B591">
            <v>13509300</v>
          </cell>
          <cell r="C591" t="str">
            <v>CLIP</v>
          </cell>
          <cell r="D591" t="str">
            <v>13509300    -    TAPE ON CLIP    -    0.17687</v>
          </cell>
          <cell r="F591">
            <v>0.17687</v>
          </cell>
          <cell r="G591" t="str">
            <v/>
          </cell>
          <cell r="H591">
            <v>0.17687</v>
          </cell>
        </row>
        <row r="592">
          <cell r="B592" t="str">
            <v>152-75266</v>
          </cell>
          <cell r="C592" t="str">
            <v>CLIP</v>
          </cell>
          <cell r="D592" t="str">
            <v>152-75266    -    SOCKET    -    0.237</v>
          </cell>
          <cell r="F592">
            <v>0.23699999999999999</v>
          </cell>
          <cell r="G592" t="str">
            <v/>
          </cell>
          <cell r="H592">
            <v>0.23699999999999999</v>
          </cell>
        </row>
        <row r="593">
          <cell r="B593" t="str">
            <v>152-75268</v>
          </cell>
          <cell r="C593" t="str">
            <v>CLIP</v>
          </cell>
          <cell r="D593" t="str">
            <v>152-75268    -    COVER    -    0.419</v>
          </cell>
          <cell r="F593">
            <v>0.41899999999999998</v>
          </cell>
          <cell r="G593" t="str">
            <v/>
          </cell>
          <cell r="H593">
            <v>0.41899999999999998</v>
          </cell>
        </row>
        <row r="594">
          <cell r="B594" t="str">
            <v>152-78012</v>
          </cell>
          <cell r="C594" t="str">
            <v>CLIP</v>
          </cell>
          <cell r="D594" t="str">
            <v>152-78012    -    STATIONARY RING (NO GRAPHICS)    -    0.312</v>
          </cell>
          <cell r="F594">
            <v>0.312</v>
          </cell>
          <cell r="G594" t="str">
            <v/>
          </cell>
          <cell r="H594">
            <v>0.312</v>
          </cell>
        </row>
        <row r="595">
          <cell r="B595">
            <v>15303535</v>
          </cell>
          <cell r="C595" t="str">
            <v>CLIP</v>
          </cell>
          <cell r="D595" t="str">
            <v>15303535    -    LOCK TPA M/P 280 BLU    -    0.019609</v>
          </cell>
          <cell r="F595">
            <v>1.9609000000000001E-2</v>
          </cell>
          <cell r="G595" t="str">
            <v/>
          </cell>
          <cell r="H595">
            <v>1.9609000000000001E-2</v>
          </cell>
        </row>
        <row r="596">
          <cell r="B596">
            <v>15304842</v>
          </cell>
          <cell r="C596" t="str">
            <v>CLIP</v>
          </cell>
          <cell r="D596" t="str">
            <v>15304842    -    LOCK TPA GT 150 280 BLU    -    0.046516</v>
          </cell>
          <cell r="F596">
            <v>4.6516000000000002E-2</v>
          </cell>
          <cell r="G596" t="str">
            <v/>
          </cell>
          <cell r="H596">
            <v>4.6516000000000002E-2</v>
          </cell>
        </row>
        <row r="597">
          <cell r="B597">
            <v>15304933</v>
          </cell>
          <cell r="C597" t="str">
            <v>CLIP</v>
          </cell>
          <cell r="D597" t="str">
            <v>15304933    -    (A114) CHANNEL REAR SEAT    -    1.5</v>
          </cell>
          <cell r="F597">
            <v>1.5</v>
          </cell>
          <cell r="G597" t="str">
            <v/>
          </cell>
          <cell r="H597">
            <v>1.5</v>
          </cell>
        </row>
        <row r="598">
          <cell r="B598">
            <v>15305028</v>
          </cell>
          <cell r="C598" t="str">
            <v>CLIP</v>
          </cell>
          <cell r="D598" t="str">
            <v>15305028    -    LOCK TPA GT 150 GRA MD    -    0.020104</v>
          </cell>
          <cell r="F598">
            <v>2.0104E-2</v>
          </cell>
          <cell r="G598" t="str">
            <v/>
          </cell>
          <cell r="H598">
            <v>2.0104E-2</v>
          </cell>
        </row>
        <row r="599">
          <cell r="B599">
            <v>15305169</v>
          </cell>
          <cell r="C599" t="str">
            <v>CLIP</v>
          </cell>
          <cell r="D599" t="str">
            <v>15305169    -    SEAL CONN CAVITY PLUG ORN    -    0.006817</v>
          </cell>
          <cell r="F599">
            <v>6.8170000000000001E-3</v>
          </cell>
          <cell r="G599" t="str">
            <v/>
          </cell>
          <cell r="H599">
            <v>6.8170000000000001E-3</v>
          </cell>
        </row>
        <row r="600">
          <cell r="B600">
            <v>15305542</v>
          </cell>
          <cell r="C600" t="str">
            <v>CLIP</v>
          </cell>
          <cell r="D600" t="str">
            <v>15305542    -    PLASTIC CLIP    -    0.027243</v>
          </cell>
          <cell r="F600">
            <v>2.7243E-2</v>
          </cell>
          <cell r="G600" t="str">
            <v/>
          </cell>
          <cell r="H600">
            <v>2.7243E-2</v>
          </cell>
        </row>
        <row r="601">
          <cell r="B601">
            <v>15305550</v>
          </cell>
          <cell r="C601" t="str">
            <v>CLIP</v>
          </cell>
          <cell r="D601" t="str">
            <v>15305550    -    CHANNEL    -    0.308328</v>
          </cell>
          <cell r="F601">
            <v>0.30832799999999999</v>
          </cell>
          <cell r="G601" t="str">
            <v/>
          </cell>
          <cell r="H601">
            <v>0.30832799999999999</v>
          </cell>
        </row>
        <row r="602">
          <cell r="B602">
            <v>15316302</v>
          </cell>
          <cell r="C602" t="str">
            <v>CLIP</v>
          </cell>
          <cell r="D602" t="str">
            <v>15316302    -    CLIP BELT    -    0.1118</v>
          </cell>
          <cell r="F602">
            <v>0.1118</v>
          </cell>
          <cell r="G602" t="str">
            <v/>
          </cell>
          <cell r="H602">
            <v>0.1118</v>
          </cell>
        </row>
        <row r="603">
          <cell r="B603">
            <v>15316357</v>
          </cell>
          <cell r="C603" t="str">
            <v>CLIP</v>
          </cell>
          <cell r="D603" t="str">
            <v>15316357    -    RECEPTACLE 8-WAY    -    6.24</v>
          </cell>
          <cell r="F603">
            <v>6.24</v>
          </cell>
          <cell r="G603" t="str">
            <v/>
          </cell>
          <cell r="H603">
            <v>6.24</v>
          </cell>
        </row>
        <row r="604">
          <cell r="B604">
            <v>15316426</v>
          </cell>
          <cell r="C604" t="str">
            <v>CLIP</v>
          </cell>
          <cell r="D604" t="str">
            <v>15316426    -    JUNCTION BLOCK    -    2.67</v>
          </cell>
          <cell r="F604">
            <v>2.67</v>
          </cell>
          <cell r="G604" t="str">
            <v/>
          </cell>
          <cell r="H604">
            <v>2.67</v>
          </cell>
        </row>
        <row r="605">
          <cell r="B605">
            <v>15316432</v>
          </cell>
          <cell r="C605" t="str">
            <v>CLIP</v>
          </cell>
          <cell r="D605" t="str">
            <v>15316432    -    ACC2, CHANNEL-R    -    0.4563</v>
          </cell>
          <cell r="F605">
            <v>0.45629999999999998</v>
          </cell>
          <cell r="G605" t="str">
            <v/>
          </cell>
          <cell r="H605">
            <v>0.45629999999999998</v>
          </cell>
        </row>
        <row r="606">
          <cell r="B606">
            <v>15316434</v>
          </cell>
          <cell r="C606" t="str">
            <v>CLIP</v>
          </cell>
          <cell r="D606" t="str">
            <v>15316434    -    CLIP,    -    0.0488</v>
          </cell>
          <cell r="F606">
            <v>4.8800000000000003E-2</v>
          </cell>
          <cell r="G606" t="str">
            <v/>
          </cell>
          <cell r="H606">
            <v>4.8800000000000003E-2</v>
          </cell>
        </row>
        <row r="607">
          <cell r="B607">
            <v>15316626</v>
          </cell>
          <cell r="C607" t="str">
            <v>CLIP</v>
          </cell>
          <cell r="D607" t="str">
            <v>15316626    -    SEC. LOCK    -    0.18</v>
          </cell>
          <cell r="F607">
            <v>0.18</v>
          </cell>
          <cell r="G607" t="str">
            <v/>
          </cell>
          <cell r="H607">
            <v>0.18</v>
          </cell>
        </row>
        <row r="608">
          <cell r="B608">
            <v>15316833</v>
          </cell>
          <cell r="C608" t="str">
            <v>CLIP</v>
          </cell>
          <cell r="D608" t="str">
            <v>15316833    -    TIES, CBL    -    0.289526</v>
          </cell>
          <cell r="F608">
            <v>0.28952600000000001</v>
          </cell>
          <cell r="G608" t="str">
            <v/>
          </cell>
          <cell r="H608">
            <v>0.28952600000000001</v>
          </cell>
        </row>
        <row r="609">
          <cell r="B609">
            <v>15316861</v>
          </cell>
          <cell r="C609" t="str">
            <v>CLIP</v>
          </cell>
          <cell r="D609" t="str">
            <v>15316861    -    PLUG    -    6.57</v>
          </cell>
          <cell r="F609">
            <v>6.57</v>
          </cell>
          <cell r="G609" t="str">
            <v/>
          </cell>
          <cell r="H609">
            <v>6.57</v>
          </cell>
        </row>
        <row r="610">
          <cell r="B610">
            <v>15316894</v>
          </cell>
          <cell r="C610" t="str">
            <v>CLIP</v>
          </cell>
          <cell r="D610" t="str">
            <v>15316894    -    SEAL CONN CAVITY PLUG    -    0.0123</v>
          </cell>
          <cell r="F610">
            <v>1.23E-2</v>
          </cell>
          <cell r="G610" t="str">
            <v/>
          </cell>
          <cell r="H610">
            <v>1.23E-2</v>
          </cell>
        </row>
        <row r="611">
          <cell r="B611">
            <v>15316913</v>
          </cell>
          <cell r="C611" t="str">
            <v>CLIP</v>
          </cell>
          <cell r="D611" t="str">
            <v>15316913    -    RECEPTACLE    -    6.37</v>
          </cell>
          <cell r="F611">
            <v>6.37</v>
          </cell>
          <cell r="G611" t="str">
            <v/>
          </cell>
          <cell r="H611">
            <v>6.37</v>
          </cell>
        </row>
        <row r="612">
          <cell r="B612">
            <v>15316953</v>
          </cell>
          <cell r="C612" t="str">
            <v>CLIP</v>
          </cell>
          <cell r="D612" t="str">
            <v>15316953    -    WASHER    -    0.23</v>
          </cell>
          <cell r="F612">
            <v>0.23</v>
          </cell>
          <cell r="G612" t="str">
            <v/>
          </cell>
          <cell r="H612">
            <v>0.23</v>
          </cell>
        </row>
        <row r="613">
          <cell r="B613">
            <v>15317013</v>
          </cell>
          <cell r="C613" t="str">
            <v>CLIP</v>
          </cell>
          <cell r="D613" t="str">
            <v>15317013    -    CAP    -    0.0221</v>
          </cell>
          <cell r="F613">
            <v>2.2100000000000002E-2</v>
          </cell>
          <cell r="G613" t="str">
            <v/>
          </cell>
          <cell r="H613">
            <v>2.2100000000000002E-2</v>
          </cell>
        </row>
        <row r="614">
          <cell r="B614">
            <v>15317067</v>
          </cell>
          <cell r="C614" t="str">
            <v>CLIP</v>
          </cell>
          <cell r="D614" t="str">
            <v>15317067    -    CLIP    -    0.012151</v>
          </cell>
          <cell r="F614">
            <v>1.2151E-2</v>
          </cell>
          <cell r="G614" t="str">
            <v/>
          </cell>
          <cell r="H614">
            <v>1.2151E-2</v>
          </cell>
        </row>
        <row r="615">
          <cell r="B615">
            <v>15317137</v>
          </cell>
          <cell r="C615" t="str">
            <v>CLIP</v>
          </cell>
          <cell r="D615" t="str">
            <v>15317137    -    WEDGE    -    0.0578</v>
          </cell>
          <cell r="F615">
            <v>5.7799999999999997E-2</v>
          </cell>
          <cell r="G615" t="str">
            <v/>
          </cell>
          <cell r="H615">
            <v>5.7799999999999997E-2</v>
          </cell>
        </row>
        <row r="616">
          <cell r="B616">
            <v>15317225</v>
          </cell>
          <cell r="C616" t="str">
            <v>CLIP</v>
          </cell>
          <cell r="D616" t="str">
            <v>15317225    -    RECEPTACLE/CONN    -    7.46</v>
          </cell>
          <cell r="F616">
            <v>7.46</v>
          </cell>
          <cell r="G616" t="str">
            <v/>
          </cell>
          <cell r="H616">
            <v>7.46</v>
          </cell>
        </row>
        <row r="617">
          <cell r="B617">
            <v>15317258</v>
          </cell>
          <cell r="C617" t="str">
            <v>CLIP</v>
          </cell>
          <cell r="D617" t="str">
            <v>15317258    -    SPACER    -    0.0084</v>
          </cell>
          <cell r="F617">
            <v>8.3999999999999995E-3</v>
          </cell>
          <cell r="G617" t="str">
            <v/>
          </cell>
          <cell r="H617">
            <v>8.3999999999999995E-3</v>
          </cell>
        </row>
        <row r="618">
          <cell r="B618">
            <v>15317336</v>
          </cell>
          <cell r="C618" t="str">
            <v>CLIP</v>
          </cell>
          <cell r="D618" t="str">
            <v>15317336    -    PLASTIC CLAMP    -    0.068</v>
          </cell>
          <cell r="F618">
            <v>6.8000000000000005E-2</v>
          </cell>
          <cell r="G618" t="str">
            <v/>
          </cell>
          <cell r="H618">
            <v>6.8000000000000005E-2</v>
          </cell>
        </row>
        <row r="619">
          <cell r="B619">
            <v>15317657</v>
          </cell>
          <cell r="C619" t="str">
            <v>CLIP</v>
          </cell>
          <cell r="D619" t="str">
            <v>15317657    -    ACC2, CHANNEL    -    0.4528</v>
          </cell>
          <cell r="F619">
            <v>0.45279999999999998</v>
          </cell>
          <cell r="G619" t="str">
            <v/>
          </cell>
          <cell r="H619">
            <v>0.45279999999999998</v>
          </cell>
        </row>
        <row r="620">
          <cell r="B620">
            <v>15317658</v>
          </cell>
          <cell r="C620" t="str">
            <v>CLIP</v>
          </cell>
          <cell r="D620" t="str">
            <v>15317658    -    ACC2, COVER CHANNEL    -    0.33529</v>
          </cell>
          <cell r="F620">
            <v>0.33528999999999998</v>
          </cell>
          <cell r="G620" t="str">
            <v/>
          </cell>
          <cell r="H620">
            <v>0.33528999999999998</v>
          </cell>
        </row>
        <row r="621">
          <cell r="B621">
            <v>15317856</v>
          </cell>
          <cell r="C621" t="str">
            <v>CLIP</v>
          </cell>
          <cell r="D621" t="str">
            <v>15317856    -    MOUN CLIP CDT 22MM NAIL    -    0.0575</v>
          </cell>
          <cell r="F621">
            <v>5.7500000000000002E-2</v>
          </cell>
          <cell r="G621" t="str">
            <v/>
          </cell>
          <cell r="H621">
            <v>5.7500000000000002E-2</v>
          </cell>
        </row>
        <row r="622">
          <cell r="B622">
            <v>15317990</v>
          </cell>
          <cell r="C622" t="str">
            <v>CLIP</v>
          </cell>
          <cell r="D622" t="str">
            <v>15317990    -    CONDUIT CLIP    -    0.0597</v>
          </cell>
          <cell r="F622">
            <v>5.9700000000000003E-2</v>
          </cell>
          <cell r="G622" t="str">
            <v/>
          </cell>
          <cell r="H622">
            <v>5.9700000000000003E-2</v>
          </cell>
        </row>
        <row r="623">
          <cell r="B623">
            <v>15318232</v>
          </cell>
          <cell r="C623" t="str">
            <v>CLIP</v>
          </cell>
          <cell r="D623" t="str">
            <v>15318232    -    SECONDARY LOCK    -    0.043854</v>
          </cell>
          <cell r="F623">
            <v>4.3853999999999997E-2</v>
          </cell>
          <cell r="G623" t="str">
            <v/>
          </cell>
          <cell r="H623">
            <v>4.3853999999999997E-2</v>
          </cell>
        </row>
        <row r="624">
          <cell r="B624">
            <v>15318269</v>
          </cell>
          <cell r="C624" t="str">
            <v>CLIP</v>
          </cell>
          <cell r="D624" t="str">
            <v>15318269    -    SECONDARY LOCK (TPA)3W    -    0.043854</v>
          </cell>
          <cell r="F624">
            <v>4.3853999999999997E-2</v>
          </cell>
          <cell r="G624" t="str">
            <v/>
          </cell>
          <cell r="H624">
            <v>4.3853999999999997E-2</v>
          </cell>
        </row>
        <row r="625">
          <cell r="B625">
            <v>15319645</v>
          </cell>
          <cell r="C625" t="str">
            <v>CLIP</v>
          </cell>
          <cell r="D625" t="str">
            <v>15319645    -    SPLASH SHIELD    -    0.7239</v>
          </cell>
          <cell r="F625">
            <v>0.72389999999999999</v>
          </cell>
          <cell r="G625" t="str">
            <v/>
          </cell>
          <cell r="H625">
            <v>0.72389999999999999</v>
          </cell>
        </row>
        <row r="626">
          <cell r="B626">
            <v>15324006</v>
          </cell>
          <cell r="C626" t="str">
            <v>CLIP</v>
          </cell>
          <cell r="D626" t="str">
            <v>15324006    -    WIRE STRAP    -    0.0987</v>
          </cell>
          <cell r="F626">
            <v>9.8699999999999996E-2</v>
          </cell>
          <cell r="G626" t="str">
            <v/>
          </cell>
          <cell r="H626">
            <v>9.8699999999999996E-2</v>
          </cell>
        </row>
        <row r="627">
          <cell r="B627">
            <v>15324045</v>
          </cell>
          <cell r="C627" t="str">
            <v>CLIP</v>
          </cell>
          <cell r="D627" t="str">
            <v>15324045    -    CLIP    -    0.0356</v>
          </cell>
          <cell r="F627">
            <v>3.56E-2</v>
          </cell>
          <cell r="G627" t="str">
            <v/>
          </cell>
          <cell r="H627">
            <v>3.56E-2</v>
          </cell>
        </row>
        <row r="628">
          <cell r="B628">
            <v>15324067</v>
          </cell>
          <cell r="C628" t="str">
            <v>CLIP</v>
          </cell>
          <cell r="D628" t="str">
            <v>15324067    -    P.P. STICK    -    0.0139</v>
          </cell>
          <cell r="F628">
            <v>1.3899999999999999E-2</v>
          </cell>
          <cell r="G628" t="str">
            <v/>
          </cell>
          <cell r="H628">
            <v>1.3899999999999999E-2</v>
          </cell>
        </row>
        <row r="629">
          <cell r="B629">
            <v>15324121</v>
          </cell>
          <cell r="C629" t="str">
            <v>CLIP</v>
          </cell>
          <cell r="D629" t="str">
            <v>15324121    -    WIRE TIE    -    0.0313</v>
          </cell>
          <cell r="F629">
            <v>3.1300000000000001E-2</v>
          </cell>
          <cell r="G629" t="str">
            <v/>
          </cell>
          <cell r="H629">
            <v>3.1300000000000001E-2</v>
          </cell>
        </row>
        <row r="630">
          <cell r="B630">
            <v>15324217</v>
          </cell>
          <cell r="C630" t="str">
            <v>CLIP</v>
          </cell>
          <cell r="D630" t="str">
            <v>15324217    -    CLIP    -    0.0363</v>
          </cell>
          <cell r="F630">
            <v>3.6299999999999999E-2</v>
          </cell>
          <cell r="G630" t="str">
            <v/>
          </cell>
          <cell r="H630">
            <v>3.6299999999999999E-2</v>
          </cell>
        </row>
        <row r="631">
          <cell r="B631">
            <v>15324224</v>
          </cell>
          <cell r="C631" t="str">
            <v>CLIP</v>
          </cell>
          <cell r="D631" t="str">
            <v>15324224    -    CLIP    -    0.0749</v>
          </cell>
          <cell r="F631">
            <v>7.4899999999999994E-2</v>
          </cell>
          <cell r="G631" t="str">
            <v/>
          </cell>
          <cell r="H631">
            <v>7.4899999999999994E-2</v>
          </cell>
        </row>
        <row r="632">
          <cell r="B632">
            <v>15324231</v>
          </cell>
          <cell r="C632" t="str">
            <v>CLIP</v>
          </cell>
          <cell r="D632" t="str">
            <v>15324231    -    TIE STRAP    -    0.0895</v>
          </cell>
          <cell r="F632">
            <v>8.9499999999999996E-2</v>
          </cell>
          <cell r="G632" t="str">
            <v/>
          </cell>
          <cell r="H632">
            <v>8.9499999999999996E-2</v>
          </cell>
        </row>
        <row r="633">
          <cell r="B633">
            <v>15324232</v>
          </cell>
          <cell r="C633" t="str">
            <v>CLIP</v>
          </cell>
          <cell r="D633" t="str">
            <v>15324232    -    FIR TREE CLIP    -    0.04147</v>
          </cell>
          <cell r="F633">
            <v>4.147E-2</v>
          </cell>
          <cell r="G633" t="str">
            <v/>
          </cell>
          <cell r="H633">
            <v>4.147E-2</v>
          </cell>
        </row>
        <row r="634">
          <cell r="B634">
            <v>15324233</v>
          </cell>
          <cell r="C634" t="str">
            <v>CLIP</v>
          </cell>
          <cell r="D634" t="str">
            <v>15324233    -    TIE STRAP    -    0.0643</v>
          </cell>
          <cell r="F634">
            <v>6.4299999999999996E-2</v>
          </cell>
          <cell r="G634" t="str">
            <v/>
          </cell>
          <cell r="H634">
            <v>6.4299999999999996E-2</v>
          </cell>
        </row>
        <row r="635">
          <cell r="B635">
            <v>15324234</v>
          </cell>
          <cell r="C635" t="str">
            <v>CLIP</v>
          </cell>
          <cell r="D635" t="str">
            <v>15324234    -    TIE STRAP    -    0.03113</v>
          </cell>
          <cell r="F635">
            <v>3.1130000000000001E-2</v>
          </cell>
          <cell r="G635" t="str">
            <v/>
          </cell>
          <cell r="H635">
            <v>3.1130000000000001E-2</v>
          </cell>
        </row>
        <row r="636">
          <cell r="B636">
            <v>15324371</v>
          </cell>
          <cell r="C636" t="str">
            <v>CLIP</v>
          </cell>
          <cell r="D636" t="str">
            <v>15324371    -    CLIP(PLASTIC)    -    0.0168</v>
          </cell>
          <cell r="F636">
            <v>1.6799999999999999E-2</v>
          </cell>
          <cell r="G636" t="str">
            <v/>
          </cell>
          <cell r="H636">
            <v>1.6799999999999999E-2</v>
          </cell>
        </row>
        <row r="637">
          <cell r="B637">
            <v>15324430</v>
          </cell>
          <cell r="C637" t="str">
            <v>CLIP</v>
          </cell>
          <cell r="D637" t="str">
            <v>15324430    -    TIE CLIP    -    0.0379</v>
          </cell>
          <cell r="F637">
            <v>3.7900000000000003E-2</v>
          </cell>
          <cell r="G637" t="str">
            <v/>
          </cell>
          <cell r="H637">
            <v>3.7900000000000003E-2</v>
          </cell>
        </row>
        <row r="638">
          <cell r="B638">
            <v>15324453</v>
          </cell>
          <cell r="C638" t="str">
            <v>CLIP</v>
          </cell>
          <cell r="D638" t="str">
            <v>15324453    -    CABLE TIE    -    0.009025</v>
          </cell>
          <cell r="F638">
            <v>9.025E-3</v>
          </cell>
          <cell r="G638" t="str">
            <v/>
          </cell>
          <cell r="H638">
            <v>9.025E-3</v>
          </cell>
        </row>
        <row r="639">
          <cell r="B639">
            <v>15324454</v>
          </cell>
          <cell r="C639" t="str">
            <v>CLIP</v>
          </cell>
          <cell r="D639" t="str">
            <v>15324454    -    CABLE TIE    -    0.009025</v>
          </cell>
          <cell r="F639">
            <v>9.025E-3</v>
          </cell>
          <cell r="G639" t="str">
            <v/>
          </cell>
          <cell r="H639">
            <v>9.025E-3</v>
          </cell>
        </row>
        <row r="640">
          <cell r="B640">
            <v>15324682</v>
          </cell>
          <cell r="C640" t="str">
            <v>CLIP</v>
          </cell>
          <cell r="D640" t="str">
            <v>15324682    -    CABLE TIE    -    0.012825</v>
          </cell>
          <cell r="F640">
            <v>1.2825E-2</v>
          </cell>
          <cell r="G640" t="str">
            <v/>
          </cell>
          <cell r="H640">
            <v>1.2825E-2</v>
          </cell>
        </row>
        <row r="641">
          <cell r="B641">
            <v>15324807</v>
          </cell>
          <cell r="C641" t="str">
            <v>CLIP</v>
          </cell>
          <cell r="D641" t="str">
            <v>15324807    -    ROSEBUD CLIP    -    0.036972</v>
          </cell>
          <cell r="F641">
            <v>3.6971999999999998E-2</v>
          </cell>
          <cell r="G641" t="str">
            <v/>
          </cell>
          <cell r="H641">
            <v>3.6971999999999998E-2</v>
          </cell>
        </row>
        <row r="642">
          <cell r="B642">
            <v>15324941</v>
          </cell>
          <cell r="C642" t="str">
            <v>CLIP</v>
          </cell>
          <cell r="D642" t="str">
            <v>15324941    -    CLIP    -    0.0113</v>
          </cell>
          <cell r="F642">
            <v>1.1299999999999999E-2</v>
          </cell>
          <cell r="G642" t="str">
            <v/>
          </cell>
          <cell r="H642">
            <v>1.1299999999999999E-2</v>
          </cell>
        </row>
        <row r="643">
          <cell r="B643">
            <v>15326600</v>
          </cell>
          <cell r="C643" t="str">
            <v>CLIP</v>
          </cell>
          <cell r="D643" t="str">
            <v>15326600    -    CLIP WIRE TIE    -    0.06359</v>
          </cell>
          <cell r="F643">
            <v>6.3589999999999994E-2</v>
          </cell>
          <cell r="G643" t="str">
            <v/>
          </cell>
          <cell r="H643">
            <v>6.3589999999999994E-2</v>
          </cell>
        </row>
        <row r="644">
          <cell r="B644">
            <v>15326712</v>
          </cell>
          <cell r="C644" t="str">
            <v>CLIP</v>
          </cell>
          <cell r="D644" t="str">
            <v>15326712    -    CLIP    -    0.0552</v>
          </cell>
          <cell r="F644">
            <v>5.5199999999999999E-2</v>
          </cell>
          <cell r="G644" t="str">
            <v/>
          </cell>
          <cell r="H644">
            <v>5.5199999999999999E-2</v>
          </cell>
        </row>
        <row r="645">
          <cell r="B645">
            <v>15327035</v>
          </cell>
          <cell r="C645" t="str">
            <v>CLIP</v>
          </cell>
          <cell r="D645" t="str">
            <v>15327035    -    PLASTIC    -    0.072993</v>
          </cell>
          <cell r="F645">
            <v>7.2993000000000002E-2</v>
          </cell>
          <cell r="G645" t="str">
            <v/>
          </cell>
          <cell r="H645">
            <v>7.2993000000000002E-2</v>
          </cell>
        </row>
        <row r="646">
          <cell r="B646">
            <v>15327037</v>
          </cell>
          <cell r="C646" t="str">
            <v>CLIP</v>
          </cell>
          <cell r="D646" t="str">
            <v>15327037    -    CLIP    -    0.088248</v>
          </cell>
          <cell r="F646">
            <v>8.8247999999999993E-2</v>
          </cell>
          <cell r="G646" t="str">
            <v/>
          </cell>
          <cell r="H646">
            <v>8.8247999999999993E-2</v>
          </cell>
        </row>
        <row r="647">
          <cell r="B647">
            <v>15327044</v>
          </cell>
          <cell r="C647" t="str">
            <v>CLIP</v>
          </cell>
          <cell r="D647" t="str">
            <v>15327044    -    CLIP    -    0.112401</v>
          </cell>
          <cell r="F647">
            <v>0.112401</v>
          </cell>
          <cell r="G647" t="str">
            <v/>
          </cell>
          <cell r="H647">
            <v>0.112401</v>
          </cell>
        </row>
        <row r="648">
          <cell r="B648">
            <v>15327114</v>
          </cell>
          <cell r="C648" t="str">
            <v>CLIP</v>
          </cell>
          <cell r="D648" t="str">
            <v>15327114    -    CABLE TIE ZSB    -    0.145811</v>
          </cell>
          <cell r="F648">
            <v>0.145811</v>
          </cell>
          <cell r="G648" t="str">
            <v/>
          </cell>
          <cell r="H648">
            <v>0.145811</v>
          </cell>
        </row>
        <row r="649">
          <cell r="B649">
            <v>15327193</v>
          </cell>
          <cell r="C649" t="str">
            <v>CLIP</v>
          </cell>
          <cell r="D649" t="str">
            <v>15327193    -    TPA    -    0.060046</v>
          </cell>
          <cell r="F649">
            <v>6.0046000000000002E-2</v>
          </cell>
          <cell r="G649" t="str">
            <v/>
          </cell>
          <cell r="H649">
            <v>6.0046000000000002E-2</v>
          </cell>
        </row>
        <row r="650">
          <cell r="B650">
            <v>15327199</v>
          </cell>
          <cell r="C650" t="str">
            <v>CLIP</v>
          </cell>
          <cell r="D650" t="str">
            <v>15327199    -    15327199    -    0.077991</v>
          </cell>
          <cell r="F650">
            <v>7.7991000000000005E-2</v>
          </cell>
          <cell r="G650" t="str">
            <v/>
          </cell>
          <cell r="H650">
            <v>7.7991000000000005E-2</v>
          </cell>
        </row>
        <row r="651">
          <cell r="B651">
            <v>15327200</v>
          </cell>
          <cell r="C651" t="str">
            <v>CLIP</v>
          </cell>
          <cell r="D651" t="str">
            <v>15327200    -    15327200    -    0.064173</v>
          </cell>
          <cell r="F651">
            <v>6.4172999999999994E-2</v>
          </cell>
          <cell r="G651" t="str">
            <v/>
          </cell>
          <cell r="H651">
            <v>6.4172999999999994E-2</v>
          </cell>
        </row>
        <row r="652">
          <cell r="B652">
            <v>15327201</v>
          </cell>
          <cell r="C652" t="str">
            <v>CLIP</v>
          </cell>
          <cell r="D652" t="str">
            <v>15327201    -    15327201    -    0.05583</v>
          </cell>
          <cell r="F652">
            <v>5.5829999999999998E-2</v>
          </cell>
          <cell r="G652" t="str">
            <v/>
          </cell>
          <cell r="H652">
            <v>5.5829999999999998E-2</v>
          </cell>
        </row>
        <row r="653">
          <cell r="B653">
            <v>15327203</v>
          </cell>
          <cell r="C653" t="str">
            <v>CLIP</v>
          </cell>
          <cell r="D653" t="str">
            <v>15327203    -    15327203    -    0.08451</v>
          </cell>
          <cell r="F653">
            <v>8.4510000000000002E-2</v>
          </cell>
          <cell r="G653" t="str">
            <v/>
          </cell>
          <cell r="H653">
            <v>8.4510000000000002E-2</v>
          </cell>
        </row>
        <row r="654">
          <cell r="B654">
            <v>15327288</v>
          </cell>
          <cell r="C654" t="str">
            <v>CLIP</v>
          </cell>
          <cell r="D654" t="str">
            <v>15327288    -    T80RSFT-BK    -    0.028465</v>
          </cell>
          <cell r="F654">
            <v>2.8465000000000001E-2</v>
          </cell>
          <cell r="G654" t="str">
            <v/>
          </cell>
          <cell r="H654">
            <v>2.8465000000000001E-2</v>
          </cell>
        </row>
        <row r="655">
          <cell r="B655">
            <v>15327477</v>
          </cell>
          <cell r="C655" t="str">
            <v>CLIP</v>
          </cell>
          <cell r="D655" t="str">
            <v>15327477    -    CLIP LAMPE    -    0.029686</v>
          </cell>
          <cell r="F655">
            <v>2.9686000000000001E-2</v>
          </cell>
          <cell r="G655" t="str">
            <v/>
          </cell>
          <cell r="H655">
            <v>2.9686000000000001E-2</v>
          </cell>
        </row>
        <row r="656">
          <cell r="B656">
            <v>15327532</v>
          </cell>
          <cell r="C656" t="str">
            <v>CLIP</v>
          </cell>
          <cell r="D656" t="str">
            <v>15327532    -    T50SSB5-BK    -    0.038592</v>
          </cell>
          <cell r="F656">
            <v>3.8592000000000001E-2</v>
          </cell>
          <cell r="G656" t="str">
            <v/>
          </cell>
          <cell r="H656">
            <v>3.8592000000000001E-2</v>
          </cell>
        </row>
        <row r="657">
          <cell r="B657">
            <v>15327538</v>
          </cell>
          <cell r="C657" t="str">
            <v>CLIP</v>
          </cell>
          <cell r="D657" t="str">
            <v>15327538    -    CABLE TIE BLACK    -    0.049531</v>
          </cell>
          <cell r="F657">
            <v>4.9530999999999999E-2</v>
          </cell>
          <cell r="G657" t="str">
            <v/>
          </cell>
          <cell r="H657">
            <v>4.9530999999999999E-2</v>
          </cell>
        </row>
        <row r="658">
          <cell r="B658">
            <v>15327569</v>
          </cell>
          <cell r="C658" t="str">
            <v>CLIP</v>
          </cell>
          <cell r="D658" t="str">
            <v>15327569    -    CLIP, HARN BLK    -    0.019134</v>
          </cell>
          <cell r="F658">
            <v>1.9134000000000002E-2</v>
          </cell>
          <cell r="G658" t="str">
            <v/>
          </cell>
          <cell r="H658">
            <v>1.9134000000000002E-2</v>
          </cell>
        </row>
        <row r="659">
          <cell r="B659">
            <v>15327641</v>
          </cell>
          <cell r="C659" t="str">
            <v>CLIP</v>
          </cell>
          <cell r="D659" t="str">
            <v>15327641    -    CABLE TIE    -    0.03555</v>
          </cell>
          <cell r="F659">
            <v>3.5549999999999998E-2</v>
          </cell>
          <cell r="G659" t="str">
            <v/>
          </cell>
          <cell r="H659">
            <v>3.5549999999999998E-2</v>
          </cell>
        </row>
        <row r="660">
          <cell r="B660">
            <v>15327670</v>
          </cell>
          <cell r="C660" t="str">
            <v>CLIP</v>
          </cell>
          <cell r="D660" t="str">
            <v>15327670    -    15327670    -    0.069438</v>
          </cell>
          <cell r="F660">
            <v>6.9438E-2</v>
          </cell>
          <cell r="G660" t="str">
            <v/>
          </cell>
          <cell r="H660">
            <v>6.9438E-2</v>
          </cell>
        </row>
        <row r="661">
          <cell r="B661">
            <v>15327688</v>
          </cell>
          <cell r="C661" t="str">
            <v>CLIP</v>
          </cell>
          <cell r="D661" t="str">
            <v>15327688    -    15327688    -    0.08451</v>
          </cell>
          <cell r="F661">
            <v>8.4510000000000002E-2</v>
          </cell>
          <cell r="G661" t="str">
            <v/>
          </cell>
          <cell r="H661">
            <v>8.4510000000000002E-2</v>
          </cell>
        </row>
        <row r="662">
          <cell r="B662">
            <v>15327690</v>
          </cell>
          <cell r="C662" t="str">
            <v>CLIP</v>
          </cell>
          <cell r="D662" t="str">
            <v>15327690    -    RUBBER SEAL    -    0.007826</v>
          </cell>
          <cell r="F662">
            <v>7.8259999999999996E-3</v>
          </cell>
          <cell r="G662" t="str">
            <v/>
          </cell>
          <cell r="H662">
            <v>7.8259999999999996E-3</v>
          </cell>
        </row>
        <row r="663">
          <cell r="B663">
            <v>15327719</v>
          </cell>
          <cell r="C663" t="str">
            <v>CLIP</v>
          </cell>
          <cell r="D663" t="str">
            <v>15327719    -    ZUH 1    -    0.030226</v>
          </cell>
        </row>
        <row r="664">
          <cell r="D664" t="str">
            <v>15327740    -    SECONDARY LOCK    -    0.117259</v>
          </cell>
        </row>
        <row r="665">
          <cell r="D665" t="str">
            <v>15327750    -    ZUH-96    -    0.126112</v>
          </cell>
        </row>
        <row r="666">
          <cell r="D666" t="str">
            <v>15327800    -    DC-A 168 546 03 43    -    0.078454</v>
          </cell>
        </row>
        <row r="667">
          <cell r="D667" t="str">
            <v>15327904    -    CLIP    -    0.054919</v>
          </cell>
        </row>
        <row r="668">
          <cell r="D668" t="str">
            <v>15327906    -    CLIP    -    0.03691</v>
          </cell>
        </row>
        <row r="669">
          <cell r="D669" t="str">
            <v>15327907    -    CLIP    -    0.042456</v>
          </cell>
        </row>
        <row r="670">
          <cell r="D670" t="str">
            <v>15327908    -    PLASTIC    -    0.166241</v>
          </cell>
        </row>
        <row r="671">
          <cell r="D671" t="str">
            <v>15327910    -    PLASTIC    -    0.056403</v>
          </cell>
        </row>
        <row r="672">
          <cell r="D672" t="str">
            <v>15327911    -    CLIP    -    0.054886</v>
          </cell>
        </row>
        <row r="673">
          <cell r="D673" t="str">
            <v>15327914    -    WIRE RETAINER    -    0.019525</v>
          </cell>
        </row>
        <row r="674">
          <cell r="D674" t="str">
            <v>15327915    -    PLT.7M-M30    -    0.003623</v>
          </cell>
        </row>
        <row r="675">
          <cell r="D675" t="str">
            <v>15327916    -    PLT2S-M30    -    0.015511</v>
          </cell>
        </row>
        <row r="676">
          <cell r="D676" t="str">
            <v>15327934    -    CABLE CLIP    -    0.020348</v>
          </cell>
        </row>
        <row r="677">
          <cell r="D677" t="str">
            <v>15327938    -    PLASTIC    -    0.090569</v>
          </cell>
        </row>
        <row r="678">
          <cell r="D678" t="str">
            <v>15327969    -    DC-A 168 546 07 43    -    0.096074</v>
          </cell>
        </row>
        <row r="679">
          <cell r="D679" t="str">
            <v>15329074    -    LOCK TPA GT 150 10 GRA    -    0.075564</v>
          </cell>
        </row>
        <row r="680">
          <cell r="D680" t="str">
            <v>15336599    -    CBL TIE CLIP HD    -    0.29587</v>
          </cell>
        </row>
        <row r="681">
          <cell r="D681" t="str">
            <v>15336604    -    CLIP    -    0.04998</v>
          </cell>
        </row>
        <row r="682">
          <cell r="D682" t="str">
            <v>15336765    -    CBL TIE CLIP HD    -    0.30591</v>
          </cell>
        </row>
        <row r="683">
          <cell r="D683" t="str">
            <v>15337187    -    CABLE TIE    -    0.00911</v>
          </cell>
        </row>
        <row r="684">
          <cell r="D684" t="str">
            <v>15337209    -    T30R-W-BK    -    0.008497</v>
          </cell>
        </row>
        <row r="685">
          <cell r="D685" t="str">
            <v>15337496    -    TIES, BAND    -    0.004048</v>
          </cell>
        </row>
        <row r="686">
          <cell r="D686" t="str">
            <v>15337497    -    TIES, CABLE STRAP    -    0.054</v>
          </cell>
        </row>
        <row r="687">
          <cell r="D687" t="str">
            <v>15337498    -    CLIP,    -    0.0825</v>
          </cell>
        </row>
        <row r="688">
          <cell r="D688" t="str">
            <v>15337736    -    CLIP,    -    0.035</v>
          </cell>
        </row>
        <row r="689">
          <cell r="D689" t="str">
            <v>15337743    -    CLIP, BAND BLK    -    0.055292</v>
          </cell>
        </row>
        <row r="690">
          <cell r="D690" t="str">
            <v>15337767    -    CLIP    -    0.074653</v>
          </cell>
        </row>
        <row r="691">
          <cell r="D691" t="str">
            <v>15337794    -    CLIP, BAND BLU    -    0.069969</v>
          </cell>
        </row>
        <row r="692">
          <cell r="D692" t="str">
            <v>15337795    -    CLIP, BAND BLK    -    0.052276</v>
          </cell>
        </row>
        <row r="693">
          <cell r="D693" t="str">
            <v>15337796    -    CLIP, BAND BLK    -    0.148784</v>
          </cell>
        </row>
        <row r="694">
          <cell r="D694" t="str">
            <v>15337816    -    CONNECTOR    -    0.167282</v>
          </cell>
        </row>
        <row r="695">
          <cell r="D695" t="str">
            <v>15337822    -    TIES, BAND     -    0.008096</v>
          </cell>
        </row>
        <row r="696">
          <cell r="D696" t="str">
            <v>15337864    -    CLIP, CONV, CT    -    0.0642</v>
          </cell>
        </row>
        <row r="697">
          <cell r="D697" t="str">
            <v>15337878    -    CLIP, CONN    -    0.243886</v>
          </cell>
        </row>
        <row r="698">
          <cell r="D698" t="str">
            <v>15337880    -    CLIP, BAND     -    0.080424</v>
          </cell>
        </row>
        <row r="699">
          <cell r="D699" t="str">
            <v>15338119    -    CLIP    -    0.133343</v>
          </cell>
        </row>
        <row r="700">
          <cell r="D700" t="str">
            <v>15338266    -    CLIP    -    0.189436</v>
          </cell>
        </row>
        <row r="701">
          <cell r="D701" t="str">
            <v>15338281    -    CLIP    -    0.118784</v>
          </cell>
        </row>
        <row r="702">
          <cell r="D702" t="str">
            <v>15338282    -    CLIP    -    0.185132</v>
          </cell>
        </row>
        <row r="703">
          <cell r="D703" t="str">
            <v>15338434    -    CLIP    -    0.082769</v>
          </cell>
        </row>
        <row r="704">
          <cell r="D704" t="str">
            <v>15338465    -    CLIP, BLK    -    0.022075</v>
          </cell>
        </row>
        <row r="705">
          <cell r="D705" t="str">
            <v>15338467    -    CLIP    -    0.037836</v>
          </cell>
        </row>
        <row r="706">
          <cell r="D706" t="str">
            <v>15338679    -    COVER CONNECTOR    -    0.383851</v>
          </cell>
        </row>
        <row r="707">
          <cell r="D707" t="str">
            <v>15338688    -    HOUSING PA 6.6    -    0.24005</v>
          </cell>
        </row>
        <row r="708">
          <cell r="D708" t="str">
            <v>15338752    -    SPLICE COVER 11W    -    0.057483</v>
          </cell>
        </row>
        <row r="709">
          <cell r="D709" t="str">
            <v>15339237    -    HARDSHELL    -    0.1001</v>
          </cell>
        </row>
        <row r="710">
          <cell r="D710" t="str">
            <v>15339239    -    COVER    -    0.02375</v>
          </cell>
        </row>
        <row r="711">
          <cell r="D711" t="str">
            <v>15339249    -    ACC2, ASM PROTECTOR L    -    1.4398</v>
          </cell>
        </row>
        <row r="712">
          <cell r="D712" t="str">
            <v>15339306    -    BUSHING SNAP    -    0.0636</v>
          </cell>
        </row>
        <row r="713">
          <cell r="D713" t="str">
            <v>15339321    -    RECEPTACLE CONNECTOR    -    6.89</v>
          </cell>
        </row>
        <row r="714">
          <cell r="D714" t="str">
            <v>15339423    -    3-WAY JUN BLK    -    1.33</v>
          </cell>
        </row>
        <row r="715">
          <cell r="D715" t="str">
            <v>15339424    -    4-WAY JUNC BLK    -    1.35</v>
          </cell>
        </row>
        <row r="716">
          <cell r="D716" t="str">
            <v>15339425    -    7 WAY JUNCTION BLK    -    2.66</v>
          </cell>
        </row>
        <row r="717">
          <cell r="D717" t="str">
            <v>15339430    -    SPACER    -    0.01367</v>
          </cell>
        </row>
        <row r="718">
          <cell r="D718" t="str">
            <v>15339461    -    14 WAY JUNCTION BLK    -    2.81</v>
          </cell>
        </row>
        <row r="719">
          <cell r="D719" t="str">
            <v>15339546    -    RECEPTACLE    -    7.28</v>
          </cell>
        </row>
        <row r="720">
          <cell r="D720" t="str">
            <v>15339651    -    CLIP    -    0.06692</v>
          </cell>
        </row>
        <row r="721">
          <cell r="D721" t="str">
            <v>15339676    -    RECEPTTACLE-9 WAY, J1939    -    3.27</v>
          </cell>
        </row>
        <row r="722">
          <cell r="D722" t="str">
            <v>15339840    -    CLIP    -    0.031754</v>
          </cell>
        </row>
        <row r="723">
          <cell r="D723" t="str">
            <v>15339849    -    CLIP GRAY NYLON 3/16    -    0.078</v>
          </cell>
        </row>
        <row r="724">
          <cell r="D724" t="str">
            <v>15339940    -    SEAL    -    0.12</v>
          </cell>
        </row>
        <row r="725">
          <cell r="D725" t="str">
            <v>15339945    -    CABLE TIE    -    0.1046</v>
          </cell>
        </row>
        <row r="726">
          <cell r="D726" t="str">
            <v>15339946    -    T50RSBS5-BK    -    0.065143</v>
          </cell>
        </row>
        <row r="727">
          <cell r="D727" t="str">
            <v>15339948    -    NK CLIP W/TIES (HELL    -    0.0924</v>
          </cell>
        </row>
        <row r="728">
          <cell r="D728" t="str">
            <v>15339968    -    TIES, BAND    -    0.103546</v>
          </cell>
        </row>
        <row r="729">
          <cell r="D729" t="str">
            <v>1534    -    SOCKEL 3015 HELLGRAU    -    0.498587</v>
          </cell>
        </row>
        <row r="730">
          <cell r="D730" t="str">
            <v>15340118    -    CLIP, HARN BLK    -    0.046958</v>
          </cell>
        </row>
        <row r="731">
          <cell r="D731" t="str">
            <v>15340264    -    SEAL CONN CAVITY PLUG WHT    -    0.00958</v>
          </cell>
        </row>
        <row r="732">
          <cell r="D732" t="str">
            <v>15340450    -    HOLDER FOR CABLE CHANNEL    -    0.131184</v>
          </cell>
        </row>
        <row r="733">
          <cell r="D733" t="str">
            <v>15340478    -    COVER    -    1.970058</v>
          </cell>
        </row>
        <row r="734">
          <cell r="D734" t="str">
            <v>15340479    -    CLIP    -    0.013687</v>
          </cell>
        </row>
        <row r="735">
          <cell r="D735" t="str">
            <v>15340921    -    PROTEZIONE PLASTICA FASTEX 773    -    0.229838</v>
          </cell>
        </row>
        <row r="736">
          <cell r="D736" t="str">
            <v>15340931    -    10    -    0.071286</v>
          </cell>
        </row>
        <row r="737">
          <cell r="D737" t="str">
            <v>15341049    -    MOLLETTA    -    0.057707</v>
          </cell>
        </row>
        <row r="738">
          <cell r="D738" t="str">
            <v>15341075    -    T50RHR-NA    -    0.069532</v>
          </cell>
        </row>
        <row r="739">
          <cell r="D739" t="str">
            <v>15341235    -    SPACER    -    0.01095</v>
          </cell>
        </row>
        <row r="740">
          <cell r="D740" t="str">
            <v>15341280    -    T50RDHFT6-BK    -    0.081145</v>
          </cell>
        </row>
        <row r="741">
          <cell r="D741" t="str">
            <v>15341281    -    ZUH-116    -    0.150831</v>
          </cell>
        </row>
        <row r="742">
          <cell r="D742" t="str">
            <v>15342610    -    SEAL CONN CAVITY PLUG GRN    -    0.01066</v>
          </cell>
        </row>
        <row r="743">
          <cell r="D743" t="str">
            <v>15342698    -    CABLE TIE W/CLIP    -    0.1014</v>
          </cell>
        </row>
        <row r="744">
          <cell r="D744" t="str">
            <v>15342698-L    -    CLIP-CLIP    -    0.088653</v>
          </cell>
        </row>
        <row r="745">
          <cell r="D745" t="str">
            <v>15342699    -    T50RDHSFT6.5-BK    -    0.089732</v>
          </cell>
        </row>
        <row r="746">
          <cell r="D746" t="str">
            <v>15342705    -    YCC-T-BK    -    0.106212</v>
          </cell>
        </row>
        <row r="747">
          <cell r="D747" t="str">
            <v>15343098    -    CABLE TIE C/180 MM    -    0.039712</v>
          </cell>
        </row>
        <row r="748">
          <cell r="D748" t="str">
            <v>15343205    -    CLIP, HARN NAT    -    0.050358</v>
          </cell>
        </row>
        <row r="749">
          <cell r="D749" t="str">
            <v>15343269    -    LOCATOR    -    0.036565</v>
          </cell>
        </row>
        <row r="750">
          <cell r="D750" t="str">
            <v>15343492    -    T80RSF6,5F-N46-GY    -    0.053814</v>
          </cell>
        </row>
        <row r="751">
          <cell r="D751" t="str">
            <v>15343612    -    T50RSBH5-BK    -    0.067198</v>
          </cell>
        </row>
        <row r="752">
          <cell r="D752" t="str">
            <v>15343903    -    LOCK PLR 12 RED    -    0.047902</v>
          </cell>
        </row>
        <row r="753">
          <cell r="D753" t="str">
            <v>15345277    -    MOLLETTA ELASTICA    -    0.030083</v>
          </cell>
        </row>
        <row r="754">
          <cell r="D754" t="str">
            <v>15354675    -    SECONDARY LOCK TPA    -    0.081636</v>
          </cell>
        </row>
        <row r="755">
          <cell r="D755" t="str">
            <v>15354963    -    CLIP TAPE ON    -    0.102</v>
          </cell>
        </row>
        <row r="756">
          <cell r="D756" t="str">
            <v>15355023    -    CLIP ON THE STRAP    -    0.35207</v>
          </cell>
        </row>
        <row r="757">
          <cell r="D757" t="str">
            <v>15357143    -    LOCK TPA COMB GRN    -    0.026</v>
          </cell>
        </row>
        <row r="758">
          <cell r="D758" t="str">
            <v>15357144    -    LOCK PLR GT BLU    -    0.01355</v>
          </cell>
        </row>
        <row r="759">
          <cell r="D759" t="str">
            <v>15357145    -    LOCK CPA AXIAL RED    -    0.032</v>
          </cell>
        </row>
        <row r="760">
          <cell r="D760" t="str">
            <v>15358733    -    TIE STRAP    -    0.032</v>
          </cell>
        </row>
        <row r="761">
          <cell r="D761" t="str">
            <v>15358734    -    TIE STRAP    -    0.0055</v>
          </cell>
        </row>
        <row r="762">
          <cell r="D762" t="str">
            <v>15363624    -    CABLE TIE WITH CYLINDER FOOT    -    0.014488</v>
          </cell>
        </row>
        <row r="763">
          <cell r="D763" t="str">
            <v>15363673    -    IT18R-BK    -    0.03036</v>
          </cell>
        </row>
        <row r="764">
          <cell r="D764" t="str">
            <v>15363687    -    T30LL-W-BK    -    0.029011</v>
          </cell>
        </row>
        <row r="765">
          <cell r="D765" t="str">
            <v>15363702    -    HOUSING 2.P. BLACK    -    0.063811</v>
          </cell>
        </row>
        <row r="766">
          <cell r="D766" t="str">
            <v>15363743    -    CLIP    -    0.188346</v>
          </cell>
        </row>
        <row r="767">
          <cell r="D767" t="str">
            <v>15363762    -    T50SKL-BK    -    0.111592</v>
          </cell>
        </row>
        <row r="768">
          <cell r="D768" t="str">
            <v>15363788    -    PLASTIC    -    0.157991</v>
          </cell>
        </row>
        <row r="769">
          <cell r="D769" t="str">
            <v>15363790    -    PLASTIC    -    0.060721</v>
          </cell>
        </row>
        <row r="770">
          <cell r="D770" t="str">
            <v>15363873    -    CABLE TIE    -    0.07155</v>
          </cell>
        </row>
        <row r="771">
          <cell r="D771" t="str">
            <v>15363875    -    MOUN CLIP    -    0.11925</v>
          </cell>
        </row>
        <row r="772">
          <cell r="D772" t="str">
            <v>15364052    -    LOCATOR 2K RUND    -    0.051744</v>
          </cell>
        </row>
        <row r="773">
          <cell r="D773" t="str">
            <v>15364059    -    TIES, BK 300 MM    -    0.016732</v>
          </cell>
        </row>
        <row r="774">
          <cell r="D774" t="str">
            <v>15364065    -    PLASTIC    -    0.116754</v>
          </cell>
        </row>
        <row r="775">
          <cell r="D775" t="str">
            <v>15364087    -    PLASTIC    -    0.049579</v>
          </cell>
        </row>
        <row r="776">
          <cell r="D776" t="str">
            <v>15364088    -    PLASTIC    -    0.067036</v>
          </cell>
        </row>
        <row r="777">
          <cell r="D777" t="str">
            <v>15364212    -    CABLE TIE    -    0.038407</v>
          </cell>
        </row>
        <row r="778">
          <cell r="D778" t="str">
            <v>15364214    -    METAL    -    0.056422</v>
          </cell>
        </row>
        <row r="779">
          <cell r="D779" t="str">
            <v>15364217    -    PLASTIC    -    0.177786</v>
          </cell>
        </row>
        <row r="780">
          <cell r="D780" t="str">
            <v>15364233    -    PLT2I-M20    -    0.013739</v>
          </cell>
        </row>
        <row r="781">
          <cell r="D781" t="str">
            <v>15364240    -    MDCT 46 BK    -    0.032533</v>
          </cell>
        </row>
        <row r="782">
          <cell r="D782" t="str">
            <v>15364438    -    CLIP    -    0.216369</v>
          </cell>
        </row>
        <row r="783">
          <cell r="D783" t="str">
            <v>15364594    -    CHA1-5 (5 = GN)    -    0.035545</v>
          </cell>
        </row>
        <row r="784">
          <cell r="D784" t="str">
            <v>15364595    -    T50RSFT6,5-HS-BK    -    0.044799</v>
          </cell>
        </row>
        <row r="785">
          <cell r="D785" t="str">
            <v>15365608    -    CLIP    -    0.012849</v>
          </cell>
        </row>
        <row r="786">
          <cell r="D786" t="str">
            <v>15365683    -    T120R-W-BK    -    0.047092</v>
          </cell>
        </row>
        <row r="787">
          <cell r="D787" t="str">
            <v>15365721    -    RECEPTACLE    -    0.92</v>
          </cell>
        </row>
        <row r="788">
          <cell r="D788" t="str">
            <v>15365722    -    WEDGE LOCK    -    0.05</v>
          </cell>
        </row>
        <row r="789">
          <cell r="D789" t="str">
            <v>15365759    -    PRINTED PAD    -    0.2214</v>
          </cell>
        </row>
        <row r="790">
          <cell r="D790" t="str">
            <v>15365762    -    SPACER EXPANSION BLOCK    -    0.3392</v>
          </cell>
        </row>
        <row r="791">
          <cell r="D791" t="str">
            <v>15365847    -    SLEEEVE BOOT    -    0.75</v>
          </cell>
        </row>
        <row r="792">
          <cell r="D792" t="str">
            <v>15365871    -    PIN #20, GOLD, STAMPED    -    0.1465</v>
          </cell>
        </row>
        <row r="793">
          <cell r="D793" t="str">
            <v>15365874    -    CLIP, *16365874    -    0.055</v>
          </cell>
        </row>
        <row r="794">
          <cell r="D794" t="str">
            <v>15365882    -    TIES, CABLE    -    0.013359</v>
          </cell>
        </row>
        <row r="795">
          <cell r="D795" t="str">
            <v>15365933    -    CLIP    -    0.1126</v>
          </cell>
        </row>
        <row r="796">
          <cell r="D796" t="str">
            <v>15366052    -    CLIP    -    0.047</v>
          </cell>
        </row>
        <row r="797">
          <cell r="D797" t="str">
            <v>15368309    -    CLIP, HARN BLK    -    0.037971</v>
          </cell>
        </row>
        <row r="798">
          <cell r="D798" t="str">
            <v>15368347    -    MOUN    -    0.260007</v>
          </cell>
        </row>
        <row r="799">
          <cell r="D799" t="str">
            <v>15368405    -    MOLLETTA    -    0.045975</v>
          </cell>
        </row>
        <row r="800">
          <cell r="D800" t="str">
            <v>15368449    -    CLIP    -    0.062839</v>
          </cell>
        </row>
        <row r="801">
          <cell r="D801" t="str">
            <v>15368529    -    T80R-W-BK    -    0.016867</v>
          </cell>
        </row>
        <row r="802">
          <cell r="D802" t="str">
            <v>15368564    -    CLIP    -    0.017946</v>
          </cell>
        </row>
        <row r="803">
          <cell r="D803" t="str">
            <v>15368566    -    T80R-HS-BK    -    0.016867</v>
          </cell>
        </row>
        <row r="804">
          <cell r="D804" t="str">
            <v>15368567    -    CLIP    -    0.215411</v>
          </cell>
        </row>
        <row r="805">
          <cell r="D805" t="str">
            <v>15368568    -    MOUNTING BRACKET    -    0.027149</v>
          </cell>
        </row>
        <row r="806">
          <cell r="D806" t="str">
            <v>15368583    -    CLIP    -    0.197756</v>
          </cell>
        </row>
        <row r="807">
          <cell r="D807" t="str">
            <v>15368727    -    T18RHR-NA    -    0.019161</v>
          </cell>
        </row>
        <row r="808">
          <cell r="D808" t="str">
            <v>15368790    -    LOCATOR 2K    -    0.042775</v>
          </cell>
        </row>
        <row r="809">
          <cell r="D809" t="str">
            <v>15368901    -    CLIP    -    0.037903</v>
          </cell>
        </row>
        <row r="810">
          <cell r="D810" t="str">
            <v>15368941    -    CABLE TIE    -    0.006754</v>
          </cell>
        </row>
        <row r="811">
          <cell r="D811" t="str">
            <v>15368958    -    CLIP    -    0.131419</v>
          </cell>
        </row>
        <row r="812">
          <cell r="D812" t="str">
            <v>15369004    -    CLIP    -    0.277082</v>
          </cell>
        </row>
        <row r="813">
          <cell r="D813" t="str">
            <v>15369031    -    ZUH 2    -    0.046225</v>
          </cell>
        </row>
        <row r="814">
          <cell r="D814" t="str">
            <v>15369034    -    MOLLETTA GRIGIA    -    0.029049</v>
          </cell>
        </row>
        <row r="815">
          <cell r="D815" t="str">
            <v>15369043    -    SWIVEL TYPE CLIP    -    0.311327</v>
          </cell>
        </row>
        <row r="816">
          <cell r="D816" t="str">
            <v>15369073    -    VW-1J0 971 930 G    -    0.047902</v>
          </cell>
        </row>
        <row r="817">
          <cell r="D817" t="str">
            <v>15369090    -    T50ROSSB5-BK    -    0.04999</v>
          </cell>
        </row>
        <row r="818">
          <cell r="D818" t="str">
            <v>15369125    -    MOLLETA    -    0.15868</v>
          </cell>
        </row>
        <row r="819">
          <cell r="D819" t="str">
            <v>15369181    -    COVER    -    0.094455</v>
          </cell>
        </row>
        <row r="820">
          <cell r="D820" t="str">
            <v>15369182    -    LOCKING PUSHER    -    0.053974</v>
          </cell>
        </row>
        <row r="821">
          <cell r="D821" t="str">
            <v>15369184    -    CABLE TIE WITH HOLDER    -    0.060076</v>
          </cell>
        </row>
        <row r="822">
          <cell r="D822" t="str">
            <v>15369294    -    TPA    -    0.082311</v>
          </cell>
        </row>
        <row r="823">
          <cell r="D823" t="str">
            <v>15369418    -    PLUG CONN    -    7</v>
          </cell>
        </row>
        <row r="824">
          <cell r="D824" t="str">
            <v>15369423    -    SEC LK    -    5.32</v>
          </cell>
        </row>
        <row r="825">
          <cell r="D825" t="str">
            <v>15369433    -    CABLE CLAMP    -    0.146073</v>
          </cell>
        </row>
        <row r="826">
          <cell r="D826" t="str">
            <v>15369443    -    SOCKET 8 GA    -    1.45</v>
          </cell>
        </row>
        <row r="827">
          <cell r="D827" t="str">
            <v>15369444    -    PIN #8    -    0.88</v>
          </cell>
        </row>
        <row r="828">
          <cell r="D828" t="str">
            <v>15380182    -    T50RSB5-BK    -    0.092191</v>
          </cell>
        </row>
        <row r="829">
          <cell r="D829" t="str">
            <v>15380237    -    SECONDARY LOCK    -    0.038605</v>
          </cell>
        </row>
        <row r="830">
          <cell r="D830" t="str">
            <v>15380249    -    RECEPTACLE    -    4.99</v>
          </cell>
        </row>
        <row r="831">
          <cell r="D831" t="str">
            <v>15380250    -    WEDGE LOCK    -    0.65</v>
          </cell>
        </row>
        <row r="832">
          <cell r="D832" t="str">
            <v>15380251    -    SEC. LOCK    -    0.65</v>
          </cell>
        </row>
        <row r="833">
          <cell r="D833" t="str">
            <v>15380252    -    PLUG    -    6.99</v>
          </cell>
        </row>
        <row r="834">
          <cell r="D834" t="str">
            <v>15380253    -    SEC LK-LH PLUG    -    0.65</v>
          </cell>
        </row>
        <row r="835">
          <cell r="D835" t="str">
            <v>15380254    -    SEC LK-RH PLUG    -    0.65</v>
          </cell>
        </row>
        <row r="836">
          <cell r="D836" t="str">
            <v>15380279    -    PLUG    -    5.99</v>
          </cell>
        </row>
        <row r="837">
          <cell r="D837" t="str">
            <v>15380300    -    SPACER    -    0.3716</v>
          </cell>
        </row>
        <row r="838">
          <cell r="D838" t="str">
            <v>15380301    -    SPACER    -    0.37</v>
          </cell>
        </row>
        <row r="839">
          <cell r="D839" t="str">
            <v>15380303    -    SPACER    -    0.3716</v>
          </cell>
        </row>
        <row r="840">
          <cell r="D840" t="str">
            <v>15380315    -    CLIP    -    0.096085</v>
          </cell>
        </row>
        <row r="841">
          <cell r="D841" t="str">
            <v>15380434    -    CLIP,    -    0.187991</v>
          </cell>
        </row>
        <row r="842">
          <cell r="D842" t="str">
            <v>15380462    -    RETAINER/CABLE TIE W/CLIP    -    0.5245</v>
          </cell>
        </row>
        <row r="843">
          <cell r="D843" t="str">
            <v>15380553    -    33X66 SPACER    -    0.6245</v>
          </cell>
        </row>
        <row r="844">
          <cell r="D844" t="str">
            <v>15380614    -    TPA    -    0.13</v>
          </cell>
        </row>
        <row r="845">
          <cell r="D845" t="str">
            <v>15380615    -    TPA    -    0.13</v>
          </cell>
        </row>
        <row r="846">
          <cell r="D846" t="str">
            <v>15380633    -    PLUG    -    6.99</v>
          </cell>
        </row>
        <row r="847">
          <cell r="D847" t="str">
            <v>15380634    -    RECEPTACLE    -    6.99</v>
          </cell>
        </row>
        <row r="848">
          <cell r="D848" t="str">
            <v>15380653    -    PLUG 2 PIN GRAY    -    0.43</v>
          </cell>
        </row>
        <row r="849">
          <cell r="D849" t="str">
            <v>15380654    -    PLUG 2 PIN BLACK    -    0.43</v>
          </cell>
        </row>
        <row r="850">
          <cell r="D850" t="str">
            <v>15380655    -    PLUG 8 PIN GRAY    -    0.43</v>
          </cell>
        </row>
        <row r="851">
          <cell r="D851" t="str">
            <v>15380656    -    PLUG &amp; PIN BLACK    -    0.43</v>
          </cell>
        </row>
        <row r="852">
          <cell r="D852" t="str">
            <v>15380678    -    PLUG 8 PIN GREEN    -    0.43</v>
          </cell>
        </row>
        <row r="853">
          <cell r="D853" t="str">
            <v>15380693    -    SECINSARY LOCK    -    0.2207</v>
          </cell>
        </row>
        <row r="854">
          <cell r="D854" t="str">
            <v>15380717    -    CABLE TIE    -    0.0696</v>
          </cell>
        </row>
        <row r="855">
          <cell r="D855" t="str">
            <v>15380779    -    TIE BLACK    -    0.02941</v>
          </cell>
        </row>
        <row r="856">
          <cell r="D856" t="str">
            <v>15380784    -    HOOD COVER BOTTOM    -    0.703689</v>
          </cell>
        </row>
        <row r="857">
          <cell r="D857" t="str">
            <v>15380785    -    HOOD COVER TOP    -    0.607075</v>
          </cell>
        </row>
        <row r="858">
          <cell r="D858" t="str">
            <v>15380786    -    LOCK LEVER HOOD    -    0.565785</v>
          </cell>
        </row>
        <row r="859">
          <cell r="D859" t="str">
            <v>15380802    -    HIGH CURRENT RELAY MODULE    -    0.4338</v>
          </cell>
        </row>
        <row r="860">
          <cell r="D860" t="str">
            <v>15380825    -    CABLES TIES    -    0.031</v>
          </cell>
        </row>
        <row r="861">
          <cell r="D861" t="str">
            <v>15380844    -    LOOSE PC BUSS BAR TERM    -    0.6958</v>
          </cell>
        </row>
        <row r="862">
          <cell r="D862" t="str">
            <v>15380852    -    JUNCTION BLOCK    -    2.9</v>
          </cell>
        </row>
        <row r="863">
          <cell r="D863" t="str">
            <v>15380857    -    PLUG    -    1.39</v>
          </cell>
        </row>
        <row r="864">
          <cell r="D864" t="str">
            <v>15380858    -    RETAINER    -    0.1</v>
          </cell>
        </row>
        <row r="865">
          <cell r="D865" t="str">
            <v>15380866    -    LOCKING WEDGE    -    0.08</v>
          </cell>
        </row>
        <row r="866">
          <cell r="D866" t="str">
            <v>15380971    -    TIE BAND    -    0.008142</v>
          </cell>
        </row>
        <row r="867">
          <cell r="D867" t="str">
            <v>15380978    -    RETAINER BLK    -    0.0576</v>
          </cell>
        </row>
        <row r="868">
          <cell r="D868" t="str">
            <v>15380995    -    CLIP    -    0.34</v>
          </cell>
        </row>
        <row r="869">
          <cell r="D869" t="str">
            <v>15383173    -    CLIP    -    0.045</v>
          </cell>
        </row>
        <row r="870">
          <cell r="D870" t="str">
            <v>15383177    -    RETAINER    -    0.1023</v>
          </cell>
        </row>
        <row r="871">
          <cell r="D871" t="str">
            <v>15383178    -    PORTABLE HOLE    -    0.04</v>
          </cell>
        </row>
        <row r="872">
          <cell r="D872" t="str">
            <v>15383179    -    WEDGE, BLK    -    0.0438</v>
          </cell>
        </row>
        <row r="873">
          <cell r="D873" t="str">
            <v>15383181    -    MOUN CLIP TAPE ON PUSH NUT M6    -    0.0227</v>
          </cell>
        </row>
        <row r="874">
          <cell r="D874" t="str">
            <v>15383246    -    MOUN CLIP    -    0.04618</v>
          </cell>
        </row>
        <row r="875">
          <cell r="D875" t="str">
            <v>15383267    -    RETAINER    -    0.01464</v>
          </cell>
        </row>
        <row r="876">
          <cell r="D876" t="str">
            <v>15383268    -    MOUN SPACER    -    0.01017</v>
          </cell>
        </row>
        <row r="877">
          <cell r="D877" t="str">
            <v>15383286    -    RETAINER    -    0.0238</v>
          </cell>
        </row>
        <row r="878">
          <cell r="D878" t="str">
            <v>15383287    -    RETAINER    -    0.02554</v>
          </cell>
        </row>
        <row r="879">
          <cell r="D879" t="str">
            <v>15383289    -    RETAINER    -    0.016595</v>
          </cell>
        </row>
        <row r="880">
          <cell r="D880" t="str">
            <v>15383292    -    RETAINER    -    0.061615</v>
          </cell>
        </row>
        <row r="881">
          <cell r="D881" t="str">
            <v>15383293    -    RETAINER    -    0.035775</v>
          </cell>
        </row>
        <row r="882">
          <cell r="D882" t="str">
            <v>15383295    -    RETAINER    -    0.14965</v>
          </cell>
        </row>
        <row r="883">
          <cell r="D883" t="str">
            <v>15383367    -    CLIP, CNVLT CDT 19MM BLK    -    0.05</v>
          </cell>
        </row>
        <row r="884">
          <cell r="D884" t="str">
            <v>15383389    -    COVER    -    0.29656</v>
          </cell>
        </row>
        <row r="885">
          <cell r="D885" t="str">
            <v>15383409    -    CABLE TIE    -    0.05827</v>
          </cell>
        </row>
        <row r="886">
          <cell r="D886" t="str">
            <v>15383414    -    MOUN CLIP    -    0.03395</v>
          </cell>
        </row>
        <row r="887">
          <cell r="D887" t="str">
            <v>15383415    -    RETAINER    -    0.03395</v>
          </cell>
        </row>
        <row r="888">
          <cell r="D888" t="str">
            <v>15383429    -    RETAINER    -    0.0181</v>
          </cell>
        </row>
        <row r="889">
          <cell r="D889" t="str">
            <v>15383446    -    WIRING FASTENER    -    0.067575</v>
          </cell>
        </row>
        <row r="890">
          <cell r="D890" t="str">
            <v>15383482    -    SPACER    -    0.02596</v>
          </cell>
        </row>
        <row r="891">
          <cell r="D891" t="str">
            <v>15383483    -    LOCK 8 RED    -    0.02048</v>
          </cell>
        </row>
        <row r="892">
          <cell r="D892" t="str">
            <v>15383484    -    MOUN CLIP TAPE ON    -    0.01225</v>
          </cell>
        </row>
        <row r="893">
          <cell r="D893" t="str">
            <v>15385689    -    TIES, STRAP    -    0.0021</v>
          </cell>
        </row>
        <row r="894">
          <cell r="D894" t="str">
            <v>15385691    -    ACC1, HOLDER    -    0.062</v>
          </cell>
        </row>
        <row r="895">
          <cell r="D895" t="str">
            <v>15385692    -    ACC1, HOLDER    -    0.07</v>
          </cell>
        </row>
        <row r="896">
          <cell r="D896" t="str">
            <v>15385693    -    ACC2, COVER    -    0.0699</v>
          </cell>
        </row>
        <row r="897">
          <cell r="D897" t="str">
            <v>15385694    -    ACC2, COVER    -    0.0812</v>
          </cell>
        </row>
        <row r="898">
          <cell r="D898" t="str">
            <v>15385695    -    CAP, 15F .070/.250 HYBRID    -    0.1911</v>
          </cell>
        </row>
        <row r="899">
          <cell r="D899" t="str">
            <v>15385702    -    COVER, CONN    -    0.7232</v>
          </cell>
        </row>
        <row r="900">
          <cell r="D900" t="str">
            <v>15385774    -    ACC1, CPA    -    0.0391</v>
          </cell>
        </row>
        <row r="901">
          <cell r="D901" t="str">
            <v>15385778    -    ACC1, CPA 4F NMWP    -    0.0155</v>
          </cell>
        </row>
        <row r="902">
          <cell r="D902" t="str">
            <v>15385805    -    COVER,    -    0.306573</v>
          </cell>
        </row>
        <row r="903">
          <cell r="D903" t="str">
            <v>15385806    -    L/CAM    -    0.263259</v>
          </cell>
        </row>
        <row r="904">
          <cell r="D904" t="str">
            <v>15385863    -    ACC1, DOUBLE LOCK PLATE    -    0.0401</v>
          </cell>
        </row>
        <row r="905">
          <cell r="D905" t="str">
            <v>15385949    -    CHAN BLK    -    1.582845</v>
          </cell>
        </row>
        <row r="906">
          <cell r="D906" t="str">
            <v>15385951    -    MOUN CLIP CDT    -    0.340294</v>
          </cell>
        </row>
        <row r="907">
          <cell r="D907" t="str">
            <v>15385952    -    MOUN CLIP    -    0.082937</v>
          </cell>
        </row>
        <row r="908">
          <cell r="D908" t="str">
            <v>15385975    -    MOUN CLIP    -    0.353463</v>
          </cell>
        </row>
        <row r="909">
          <cell r="D909" t="str">
            <v>15385991    -    LOCK TPA NAT    -    0.064339</v>
          </cell>
        </row>
        <row r="910">
          <cell r="D910" t="str">
            <v>15386010    -    MOUN WIRE TIE HARNESS    -    0.040212</v>
          </cell>
        </row>
        <row r="911">
          <cell r="D911" t="str">
            <v>15386011    -    LOCK TPA ORN    -    0.127774</v>
          </cell>
        </row>
        <row r="912">
          <cell r="D912" t="str">
            <v>15386012    -    LOCK TPA NAT    -    0.078011</v>
          </cell>
        </row>
        <row r="913">
          <cell r="D913" t="str">
            <v>15386013    -    LOCK TPA GRA    -    0.107366</v>
          </cell>
        </row>
        <row r="914">
          <cell r="D914" t="str">
            <v>15386014    -    MOUN WIRE TIE    -    0.019101</v>
          </cell>
        </row>
        <row r="915">
          <cell r="D915" t="str">
            <v>15386015    -    MOUN CLIP    -    0.203573</v>
          </cell>
        </row>
        <row r="916">
          <cell r="D916" t="str">
            <v>15386016    -    MOUN CLIP STRAP    -    0.369146</v>
          </cell>
        </row>
        <row r="917">
          <cell r="D917" t="str">
            <v>15386017    -    MOUN CLIP    -    0.065244</v>
          </cell>
        </row>
        <row r="918">
          <cell r="D918" t="str">
            <v>15386018    -    MOUN CLIP    -    0.115911</v>
          </cell>
        </row>
        <row r="919">
          <cell r="D919" t="str">
            <v>15386019    -    MOUN CLIP STRAP    -    0.177938</v>
          </cell>
        </row>
        <row r="920">
          <cell r="D920" t="str">
            <v>15386021    -    MOUN CLIP STRAP    -    0.243886</v>
          </cell>
        </row>
        <row r="921">
          <cell r="D921" t="str">
            <v>15386022    -    MOUN CLIP    -    0.341802</v>
          </cell>
        </row>
        <row r="922">
          <cell r="D922" t="str">
            <v>15386026    -    ASM MOUN CLIP STRAP    -    0.284701</v>
          </cell>
        </row>
        <row r="923">
          <cell r="D923" t="str">
            <v>15386027    -    MOUN CLIP    -    0.049059</v>
          </cell>
        </row>
        <row r="924">
          <cell r="D924" t="str">
            <v>15386028    -    MOUN CLIP    -    0.045239</v>
          </cell>
        </row>
        <row r="925">
          <cell r="D925" t="str">
            <v>15386134    -    MOUN CLIP TAPE ON    -    0.262182</v>
          </cell>
        </row>
        <row r="926">
          <cell r="D926" t="str">
            <v>15386308    -    CHAN MISC BLK    -    1.141016</v>
          </cell>
        </row>
        <row r="927">
          <cell r="D927" t="str">
            <v>15386314    -    MOUN CLIP CONN    -    0.074191</v>
          </cell>
        </row>
        <row r="928">
          <cell r="D928" t="str">
            <v>15386834    -    CLIP, CLAMP MARK 28.5MM    -    0.060318</v>
          </cell>
        </row>
        <row r="929">
          <cell r="D929" t="str">
            <v>15393864    -    TAPPE ON CLIP    -    0.086</v>
          </cell>
        </row>
        <row r="930">
          <cell r="D930" t="str">
            <v>15393977    -    RECEPTABLE    -    0.74</v>
          </cell>
        </row>
        <row r="931">
          <cell r="D931" t="str">
            <v>15393983    -    CAVITY PLUG    -    0.034813</v>
          </cell>
        </row>
        <row r="932">
          <cell r="D932" t="str">
            <v>15394003    -    COV N/A    -    0.1277</v>
          </cell>
        </row>
        <row r="933">
          <cell r="D933" t="str">
            <v>15394020    -    COVER    -    1.241811</v>
          </cell>
        </row>
        <row r="934">
          <cell r="D934" t="str">
            <v>15394031    -    COVER - DOOR HARNESS    -    1.124</v>
          </cell>
        </row>
        <row r="935">
          <cell r="D935" t="str">
            <v>15394101    -    PLUG MICRO PIN    -    0.03583</v>
          </cell>
        </row>
        <row r="936">
          <cell r="D936" t="str">
            <v>15394103    -    PLUG 1.6 MM    -    0.03576</v>
          </cell>
        </row>
        <row r="937">
          <cell r="D937" t="str">
            <v>15394691    -    CLIP    -    0.2827</v>
          </cell>
        </row>
        <row r="938">
          <cell r="D938" t="str">
            <v>15395799    -    MOLLETTA    -    0.021765</v>
          </cell>
        </row>
        <row r="939">
          <cell r="D939" t="str">
            <v>15395801    -    60    -    0.123129</v>
          </cell>
        </row>
        <row r="940">
          <cell r="D940" t="str">
            <v>15395807    -    BODY CLIP    -    0.035863</v>
          </cell>
        </row>
        <row r="941">
          <cell r="D941" t="str">
            <v>15395808    -    BODY CLIP    -    0.039921</v>
          </cell>
        </row>
        <row r="942">
          <cell r="D942" t="str">
            <v>15395809    -    BODY CLIP (POSTERIORE)    -    0.054842</v>
          </cell>
        </row>
        <row r="943">
          <cell r="D943" t="str">
            <v>15395813    -    BODY CLIP    -    0.080365</v>
          </cell>
        </row>
        <row r="944">
          <cell r="D944" t="str">
            <v>15395814    -    BODY CLIP    -    0.051701</v>
          </cell>
        </row>
        <row r="945">
          <cell r="D945" t="str">
            <v>15395857    -    BODY CLIP    -    0.037434</v>
          </cell>
        </row>
        <row r="946">
          <cell r="D946" t="str">
            <v>15395859    -    BODY CLIP    -    0.043193</v>
          </cell>
        </row>
        <row r="947">
          <cell r="D947" t="str">
            <v>15395861    -    MOLLETA    -    0.235462</v>
          </cell>
        </row>
        <row r="948">
          <cell r="D948" t="str">
            <v>15395864    -    T18RSF-W-BK    -    0.048037</v>
          </cell>
        </row>
        <row r="949">
          <cell r="D949" t="str">
            <v>15395889    -    ZUH 71    -    0.15685</v>
          </cell>
        </row>
        <row r="950">
          <cell r="D950" t="str">
            <v>15395917    -    SEAL CAVITY PLUG    -    0.2</v>
          </cell>
        </row>
        <row r="951">
          <cell r="D951" t="str">
            <v>15395926    -    CLIP    -    0.076812</v>
          </cell>
        </row>
        <row r="952">
          <cell r="D952" t="str">
            <v>15395932    -    T80RFT6X12-N46-GY    -    0.111735</v>
          </cell>
        </row>
        <row r="953">
          <cell r="D953" t="str">
            <v>15396121    -    PLASTIC    -    0.082106</v>
          </cell>
        </row>
        <row r="954">
          <cell r="D954" t="str">
            <v>15396448    -    VW-6Q0 971 848 F(T50ROSCST)    -    0.060753</v>
          </cell>
        </row>
        <row r="955">
          <cell r="D955" t="str">
            <v>15398720    -    SPACER    -    0.01102</v>
          </cell>
        </row>
        <row r="956">
          <cell r="D956" t="str">
            <v>15398724    -    SPACER    -    0.0085</v>
          </cell>
        </row>
        <row r="957">
          <cell r="D957" t="str">
            <v>15398725    -    SPACER    -    0.01095</v>
          </cell>
        </row>
        <row r="958">
          <cell r="D958" t="str">
            <v>15398727    -    SPACER    -    0.01303</v>
          </cell>
        </row>
        <row r="959">
          <cell r="D959" t="str">
            <v>15398728    -    MOUN SPACER    -    0.00887</v>
          </cell>
        </row>
        <row r="960">
          <cell r="D960" t="str">
            <v>15398729    -    SPACER    -    0.03245</v>
          </cell>
        </row>
        <row r="961">
          <cell r="D961" t="str">
            <v>15398734    -    MOUN SPACER    -    0.0078</v>
          </cell>
        </row>
        <row r="962">
          <cell r="D962" t="str">
            <v>15398735    -    SPACER    -    0.00641</v>
          </cell>
        </row>
        <row r="963">
          <cell r="D963" t="str">
            <v>15398738    -    WED    -    0.0147</v>
          </cell>
        </row>
        <row r="964">
          <cell r="D964" t="str">
            <v>15398742    -    SPACER 2 REQUIRED    -    0.01065</v>
          </cell>
        </row>
        <row r="965">
          <cell r="D965" t="str">
            <v>15398756    -    MOUN SPACER    -    0.00927</v>
          </cell>
        </row>
        <row r="966">
          <cell r="D966" t="str">
            <v>15398758    -    SPACER    -    0.01416</v>
          </cell>
        </row>
        <row r="967">
          <cell r="D967" t="str">
            <v>15398759    -    SPACER    -    0.02356</v>
          </cell>
        </row>
        <row r="968">
          <cell r="D968" t="str">
            <v>15398766    -    SPACER    -    0.0303</v>
          </cell>
        </row>
        <row r="969">
          <cell r="D969" t="str">
            <v>15398777    -    SPACER    -    0.01007</v>
          </cell>
        </row>
        <row r="970">
          <cell r="D970" t="str">
            <v>15398779    -    MOUN SPACER    -    0.02168</v>
          </cell>
        </row>
        <row r="971">
          <cell r="D971" t="str">
            <v>15398786    -    WEDGE    -    0.1094</v>
          </cell>
        </row>
        <row r="972">
          <cell r="D972" t="str">
            <v>15398814    -    SPACER    -    0.03912</v>
          </cell>
        </row>
        <row r="973">
          <cell r="D973" t="str">
            <v>15398855    -    CLIP, CNVLT CDT 13MM, BLK    -    0.05</v>
          </cell>
        </row>
        <row r="974">
          <cell r="D974" t="str">
            <v>15398860    -    CLIP    -    0.0878</v>
          </cell>
        </row>
        <row r="975">
          <cell r="D975" t="str">
            <v>15401366    -    CABLE TIE    -    0.0841</v>
          </cell>
        </row>
        <row r="976">
          <cell r="D976" t="str">
            <v>15401372    -    CENT RELAY CTR N/A    -    4.1498</v>
          </cell>
        </row>
        <row r="977">
          <cell r="D977" t="str">
            <v>15401373    -    COV CONN N/A    -    0.3694</v>
          </cell>
        </row>
        <row r="978">
          <cell r="D978" t="str">
            <v>15401376    -    MOUN BRACKET    -    0.2994</v>
          </cell>
        </row>
        <row r="979">
          <cell r="D979" t="str">
            <v>15401377    -    MOUN BRACKET    -    0.1862</v>
          </cell>
        </row>
        <row r="980">
          <cell r="D980" t="str">
            <v>15401378    -    MOUN BRACKET    -    0.1684</v>
          </cell>
        </row>
        <row r="981">
          <cell r="D981" t="str">
            <v>15401454    -    PLUNGER ASSEMBLY    -    0.18</v>
          </cell>
        </row>
        <row r="982">
          <cell r="D982" t="str">
            <v>15401694    -    SEC LOCK    -    0.082796</v>
          </cell>
        </row>
        <row r="983">
          <cell r="D983" t="str">
            <v>15401708    -    CLIP    -    0.0285</v>
          </cell>
        </row>
        <row r="984">
          <cell r="D984" t="str">
            <v>15404505    -    TPA    -    0.138039</v>
          </cell>
        </row>
        <row r="985">
          <cell r="D985" t="str">
            <v>15405514    -    T40RSBH5-BK    -    0.050736</v>
          </cell>
        </row>
        <row r="986">
          <cell r="D986" t="str">
            <v>15405671    -    PANDUIT CLIP    -    0.2766</v>
          </cell>
        </row>
        <row r="987">
          <cell r="D987" t="str">
            <v>15405804    -    EYELET    -    0.0737</v>
          </cell>
        </row>
        <row r="988">
          <cell r="D988" t="str">
            <v>15405806    -    EYELET    -    0.06935</v>
          </cell>
        </row>
        <row r="989">
          <cell r="D989" t="str">
            <v>15406054    -    CENT JNC BLK    -    9.85</v>
          </cell>
        </row>
        <row r="990">
          <cell r="D990" t="str">
            <v>15408335    -    637391 FUNKTIONSKULISSE *52217 F    -    0.43935</v>
          </cell>
        </row>
        <row r="991">
          <cell r="D991" t="str">
            <v>15408971    -    15408971    -    0.022129</v>
          </cell>
        </row>
        <row r="992">
          <cell r="D992" t="str">
            <v>15409200    -    RETAINER    -    0.021</v>
          </cell>
        </row>
        <row r="993">
          <cell r="D993" t="str">
            <v>15409201    -    RETAINER    -    0.036</v>
          </cell>
        </row>
        <row r="994">
          <cell r="D994" t="str">
            <v>15409202    -    BRACKET    -    0.16</v>
          </cell>
        </row>
        <row r="995">
          <cell r="D995" t="str">
            <v>15410359    -    BLACK TIE STRAP    -    0.00786</v>
          </cell>
        </row>
        <row r="996">
          <cell r="D996" t="str">
            <v>15410360    -    CLIP ADHESIVE MOUNTED    -    0.12232</v>
          </cell>
        </row>
        <row r="997">
          <cell r="D997" t="str">
            <v>15410376    -    BOOT    -    0.09</v>
          </cell>
        </row>
        <row r="998">
          <cell r="D998" t="str">
            <v>15410655    -    15410655    -    0.05</v>
          </cell>
        </row>
        <row r="999">
          <cell r="D999" t="str">
            <v>15410664    -    MOUN CLIP    -    0.175</v>
          </cell>
        </row>
        <row r="1000">
          <cell r="D1000" t="str">
            <v>15410964    -    CABLE TIE    -    0.041</v>
          </cell>
        </row>
        <row r="1001">
          <cell r="D1001" t="str">
            <v>15411584    -    15411584    -    0.164702</v>
          </cell>
        </row>
        <row r="1002">
          <cell r="D1002" t="str">
            <v>15411649    -    CABLE TIE    -    0.0143</v>
          </cell>
        </row>
        <row r="1003">
          <cell r="D1003" t="str">
            <v>15412716    -    HOUSING    -    0.1928</v>
          </cell>
        </row>
        <row r="1004">
          <cell r="D1004" t="str">
            <v>15412719    -    HOUSING SHORT    -    0.484</v>
          </cell>
        </row>
        <row r="1005">
          <cell r="D1005" t="str">
            <v>15412897    -    MODULE STUD    -    0.6</v>
          </cell>
        </row>
        <row r="1006">
          <cell r="D1006" t="str">
            <v>15412971    -    SPACER 41 WAY MINI FUSE W/PRTG    -    0.3758</v>
          </cell>
        </row>
        <row r="1007">
          <cell r="D1007" t="str">
            <v>15412972    -    SPACER 41 WAY MINI FUSE W/PRTG    -    0.3758</v>
          </cell>
        </row>
        <row r="1008">
          <cell r="D1008" t="str">
            <v>15412973    -    SPACER ISO RELAY W/PRTG    -    0.2218</v>
          </cell>
        </row>
        <row r="1009">
          <cell r="D1009" t="str">
            <v>15412974    -    SPACER ISO RELAY W/PRTG    -    0.2218</v>
          </cell>
        </row>
        <row r="1010">
          <cell r="D1010" t="str">
            <v>15412975    -    SPACER ISO RELAY W/PRTG    -    0.2218</v>
          </cell>
        </row>
        <row r="1011">
          <cell r="D1011" t="str">
            <v>15412976    -    SPACER MICRORELAY W/PRTG    -    0.6334</v>
          </cell>
        </row>
        <row r="1012">
          <cell r="D1012" t="str">
            <v>15412980    -    SPACER MICRORELAY W/PRTG    -    0.6334</v>
          </cell>
        </row>
        <row r="1013">
          <cell r="D1013" t="str">
            <v>15414675    -    LASCHE ZU ANSAUGSCHNORCHEL    -    0.123152</v>
          </cell>
        </row>
        <row r="1014">
          <cell r="D1014" t="str">
            <v>15415782    -    CLIP    -    0.17</v>
          </cell>
        </row>
        <row r="1015">
          <cell r="D1015" t="str">
            <v>15416315    -    COVER    -    0.295</v>
          </cell>
        </row>
        <row r="1016">
          <cell r="D1016" t="str">
            <v>15416351    -    PP STICK    -    0.033</v>
          </cell>
        </row>
        <row r="1017">
          <cell r="D1017" t="str">
            <v>15416737    -    CLIP    -    0.2094</v>
          </cell>
        </row>
        <row r="1018">
          <cell r="D1018" t="str">
            <v>15416949    -    R. A. SUPPORT    -    0.234383</v>
          </cell>
        </row>
        <row r="1019">
          <cell r="D1019" t="str">
            <v>15416951    -    RETAINER    -    0.0747</v>
          </cell>
        </row>
        <row r="1020">
          <cell r="D1020" t="str">
            <v>15417311    -    RETAINER    -    0.191</v>
          </cell>
        </row>
        <row r="1021">
          <cell r="D1021" t="str">
            <v>15417312    -    RETAINER    -    0.0063</v>
          </cell>
        </row>
        <row r="1022">
          <cell r="D1022" t="str">
            <v>15417961    -    LOCK TPA N/A    -    0.00882</v>
          </cell>
        </row>
        <row r="1023">
          <cell r="D1023" t="str">
            <v>15418641    -    CLIP    -    0.0081</v>
          </cell>
        </row>
        <row r="1024">
          <cell r="D1024" t="str">
            <v>15419825    -    CAP (COVER)    -    0.0366</v>
          </cell>
        </row>
        <row r="1025">
          <cell r="D1025" t="str">
            <v>15419830    -    CAP    -    0.06713</v>
          </cell>
        </row>
        <row r="1026">
          <cell r="D1026" t="str">
            <v>15421651    -    CABLE TIE    -    0.0095</v>
          </cell>
        </row>
        <row r="1027">
          <cell r="D1027" t="str">
            <v>15421652    -    CABLE TIE    -    0.0073</v>
          </cell>
        </row>
        <row r="1028">
          <cell r="D1028" t="str">
            <v>15421654    -    CABLE TIE    -    0.0095</v>
          </cell>
        </row>
        <row r="1029">
          <cell r="D1029" t="str">
            <v>15421655    -    CABLE TIE SAME AS 15324454 BUT ORANGE    -    0.0095</v>
          </cell>
        </row>
        <row r="1030">
          <cell r="D1030" t="str">
            <v>15421656    -    CABLE TIE    -    0.0095</v>
          </cell>
        </row>
        <row r="1031">
          <cell r="D1031" t="str">
            <v>15421671    -    CABLE TIE    -    0.00735</v>
          </cell>
        </row>
        <row r="1032">
          <cell r="D1032" t="str">
            <v>15421672    -    CABLE TIE    -    0.00735</v>
          </cell>
        </row>
        <row r="1033">
          <cell r="D1033" t="str">
            <v>15422411    -    CLIP    -    0.07</v>
          </cell>
        </row>
        <row r="1034">
          <cell r="D1034" t="str">
            <v>15422445    -    COVER    -    1</v>
          </cell>
        </row>
        <row r="1035">
          <cell r="D1035" t="str">
            <v>15422454    -    RETAINER E9DB-14A163-AA    -    0.024845</v>
          </cell>
        </row>
        <row r="1036">
          <cell r="D1036" t="str">
            <v>15422507    -    COVER CAP    -    0.07</v>
          </cell>
        </row>
        <row r="1037">
          <cell r="D1037" t="str">
            <v>15422509    -    SEC LOCK    -    0.06354</v>
          </cell>
        </row>
        <row r="1038">
          <cell r="D1038" t="str">
            <v>15422511    -    CLIP CONN    -    0.02036</v>
          </cell>
        </row>
        <row r="1039">
          <cell r="D1039" t="str">
            <v>15422734    -    COVER    -    0.161923</v>
          </cell>
        </row>
        <row r="1040">
          <cell r="D1040" t="str">
            <v>15422782    -    RETAINER    -    0.0375</v>
          </cell>
        </row>
        <row r="1041">
          <cell r="D1041" t="str">
            <v>15422786    -    MOUN SPACER    -    0.02846</v>
          </cell>
        </row>
        <row r="1042">
          <cell r="D1042" t="str">
            <v>15423754    -    MOUN SPACER    -    0.02153</v>
          </cell>
        </row>
        <row r="1043">
          <cell r="D1043" t="str">
            <v>15425650    -    STRAP TIE    -    0.13412</v>
          </cell>
        </row>
        <row r="1044">
          <cell r="D1044" t="str">
            <v>15425669    -    FUSE HOLDER    -    1.95</v>
          </cell>
        </row>
        <row r="1045">
          <cell r="D1045" t="str">
            <v>15426920    -    CENT ELEC CTR MISC TOP BLK    -    0.738232</v>
          </cell>
        </row>
        <row r="1046">
          <cell r="D1046" t="str">
            <v>15426921    -    CENT ELEC CTR MISC BOTTOM BLK    -    0.620973</v>
          </cell>
        </row>
        <row r="1047">
          <cell r="D1047" t="str">
            <v>15426922    -    CENT ELEC CTR MISC TOP BLK    -    0.724469</v>
          </cell>
        </row>
        <row r="1048">
          <cell r="D1048" t="str">
            <v>15426923    -    CENT ELEC CTR MISC BOTTOM BLK    -    0.703689</v>
          </cell>
        </row>
        <row r="1049">
          <cell r="D1049" t="str">
            <v>15430293    -    CABLE TIE    -    0.05827</v>
          </cell>
        </row>
        <row r="1050">
          <cell r="D1050" t="str">
            <v>15430660    -    MOD-LOX    -    1.75</v>
          </cell>
        </row>
        <row r="1051">
          <cell r="D1051" t="str">
            <v>15430713    -    CAP (BLACK COLOR)    -    0.017</v>
          </cell>
        </row>
        <row r="1052">
          <cell r="D1052" t="str">
            <v>15430920    -    CLIP    -    0.07833</v>
          </cell>
        </row>
        <row r="1053">
          <cell r="D1053" t="str">
            <v>15434177    -    MOUNT CLIP    -    0.02693</v>
          </cell>
        </row>
        <row r="1054">
          <cell r="D1054" t="str">
            <v>15435156    -    CLIP    -    0.053265</v>
          </cell>
        </row>
        <row r="1055">
          <cell r="D1055" t="str">
            <v>15436450    -    CLIP,    -    0.3208</v>
          </cell>
        </row>
        <row r="1056">
          <cell r="D1056" t="str">
            <v>15438382    -    PLUG SEAL    -    0.025</v>
          </cell>
        </row>
        <row r="1057">
          <cell r="D1057" t="str">
            <v>15438388    -    CLIP    -    0.056645</v>
          </cell>
        </row>
        <row r="1058">
          <cell r="D1058" t="str">
            <v>15438403    -    BODY CHIP HOUSING    -    0.11</v>
          </cell>
        </row>
        <row r="1059">
          <cell r="D1059" t="str">
            <v>15438927    -    CLIP    -    0.2</v>
          </cell>
        </row>
        <row r="1060">
          <cell r="D1060" t="str">
            <v>15438970    -    RECEPTACLE    -    6.51</v>
          </cell>
        </row>
        <row r="1061">
          <cell r="D1061" t="str">
            <v>15438971    -    PLUG    -    6.67</v>
          </cell>
        </row>
        <row r="1062">
          <cell r="D1062" t="str">
            <v>15438973    -    CONNECTOR 12 RECEPTACLE    -    1.91</v>
          </cell>
        </row>
        <row r="1063">
          <cell r="D1063" t="str">
            <v>15438976    -    RECEPTACLE    -    1.95</v>
          </cell>
        </row>
        <row r="1064">
          <cell r="D1064" t="str">
            <v>15438987    -    WT SERIES PLUG    -    11.74</v>
          </cell>
        </row>
        <row r="1065">
          <cell r="D1065" t="str">
            <v>15438993    -    RECEPTACLE    -    1.64</v>
          </cell>
        </row>
        <row r="1066">
          <cell r="D1066" t="str">
            <v>15439375    -    MOUN CLIP    -    0.072445</v>
          </cell>
        </row>
        <row r="1067">
          <cell r="D1067" t="str">
            <v>15443127    -    CABLE TIE    -    0.03314</v>
          </cell>
        </row>
        <row r="1068">
          <cell r="D1068" t="str">
            <v>15443138    -    CLAMP CABLE TIE    -    0.027</v>
          </cell>
        </row>
        <row r="1069">
          <cell r="D1069" t="str">
            <v>15443160    -    CLIP    -    0.26</v>
          </cell>
        </row>
        <row r="1070">
          <cell r="D1070" t="str">
            <v>15443177    -    DOME LAMP IN CAB    -    1.86</v>
          </cell>
        </row>
        <row r="1071">
          <cell r="D1071" t="str">
            <v>15444236    -    COVER    -    0.22</v>
          </cell>
        </row>
        <row r="1072">
          <cell r="D1072" t="str">
            <v>15444635    -    CONNECTOR WEDGE    -    0.03</v>
          </cell>
        </row>
        <row r="1073">
          <cell r="D1073" t="str">
            <v>15444636    -    RETAINER / TAPE ON CLIP    -    0.1195</v>
          </cell>
        </row>
        <row r="1074">
          <cell r="D1074" t="str">
            <v>15444644    -    4+4 POSITIVE TERMINAL    -    1.11</v>
          </cell>
        </row>
        <row r="1075">
          <cell r="D1075" t="str">
            <v>15445929    -    RETAINER    -    0.043925</v>
          </cell>
        </row>
        <row r="1076">
          <cell r="D1076" t="str">
            <v>15448092    -    TIE STRAP 6MM    -    0.09476</v>
          </cell>
        </row>
        <row r="1077">
          <cell r="D1077" t="str">
            <v>15448093    -    TIE STRAP    -    0.02209</v>
          </cell>
        </row>
        <row r="1078">
          <cell r="D1078" t="str">
            <v>15448127    -    TIE 7 FLUTE CURVED    -    0.05415</v>
          </cell>
        </row>
        <row r="1079">
          <cell r="D1079" t="str">
            <v>15448592    -    MOUN CLIP    -    0.04</v>
          </cell>
        </row>
        <row r="1080">
          <cell r="D1080" t="str">
            <v>15448595    -    MOUN CLIP    -    0.08559</v>
          </cell>
        </row>
        <row r="1081">
          <cell r="D1081" t="str">
            <v>15448605    -    MOUN CLIP    -    0.22645</v>
          </cell>
        </row>
        <row r="1082">
          <cell r="D1082" t="str">
            <v>15448865    -    CLIP    -    0.225</v>
          </cell>
        </row>
        <row r="1083">
          <cell r="D1083" t="str">
            <v>15449437    -    RETAINER    -    0.0206</v>
          </cell>
        </row>
        <row r="1084">
          <cell r="D1084" t="str">
            <v>15449451    -    CLIP    -    0.053565</v>
          </cell>
        </row>
        <row r="1085">
          <cell r="D1085" t="str">
            <v>15449460    -    SHIELD /CLIP    -    0.24</v>
          </cell>
        </row>
        <row r="1086">
          <cell r="D1086" t="str">
            <v>15450660    -    SHIELD    -    0.048</v>
          </cell>
        </row>
        <row r="1087">
          <cell r="D1087" t="str">
            <v>15450674    -    SPACER    -    0.032565</v>
          </cell>
        </row>
        <row r="1088">
          <cell r="D1088" t="str">
            <v>15450745    -    SHIELD 24 WF    -    0.07168</v>
          </cell>
        </row>
        <row r="1089">
          <cell r="D1089" t="str">
            <v>15450756    -    CLIP    -    0.0762</v>
          </cell>
        </row>
        <row r="1090">
          <cell r="D1090" t="str">
            <v>15450761    -    CLIP    -    0.069565</v>
          </cell>
        </row>
        <row r="1091">
          <cell r="D1091" t="str">
            <v>15450817    -    WEDGE    -    0.00731</v>
          </cell>
        </row>
        <row r="1092">
          <cell r="D1092" t="str">
            <v>15450818    -    SPACER    -    0.5807</v>
          </cell>
        </row>
        <row r="1093">
          <cell r="D1093" t="str">
            <v>15450824    -    COVER    -    0.415</v>
          </cell>
        </row>
        <row r="1094">
          <cell r="D1094" t="str">
            <v>15450828    -    SPACER    -    0.03421</v>
          </cell>
        </row>
        <row r="1095">
          <cell r="D1095" t="str">
            <v>15450851    -    SPACER 24WM    -    0.06127</v>
          </cell>
        </row>
        <row r="1096">
          <cell r="D1096" t="str">
            <v>15450852    -    CONN "O" RING    -    0.20003</v>
          </cell>
        </row>
        <row r="1097">
          <cell r="D1097" t="str">
            <v>15450921    -    WED    -    0.01102</v>
          </cell>
        </row>
        <row r="1098">
          <cell r="D1098" t="str">
            <v>15450922    -    RETAINER    -    0.08407</v>
          </cell>
        </row>
        <row r="1099">
          <cell r="D1099" t="str">
            <v>15450923    -    WEDGE RELAY    -    0.44498</v>
          </cell>
        </row>
        <row r="1100">
          <cell r="D1100" t="str">
            <v>15450925    -    WEDGE    -    0.33849</v>
          </cell>
        </row>
        <row r="1101">
          <cell r="D1101" t="str">
            <v>15450926    -    WEDGE SEC LOCK    -    0.2028</v>
          </cell>
        </row>
        <row r="1102">
          <cell r="D1102" t="str">
            <v>15450927    -    SPACER    -    0.0925</v>
          </cell>
        </row>
        <row r="1103">
          <cell r="D1103" t="str">
            <v>15450928    -    WED 24 WAY SPACER    -    0.04678</v>
          </cell>
        </row>
        <row r="1104">
          <cell r="D1104" t="str">
            <v>15450930    -    POWER DISTRIBUTION BOX    -    3.49444</v>
          </cell>
        </row>
        <row r="1105">
          <cell r="D1105" t="str">
            <v>15450932    -    FUSE MODULAR    -    1.0946</v>
          </cell>
        </row>
        <row r="1106">
          <cell r="D1106" t="str">
            <v>15451092    -    WED 8 WAY RED    -    0.01154</v>
          </cell>
        </row>
        <row r="1107">
          <cell r="D1107" t="str">
            <v>15451101    -    COVER    -    0.08214</v>
          </cell>
        </row>
        <row r="1108">
          <cell r="D1108" t="str">
            <v>15451175    -    SPACER    -    0.06127</v>
          </cell>
        </row>
        <row r="1109">
          <cell r="D1109" t="str">
            <v>15451214    -    RETAINER    -    0.0456</v>
          </cell>
        </row>
        <row r="1110">
          <cell r="D1110" t="str">
            <v>15451225    -    SPACER    -    0.04957</v>
          </cell>
        </row>
        <row r="1111">
          <cell r="D1111" t="str">
            <v>15451310    -    WED 4 WAY RED    -    0.01088</v>
          </cell>
        </row>
        <row r="1112">
          <cell r="D1112" t="str">
            <v>15451318    -    SPACER    -    0.03022</v>
          </cell>
        </row>
        <row r="1113">
          <cell r="D1113" t="str">
            <v>15451358    -    LOWER HOUSING    -    1.24</v>
          </cell>
        </row>
        <row r="1114">
          <cell r="D1114" t="str">
            <v>15451361    -    SPACER    -    0.175</v>
          </cell>
        </row>
        <row r="1115">
          <cell r="D1115" t="str">
            <v>15451368    -    SHORTING BAR 4W    -    0.26018</v>
          </cell>
        </row>
        <row r="1116">
          <cell r="D1116" t="str">
            <v>15451393    -    SPACER    -    0.11183</v>
          </cell>
        </row>
        <row r="1117">
          <cell r="D1117" t="str">
            <v>15451466    -    SPACER    -    0.04705</v>
          </cell>
        </row>
        <row r="1118">
          <cell r="D1118" t="str">
            <v>15451481    -    COVER    -    0.60237</v>
          </cell>
        </row>
        <row r="1119">
          <cell r="D1119" t="str">
            <v>15451482    -    SPACER    -    0.28</v>
          </cell>
        </row>
        <row r="1120">
          <cell r="D1120" t="str">
            <v>15451483    -    SPACER    -    0.3</v>
          </cell>
        </row>
        <row r="1121">
          <cell r="D1121" t="str">
            <v>15451488    -    COVER    -    0.64534</v>
          </cell>
        </row>
        <row r="1122">
          <cell r="D1122" t="str">
            <v>15451596    -    COVER BOTTOM 20 WAY    -    0.62354</v>
          </cell>
        </row>
        <row r="1123">
          <cell r="D1123" t="str">
            <v>15451598    -    WED 20 WAY    -    0.38431</v>
          </cell>
        </row>
        <row r="1124">
          <cell r="D1124" t="str">
            <v>15451646    -    BRACKET    -    0.1383</v>
          </cell>
        </row>
        <row r="1125">
          <cell r="D1125" t="str">
            <v>15451648    -    SLEVE    -    0.24666</v>
          </cell>
        </row>
        <row r="1126">
          <cell r="D1126" t="str">
            <v>15451652    -    SPACER    -    0.03534</v>
          </cell>
        </row>
        <row r="1127">
          <cell r="D1127" t="str">
            <v>15451667    -    TIE STRAP    -    0.8148</v>
          </cell>
        </row>
        <row r="1128">
          <cell r="D1128" t="str">
            <v>15451687    -    COVER    -    0.053</v>
          </cell>
        </row>
        <row r="1129">
          <cell r="D1129" t="str">
            <v>15451715    -    TIE BLK 7 IN PLASTIC    -    0.0128</v>
          </cell>
        </row>
        <row r="1130">
          <cell r="D1130" t="str">
            <v>15451722    -    COVER    -    0.8852</v>
          </cell>
        </row>
        <row r="1131">
          <cell r="D1131" t="str">
            <v>15451772    -    BACKBONE    -    0.34</v>
          </cell>
        </row>
        <row r="1132">
          <cell r="D1132" t="str">
            <v>15451775    -    MOUNTING BRACKET    -    2.778</v>
          </cell>
        </row>
        <row r="1133">
          <cell r="D1133" t="str">
            <v>15451857    -    CLIP    -    0.485</v>
          </cell>
        </row>
        <row r="1134">
          <cell r="D1134" t="str">
            <v>15451865    -    SLEEVE    -    0.24666</v>
          </cell>
        </row>
        <row r="1135">
          <cell r="D1135" t="str">
            <v>15451919    -    MAXI FUSE WEDGE (SPACER)    -    0.23</v>
          </cell>
        </row>
        <row r="1136">
          <cell r="D1136" t="str">
            <v>15451934    -    SHIELD    -    0.232</v>
          </cell>
        </row>
        <row r="1137">
          <cell r="D1137" t="str">
            <v>15451965    -    COVER    -    0.01493</v>
          </cell>
        </row>
        <row r="1138">
          <cell r="D1138" t="str">
            <v>15452039    -    TERMINAL    -    0.04</v>
          </cell>
        </row>
        <row r="1139">
          <cell r="D1139" t="str">
            <v>15452076    -    SOCKET WEDGE BASE BULB    -    0.0714</v>
          </cell>
        </row>
        <row r="1140">
          <cell r="D1140" t="str">
            <v>15452085    -    SOCKET WEDGE BASE BULB    -    0.11</v>
          </cell>
        </row>
        <row r="1141">
          <cell r="D1141" t="str">
            <v>15452099    -    FIR TREE-NATURAL    -    0.0197</v>
          </cell>
        </row>
        <row r="1142">
          <cell r="D1142" t="str">
            <v>15453226    -    CABLE TIE    -    0.063</v>
          </cell>
        </row>
        <row r="1143">
          <cell r="D1143" t="str">
            <v>15453656    -    HARNESS CLIP    -    0.041</v>
          </cell>
        </row>
        <row r="1144">
          <cell r="D1144" t="str">
            <v>15453692    -    CLIP    -    0.1491</v>
          </cell>
        </row>
        <row r="1145">
          <cell r="D1145" t="str">
            <v>15453959    -    RETAINER    -    0.041</v>
          </cell>
        </row>
        <row r="1146">
          <cell r="D1146" t="str">
            <v>15454031    -    SPACER    -    0.06939</v>
          </cell>
        </row>
        <row r="1147">
          <cell r="D1147" t="str">
            <v>15454384    -    RETAINER    -    0.03682</v>
          </cell>
        </row>
        <row r="1148">
          <cell r="D1148" t="str">
            <v>15454413    -    FUSE AN RELAY BOX    -    2.46392</v>
          </cell>
        </row>
        <row r="1149">
          <cell r="D1149" t="str">
            <v>15454423    -    SPACER    -    0.03192</v>
          </cell>
        </row>
        <row r="1150">
          <cell r="D1150" t="str">
            <v>15454428    -    SEAL PLUG    -    0.14</v>
          </cell>
        </row>
        <row r="1151">
          <cell r="D1151" t="str">
            <v>15454429    -    COVER PLUG    -    0.03583</v>
          </cell>
        </row>
        <row r="1152">
          <cell r="D1152" t="str">
            <v>15454430    -    COVER PLUG    -    0.03576</v>
          </cell>
        </row>
        <row r="1153">
          <cell r="D1153" t="str">
            <v>15454432    -    CLIP    -    0.09</v>
          </cell>
        </row>
        <row r="1154">
          <cell r="D1154" t="str">
            <v>15454482    -    CLIP    -    0.091412</v>
          </cell>
        </row>
        <row r="1155">
          <cell r="D1155" t="str">
            <v>15454512    -    CABLE TIE WITH CLIP    -    0.039</v>
          </cell>
        </row>
        <row r="1156">
          <cell r="D1156" t="str">
            <v>15454875    -    CONNECTOR 3F    -    0.4</v>
          </cell>
        </row>
        <row r="1157">
          <cell r="D1157" t="str">
            <v>15454901    -    ASM CONN 3F UNSEALED    -    0.18</v>
          </cell>
        </row>
        <row r="1158">
          <cell r="D1158" t="str">
            <v>15455054    -    COVER    -    0.175</v>
          </cell>
        </row>
        <row r="1159">
          <cell r="D1159" t="str">
            <v>15456262    -    TETHER CPA    -    0.077</v>
          </cell>
        </row>
        <row r="1160">
          <cell r="D1160" t="str">
            <v>15456269    -    CLIP    -    0.07453</v>
          </cell>
        </row>
        <row r="1161">
          <cell r="D1161" t="str">
            <v>15456277    -    RETAINER    -    0.07777</v>
          </cell>
        </row>
        <row r="1162">
          <cell r="D1162" t="str">
            <v>15456297    -    COVER-BATT POST    -    0.435</v>
          </cell>
        </row>
        <row r="1163">
          <cell r="D1163" t="str">
            <v>15456884    -    CLIP    -    0.0477</v>
          </cell>
        </row>
        <row r="1164">
          <cell r="D1164" t="str">
            <v>15456912    -    RETAINER    -    0.045</v>
          </cell>
        </row>
        <row r="1165">
          <cell r="D1165" t="str">
            <v>15456913    -    CLIP    -    0.19117</v>
          </cell>
        </row>
        <row r="1166">
          <cell r="D1166" t="str">
            <v>15456917    -    SHIELD    -    0.07827</v>
          </cell>
        </row>
        <row r="1167">
          <cell r="D1167" t="str">
            <v>15456918    -    RETAINER    -    0.294</v>
          </cell>
        </row>
        <row r="1168">
          <cell r="D1168" t="str">
            <v>15456919    -    RETAINER    -    0.36919</v>
          </cell>
        </row>
        <row r="1169">
          <cell r="D1169" t="str">
            <v>15456921    -    SHIELD    -    0.81583</v>
          </cell>
        </row>
        <row r="1170">
          <cell r="D1170" t="str">
            <v>15456961    -    COVER, FUSEPANEL    -    0.95888</v>
          </cell>
        </row>
        <row r="1171">
          <cell r="D1171" t="str">
            <v>15456963    -    COVER, BUSSBAR    -    0.12351</v>
          </cell>
        </row>
        <row r="1172">
          <cell r="D1172" t="str">
            <v>15456964    -    SPACER, MINIFUSE 10W    -    0.12351</v>
          </cell>
        </row>
        <row r="1173">
          <cell r="D1173" t="str">
            <v>15456968    -    SPACER, MINIFUSE 8W    -    0.10864</v>
          </cell>
        </row>
        <row r="1174">
          <cell r="D1174" t="str">
            <v>15456977    -    MODULE FUSE PANEL    -    1.46019</v>
          </cell>
        </row>
        <row r="1175">
          <cell r="D1175" t="str">
            <v>15456978    -    MODULE,RELAY PANEL    -    2.14043</v>
          </cell>
        </row>
        <row r="1176">
          <cell r="D1176" t="str">
            <v>15456979    -    MODULE,END-CAP    -    1.01067</v>
          </cell>
        </row>
        <row r="1177">
          <cell r="D1177" t="str">
            <v>15456996    -    SHIELD    -    0.58967</v>
          </cell>
        </row>
        <row r="1178">
          <cell r="D1178" t="str">
            <v>15456997    -    SHIELD    -    0.45245</v>
          </cell>
        </row>
        <row r="1179">
          <cell r="D1179" t="str">
            <v>15456998    -    SHIELD    -    0.46105</v>
          </cell>
        </row>
        <row r="1180">
          <cell r="D1180" t="str">
            <v>15457003    -    COVER    -    0.224006</v>
          </cell>
        </row>
        <row r="1181">
          <cell r="D1181" t="str">
            <v>15457005    -    LAMP SOCKET    -    0.12</v>
          </cell>
        </row>
        <row r="1182">
          <cell r="D1182" t="str">
            <v>15457007    -    M6 STUD RETAINER    -    0.04173</v>
          </cell>
        </row>
        <row r="1183">
          <cell r="D1183" t="str">
            <v>15459739    -    WIRE TIE BLK HOLE 5.4 LGTH 135.00    -    0.0202</v>
          </cell>
        </row>
        <row r="1184">
          <cell r="D1184" t="str">
            <v>15460631    -    CLIP    -    0.076</v>
          </cell>
        </row>
        <row r="1185">
          <cell r="D1185" t="str">
            <v>15461152    -    CLIP    -    0.062</v>
          </cell>
        </row>
        <row r="1186">
          <cell r="D1186" t="str">
            <v>15461154    -    SHIELD    -    0.52</v>
          </cell>
        </row>
        <row r="1187">
          <cell r="D1187" t="str">
            <v>15461162    -    FUSE EXTRACTOR    -    0.055</v>
          </cell>
        </row>
        <row r="1188">
          <cell r="D1188" t="str">
            <v>15461165    -    CHAN    -    1.21528</v>
          </cell>
        </row>
        <row r="1189">
          <cell r="D1189" t="str">
            <v>15461172    -    COVER    -    0.11853</v>
          </cell>
        </row>
        <row r="1190">
          <cell r="D1190" t="str">
            <v>15461190    -    CABLE TIE    -    0.09331</v>
          </cell>
        </row>
        <row r="1191">
          <cell r="D1191" t="str">
            <v>15461233    -    MEGAFUSE HOLDER 94BG-14A067-AB    -    0.734737</v>
          </cell>
        </row>
        <row r="1192">
          <cell r="D1192" t="str">
            <v>15461239    -    COVER BLK    -    0.0175</v>
          </cell>
        </row>
        <row r="1193">
          <cell r="D1193" t="str">
            <v>15461260    -    BOTTOM COVER FOR 6 WAY MINIFUSE    -    0.23159</v>
          </cell>
        </row>
        <row r="1194">
          <cell r="D1194" t="str">
            <v>15461261    -    MINI FUSE MODULAR HOLDER 6 W    -    0.77405</v>
          </cell>
        </row>
        <row r="1195">
          <cell r="D1195" t="str">
            <v>15461262    -    TOP COVER OF 6 WAY MINIFUSE HOLDER    -    0.29193</v>
          </cell>
        </row>
        <row r="1196">
          <cell r="D1196" t="str">
            <v>15461268    -    DOUBLE LOOP TIE STRAP    -    0.07168</v>
          </cell>
        </row>
        <row r="1197">
          <cell r="D1197" t="str">
            <v>15461275    -    CLIP    -    0.05411</v>
          </cell>
        </row>
        <row r="1198">
          <cell r="D1198" t="str">
            <v>15461300    -    SPACER    -    0.09933</v>
          </cell>
        </row>
        <row r="1199">
          <cell r="D1199" t="str">
            <v>15461308    -    6 WAY MINIFUSE    -    0.88221</v>
          </cell>
        </row>
        <row r="1200">
          <cell r="D1200" t="str">
            <v>15461322    -    CAP    -    0.34132</v>
          </cell>
        </row>
        <row r="1201">
          <cell r="D1201" t="str">
            <v>15461410    -    HOLDER ASSEMBLY    -    0.99746</v>
          </cell>
        </row>
        <row r="1202">
          <cell r="D1202" t="str">
            <v>15465082    -    SIDE CHANNEL    -    0.299</v>
          </cell>
        </row>
        <row r="1203">
          <cell r="D1203" t="str">
            <v>15465458    -    LOOCK WASHER    -    0.32</v>
          </cell>
        </row>
        <row r="1204">
          <cell r="D1204" t="str">
            <v>15465462    -    NUT    -    0.61</v>
          </cell>
        </row>
        <row r="1205">
          <cell r="D1205" t="str">
            <v>12110197    -  CLIP TAPE ON    -    0.0229</v>
          </cell>
        </row>
        <row r="1206">
          <cell r="D1206" t="str">
            <v>15465464    -    TPA    -    0.063</v>
          </cell>
        </row>
        <row r="1207">
          <cell r="D1207" t="str">
            <v>15465482    -    DUST CAP    -    0.72</v>
          </cell>
        </row>
        <row r="1208">
          <cell r="D1208" t="str">
            <v>15465523    -    NUT BHD APD SER PLAST    -    0.8</v>
          </cell>
        </row>
        <row r="1209">
          <cell r="D1209" t="str">
            <v>15465561    -    COVER CAP    -    0.0355</v>
          </cell>
        </row>
        <row r="1210">
          <cell r="D1210" t="str">
            <v>15465584    -    CLIP    -    0.0548</v>
          </cell>
        </row>
        <row r="1211">
          <cell r="D1211" t="str">
            <v>15465604    -    MOUN WIRE TIE    -    0.012</v>
          </cell>
        </row>
        <row r="1212">
          <cell r="D1212" t="str">
            <v>15465626    -    CABLE TIE    -    0.067</v>
          </cell>
        </row>
        <row r="1213">
          <cell r="D1213" t="str">
            <v>15465635    -    ASSY SOCKET 4 WAY CONN    -    2.74</v>
          </cell>
        </row>
        <row r="1214">
          <cell r="D1214" t="str">
            <v>15465751    -    SEAL O RING    -    0.37</v>
          </cell>
        </row>
        <row r="1215">
          <cell r="D1215" t="str">
            <v>15465766    -    RECEPTACLE 16 CAV    -    7.63</v>
          </cell>
        </row>
        <row r="1216">
          <cell r="D1216" t="str">
            <v>15465997    -    CLIP LOCATOR    -    0.05764</v>
          </cell>
        </row>
        <row r="1217">
          <cell r="D1217" t="str">
            <v>15466000    -    9.5 MM ARROW PUSH MOUNT TIE,    -    0.08</v>
          </cell>
        </row>
        <row r="1218">
          <cell r="D1218" t="str">
            <v>15466185    -    CLIP    -    0.1732</v>
          </cell>
        </row>
        <row r="1219">
          <cell r="D1219" t="str">
            <v>15466360    -    SPACER - BLACK    -    0.42114</v>
          </cell>
        </row>
        <row r="1220">
          <cell r="D1220" t="str">
            <v>15466853    -    COVER FOR BATTERY TERMINAL    -    0.2524</v>
          </cell>
        </row>
        <row r="1221">
          <cell r="D1221" t="str">
            <v>15467392    -    CLIP    -    0.06977</v>
          </cell>
        </row>
        <row r="1222">
          <cell r="D1222" t="str">
            <v>15470857    -    SWCH HOUSING TOP 8000.01 RR FU 13680 B1    -    3.508323</v>
          </cell>
        </row>
        <row r="1223">
          <cell r="D1223" t="str">
            <v>15470858    -    SWCH HOUSING BOT 8000.02 RR FU 11626 C1    -    3.508323</v>
          </cell>
        </row>
        <row r="1224">
          <cell r="D1224" t="str">
            <v>15470965    -    SWCH    -    1.009183</v>
          </cell>
        </row>
        <row r="1225">
          <cell r="D1225" t="str">
            <v>15472837    -    WIRE TIE    -    0.055</v>
          </cell>
        </row>
        <row r="1226">
          <cell r="D1226" t="str">
            <v>15472838    -    WIRE TIE    -    0.095</v>
          </cell>
        </row>
        <row r="1227">
          <cell r="D1227" t="str">
            <v>15472839    -    WIRE TIE    -    0.225</v>
          </cell>
        </row>
        <row r="1228">
          <cell r="D1228" t="str">
            <v>15473371    -    FASTENER    -    0.02584</v>
          </cell>
        </row>
        <row r="1229">
          <cell r="D1229" t="str">
            <v>15473592    -    WIRE TIE    -    0.04</v>
          </cell>
        </row>
        <row r="1230">
          <cell r="D1230" t="str">
            <v>15473593    -    WIRE TIE    -    0.28975</v>
          </cell>
        </row>
        <row r="1231">
          <cell r="D1231" t="str">
            <v>15473714    -    HARNESS SPLINE SUPPORT    -    0.1177</v>
          </cell>
        </row>
        <row r="1232">
          <cell r="D1232" t="str">
            <v>15474423    -    COVER    -    0.0641</v>
          </cell>
        </row>
        <row r="1233">
          <cell r="D1233" t="str">
            <v>15474429    -    CLIP    -    0.04232</v>
          </cell>
        </row>
        <row r="1234">
          <cell r="D1234" t="str">
            <v>15474446    -    PLUG    -    0.1098</v>
          </cell>
        </row>
        <row r="1235">
          <cell r="D1235" t="str">
            <v>15475234    -    MOUN BRACKET    -    0.305675</v>
          </cell>
        </row>
        <row r="1236">
          <cell r="D1236" t="str">
            <v>15477040    -    CHAN BLK    -    0.471198</v>
          </cell>
        </row>
        <row r="1237">
          <cell r="D1237" t="str">
            <v>15477041    -    COV CHANNEL    -    0.229558</v>
          </cell>
        </row>
        <row r="1238">
          <cell r="D1238" t="str">
            <v>15478651    -    CABLE TIE    -    0.02723</v>
          </cell>
        </row>
        <row r="1239">
          <cell r="D1239" t="str">
            <v>15479802    -    COVER    -    0.19715</v>
          </cell>
        </row>
        <row r="1240">
          <cell r="D1240" t="str">
            <v>15479803    -    SPACER    -    0.13389</v>
          </cell>
        </row>
        <row r="1241">
          <cell r="D1241" t="str">
            <v>15479805    -    PDB BLOCK ASSEMBLY    -    2.66796</v>
          </cell>
        </row>
        <row r="1242">
          <cell r="D1242" t="str">
            <v>15479806    -    RELAY COVER    -    1.682376</v>
          </cell>
        </row>
        <row r="1243">
          <cell r="D1243" t="str">
            <v>15479813    -    COVER    -    0.50114</v>
          </cell>
        </row>
        <row r="1244">
          <cell r="D1244" t="str">
            <v>1548    -    SOCKEL 5002 SCHWARZ    -    1.062361</v>
          </cell>
        </row>
        <row r="1245">
          <cell r="D1245" t="str">
            <v>15480178    -    CONN CLIP    -    0.049</v>
          </cell>
        </row>
        <row r="1246">
          <cell r="D1246" t="str">
            <v>15483060    -    TERMINAL    -    0.25</v>
          </cell>
        </row>
        <row r="1247">
          <cell r="D1247" t="str">
            <v>15483091    -    MOUN CLAMP    -    0.19125</v>
          </cell>
        </row>
        <row r="1248">
          <cell r="D1248" t="str">
            <v>15483794    -    COVER    -    0.34</v>
          </cell>
        </row>
        <row r="1249">
          <cell r="D1249" t="str">
            <v>15483853    -    WIRE DRESS COVER    -    0.15309</v>
          </cell>
        </row>
        <row r="1250">
          <cell r="D1250" t="str">
            <v>15483854    -    WIRE DRESS COVER    -    0.5087</v>
          </cell>
        </row>
        <row r="1251">
          <cell r="D1251" t="str">
            <v>15483855    -    WIRE DRESS COVER    -    0.25759</v>
          </cell>
        </row>
        <row r="1252">
          <cell r="D1252" t="str">
            <v>15483882    -    COVER    -    0.31623</v>
          </cell>
        </row>
        <row r="1253">
          <cell r="D1253" t="str">
            <v>15483886    -    SPACER    -    0.28886</v>
          </cell>
        </row>
        <row r="1254">
          <cell r="D1254" t="str">
            <v>15484881    -    HALTER    -    0.234775</v>
          </cell>
        </row>
        <row r="1255">
          <cell r="D1255" t="str">
            <v>15485693    -    CLIP    -    0.0632</v>
          </cell>
        </row>
        <row r="1256">
          <cell r="D1256" t="str">
            <v>15485699    -    COVER    -    0.30689</v>
          </cell>
        </row>
        <row r="1257">
          <cell r="D1257" t="str">
            <v>15485732    -    CLIP    -    0.08917</v>
          </cell>
        </row>
        <row r="1258">
          <cell r="D1258" t="str">
            <v>15486458    -    CHANNEL    -    0.637</v>
          </cell>
        </row>
        <row r="1259">
          <cell r="D1259" t="str">
            <v>15486459    -    CHANNEL    -    0.669</v>
          </cell>
        </row>
        <row r="1260">
          <cell r="D1260" t="str">
            <v>15487093    -    CHANNEL    -    0.282</v>
          </cell>
        </row>
        <row r="1261">
          <cell r="D1261" t="str">
            <v>15487789    -    CLIP    -    0.055</v>
          </cell>
        </row>
        <row r="1262">
          <cell r="D1262" t="str">
            <v>15488553    -    CHANNEL    -    0.1975</v>
          </cell>
        </row>
        <row r="1263">
          <cell r="D1263" t="str">
            <v>15489225    -    CHANNEL    -    1.282</v>
          </cell>
        </row>
        <row r="1264">
          <cell r="D1264" t="str">
            <v>15489226    -    CHANNEL    -    0.499</v>
          </cell>
        </row>
        <row r="1265">
          <cell r="D1265" t="str">
            <v>15489227    -    CHANNEL    -    0.416</v>
          </cell>
        </row>
        <row r="1266">
          <cell r="D1266" t="str">
            <v>15489427    -    COVER    -    1.124</v>
          </cell>
        </row>
        <row r="1267">
          <cell r="D1267" t="str">
            <v>15490377    -    SRB GROMMET    -    0.117934</v>
          </cell>
        </row>
        <row r="1268">
          <cell r="D1268" t="str">
            <v>15490450    -    CHANNEL    -    0.555</v>
          </cell>
        </row>
        <row r="1269">
          <cell r="D1269" t="str">
            <v>15490451    -    CHANNEL    -    0.334</v>
          </cell>
        </row>
        <row r="1270">
          <cell r="D1270" t="str">
            <v>15490452    -    CHANNEL    -    0.334</v>
          </cell>
        </row>
        <row r="1271">
          <cell r="D1271" t="str">
            <v>15490453    -    CHANNEL    -    0.356</v>
          </cell>
        </row>
        <row r="1272">
          <cell r="D1272" t="str">
            <v>15490980    -    CHANNEL    -    0.222</v>
          </cell>
        </row>
        <row r="1273">
          <cell r="D1273" t="str">
            <v>15490981    -    CHANNEL    -    0.222</v>
          </cell>
        </row>
        <row r="1274">
          <cell r="D1274" t="str">
            <v>15490989    -    CHANNEL    -    0.421</v>
          </cell>
        </row>
        <row r="1275">
          <cell r="D1275" t="str">
            <v>15491302    -    COVER    -    0.5087</v>
          </cell>
        </row>
        <row r="1276">
          <cell r="D1276" t="str">
            <v>15491322    -    CLIP    -    0.201</v>
          </cell>
        </row>
        <row r="1277">
          <cell r="D1277" t="str">
            <v>15491598    -    CABLE TIE    -    0.01522</v>
          </cell>
        </row>
        <row r="1278">
          <cell r="D1278" t="str">
            <v>15491599    -    WIRE TIE    -    0.0054</v>
          </cell>
        </row>
        <row r="1279">
          <cell r="D1279" t="str">
            <v>15491647    -    CLIP    -    0.09976</v>
          </cell>
        </row>
        <row r="1280">
          <cell r="D1280" t="str">
            <v>15491667    -    COVER    -    3.43</v>
          </cell>
        </row>
        <row r="1281">
          <cell r="D1281" t="str">
            <v>15491668    -    SPLICE, SOLIS P/4    -    0.74824</v>
          </cell>
        </row>
        <row r="1282">
          <cell r="D1282" t="str">
            <v>15491907    -    TAPE ON CLIP    -    0.128</v>
          </cell>
        </row>
        <row r="1283">
          <cell r="D1283" t="str">
            <v>15492266    -    CLIP    -    0.3028</v>
          </cell>
        </row>
        <row r="1284">
          <cell r="D1284" t="str">
            <v>15492344    -    PROTECTOR IN MAIN    -    1.016</v>
          </cell>
        </row>
        <row r="1285">
          <cell r="D1285" t="str">
            <v>15492345    -    CHANNEL BASE    -    1.1</v>
          </cell>
        </row>
        <row r="1286">
          <cell r="D1286" t="str">
            <v>15495993    -    CHANNEL (REPLACES 15495993)    -    0.262</v>
          </cell>
        </row>
        <row r="1287">
          <cell r="D1287" t="str">
            <v>15497379    -    CHANNEL    -    0.6049</v>
          </cell>
        </row>
        <row r="1288">
          <cell r="D1288" t="str">
            <v>15497380    -    CHANNEL    -    0.6205</v>
          </cell>
        </row>
        <row r="1289">
          <cell r="D1289" t="str">
            <v>15498941    -    SPACER    -    0.10579</v>
          </cell>
        </row>
        <row r="1290">
          <cell r="D1290" t="str">
            <v>15498942    -    TOP COVER    -    1.3491</v>
          </cell>
        </row>
        <row r="1291">
          <cell r="D1291" t="str">
            <v>15499494    -    CAM WIRE DRESS    -    0.55957</v>
          </cell>
        </row>
        <row r="1292">
          <cell r="D1292" t="str">
            <v>15499890    -    BOLT    -    0.611528</v>
          </cell>
        </row>
        <row r="1293">
          <cell r="D1293" t="str">
            <v>15499945    -    LOWER WIRE DRESS    -    0.1684</v>
          </cell>
        </row>
        <row r="1294">
          <cell r="D1294" t="str">
            <v>15499951    -    80 WAY FEMALE COVER    -    0.4521</v>
          </cell>
        </row>
        <row r="1295">
          <cell r="D1295" t="str">
            <v>15958694    -    CLIP    -    0.0063</v>
          </cell>
        </row>
        <row r="1296">
          <cell r="D1296" t="str">
            <v>15987707    -    INSULATOR    -    0.2</v>
          </cell>
        </row>
        <row r="1297">
          <cell r="D1297" t="str">
            <v>M1842002    -    NYLON CABLE TIE-BLACK .1"X3.875"    -    0.01175</v>
          </cell>
        </row>
        <row r="1298">
          <cell r="D1298" t="str">
            <v>M1842003    -    NYLON CABLE TIE 5.5" X .10" NATURAL    -    0.00563</v>
          </cell>
        </row>
        <row r="1299">
          <cell r="D1299" t="str">
            <v>M1842004    -    NYLON CABLE TIE 8" X .10"    -    0.00634</v>
          </cell>
        </row>
        <row r="1300">
          <cell r="D1300" t="str">
            <v>M1842005    -    PLASTIC TIE    -    0.02119</v>
          </cell>
        </row>
        <row r="1301">
          <cell r="D1301" t="str">
            <v>M1842006    -    PLASTIC TIE    -    0.01709</v>
          </cell>
        </row>
        <row r="1302">
          <cell r="D1302" t="str">
            <v>M1842008    -    NYLON CABLE TIE - 11.5" X .19" - BLACK    -    0.01876</v>
          </cell>
        </row>
        <row r="1303">
          <cell r="D1303" t="str">
            <v>M1842009    -    CABLE TIE    -    0.00747</v>
          </cell>
        </row>
        <row r="1304">
          <cell r="D1304" t="str">
            <v>M1842010    -    WIRE TIE    -    0.00747</v>
          </cell>
        </row>
        <row r="1305">
          <cell r="D1305" t="str">
            <v>M1842011    -    WIRE TIE - PLT. 1.5M - XMR30    -    0.02171</v>
          </cell>
        </row>
        <row r="1306">
          <cell r="D1306" t="str">
            <v>M1842012    -    WIRE TIE - PLT-IM-XMR30    -    0.01919</v>
          </cell>
        </row>
        <row r="1307">
          <cell r="D1307" t="str">
            <v>M1842014    -    WIRE TIE - PANDUIT PRT-3S-M    -    0.03247</v>
          </cell>
        </row>
        <row r="1308">
          <cell r="D1308" t="str">
            <v>M1842017    -    WIRE TIE    -    0.00832</v>
          </cell>
        </row>
        <row r="1309">
          <cell r="D1309" t="str">
            <v>M1842018    -    CABLE TIE    -    0.02441</v>
          </cell>
        </row>
        <row r="1310">
          <cell r="D1310" t="str">
            <v>M1842020    -    WIRE TIE    -    0.03485</v>
          </cell>
        </row>
        <row r="1311">
          <cell r="D1311" t="str">
            <v>M1842021    -    W. TIE    -    0.00812</v>
          </cell>
        </row>
        <row r="1312">
          <cell r="D1312" t="str">
            <v>M1842022    -    WIRE TIE    -    0.00653</v>
          </cell>
        </row>
        <row r="1313">
          <cell r="D1313" t="str">
            <v>M1842025    -    WIRE TIE    -    0.00396</v>
          </cell>
        </row>
        <row r="1314">
          <cell r="D1314" t="str">
            <v>M1842028    -    CABLE TIE    -    0.00653</v>
          </cell>
        </row>
        <row r="1315">
          <cell r="D1315" t="str">
            <v>M3538500    -    .005" POLYESTER FILM 5 1/4" WIDE    -    2.14</v>
          </cell>
        </row>
        <row r="1316">
          <cell r="D1316" t="str">
            <v>M3538750    -    .0075" POLYESTER FILM    -    2.55</v>
          </cell>
        </row>
        <row r="1317">
          <cell r="D1317" t="str">
            <v>M4098001    -    WIRE TIE    -    0.015</v>
          </cell>
        </row>
        <row r="1318">
          <cell r="D1318" t="str">
            <v>M4098004    -    CABLE TIE    -    0.04865</v>
          </cell>
        </row>
        <row r="1319">
          <cell r="D1319" t="str">
            <v>M4119001    -    QUICKEDGE TRIM BLACK    -    0.42</v>
          </cell>
        </row>
        <row r="1320">
          <cell r="D1320" t="str">
            <v>Z741-74733-2    -    LOCK CYLINDER INTERFACE    -    0.05924</v>
          </cell>
        </row>
        <row r="1321">
          <cell r="D1321" t="str">
            <v>10736013    -    COND CDT-FIT TEE MMBLK    -    0.159089</v>
          </cell>
        </row>
        <row r="1322">
          <cell r="D1322" t="str">
            <v>10738142    -    HEAT SHRINK SLEEVING * 9253423280    -    0.019768</v>
          </cell>
        </row>
        <row r="1323">
          <cell r="D1323" t="str">
            <v>10738217X    -    TUBE HEATSHRINK I5.70 L50.00 BLK YEL    -    0.026798</v>
          </cell>
        </row>
        <row r="1324">
          <cell r="D1324" t="str">
            <v>10749177    -    SHRINK CAP    -    0.16346</v>
          </cell>
        </row>
        <row r="1325">
          <cell r="D1325" t="str">
            <v>10749178    -    SHRINK CAP BLK 1300    -    0.12181</v>
          </cell>
        </row>
        <row r="1326">
          <cell r="D1326" t="str">
            <v>10749180    -    GLUE BLACK    -    0.1529</v>
          </cell>
        </row>
        <row r="1327">
          <cell r="D1327" t="str">
            <v>10749181    -    COLDMELT STRIP    -    0.17483</v>
          </cell>
        </row>
        <row r="1328">
          <cell r="D1328" t="str">
            <v>10749182    -    COLDMELT STRIP    -    0.19982</v>
          </cell>
        </row>
        <row r="1329">
          <cell r="D1329" t="str">
            <v>10749508    -    SHRINK SLEEVE    -    0.05165</v>
          </cell>
        </row>
        <row r="1330">
          <cell r="D1330" t="str">
            <v>10749509    -    COLDMELT STRIP    -    0.09986</v>
          </cell>
        </row>
        <row r="1331">
          <cell r="D1331" t="str">
            <v>10749680    -    COLDMELT STRIP    -    0.07507</v>
          </cell>
        </row>
        <row r="1332">
          <cell r="D1332" t="str">
            <v>10750488    -    SEALED SHRINK TUBE 12/3MM    -    0.05979</v>
          </cell>
        </row>
        <row r="1333">
          <cell r="D1333" t="str">
            <v>12129235   -   CONV COND OVAL    -    0.0456</v>
          </cell>
        </row>
        <row r="1334">
          <cell r="D1334" t="str">
            <v>10774722    -    SHRINK TUBE BLK    -    0.1748</v>
          </cell>
        </row>
        <row r="1335">
          <cell r="D1335" t="str">
            <v>10779236    -    TUBE HEATSHRINK SLIT GRA    -    0.097977</v>
          </cell>
        </row>
        <row r="1336">
          <cell r="D1336" t="str">
            <v>10779273    -    COND CDT-FIT MMBLK    -    0.234625</v>
          </cell>
        </row>
        <row r="1337">
          <cell r="D1337" t="str">
            <v>10779274    -    COND CDT-FIT TEE MMBLK    -    0.261763</v>
          </cell>
        </row>
        <row r="1338">
          <cell r="D1338" t="str">
            <v>10779277    -    COND CDT-FIT TEE L56.500 BLK    -    0.339217</v>
          </cell>
        </row>
        <row r="1339">
          <cell r="D1339" t="str">
            <v>10779278    -    C0ND CDT-FIT TEE MMBLK    -    0.288335</v>
          </cell>
        </row>
        <row r="1340">
          <cell r="D1340" t="str">
            <v>10779283    -    COND CDT-FIT TEE MMBLK    -    0.218984</v>
          </cell>
        </row>
        <row r="1341">
          <cell r="D1341" t="str">
            <v>10779284    -    COND CDT-FIT TEE MMBLK    -    0.218984</v>
          </cell>
        </row>
        <row r="1342">
          <cell r="D1342" t="str">
            <v>10779285    -    COND CDT-FIT TEE MMBLK    -    0.23161</v>
          </cell>
        </row>
        <row r="1343">
          <cell r="D1343" t="str">
            <v>10779286    -    COND CDT-FIT TEE MMBLK    -    0.23161</v>
          </cell>
        </row>
        <row r="1344">
          <cell r="D1344" t="str">
            <v>10779287    -    COND CDT-FIT TEE MMBLK    -    0.218984</v>
          </cell>
        </row>
        <row r="1345">
          <cell r="D1345" t="str">
            <v>10779587    -    SHRINKLE TUBE PVC.10,85X50MM PRIR.    -    0.099987</v>
          </cell>
        </row>
        <row r="1346">
          <cell r="D1346" t="str">
            <v>10780305    -    TUBE HOSE 8.00 BLK    -    0.269871</v>
          </cell>
        </row>
        <row r="1347">
          <cell r="D1347" t="str">
            <v>10781179    -    TUBE HEATSHRINK 6.60 BLK    -    0.121172</v>
          </cell>
        </row>
        <row r="1348">
          <cell r="D1348" t="str">
            <v>10787813    -    COND CDT-FIT TEE L49.100 BLK    -    0.261763</v>
          </cell>
        </row>
        <row r="1349">
          <cell r="D1349" t="str">
            <v>10787814    -    COND CDT-FIT END-FIT I33.00 BLK    -    0.537094</v>
          </cell>
        </row>
        <row r="1350">
          <cell r="D1350" t="str">
            <v>10788303    -    SLEEVE SPLICE    -    0.05302</v>
          </cell>
        </row>
        <row r="1351">
          <cell r="D1351" t="str">
            <v>10788665    -    COND CDT-FIT Y-PIECE BLK    -    0.489981</v>
          </cell>
        </row>
        <row r="1352">
          <cell r="D1352" t="str">
            <v>10788666    -    COND CDT-FIT TEE BLK    -    0.640744</v>
          </cell>
        </row>
        <row r="1353">
          <cell r="D1353" t="str">
            <v>10788667    -    COND CDT-FIT BLK    -    0.565362</v>
          </cell>
        </row>
        <row r="1354">
          <cell r="D1354" t="str">
            <v>10788668    -    COND CDT-FIT BLK    -    0.565362</v>
          </cell>
        </row>
        <row r="1355">
          <cell r="D1355" t="str">
            <v>10788678    -    14996    -    0.026596</v>
          </cell>
        </row>
        <row r="1356">
          <cell r="D1356" t="str">
            <v>10788720    -    9806133    -    0.277562</v>
          </cell>
        </row>
        <row r="1357">
          <cell r="D1357" t="str">
            <v>10788724    -    TUBE HEATSHRINK 9.50 NAT    -    0.055593</v>
          </cell>
        </row>
        <row r="1358">
          <cell r="D1358" t="str">
            <v>10788751    -    TUBE HOSE WASHER ASM BLK    -    2.489965</v>
          </cell>
        </row>
        <row r="1359">
          <cell r="D1359" t="str">
            <v>10788753    -    TUBE HOSE WASHER ASM BLK    -    2.266242</v>
          </cell>
        </row>
        <row r="1360">
          <cell r="D1360" t="str">
            <v>10788754    -    TUBE HOSE WASHER ASM BLK    -    0.934563</v>
          </cell>
        </row>
        <row r="1361">
          <cell r="D1361" t="str">
            <v>10788755    -    TUBE HOSE WASHER ASM BLK    -    1.7686</v>
          </cell>
        </row>
        <row r="1362">
          <cell r="D1362" t="str">
            <v>10788773    -    36100999    -    0.093645</v>
          </cell>
        </row>
        <row r="1363">
          <cell r="D1363" t="str">
            <v>10788806    -    TUBE HEATSHRINK SLIT BLK    -    2.964263</v>
          </cell>
        </row>
        <row r="1364">
          <cell r="D1364" t="str">
            <v>10811518    -    TUBE WOVEN I17.00 L90.00 BLK    -    0.415331</v>
          </cell>
        </row>
        <row r="1365">
          <cell r="D1365" t="str">
            <v>10811520    -    TUBE WOVEN I13.00 L320.00 BL    -    0.927547</v>
          </cell>
        </row>
        <row r="1366">
          <cell r="D1366" t="str">
            <v>10811643    -    TUBE HOSE L5221.00 BLK    -    3.400375</v>
          </cell>
        </row>
        <row r="1367">
          <cell r="D1367" t="str">
            <v>10811647    -    FLEXFIT 2112 20-0/- LG 660    -    0.486254</v>
          </cell>
        </row>
        <row r="1368">
          <cell r="D1368" t="str">
            <v>10811659    -    16385    -    0.031305</v>
          </cell>
        </row>
        <row r="1369">
          <cell r="D1369" t="str">
            <v>10811661    -    TWISTTUBE 2420 19-0/- LG 130    -    0.233452</v>
          </cell>
        </row>
        <row r="1370">
          <cell r="D1370" t="str">
            <v>10811670    -    16569    -    0.835426</v>
          </cell>
        </row>
        <row r="1371">
          <cell r="D1371" t="str">
            <v>10811706    -    COND CDT-FIT Y-PIECE BLK    -    0.305296</v>
          </cell>
        </row>
        <row r="1372">
          <cell r="D1372" t="str">
            <v>10811714    -    16530    -    0.033626</v>
          </cell>
        </row>
        <row r="1373">
          <cell r="D1373" t="str">
            <v>10811720    -    TUBE WOVEN I24.00 L100.00 BL    -    0.747543</v>
          </cell>
        </row>
        <row r="1374">
          <cell r="D1374" t="str">
            <v>10811723    -    TUBE MISC BLK    -    0.080961</v>
          </cell>
        </row>
        <row r="1375">
          <cell r="D1375" t="str">
            <v>10811878    -    TUBE HOSE L2085.00 BLK    -    2.024033</v>
          </cell>
        </row>
        <row r="1376">
          <cell r="D1376" t="str">
            <v>10811909    -    LSTT-9.5-2-28MM    -    0.009931</v>
          </cell>
        </row>
        <row r="1377">
          <cell r="D1377" t="str">
            <v>10819232    -    FLEXFIT 2112 8-0/- LG 915    -    0.371923</v>
          </cell>
        </row>
        <row r="1378">
          <cell r="D1378" t="str">
            <v>10819323    -    TUBE WOVEN I5.00 L170.00 BLK    -    0.290786</v>
          </cell>
        </row>
        <row r="1379">
          <cell r="D1379" t="str">
            <v>10819327    -    ISOLIERKAPPE 4,5X20/1,0    -    0.029146</v>
          </cell>
        </row>
        <row r="1380">
          <cell r="D1380" t="str">
            <v>10819417    -    COND CDT-FIT Y-PIECE L100.600 BLK    -    0.69728</v>
          </cell>
        </row>
        <row r="1381">
          <cell r="D1381" t="str">
            <v>10819418    -    COND CDT-FIT L39.000 BLK    -    0.565362</v>
          </cell>
        </row>
        <row r="1382">
          <cell r="D1382" t="str">
            <v>10820239    -    COND CDT-FIT ELBOW BLK    -    0.692489</v>
          </cell>
        </row>
        <row r="1383">
          <cell r="D1383" t="str">
            <v>10820240    -    COND CDT-FIT ELBOW BLK    -    0.431659</v>
          </cell>
        </row>
        <row r="1384">
          <cell r="D1384" t="str">
            <v>10820276    -    LMX3500-30/10-0-30MM    -    0.191082</v>
          </cell>
        </row>
        <row r="1385">
          <cell r="D1385" t="str">
            <v>10820277    -    LMX3500-25/8-0-30MM    -    0.186238</v>
          </cell>
        </row>
        <row r="1386">
          <cell r="D1386" t="str">
            <v>10820292    -    QUIETSLEEVE 3450 6-0/- LG 270    -    0.089017</v>
          </cell>
        </row>
        <row r="1387">
          <cell r="D1387" t="str">
            <v>10820364    -    FOAM TUBE 40X8-150MM    -    0.122791</v>
          </cell>
        </row>
        <row r="1388">
          <cell r="D1388" t="str">
            <v>10820385    -    17299    -    0.009365</v>
          </cell>
        </row>
        <row r="1389">
          <cell r="D1389" t="str">
            <v>10820401    -    FLEXFIT 2112 15-0/- LG 270    -    0.201985</v>
          </cell>
        </row>
        <row r="1390">
          <cell r="D1390" t="str">
            <v>10820463    -    QUIETSLEEVE 3430 18-0/2 LG 430    -    0.311957</v>
          </cell>
        </row>
        <row r="1391">
          <cell r="D1391" t="str">
            <v>10820506    -    TWISTTUBE 2420 10-0/- LG 150    -    0.193093</v>
          </cell>
        </row>
        <row r="1392">
          <cell r="D1392" t="str">
            <v>10820507    -    TWISTTUBE 2420 10-0/- LG 70    -    0.092903</v>
          </cell>
        </row>
        <row r="1393">
          <cell r="D1393" t="str">
            <v>10820569    -    QUIETSLEEVE 3430 22-0/2 LG 180    -    0.209676</v>
          </cell>
        </row>
        <row r="1394">
          <cell r="D1394" t="str">
            <v>10820571    -    QUIETSLEEVE 3430 22-0/2 LG 280    -    0.248092</v>
          </cell>
        </row>
        <row r="1395">
          <cell r="D1395" t="str">
            <v>10820572    -    QUIETSLEEVE 3430 22-0/2 LG 200    -    0.240185</v>
          </cell>
        </row>
        <row r="1396">
          <cell r="D1396" t="str">
            <v>10846265    -    HTAT-NR619-0-40MM    -    0.106896</v>
          </cell>
        </row>
        <row r="1397">
          <cell r="D1397" t="str">
            <v>10846322    -    QUIETSLEEVE 3450 6-0/- LG 860    -    0.185901</v>
          </cell>
        </row>
        <row r="1398">
          <cell r="D1398" t="str">
            <v>10846334    -    QUIETSLEEVE 3450 6-0/- LG 1140    -    0.251587</v>
          </cell>
        </row>
        <row r="1399">
          <cell r="D1399" t="str">
            <v>10846508    -    TUBE HEATSHRINK L50.00 NAT    -    0.102241</v>
          </cell>
        </row>
        <row r="1400">
          <cell r="D1400" t="str">
            <v>10846550    -    17579    -    0.037296</v>
          </cell>
        </row>
        <row r="1401">
          <cell r="D1401" t="str">
            <v>10846894    -    TUBE HEATSHRINK L40.00 NAT    -    0.051114</v>
          </cell>
        </row>
        <row r="1402">
          <cell r="D1402" t="str">
            <v>10846898    -    HARNASLEEVE 1740 6-0/- LG 500    -    0.484958</v>
          </cell>
        </row>
        <row r="1403">
          <cell r="D1403" t="str">
            <v>10846899    -    TUBE I20.00 L100.00 GRA    -    0.431794</v>
          </cell>
        </row>
        <row r="1404">
          <cell r="D1404" t="str">
            <v>10846989    -    TUBE HEATSHRINK    -    0.00054</v>
          </cell>
        </row>
        <row r="1405">
          <cell r="D1405" t="str">
            <v>10846990    -    CLEAR HEATSHRINK TUBE    -    0.0283</v>
          </cell>
        </row>
        <row r="1406">
          <cell r="D1406" t="str">
            <v>10846994    -    SLEEVE SPLICE HEATSHRINK    -    0.0121</v>
          </cell>
        </row>
        <row r="1407">
          <cell r="D1407" t="str">
            <v>10847148    -    TUBE WOVEN I28.00 L285.00 BLK    -    2.5098</v>
          </cell>
        </row>
        <row r="1408">
          <cell r="D1408" t="str">
            <v>10847149    -    TUBE WOVEN I24.00 L280.00 BLK    -    2.024033</v>
          </cell>
        </row>
        <row r="1409">
          <cell r="D1409" t="str">
            <v>10847150    -    TUBE WOVEN I24.00 L185.00 BLK    -    1.659707</v>
          </cell>
        </row>
        <row r="1410">
          <cell r="D1410" t="str">
            <v>10847396    -    TUBE WOVEN I11.00 L300.00 BLK    -    0.755639</v>
          </cell>
        </row>
        <row r="1411">
          <cell r="D1411" t="str">
            <v>10847437    -    QUIETSLEEVE 3450 18-0/- LG 130    -    0.073702</v>
          </cell>
        </row>
        <row r="1412">
          <cell r="D1412" t="str">
            <v>10847492    -    FLEXWRAP 2300 25-0/- LG 200    -    2.78318</v>
          </cell>
        </row>
        <row r="1413">
          <cell r="D1413" t="str">
            <v>10863413    -    REFLEXWRAP 1466 13-ALU LG 230    -    0.868189</v>
          </cell>
        </row>
        <row r="1414">
          <cell r="D1414" t="str">
            <v>10863414    -    REFLEXWRAP 1466 13-ALU LG 270    -    1.019141</v>
          </cell>
        </row>
        <row r="1415">
          <cell r="D1415" t="str">
            <v>10863417    -    TUBE O8.00 I4.00 L1350.00 BLK    -    0.362032</v>
          </cell>
        </row>
        <row r="1416">
          <cell r="D1416" t="str">
            <v>10863533    -    TUBE SLEEVE O15.00 L180.00 BLK    -    0.081663</v>
          </cell>
        </row>
        <row r="1417">
          <cell r="D1417" t="str">
            <v>10863534    -    TUBE SLEEVE O12.00 L510.00 BLK    -    0.186832</v>
          </cell>
        </row>
        <row r="1418">
          <cell r="D1418" t="str">
            <v>10863535    -    TUBE SLEEVE O12.00 L660.00 BLK    -    0.235112</v>
          </cell>
        </row>
        <row r="1419">
          <cell r="D1419" t="str">
            <v>10863536    -    TUBE SLEEVE O12.00 L620.00 BLK    -    0.222239</v>
          </cell>
        </row>
        <row r="1420">
          <cell r="D1420" t="str">
            <v>10864115    -    TUBE BLK    -    46.657323</v>
          </cell>
        </row>
        <row r="1421">
          <cell r="D1421" t="str">
            <v>10864172    -    FOAM TUBE 10X120MM    -    0.029821</v>
          </cell>
        </row>
        <row r="1422">
          <cell r="D1422" t="str">
            <v>10864199    -    FLEXFIT 2112 20-0/- LG 190    -    0.183404</v>
          </cell>
        </row>
        <row r="1423">
          <cell r="D1423" t="str">
            <v>10864448    -    MISC NAT D15.00 L350.00    -    0.040076</v>
          </cell>
        </row>
        <row r="1424">
          <cell r="D1424" t="str">
            <v>10864450    -    MISC NAT D20.00 L680.00    -    0.106869</v>
          </cell>
        </row>
        <row r="1425">
          <cell r="D1425" t="str">
            <v>10864452    -    FOLIEN BALOON 400X40    -    0.333965</v>
          </cell>
        </row>
        <row r="1426">
          <cell r="D1426" t="str">
            <v>10864454    -    MISC NAT D40.00 L700.00    -    0.133586</v>
          </cell>
        </row>
        <row r="1427">
          <cell r="D1427" t="str">
            <v>10864694    -    10715    -    0.039131</v>
          </cell>
        </row>
        <row r="1428">
          <cell r="D1428" t="str">
            <v>10864695    -    FLEXFIT 2111 15-0/- LG 170    -    0.221092</v>
          </cell>
        </row>
        <row r="1429">
          <cell r="D1429" t="str">
            <v>10864783    -    7807643    -    0.238431</v>
          </cell>
        </row>
        <row r="1430">
          <cell r="D1430" t="str">
            <v>10864806    -    FLEXFIT 2111 SB 20-0/- LG 720    -    0.62745</v>
          </cell>
        </row>
        <row r="1431">
          <cell r="D1431" t="str">
            <v>10864807    -    FLEXFIT 2111 SB 20-0/- LG 245    -    0.215222</v>
          </cell>
        </row>
        <row r="1432">
          <cell r="D1432" t="str">
            <v>10864808    -    FLEXFIT 2111 SB 20-0/- LG 465    -    0.403457</v>
          </cell>
        </row>
        <row r="1433">
          <cell r="D1433" t="str">
            <v>10864976    -    TUBE HEATSHRINK I12.00 L12.00 NAT    -    0.140077</v>
          </cell>
        </row>
        <row r="1434">
          <cell r="D1434" t="str">
            <v>10865036    -    TWISTTUBE 2420 5-0/- LG 180    -    0.154231</v>
          </cell>
        </row>
        <row r="1435">
          <cell r="D1435" t="str">
            <v>10865251    -    TUBE HEATSHRINK I12.00 L34.00 NAT    -    0.401366</v>
          </cell>
        </row>
        <row r="1436">
          <cell r="D1436" t="str">
            <v>10865603    -    1994585    -    0.024423</v>
          </cell>
        </row>
        <row r="1437">
          <cell r="D1437" t="str">
            <v>10865703    -    HARNASLEEVE 1740 6-0/- LG 160    -    0.172596</v>
          </cell>
        </row>
        <row r="1438">
          <cell r="D1438" t="str">
            <v>10865719    -    TWISTTUBE 2420 13-0/- LG 120    -    0.131535</v>
          </cell>
        </row>
        <row r="1439">
          <cell r="D1439" t="str">
            <v>10866114    -    RM ID 6X680 MONOFL.AUSSEN    -    0.155581</v>
          </cell>
        </row>
        <row r="1440">
          <cell r="D1440" t="str">
            <v>10866125    -    RR 6X600 MONOFL.WELLENBG    -    0.076508</v>
          </cell>
        </row>
        <row r="1441">
          <cell r="D1441" t="str">
            <v>10866127    -    RR 6X180 MONOFL.WELLENBG    -    0.037377</v>
          </cell>
        </row>
        <row r="1442">
          <cell r="D1442" t="str">
            <v>10866129    -    RR 13X430 MONOFL.WELLENBG    -    0.104035</v>
          </cell>
        </row>
        <row r="1443">
          <cell r="D1443" t="str">
            <v>12010651    -    SLEEVE CUT TO LENGTH    -    0.003544</v>
          </cell>
        </row>
        <row r="1444">
          <cell r="D1444" t="str">
            <v>12010651S    -    SLEEVE    -    0.004</v>
          </cell>
        </row>
        <row r="1445">
          <cell r="D1445" t="str">
            <v>12010653    -    SLEEVE CUT TO LENGTH    -    0.00362</v>
          </cell>
        </row>
        <row r="1446">
          <cell r="D1446" t="str">
            <v>12020971    -    CONVOLUTED CONDUIT    -    0.010712</v>
          </cell>
        </row>
        <row r="1447">
          <cell r="D1447" t="str">
            <v>12034124S    -    FOAM    -    0.018</v>
          </cell>
        </row>
        <row r="1448">
          <cell r="D1448" t="str">
            <v>12034308    -    TUBE VINYL 3.4 X 0.5 X    -    0.008</v>
          </cell>
        </row>
        <row r="1449">
          <cell r="D1449" t="str">
            <v>12034557    -    PROFILE CONDUIT 0.29527    -    0.0074</v>
          </cell>
        </row>
        <row r="1450">
          <cell r="D1450" t="str">
            <v>12039410    -    PROFILE CONDUIT 0.32808 FT    -    0.0116</v>
          </cell>
        </row>
        <row r="1451">
          <cell r="D1451" t="str">
            <v>12045525    -    OVERLAP CNDT R0067610 CUT TO    -    0.0203</v>
          </cell>
        </row>
        <row r="1452">
          <cell r="D1452" t="str">
            <v>12045850    -    BLACK FLAME RETARDANT FOAM TUBING    -    1.026</v>
          </cell>
        </row>
        <row r="1453">
          <cell r="D1453" t="str">
            <v>12052242    -    CONDUIT CONVOLUTED SLITE CUT    -    0.070859</v>
          </cell>
        </row>
        <row r="1454">
          <cell r="D1454" t="str">
            <v>12052313    -    SLEEVE NEOPRENE    -    0.004879</v>
          </cell>
        </row>
        <row r="1455">
          <cell r="D1455" t="str">
            <v>12052314    -    SLEEVE NEOPRENE    -    0.13173</v>
          </cell>
        </row>
        <row r="1456">
          <cell r="D1456" t="str">
            <v>12052326    -    BLACK FLAME RETARDANT FOAM TUBING    -    0.398</v>
          </cell>
        </row>
        <row r="1457">
          <cell r="D1457" t="str">
            <v>12053090    -    PROFILE CONDUIT    -    0.2504</v>
          </cell>
        </row>
        <row r="1458">
          <cell r="D1458" t="str">
            <v>12066450    -    BLACK FLAME RETARDANT FOAM TUBING    -    0.395</v>
          </cell>
        </row>
        <row r="1459">
          <cell r="D1459" t="str">
            <v>12077808    -    CONDUIT PROFILE    -    0.3495</v>
          </cell>
        </row>
        <row r="1460">
          <cell r="D1460" t="str">
            <v>12084527    -    SLEV BOOT 5.00 17.50 BLK    -    0.141682</v>
          </cell>
        </row>
        <row r="1461">
          <cell r="D1461" t="str">
            <v>12085053    -    PROFILE CONDUIT .328083FT    -    0.0181</v>
          </cell>
        </row>
        <row r="1462">
          <cell r="D1462" t="str">
            <v>12085053S    -    CDT OVERLAP    -    0.0201</v>
          </cell>
        </row>
        <row r="1463">
          <cell r="D1463" t="str">
            <v>12085067    -    CDT PROFILE    -    0.2867</v>
          </cell>
        </row>
        <row r="1464">
          <cell r="D1464" t="str">
            <v>12087928    -    OVAL CONDUIT    -    0.047907</v>
          </cell>
        </row>
        <row r="1465">
          <cell r="D1465" t="str">
            <v>12089189    -    SPLICE INSULATED D-406-2004    -    0.10988</v>
          </cell>
        </row>
        <row r="1466">
          <cell r="D1466" t="str">
            <v>12089190    -    SPLICE INSULATED D-406-2005    -    0.10988</v>
          </cell>
        </row>
        <row r="1467">
          <cell r="D1467" t="str">
            <v>12089191    -    SPLICE INSULATED D-406-2006    -    0.14818</v>
          </cell>
        </row>
        <row r="1468">
          <cell r="D1468" t="str">
            <v>12089229    -    BLACK FLAME RETARDANT FOAM TUBING    -    0.132</v>
          </cell>
        </row>
        <row r="1469">
          <cell r="D1469" t="str">
            <v>12089229S    -    TUBE    -    0.1562</v>
          </cell>
        </row>
        <row r="1470">
          <cell r="D1470" t="str">
            <v>12089244    -    VAC HOSE CONN 1-WAY    -    0.012</v>
          </cell>
        </row>
        <row r="1471">
          <cell r="D1471" t="str">
            <v>12089275    -    BLACK FLAME RETARDANT FOAM TUBING    -    0.094</v>
          </cell>
        </row>
        <row r="1472">
          <cell r="D1472" t="str">
            <v>12089780    -    VACUUM HOSE ASSEMBLY    -    0.6726</v>
          </cell>
        </row>
        <row r="1473">
          <cell r="D1473" t="str">
            <v>12089781    -    VACUUM HOSE ASSEMBLY    -    0.6462</v>
          </cell>
        </row>
        <row r="1474">
          <cell r="D1474" t="str">
            <v>12089978    -    CLEAR HEAT SKRINK TUBING    -    0.03318</v>
          </cell>
        </row>
        <row r="1475">
          <cell r="D1475" t="str">
            <v>12103316    -    BLACK DUAL WALL HEAT SHRINK TUBING    -    0.05876</v>
          </cell>
        </row>
        <row r="1476">
          <cell r="D1476" t="str">
            <v>12103357    -    SLEEVE    -    0.0428</v>
          </cell>
        </row>
        <row r="1477">
          <cell r="D1477" t="str">
            <v>12103448    -    CUT TUBING    -    0.01426</v>
          </cell>
        </row>
        <row r="1478">
          <cell r="D1478" t="str">
            <v>12103557    -    BLACK SLEEVE - BRAIDED LOOM    -    0.1093</v>
          </cell>
        </row>
        <row r="1479">
          <cell r="D1479" t="str">
            <v>12103620S    -    FOAM    -    0.0568</v>
          </cell>
        </row>
        <row r="1480">
          <cell r="D1480" t="str">
            <v>12103896    -    BLACK BRAIDED NYLON &amp; PET SLEEVE    -    0.1508</v>
          </cell>
        </row>
        <row r="1481">
          <cell r="D1481" t="str">
            <v>12103898    -    BLACK BRAIDED NYLON &amp; PET SLEEVE    -    0.1138</v>
          </cell>
        </row>
        <row r="1482">
          <cell r="D1482" t="str">
            <v>12110119    -    LOCK, TPA M/P 150    -    0.095</v>
          </cell>
        </row>
        <row r="1483">
          <cell r="D1483" t="str">
            <v>12110865    -    CONDUIT OVERLAP    -    0.0141</v>
          </cell>
        </row>
        <row r="1484">
          <cell r="D1484" t="str">
            <v>12110878    -    CONDUIT    -    0.084609</v>
          </cell>
        </row>
        <row r="1485">
          <cell r="D1485" t="str">
            <v>12110887    -    PROFILE CONDUIT    -    0.1712</v>
          </cell>
        </row>
        <row r="1486">
          <cell r="D1486" t="str">
            <v>12110889    -    PROFILE CONDUIT    -    0.627</v>
          </cell>
        </row>
        <row r="1487">
          <cell r="D1487" t="str">
            <v>12110890    -    PROFILE CONDUIT    -    0.056805</v>
          </cell>
        </row>
        <row r="1488">
          <cell r="D1488" t="str">
            <v>12110891    -    PROFILE CONDUIT    -    0.093658</v>
          </cell>
        </row>
        <row r="1489">
          <cell r="D1489" t="str">
            <v>12110893    -    CDT PROFILE    -    0.2495</v>
          </cell>
        </row>
        <row r="1490">
          <cell r="D1490" t="str">
            <v>12110896    -    PROFILE CONDUIT .49212598FT    -    0.0271</v>
          </cell>
        </row>
        <row r="1491">
          <cell r="D1491" t="str">
            <v>12110899    -    CONDUIT    -    0.070219</v>
          </cell>
        </row>
        <row r="1492">
          <cell r="D1492" t="str">
            <v>12110985    -    CONDUIT OVERLAP    -    0.0102</v>
          </cell>
        </row>
        <row r="1493">
          <cell r="D1493" t="str">
            <v>12110992    -    PROFILE CONDUIT    -    0.1803</v>
          </cell>
        </row>
        <row r="1494">
          <cell r="D1494" t="str">
            <v>12124074    -    HEAT SHRINK TUBING    -    0.18454</v>
          </cell>
        </row>
        <row r="1495">
          <cell r="D1495" t="str">
            <v>12124098    -    SLEEVE - 30MM    -    0.011507</v>
          </cell>
        </row>
        <row r="1496">
          <cell r="D1496" t="str">
            <v>12124098S    -    SLEEVE    -    0.0139</v>
          </cell>
        </row>
        <row r="1497">
          <cell r="D1497" t="str">
            <v>12124099    -    SLEEVE - 30MM    -    0.014114</v>
          </cell>
        </row>
        <row r="1498">
          <cell r="D1498" t="str">
            <v>12124100    -    SLEEVE - 30MM    -    0.017422</v>
          </cell>
        </row>
        <row r="1499">
          <cell r="D1499" t="str">
            <v>12124101    -    SLEEVE - 30MM    -    0.015741</v>
          </cell>
        </row>
        <row r="1500">
          <cell r="D1500" t="str">
            <v>12124102    -    SLEEVE - 30MM    -    0.019535</v>
          </cell>
        </row>
        <row r="1501">
          <cell r="D1501" t="str">
            <v>12124103    -    SLEEVE - 30MM    -    0.024659</v>
          </cell>
        </row>
        <row r="1502">
          <cell r="D1502" t="str">
            <v>12124104    -    SLEEVE - 30MM    -    0.02758</v>
          </cell>
        </row>
        <row r="1503">
          <cell r="D1503" t="str">
            <v>12124110    -    VACUUM HOSE ASSEMBLY    -    0.4317</v>
          </cell>
        </row>
        <row r="1504">
          <cell r="D1504" t="str">
            <v>12124130    -    HEAT SHRINK    -    0.08978</v>
          </cell>
        </row>
        <row r="1505">
          <cell r="D1505" t="str">
            <v>12124136    -    VACUUM HOSE ASSEMBLY    -    0.194</v>
          </cell>
        </row>
        <row r="1506">
          <cell r="D1506" t="str">
            <v>12124424    -    SLEEVE    -    0.02833</v>
          </cell>
        </row>
        <row r="1507">
          <cell r="D1507" t="str">
            <v>12124464    -    FOAM TUBING    -    0.43808</v>
          </cell>
        </row>
        <row r="1508">
          <cell r="D1508" t="str">
            <v>12124488    -    VACUUM HOSE ASSEMBLY    -    0.6115</v>
          </cell>
        </row>
        <row r="1509">
          <cell r="D1509" t="str">
            <v>12124529    -    BLACK FLAME RETARDANT FOAM TUBING    -    0.395</v>
          </cell>
        </row>
        <row r="1510">
          <cell r="D1510" t="str">
            <v>12124548    -    VACUUM HOSE ASSEMBLY    -    0.2582</v>
          </cell>
        </row>
        <row r="1511">
          <cell r="D1511" t="str">
            <v>12124578    -    BLACK FLAME RETARDANT FOAM TUBING    -    0.055</v>
          </cell>
        </row>
        <row r="1512">
          <cell r="D1512" t="str">
            <v>12124601    -    TUBE    -    0.02946</v>
          </cell>
        </row>
        <row r="1513">
          <cell r="D1513" t="str">
            <v>12124754S    -    FOAM    -    0.0218</v>
          </cell>
        </row>
        <row r="1514">
          <cell r="D1514" t="str">
            <v>12124769    -    NYLON ROD    -    0.0122</v>
          </cell>
        </row>
        <row r="1515">
          <cell r="D1515" t="str">
            <v>12124774    -    ASM WASHER TUBE    -    0.5641</v>
          </cell>
        </row>
        <row r="1516">
          <cell r="D1516" t="str">
            <v>12124788    -    SLEEVE    -    0.024162</v>
          </cell>
        </row>
        <row r="1517">
          <cell r="D1517" t="str">
            <v>12124789    -    SLEEVE    -    0.025169</v>
          </cell>
        </row>
        <row r="1518">
          <cell r="D1518" t="str">
            <v>12124832    -    SLEEVE, CUT TO LENGTH    -    0.006185</v>
          </cell>
        </row>
        <row r="1519">
          <cell r="D1519" t="str">
            <v>12124852    -    VAC HOSE ASM    -    0.1999</v>
          </cell>
        </row>
        <row r="1520">
          <cell r="D1520" t="str">
            <v>12124917    -    HTAT-32/8-0-76MM    -    0.194388</v>
          </cell>
        </row>
        <row r="1521">
          <cell r="D1521" t="str">
            <v>12129202    -    PROFILE CONDUIT    -    0.2951</v>
          </cell>
        </row>
        <row r="1522">
          <cell r="D1522" t="str">
            <v>12129911    -    PROFILE CONDUIT 0.6561FT    -    0.0166</v>
          </cell>
        </row>
        <row r="1523">
          <cell r="D1523" t="str">
            <v>12129913    -    PROFILE CONDUIT .1968503FT    -    0.0108</v>
          </cell>
        </row>
        <row r="1524">
          <cell r="D1524" t="str">
            <v>12131680H    -    TUBE-HEAT SHRINK TUBE    -    0.006041</v>
          </cell>
        </row>
        <row r="1525">
          <cell r="D1525" t="str">
            <v>12131680S    -    TUBE    -    0.151010176</v>
          </cell>
        </row>
        <row r="1526">
          <cell r="D1526" t="str">
            <v>12131681S    -    TUBE    -    0.1432641744</v>
          </cell>
        </row>
        <row r="1527">
          <cell r="D1527" t="str">
            <v>12146607    -    CDT CONVLT OVAL BLK    -    0.064551</v>
          </cell>
        </row>
        <row r="1528">
          <cell r="D1528" t="str">
            <v>12146608    -    CONDUIT    -    0.205163</v>
          </cell>
        </row>
        <row r="1529">
          <cell r="D1529" t="str">
            <v>12146610    -    PROFILE CONDUIT    -    0.192995</v>
          </cell>
        </row>
        <row r="1530">
          <cell r="D1530" t="str">
            <v>12146612    -    PROFILE CONDUIT .1640419FT    -    0.009</v>
          </cell>
        </row>
        <row r="1531">
          <cell r="D1531" t="str">
            <v>12146622    -    PROFILE CONDUIT    -    0.0563</v>
          </cell>
        </row>
        <row r="1532">
          <cell r="D1532" t="str">
            <v>12146625    -    PROFILE CONDUIT    -    0.0137</v>
          </cell>
        </row>
        <row r="1533">
          <cell r="D1533" t="str">
            <v>12146626    -    CDT OVERLAP    -    0.0415</v>
          </cell>
        </row>
        <row r="1534">
          <cell r="D1534" t="str">
            <v>12146630    -    PROFILE CONDUIT (W-CAR)    -    0.0762</v>
          </cell>
        </row>
        <row r="1535">
          <cell r="D1535" t="str">
            <v>12146641    -    PROFILE CONDUIT    -    0.2372</v>
          </cell>
        </row>
        <row r="1536">
          <cell r="D1536" t="str">
            <v>12146646    -    PROFILE CONDUIT    -    0.609</v>
          </cell>
        </row>
        <row r="1537">
          <cell r="D1537" t="str">
            <v>12146650    -    PROFILE CONDUIT 0.7381FT    -    0.0186</v>
          </cell>
        </row>
        <row r="1538">
          <cell r="D1538" t="str">
            <v>12146651    -    PROFILE CONDUIT 1.9028FT    -    0.0482</v>
          </cell>
        </row>
        <row r="1539">
          <cell r="D1539" t="str">
            <v>12146652    -    PROFILE CONDUIT 0.3937    -    0.0099</v>
          </cell>
        </row>
        <row r="1540">
          <cell r="D1540" t="str">
            <v>12146653    -    CDT PROFILE    -    0.0278</v>
          </cell>
        </row>
        <row r="1541">
          <cell r="D1541" t="str">
            <v>12146655    -    OVAL CONDUIT    -    0.279913</v>
          </cell>
        </row>
        <row r="1542">
          <cell r="D1542" t="str">
            <v>12146658    -    PROFILE CONDUIT    -    0.3896</v>
          </cell>
        </row>
        <row r="1543">
          <cell r="D1543" t="str">
            <v>12146671    -    CONDUIT OVERLAP    -    0.0361</v>
          </cell>
        </row>
        <row r="1544">
          <cell r="D1544" t="str">
            <v>12146674    -    OVERLAP CONDUIT L=345MM    -    0.0782</v>
          </cell>
        </row>
        <row r="1545">
          <cell r="D1545" t="str">
            <v>12146678    -    PROFILE CONDUIT 1.54199 FT    -    0.0546</v>
          </cell>
        </row>
        <row r="1546">
          <cell r="D1546" t="str">
            <v>12146680    -    PROFILE CONDUIT .57414FT    -    0.0145</v>
          </cell>
        </row>
        <row r="1547">
          <cell r="D1547" t="str">
            <v>12146682    -    PROFILE CONDUIT    -    0.3775</v>
          </cell>
        </row>
        <row r="1548">
          <cell r="D1548" t="str">
            <v>12149126    -    PROFILE CONDUIT    -    0.5406</v>
          </cell>
        </row>
        <row r="1549">
          <cell r="D1549" t="str">
            <v>12158158    -    66    -    0.061989</v>
          </cell>
        </row>
        <row r="1550">
          <cell r="D1550" t="str">
            <v>12162021    -    BLACK FLAME RETARDANT FOAM TUBING    -    0.497</v>
          </cell>
        </row>
        <row r="1551">
          <cell r="D1551" t="str">
            <v>12162293    -    TUBING CUT TO LENGTH    -    0.135</v>
          </cell>
        </row>
        <row r="1552">
          <cell r="D1552" t="str">
            <v>12162304    -    BLK BRAIDED ABRASION RESISTANT SLEEVING    -    0.2632</v>
          </cell>
        </row>
        <row r="1553">
          <cell r="D1553" t="str">
            <v>12162407    -    VAC HOSE    -    2.89</v>
          </cell>
        </row>
        <row r="1554">
          <cell r="D1554" t="str">
            <v>12162478    -    BLK BRAIDED ABRASION RESISTANT SLEEVING    -    0.3181</v>
          </cell>
        </row>
        <row r="1555">
          <cell r="D1555" t="str">
            <v>12162507    -    FOAM TUBING    -    0.023088</v>
          </cell>
        </row>
        <row r="1556">
          <cell r="D1556" t="str">
            <v>12162538    -    BLK BRAIDED ABRASION RESISTANT SLEEVING    -    1.7655</v>
          </cell>
        </row>
        <row r="1557">
          <cell r="D1557" t="str">
            <v>12162593    -    PVC TUBING    -    0.027767</v>
          </cell>
        </row>
        <row r="1558">
          <cell r="D1558" t="str">
            <v>12162593S    -    SLEEVE    -    0.029</v>
          </cell>
        </row>
        <row r="1559">
          <cell r="D1559" t="str">
            <v>12162643    -    VAC HOSE ASSY    -    0.4308</v>
          </cell>
        </row>
        <row r="1560">
          <cell r="D1560" t="str">
            <v>12162651    -    VAC HOSE    -    0.972</v>
          </cell>
        </row>
        <row r="1561">
          <cell r="D1561" t="str">
            <v>12162703    -    WOVEN - HOOK &amp; LOOP SLEEVING    -    0.4567</v>
          </cell>
        </row>
        <row r="1562">
          <cell r="D1562" t="str">
            <v>12162704    -    WOVEN - HOOK &amp; LOOP SLEEVING    -    0.47</v>
          </cell>
        </row>
        <row r="1563">
          <cell r="D1563" t="str">
            <v>12162806    -    CLEAR HEAT SKRINK TUBING    -    0.0549</v>
          </cell>
        </row>
        <row r="1564">
          <cell r="D1564" t="str">
            <v>12185328    -    SLV SK ES2000 #3 X 65MM 2 1/2    -    0.06235</v>
          </cell>
        </row>
        <row r="1565">
          <cell r="D1565" t="str">
            <v>12186007    -    SLEV SPIRAL 25.00 BLK    -    0.2655</v>
          </cell>
        </row>
        <row r="1566">
          <cell r="D1566" t="str">
            <v>12186026    -    BLACK SPIRAL WRAP LOOM SLEEVING    -    0.3312</v>
          </cell>
        </row>
        <row r="1567">
          <cell r="D1567" t="str">
            <v>12186027    -    SLEEVE    -    0.4071</v>
          </cell>
        </row>
        <row r="1568">
          <cell r="D1568" t="str">
            <v>12186031    -    TWISTTUBE 2420 13-0/- LG 125    -    0.153948</v>
          </cell>
        </row>
        <row r="1569">
          <cell r="D1569" t="str">
            <v>12186032    -    BLACK SPIRAL WRAP LOOM SLEEVING    -    0.4209</v>
          </cell>
        </row>
        <row r="1570">
          <cell r="D1570" t="str">
            <v>12186034    -    BLACK SPIRAL WRAP LOOM SLEEVING    -    0.845</v>
          </cell>
        </row>
        <row r="1571">
          <cell r="D1571" t="str">
            <v>12186036    -    BLACK SPIRAL WRAP LOOM SLEEVING    -    0.1935</v>
          </cell>
        </row>
        <row r="1572">
          <cell r="D1572" t="str">
            <v>12186077    -    AIR HOSE ASM    -    0.9118</v>
          </cell>
        </row>
        <row r="1573">
          <cell r="D1573" t="str">
            <v>12186092    -    WOVEN - HOOK &amp; LOOP SLEEVING    -    0.294</v>
          </cell>
        </row>
        <row r="1574">
          <cell r="D1574" t="str">
            <v>12186167    -    BLACK DUAL WALL HEAT SHRINK TUBING    -    0.04484</v>
          </cell>
        </row>
        <row r="1575">
          <cell r="D1575" t="str">
            <v>12186167H    -    TUBE-HEAT SHRINK TUBE    -    0.10753</v>
          </cell>
        </row>
        <row r="1576">
          <cell r="D1576" t="str">
            <v>12186168    -    BLACK DUAL WALL HEAT SHRINK TUBING    -    0.04691</v>
          </cell>
        </row>
        <row r="1577">
          <cell r="D1577" t="str">
            <v>12186168H    -    TUBE-HEAT SHRINK TUBE    -    0.112363</v>
          </cell>
        </row>
        <row r="1578">
          <cell r="D1578" t="str">
            <v>12186169    -    BLACK DUAL WALL HEAT SHRINK TUBING    -    0.069</v>
          </cell>
        </row>
        <row r="1579">
          <cell r="D1579" t="str">
            <v>12186169H    -    TUBE-HEAT SHRINK TUBE    -    0.165523</v>
          </cell>
        </row>
        <row r="1580">
          <cell r="D1580" t="str">
            <v>12186170    -    BLACK DUAL WALL HEAT SHRINK TUBING    -    0.08827</v>
          </cell>
        </row>
        <row r="1581">
          <cell r="D1581" t="str">
            <v>12186171    -    BLACK DUAL WALL HEAT SHRINK TUBING    -    0.20033</v>
          </cell>
        </row>
        <row r="1582">
          <cell r="D1582" t="str">
            <v>12186172    -    BLACK DUAL WALL HEAT SHRINK TUBING    -    0.03159</v>
          </cell>
        </row>
        <row r="1583">
          <cell r="D1583" t="str">
            <v>12186173    -    BLACK DUAL WALL HEAT SHRINK TUBING    -    0.27902</v>
          </cell>
        </row>
        <row r="1584">
          <cell r="D1584" t="str">
            <v>12186174    -    BLACK DUAL WALL HEAT SHRINK TUBING    -    0.08395</v>
          </cell>
        </row>
        <row r="1585">
          <cell r="D1585" t="str">
            <v>12186175    -    BLACK DUAL WALL HEAT SHRINK TUBING    -    0.10557</v>
          </cell>
        </row>
        <row r="1586">
          <cell r="D1586" t="str">
            <v>12186176    -    BLACK DUAL WALL HEAT SHRINK TUBING    -    0.13678</v>
          </cell>
        </row>
        <row r="1587">
          <cell r="D1587" t="str">
            <v>12186177    -    BLACK DUAL WALL HEAT SHRINK TUBING    -    0.04804</v>
          </cell>
        </row>
        <row r="1588">
          <cell r="D1588" t="str">
            <v>12186178    -    BLACK DUAL WALL HEAT SHRINK TUBING    -    0.0439</v>
          </cell>
        </row>
        <row r="1589">
          <cell r="D1589" t="str">
            <v>12186178H    -    TUBE-HEAT SHRINKING TUBE    -    0.105113</v>
          </cell>
        </row>
        <row r="1590">
          <cell r="D1590" t="str">
            <v>12186179    -    BLACK DUAL WALL HEAT SHRINK TUBING    -    0.10726</v>
          </cell>
        </row>
        <row r="1591">
          <cell r="D1591" t="str">
            <v>12186180    -    BLACK DUAL WALL HEAT SHRINK TUBING    -    0.11384</v>
          </cell>
        </row>
        <row r="1592">
          <cell r="D1592" t="str">
            <v>12186181    -    BLACK DUAL WALL HEAT SHRINK TUBING    -    0.10473</v>
          </cell>
        </row>
        <row r="1593">
          <cell r="D1593" t="str">
            <v>12186238    -    WOVEN - HOOK &amp; LOOP SLEEVING    -    0.44</v>
          </cell>
        </row>
        <row r="1594">
          <cell r="D1594" t="str">
            <v>12186304    -    VAC HOSE    -    0.1531</v>
          </cell>
        </row>
        <row r="1595">
          <cell r="D1595" t="str">
            <v>12186321    -    WOVEN - HOOK &amp; LOOP SLEEVING    -    0.532</v>
          </cell>
        </row>
        <row r="1596">
          <cell r="D1596" t="str">
            <v>12186334    -    BLACK DUAL WALL HEAT SHRINK TUBING    -    0.01617</v>
          </cell>
        </row>
        <row r="1597">
          <cell r="D1597" t="str">
            <v>12186372    -    VAC. HOSE    -    0.213</v>
          </cell>
        </row>
        <row r="1598">
          <cell r="D1598" t="str">
            <v>12186377    -    FOAM TUBE    -    0.00558</v>
          </cell>
        </row>
        <row r="1599">
          <cell r="D1599" t="str">
            <v>12186389    -    VAC HOSE    -    0.22</v>
          </cell>
        </row>
        <row r="1600">
          <cell r="D1600" t="str">
            <v>12186420    -    VAC HOSE    -    0.2152</v>
          </cell>
        </row>
        <row r="1601">
          <cell r="D1601" t="str">
            <v>12186426    -    VAC. HOSE ASSM.    -    0.2209</v>
          </cell>
        </row>
        <row r="1602">
          <cell r="D1602" t="str">
            <v>12186436    -    WOVEN - HOOK &amp; LOOP SLEEVING    -    0.998</v>
          </cell>
        </row>
        <row r="1603">
          <cell r="D1603" t="str">
            <v>12186446    -    BLK BRAID NYLON/POLESTER SLEEVE OVERLAP    -    1.1303</v>
          </cell>
        </row>
        <row r="1604">
          <cell r="D1604" t="str">
            <v>12186447    -    BLK BRAID NYLON/POLESTER SLEEVE OVERLAP    -    0.5511</v>
          </cell>
        </row>
        <row r="1605">
          <cell r="D1605" t="str">
            <v>12186470    -    BLACK COATED BRAIDED SLEEVING    -    0.1487</v>
          </cell>
        </row>
        <row r="1606">
          <cell r="D1606" t="str">
            <v>12186481    -    ASM WASHER HOSE    -    0.3797</v>
          </cell>
        </row>
        <row r="1607">
          <cell r="D1607" t="str">
            <v>12186505S    -    FOAM    -    0.3045</v>
          </cell>
        </row>
        <row r="1608">
          <cell r="D1608" t="str">
            <v>12186514    -    BLACK COATED BRAIDED SLEEVING    -    0.0813</v>
          </cell>
        </row>
        <row r="1609">
          <cell r="D1609" t="str">
            <v>12186515    -    BLACK COATED BRAIDED SLEEVING    -    0.0726</v>
          </cell>
        </row>
        <row r="1610">
          <cell r="D1610" t="str">
            <v>12186517    -    BLACK COATED BRAIDED SLEEVING    -    0.0542</v>
          </cell>
        </row>
        <row r="1611">
          <cell r="D1611" t="str">
            <v>12186519    -    BLACK COATED BRAIDED SLEEVING    -    0.0638</v>
          </cell>
        </row>
        <row r="1612">
          <cell r="D1612" t="str">
            <v>12186520    -    BLACK COATED BRAIDED SLEEVING    -    0.22</v>
          </cell>
        </row>
        <row r="1613">
          <cell r="D1613" t="str">
            <v>12186522    -    BLACK COATED BRAIDED SLEEVING    -    0.1452</v>
          </cell>
        </row>
        <row r="1614">
          <cell r="D1614" t="str">
            <v>12186560    -    VENT TUBE    -    0.3824</v>
          </cell>
        </row>
        <row r="1615">
          <cell r="D1615" t="str">
            <v>12186561    -    BLACK SPIRAL WRAP LOOM SLEEVING    -    0.4554</v>
          </cell>
        </row>
        <row r="1616">
          <cell r="D1616" t="str">
            <v>12186562    -    BLACK SPIRAL WRAP LOOM SLEEVING    -    0.2001</v>
          </cell>
        </row>
        <row r="1617">
          <cell r="D1617" t="str">
            <v>12186564    -    BLACK SPIRAL WRAP LOOM SLEEVING    -    0.3009</v>
          </cell>
        </row>
        <row r="1618">
          <cell r="D1618" t="str">
            <v>12186571    -    BLACK SPIRAL WRAP LOOM SLEEVING    -    0.276</v>
          </cell>
        </row>
        <row r="1619">
          <cell r="D1619" t="str">
            <v>12186573    -    BLACK SPIRAL WRAP LOOM SLEEVING    -    0.6662</v>
          </cell>
        </row>
        <row r="1620">
          <cell r="D1620" t="str">
            <v>12186589    -    DUAL WALL HEAT SHRINK TUBING    -    0.06571</v>
          </cell>
        </row>
        <row r="1621">
          <cell r="D1621" t="str">
            <v>12186590    -    BLACK DUAL WALL HEAT SHRINK TUBING    -    0.2103</v>
          </cell>
        </row>
        <row r="1622">
          <cell r="D1622" t="str">
            <v>12186610    -    HT SHRINK TUBING RED 3/4 X 2    -    0.23649</v>
          </cell>
        </row>
        <row r="1623">
          <cell r="D1623" t="str">
            <v>12186661    -    ASM VACUUM HOSE    -    0.2099</v>
          </cell>
        </row>
        <row r="1624">
          <cell r="D1624" t="str">
            <v>12186680    -    HOSE    -    0.2401</v>
          </cell>
        </row>
        <row r="1625">
          <cell r="D1625" t="str">
            <v>12186818    -    RUBBER TUBING    -    0.024144</v>
          </cell>
        </row>
        <row r="1626">
          <cell r="D1626" t="str">
            <v>12186879    -    WOVEN - HOOK &amp; LOOP SLEEVING    -    0.6843</v>
          </cell>
        </row>
        <row r="1627">
          <cell r="D1627" t="str">
            <v>12186905    -    BLACK ABRASION RESISTANT SLEEVING    -    1.7955</v>
          </cell>
        </row>
        <row r="1628">
          <cell r="D1628" t="str">
            <v>12186906    -    BLACK ABRASION RESISTANT SLEEVING    -    1.1396</v>
          </cell>
        </row>
        <row r="1629">
          <cell r="D1629" t="str">
            <v>12186907    -    BLACK ABRASION RESISTANT SLEEVING    -    0.7424</v>
          </cell>
        </row>
        <row r="1630">
          <cell r="D1630" t="str">
            <v>12186918    -    ASM WASHER HOSE    -    1.9075</v>
          </cell>
        </row>
        <row r="1631">
          <cell r="D1631" t="str">
            <v>12186919    -    BLACK ABRASION RESISTANT SLEEVING    -    0.3714</v>
          </cell>
        </row>
        <row r="1632">
          <cell r="D1632" t="str">
            <v>12186946    -    ASM VAC HOSE    -    0.2437</v>
          </cell>
        </row>
        <row r="1633">
          <cell r="D1633" t="str">
            <v>12186954    -    BLACK ABRASION RESISTANT SLEEVING    -    0.9899</v>
          </cell>
        </row>
        <row r="1634">
          <cell r="D1634" t="str">
            <v>12186958    -    BLACK ABRASION RESISTANT SLEEVING    -    0.055</v>
          </cell>
        </row>
        <row r="1635">
          <cell r="D1635" t="str">
            <v>12186973    -    WOVEN-HOOK &amp; LOOP SLEEVING - C/L 130MM    -    0.2405</v>
          </cell>
        </row>
        <row r="1636">
          <cell r="D1636" t="str">
            <v>12186980    -    HYDROPHOBIC VENT TUBE    -    0.5339</v>
          </cell>
        </row>
        <row r="1637">
          <cell r="D1637" t="str">
            <v>12191132    -    CDT. PROFILE    -    0.0441</v>
          </cell>
        </row>
        <row r="1638">
          <cell r="D1638" t="str">
            <v>12191132S    -    BC CDT PROFILE CHANNEL SUPPORT    -    0.20125</v>
          </cell>
        </row>
        <row r="1639">
          <cell r="D1639" t="str">
            <v>12191252    -    CONDUIT    -    0.204493</v>
          </cell>
        </row>
        <row r="1640">
          <cell r="D1640" t="str">
            <v>12193581    -    PROFILE CONDUIT    -    0.241375</v>
          </cell>
        </row>
        <row r="1641">
          <cell r="D1641" t="str">
            <v>12196762    -    SLEEVE SK SCT #4 X 1 1/4 (FS)    -    0.129</v>
          </cell>
        </row>
        <row r="1642">
          <cell r="D1642" t="str">
            <v>12227203    -    RUBBER BRACKET    -    2</v>
          </cell>
        </row>
        <row r="1643">
          <cell r="D1643" t="str">
            <v>13506658    -    COV    -    0.95888</v>
          </cell>
        </row>
        <row r="1644">
          <cell r="D1644" t="str">
            <v>13510304    -    CDT PROFILE    -    0.0833</v>
          </cell>
        </row>
        <row r="1645">
          <cell r="D1645" t="str">
            <v>13510305    -    CONDUIT PROFILE    -    0.7728</v>
          </cell>
        </row>
        <row r="1646">
          <cell r="D1646" t="str">
            <v>13511376    -    SLEEVE BUSBAR    -    0.072</v>
          </cell>
        </row>
        <row r="1647">
          <cell r="D1647" t="str">
            <v>13512874    -    TUBING    -    2.266916</v>
          </cell>
        </row>
        <row r="1648">
          <cell r="D1648" t="str">
            <v>13513580    -    WATER HOSE L=6345MM    -    4.614794</v>
          </cell>
        </row>
        <row r="1649">
          <cell r="D1649" t="str">
            <v>13513581    -    WATER HOSE L=6345MM    -    4.614794</v>
          </cell>
        </row>
        <row r="1650">
          <cell r="D1650" t="str">
            <v>13513967    -    AIR SUSPENSION HOSE L=6200MM    -    1.5702</v>
          </cell>
        </row>
        <row r="1651">
          <cell r="D1651" t="str">
            <v>13513968    -    AIR SUSPENSION HOSE L=7690MM    -    1.6988</v>
          </cell>
        </row>
        <row r="1652">
          <cell r="D1652" t="str">
            <v>13514077    -    WATER HOSE L=1379MM    -    1.781149</v>
          </cell>
        </row>
        <row r="1653">
          <cell r="D1653" t="str">
            <v>13515779    -    CONDUIT OVERLAP    -    0.0066</v>
          </cell>
        </row>
        <row r="1654">
          <cell r="D1654" t="str">
            <v>13517752    -    TUBING (LENGTH 590MM)    -    1.848616</v>
          </cell>
        </row>
        <row r="1655">
          <cell r="D1655" t="str">
            <v>13517753    -    TUBING (LENGTH 440MM)    -    0.971536</v>
          </cell>
        </row>
        <row r="1656">
          <cell r="D1656" t="str">
            <v>13517754    -    TUBING (LENGTH 190MM)    -    0.4183</v>
          </cell>
        </row>
        <row r="1657">
          <cell r="D1657" t="str">
            <v>13518063    -    TUBE (LENGT 445MM)    -    0.364326</v>
          </cell>
        </row>
        <row r="1658">
          <cell r="D1658" t="str">
            <v>13518064    -    TUBE (LENGT 340MM)    -    0.283365</v>
          </cell>
        </row>
        <row r="1659">
          <cell r="D1659" t="str">
            <v>13518065    -    TUBE (LENGT 260MM)    -    0.215897</v>
          </cell>
        </row>
        <row r="1660">
          <cell r="D1660" t="str">
            <v>13518477    -    TUBE (LENGT 760MM)    -    0.391313</v>
          </cell>
        </row>
        <row r="1661">
          <cell r="D1661" t="str">
            <v>13518478    -    TUBE (LENGT 170MM)    -    0.053974</v>
          </cell>
        </row>
        <row r="1662">
          <cell r="D1662" t="str">
            <v>13518479    -    TUBE (LENGT 600MM)    -    0.310352</v>
          </cell>
        </row>
        <row r="1663">
          <cell r="D1663" t="str">
            <v>13518622    -    AIR SUSPESION HOSE L=6350MM    -    1.5535</v>
          </cell>
        </row>
        <row r="1664">
          <cell r="D1664" t="str">
            <v>13518623    -    AIR SUSPESION HOSE L=7890MM    -    1.7297</v>
          </cell>
        </row>
        <row r="1665">
          <cell r="D1665" t="str">
            <v>13518624    -    AIR SUSPESION HOSE L=6550MM    -    1.5719</v>
          </cell>
        </row>
        <row r="1666">
          <cell r="D1666" t="str">
            <v>13518732    -    AIR SUSPESION HOSE L=6330MM    -    1.5788</v>
          </cell>
        </row>
        <row r="1667">
          <cell r="D1667" t="str">
            <v>13518733    -    TUBING L=1720MM    -    5.39742</v>
          </cell>
        </row>
        <row r="1668">
          <cell r="D1668" t="str">
            <v>13551680    -    VACUUM HOSE    -    3.44</v>
          </cell>
        </row>
        <row r="1669">
          <cell r="D1669" t="str">
            <v>15305386    -    PROFILE CONDUIT .95149FT    -    0.0241</v>
          </cell>
        </row>
        <row r="1670">
          <cell r="D1670" t="str">
            <v>15305437    -    CDT PROFILE    -    0.3302</v>
          </cell>
        </row>
        <row r="1671">
          <cell r="D1671" t="str">
            <v>15316450    -    ACC3, COMB ADHESIVE LMX    -    0.131252</v>
          </cell>
        </row>
        <row r="1672">
          <cell r="D1672" t="str">
            <v>15316560    -    QUITE SLEEVE 3/4 3400, 1000 MM.    -    0.7715</v>
          </cell>
        </row>
        <row r="1673">
          <cell r="D1673" t="str">
            <v>15316839    -    WIRING HARNESS HOSE    -    0.44291</v>
          </cell>
        </row>
        <row r="1674">
          <cell r="D1674" t="str">
            <v>15317333    -    CONDUIT    -    0.047985</v>
          </cell>
        </row>
        <row r="1675">
          <cell r="D1675" t="str">
            <v>15317413    -    PROFILE CONDUIT 2.26377FT    -    0.0573</v>
          </cell>
        </row>
        <row r="1676">
          <cell r="D1676" t="str">
            <v>15317417    -    CONDUIT    -    0.06066</v>
          </cell>
        </row>
        <row r="1677">
          <cell r="D1677" t="str">
            <v>15317425    -    CONDUIT    -    0.096787</v>
          </cell>
        </row>
        <row r="1678">
          <cell r="D1678" t="str">
            <v>15317433    -    PROFILE CONDUIT    -    0.0756</v>
          </cell>
        </row>
        <row r="1679">
          <cell r="D1679" t="str">
            <v>15317440    -    PFA TUBING    -    0.3377</v>
          </cell>
        </row>
        <row r="1680">
          <cell r="D1680" t="str">
            <v>15317441    -    PFA TUBING    -    0.4656</v>
          </cell>
        </row>
        <row r="1681">
          <cell r="D1681" t="str">
            <v>15317446    -    PROFILE CONDUIT 2.066929FT    -    0.0524</v>
          </cell>
        </row>
        <row r="1682">
          <cell r="D1682" t="str">
            <v>15317449    -    PROFILE CONDUIT 0.9186351FT    -    0.0507</v>
          </cell>
        </row>
        <row r="1683">
          <cell r="D1683" t="str">
            <v>15317456    -    CDT PROFILE    -    0.8122</v>
          </cell>
        </row>
        <row r="1684">
          <cell r="D1684" t="str">
            <v>15317456S    -    CONDUIT    -    0.8808</v>
          </cell>
        </row>
        <row r="1685">
          <cell r="D1685" t="str">
            <v>15317457    -    PROFILE CONDUIT    -    0.7306</v>
          </cell>
        </row>
        <row r="1686">
          <cell r="D1686" t="str">
            <v>15317463    -    PFA TUBING    -    0.2282</v>
          </cell>
        </row>
        <row r="1687">
          <cell r="D1687" t="str">
            <v>15317464    -    PFA TUBING    -    0.5843</v>
          </cell>
        </row>
        <row r="1688">
          <cell r="D1688" t="str">
            <v>15317465    -    PFA TUBING    -    1.6705</v>
          </cell>
        </row>
        <row r="1689">
          <cell r="D1689" t="str">
            <v>15317468    -    CONDUIT    -    0.639</v>
          </cell>
        </row>
        <row r="1690">
          <cell r="D1690" t="str">
            <v>15317470    -    CDT PROFILE    -    0.008</v>
          </cell>
        </row>
        <row r="1691">
          <cell r="D1691" t="str">
            <v>15317477    -    PFA TUBING    -    0.566</v>
          </cell>
        </row>
        <row r="1692">
          <cell r="D1692" t="str">
            <v>15317479    -    CONDUIT OVERLAP    -    0.0175</v>
          </cell>
        </row>
        <row r="1693">
          <cell r="D1693" t="str">
            <v>15317481    -    CONDUIT OVERLAP    -    0.1164</v>
          </cell>
        </row>
        <row r="1694">
          <cell r="D1694" t="str">
            <v>15317482    -    CONDUIT OVERLAP    -    0.1602</v>
          </cell>
        </row>
        <row r="1695">
          <cell r="D1695" t="str">
            <v>15317484    -    CONDUIT OVERLAP    -    0.0097</v>
          </cell>
        </row>
        <row r="1696">
          <cell r="D1696" t="str">
            <v>15317486    -    CONDUIT    -    0.3652</v>
          </cell>
        </row>
        <row r="1697">
          <cell r="D1697" t="str">
            <v>15317487    -    CONDUIT    -    0.922</v>
          </cell>
        </row>
        <row r="1698">
          <cell r="D1698" t="str">
            <v>15317491    -    CONDUIT    -    0.02979</v>
          </cell>
        </row>
        <row r="1699">
          <cell r="D1699" t="str">
            <v>15317496    -    PFA CONDUIT    -    1.3236</v>
          </cell>
        </row>
        <row r="1700">
          <cell r="D1700" t="str">
            <v>15317497    -    PFA CONDUIT    -    1.7435</v>
          </cell>
        </row>
        <row r="1701">
          <cell r="D1701" t="str">
            <v>15318204    -    PROFILE CONDUIT    -    0.0872</v>
          </cell>
        </row>
        <row r="1702">
          <cell r="D1702" t="str">
            <v>15318292    -    INSULATING SLEEVE-MYLAR    -    0.08155</v>
          </cell>
        </row>
        <row r="1703">
          <cell r="D1703" t="str">
            <v>15321718    -    SCHLEMMER SLEEVE    -    0.069492</v>
          </cell>
        </row>
        <row r="1704">
          <cell r="D1704" t="str">
            <v>15324003    -    PPS - PEEK SLEEVE    -    0.4944</v>
          </cell>
        </row>
        <row r="1705">
          <cell r="D1705" t="str">
            <v>15324005    -    CLEAR HEAT SKRINK TUBING    -    0.02082</v>
          </cell>
        </row>
        <row r="1706">
          <cell r="D1706" t="str">
            <v>15324009    -    PPS - PEEK SLEEVE    -    1.606</v>
          </cell>
        </row>
        <row r="1707">
          <cell r="D1707" t="str">
            <v>15324035    -    FOAM TUBING OF 9.5MM DIA AND    -    0.413686</v>
          </cell>
        </row>
        <row r="1708">
          <cell r="D1708" t="str">
            <v>15324047    -    VACUUM HOSE    -    1.5148</v>
          </cell>
        </row>
        <row r="1709">
          <cell r="D1709" t="str">
            <v>15324093    -    TUBING    -    0.011285</v>
          </cell>
        </row>
        <row r="1710">
          <cell r="D1710" t="str">
            <v>15324097    -    HOSE ASSEMBLY    -    0.4737</v>
          </cell>
        </row>
        <row r="1711">
          <cell r="D1711" t="str">
            <v>15324103    -    FOAM TUBING    -    0.11495</v>
          </cell>
        </row>
        <row r="1712">
          <cell r="D1712" t="str">
            <v>15324107    -    VINYL TUBE 470 MM    -    0.135667</v>
          </cell>
        </row>
        <row r="1713">
          <cell r="D1713" t="str">
            <v>15324117    -    FOAM TUBE. 1345MM. PM001860-105    -    0.358182</v>
          </cell>
        </row>
        <row r="1714">
          <cell r="D1714" t="str">
            <v>15324123    -    SLEEVE W/LENGTH OF 220.0 MM 2ND    -    0.3894</v>
          </cell>
        </row>
        <row r="1715">
          <cell r="D1715" t="str">
            <v>15324124    -    SLEV SPIRAL 25.00 BLK    -    0.1168</v>
          </cell>
        </row>
        <row r="1716">
          <cell r="D1716" t="str">
            <v>15324125    -    SLEEVE W/LENGTH OF 60.0 MM 2ND    -    0.0828</v>
          </cell>
        </row>
        <row r="1717">
          <cell r="D1717" t="str">
            <v>15324126    -    SLEEVE W/LENGTH OF 275.0 MM 2ND    -    0.3776</v>
          </cell>
        </row>
        <row r="1718">
          <cell r="D1718" t="str">
            <v>15324126S    -    SLEEVE SPIRAL    -    0.4153</v>
          </cell>
        </row>
        <row r="1719">
          <cell r="D1719" t="str">
            <v>15324131    -    BLACK FLAME RETARDANT FOAM TUBING    -    0.105</v>
          </cell>
        </row>
        <row r="1720">
          <cell r="D1720" t="str">
            <v>15324147    -    VACUUM HOSE    -    0.276</v>
          </cell>
        </row>
        <row r="1721">
          <cell r="D1721" t="str">
            <v>15324160    -    LOOM PRECUT AT 200.00MM +/- 5.0MM    -    0.0729</v>
          </cell>
        </row>
        <row r="1722">
          <cell r="D1722" t="str">
            <v>15324161    -    BLK BRAIDED NYLON &amp; PET SLEEVE OVERLAP    -    0.0812</v>
          </cell>
        </row>
        <row r="1723">
          <cell r="D1723" t="str">
            <v>15324186    -    LOOM 330MM X 19.05MM    -    0.1212</v>
          </cell>
        </row>
        <row r="1724">
          <cell r="D1724" t="str">
            <v>15324257    -    BLACK DUAL WALL HEAT SHRINK TUBING    -    0.03027</v>
          </cell>
        </row>
        <row r="1725">
          <cell r="D1725" t="str">
            <v>15324261    -    SPIRAL WRAP SLEEVE TWISTTUBE 2420    -    0.4209</v>
          </cell>
        </row>
        <row r="1726">
          <cell r="D1726" t="str">
            <v>15324261S    -    SPIRL LOOM    -    0.52665</v>
          </cell>
        </row>
        <row r="1727">
          <cell r="D1727" t="str">
            <v>15324273    -    ASM VACUUM HOSE    -    0.5285</v>
          </cell>
        </row>
        <row r="1728">
          <cell r="D1728" t="str">
            <v>15324288    -    HT. SHRINK W/ENDCAP. 31MM. M3565-001    -    0.02631</v>
          </cell>
        </row>
        <row r="1729">
          <cell r="D1729" t="str">
            <v>15324289    -    HEATSHRINK END CAPS    -    0.05718</v>
          </cell>
        </row>
        <row r="1730">
          <cell r="D1730" t="str">
            <v>15324376    -    THERMAL WRAP 176MM X 70MM    -    1.221</v>
          </cell>
        </row>
        <row r="1731">
          <cell r="D1731" t="str">
            <v>15324378    -    ASM HOSE DRIVER    -    0.4544</v>
          </cell>
        </row>
        <row r="1732">
          <cell r="D1732" t="str">
            <v>15324406    -    ASM VACUUM HOSE    -    0.3185</v>
          </cell>
        </row>
        <row r="1733">
          <cell r="D1733" t="str">
            <v>15324412    -    FOAM TUBE SLIT O24.60 I15.00 L250.00 B    -    0.245</v>
          </cell>
        </row>
        <row r="1734">
          <cell r="D1734" t="str">
            <v>15324416    -    LOOM L-220MM X SZ-30    -    0.3499</v>
          </cell>
        </row>
        <row r="1735">
          <cell r="D1735" t="str">
            <v>15324417    -    LOOM L-500MM X SZ-25    -    0.6991</v>
          </cell>
        </row>
        <row r="1736">
          <cell r="D1736" t="str">
            <v>15324418    -    LOOM L-570MM X SZ-25    -    0.8133</v>
          </cell>
        </row>
        <row r="1737">
          <cell r="D1737" t="str">
            <v>15324419    -    LOOM L-325MM X SZ-25    -    0.45936</v>
          </cell>
        </row>
        <row r="1738">
          <cell r="D1738" t="str">
            <v>15324426    -    SLEAVE 200MM X 11.9MM    -    0.2155</v>
          </cell>
        </row>
        <row r="1739">
          <cell r="D1739" t="str">
            <v>15324440    -    SLEEVE SPIRAL L-150MM SZ-29    -    0.255</v>
          </cell>
        </row>
        <row r="1740">
          <cell r="D1740" t="str">
            <v>15324440S    -    SLEEVE    -    0.30185</v>
          </cell>
        </row>
        <row r="1741">
          <cell r="D1741" t="str">
            <v>15324441    -    ASM VACUUM HOSE    -    0.4036</v>
          </cell>
        </row>
        <row r="1742">
          <cell r="D1742" t="str">
            <v>15324449    -    SLEEVE    -    0.257618</v>
          </cell>
        </row>
        <row r="1743">
          <cell r="D1743" t="str">
            <v>15324461    -    FOAM TUBING    -    0.115928</v>
          </cell>
        </row>
        <row r="1744">
          <cell r="D1744" t="str">
            <v>15324462    -    FOAM TUBING    -    0.133119</v>
          </cell>
        </row>
        <row r="1745">
          <cell r="D1745" t="str">
            <v>15324470    -    LOOM 450MM X 19MM    -    1.521</v>
          </cell>
        </row>
        <row r="1746">
          <cell r="D1746" t="str">
            <v>15324475    -    1/8"QUIET SLEAVE    -    0.1593</v>
          </cell>
        </row>
        <row r="1747">
          <cell r="D1747" t="str">
            <v>15324487    -    HEAT SHRINK    -    0.14458</v>
          </cell>
        </row>
        <row r="1748">
          <cell r="D1748" t="str">
            <v>15324490    -    ASM VACUUM HOSE    -    0.6489</v>
          </cell>
        </row>
        <row r="1749">
          <cell r="D1749" t="str">
            <v>15324527    -    SLEEVE L-400MM SZ-19    -    0.4599</v>
          </cell>
        </row>
        <row r="1750">
          <cell r="D1750" t="str">
            <v>15324550    -    HEAT REFLECTIVE CONDUIT    -    0.38</v>
          </cell>
        </row>
        <row r="1751">
          <cell r="D1751" t="str">
            <v>15324551    -    HEAT REFLECTIVE CONDUIT    -    0.4275</v>
          </cell>
        </row>
        <row r="1752">
          <cell r="D1752" t="str">
            <v>15324552    -    HEAT REFLECTIVE CONDUIT    -    0.5655</v>
          </cell>
        </row>
        <row r="1753">
          <cell r="D1753" t="str">
            <v>15324553    -    HEAT REFLECTIVE CONDUIT    -    0.6316</v>
          </cell>
        </row>
        <row r="1754">
          <cell r="D1754" t="str">
            <v>15324554    -    HEAT REFLECTIVE CONDUIT    -    0.57</v>
          </cell>
        </row>
        <row r="1755">
          <cell r="D1755" t="str">
            <v>15324556    -    HEAT REFLECTIVE CONDUIT    -    0.9186</v>
          </cell>
        </row>
        <row r="1756">
          <cell r="D1756" t="str">
            <v>15324557    -    HEAT REFLECTIVE CONDUIT    -    0.246</v>
          </cell>
        </row>
        <row r="1757">
          <cell r="D1757" t="str">
            <v>15324558    -    HEAT REFLECTIVE CONDUIT    -    0.3075</v>
          </cell>
        </row>
        <row r="1758">
          <cell r="D1758" t="str">
            <v>15324559    -    HEAT REFLECTIVE CONDUIT    -    0.39</v>
          </cell>
        </row>
        <row r="1759">
          <cell r="D1759" t="str">
            <v>15324563    -    HEAT REFLECTIVE CONDUIT    -    0.92</v>
          </cell>
        </row>
        <row r="1760">
          <cell r="D1760" t="str">
            <v>15324564    -    HEAT REFLECTIVE CONDUIT    -    1.44</v>
          </cell>
        </row>
        <row r="1761">
          <cell r="D1761" t="str">
            <v>15324565    -    HEAT REFLECTIVE CONDUIT    -    1.265</v>
          </cell>
        </row>
        <row r="1762">
          <cell r="D1762" t="str">
            <v>15324567    -    HEAT REFLECTIVE CONDUIT    -    0.26</v>
          </cell>
        </row>
        <row r="1763">
          <cell r="D1763" t="str">
            <v>15324569    -    HEAT REFLECTIVE CONDUIT    -    2.7</v>
          </cell>
        </row>
        <row r="1764">
          <cell r="D1764" t="str">
            <v>15324573    -    BLACK FLAME RETARDANT FOAM TUBING    -    0.188</v>
          </cell>
        </row>
        <row r="1765">
          <cell r="D1765" t="str">
            <v>15324615    -    VAC. HOSE    -    0.2674</v>
          </cell>
        </row>
        <row r="1766">
          <cell r="D1766" t="str">
            <v>15324646    -    VENT LINE ASM    -    0.5184</v>
          </cell>
        </row>
        <row r="1767">
          <cell r="D1767" t="str">
            <v>15324677    -    LOOM L-385MM SZ-30    -    0.5421</v>
          </cell>
        </row>
        <row r="1768">
          <cell r="D1768" t="str">
            <v>15324718    -    LOOM L-145MM SZ-19    -    0.1843</v>
          </cell>
        </row>
        <row r="1769">
          <cell r="D1769" t="str">
            <v>15324724    -    ASM AIR TUBING    -    3.9883</v>
          </cell>
        </row>
        <row r="1770">
          <cell r="D1770" t="str">
            <v>15324726    -    SLEEVE SPIRAL L-180MM SZ-13    -    0.2088</v>
          </cell>
        </row>
        <row r="1771">
          <cell r="D1771" t="str">
            <v>15324779    -    HEAT REFLECTIVE CONDUIT    -    2.4975</v>
          </cell>
        </row>
        <row r="1772">
          <cell r="D1772" t="str">
            <v>15324786    -    SLEEVE HEAT REFLECTIVE 75MM X 12.7MM    -    0.1503</v>
          </cell>
        </row>
        <row r="1773">
          <cell r="D1773" t="str">
            <v>15324816    -    ASM VACUUM HOSE    -    1.1</v>
          </cell>
        </row>
        <row r="1774">
          <cell r="D1774" t="str">
            <v>15324826    -    SPIRAL WRAP SLEEVE L-930MM SZ-8    -    1.023</v>
          </cell>
        </row>
        <row r="1775">
          <cell r="D1775" t="str">
            <v>15324837    -    ASM VACUUM HOSE    -    1.4361</v>
          </cell>
        </row>
        <row r="1776">
          <cell r="D1776" t="str">
            <v>15324839    -    ASM VACUUM HOSE    -    1.4371</v>
          </cell>
        </row>
        <row r="1777">
          <cell r="D1777" t="str">
            <v>15324846    -    ASM VACUUM HOSES    -    2.2367</v>
          </cell>
        </row>
        <row r="1778">
          <cell r="D1778" t="str">
            <v>15324847    -    ASM VENT HOSE    -    0.4289</v>
          </cell>
        </row>
        <row r="1779">
          <cell r="D1779" t="str">
            <v>15324849    -    SLEEVE    -    0.02373</v>
          </cell>
        </row>
        <row r="1780">
          <cell r="D1780" t="str">
            <v>15324850    -    SLEEVE    -    0.06206</v>
          </cell>
        </row>
        <row r="1781">
          <cell r="D1781" t="str">
            <v>15324868    -    13 MM REFLECTUBE    -    0.198</v>
          </cell>
        </row>
        <row r="1782">
          <cell r="D1782" t="str">
            <v>15324869    -    13 MM REFLECTUBE    -    0.2544</v>
          </cell>
        </row>
        <row r="1783">
          <cell r="D1783" t="str">
            <v>15324880    -    VACUUM HOSE ADAPTER    -    0.1807</v>
          </cell>
        </row>
        <row r="1784">
          <cell r="D1784" t="str">
            <v>15324943    -    ASM VACUUM HOSE    -    0.8</v>
          </cell>
        </row>
        <row r="1785">
          <cell r="D1785" t="str">
            <v>15324944    -    ASM VACUUM HOSE    -    0.85</v>
          </cell>
        </row>
        <row r="1786">
          <cell r="D1786" t="str">
            <v>15324948    -    ACC2, REFLEX WRAP DIA=13MM L=150MM    -    0.659821</v>
          </cell>
        </row>
        <row r="1787">
          <cell r="D1787" t="str">
            <v>15324972    -    VACUUM HOSE    -    1.28</v>
          </cell>
        </row>
        <row r="1788">
          <cell r="D1788" t="str">
            <v>15326546    -    RUBBER SLEEVE AT40MM. PM002177-036    -    0.021876</v>
          </cell>
        </row>
        <row r="1789">
          <cell r="D1789" t="str">
            <v>15327487    -    DV VACUUM TUBE VI 168 800 0073    -    4.812744</v>
          </cell>
        </row>
        <row r="1790">
          <cell r="D1790" t="str">
            <v>15327550    -    RBK ES-CAP-NO.3-B8-X-40MM    -    0.077642</v>
          </cell>
        </row>
        <row r="1791">
          <cell r="D1791" t="str">
            <v>15327753    -    64    -    0.083687</v>
          </cell>
        </row>
        <row r="1792">
          <cell r="D1792" t="str">
            <v>15327903    -    9805944    -    0.034813</v>
          </cell>
        </row>
        <row r="1793">
          <cell r="D1793" t="str">
            <v>15327921    -    RBK-VWS-125-NR1-X-50MM    -    0.024086</v>
          </cell>
        </row>
        <row r="1794">
          <cell r="D1794" t="str">
            <v>15327951    -    RBK-VWS-125-NR2-X-50MM    -    0.030401</v>
          </cell>
        </row>
        <row r="1795">
          <cell r="D1795" t="str">
            <v>15327955    -    SEALING TAPE BLACK    -    0.196965</v>
          </cell>
        </row>
        <row r="1796">
          <cell r="D1796" t="str">
            <v>15327957    -    9810375    -    0.06315</v>
          </cell>
        </row>
        <row r="1797">
          <cell r="D1797" t="str">
            <v>15327964    -    9960530310    -    0.01093</v>
          </cell>
        </row>
        <row r="1798">
          <cell r="D1798" t="str">
            <v>15336462    -    CONDUIT TUBE    -    0.3742</v>
          </cell>
        </row>
        <row r="1799">
          <cell r="D1799" t="str">
            <v>15336608    -    CLIP    -    0.038635</v>
          </cell>
        </row>
        <row r="1800">
          <cell r="D1800" t="str">
            <v>15337894S    -    TUBE HEAT SHRINK    -    0.018123</v>
          </cell>
        </row>
        <row r="1801">
          <cell r="D1801" t="str">
            <v>15338443    -    DV TAMPA-GEL 7 VIAS 8364557.9    -    0.422645</v>
          </cell>
        </row>
        <row r="1802">
          <cell r="D1802" t="str">
            <v>15338444    -    TAPE TXT 19MM X 25M BLACK    -    0.573584</v>
          </cell>
        </row>
        <row r="1803">
          <cell r="D1803" t="str">
            <v>15339287    -    CONDUIT OVERLAP    -    0.807</v>
          </cell>
        </row>
        <row r="1804">
          <cell r="D1804" t="str">
            <v>15339439    -    TUBE, HT SHR L=55MM BLK    -    0.373987</v>
          </cell>
        </row>
        <row r="1805">
          <cell r="D1805" t="str">
            <v>15339455    -    TWIST TUBE 8MM.X 465MM.    -    2.16099664</v>
          </cell>
        </row>
        <row r="1806">
          <cell r="D1806" t="str">
            <v>15339516    -    SLEEVE HEAT SHRINK TUBING    -    0.00859</v>
          </cell>
        </row>
        <row r="1807">
          <cell r="D1807" t="str">
            <v>15339612    -    TWIST TUBE 5/16X960MM    -    4.61042528</v>
          </cell>
        </row>
        <row r="1808">
          <cell r="D1808" t="str">
            <v>15339846    -    HEAT SHRINK TUBING    -    0.77576</v>
          </cell>
        </row>
        <row r="1809">
          <cell r="D1809" t="str">
            <v>15339889    -    HEAT SHRINK TUBING    -    0.08122</v>
          </cell>
        </row>
        <row r="1810">
          <cell r="D1810" t="str">
            <v>15340034    -    VACUUM HOSE    -    0.18864</v>
          </cell>
        </row>
        <row r="1811">
          <cell r="D1811" t="str">
            <v>15340345    -    SHRINK TUBE BLK    -    0.3432</v>
          </cell>
        </row>
        <row r="1812">
          <cell r="D1812" t="str">
            <v>15340561    -    FLEXFIT 2112 8-0/- LG 460    -    0.15106</v>
          </cell>
        </row>
        <row r="1813">
          <cell r="D1813" t="str">
            <v>15340566    -    RBK-ILS-125-NR1-0-27MM    -    0.013008</v>
          </cell>
        </row>
        <row r="1814">
          <cell r="D1814" t="str">
            <v>15354903    -    GROMMET    -    0.028287</v>
          </cell>
        </row>
        <row r="1815">
          <cell r="D1815" t="str">
            <v>15355035    -    CLIP    -    0.200109</v>
          </cell>
        </row>
        <row r="1816">
          <cell r="D1816" t="str">
            <v>15355441    -    PROFILE CONDUIT    -    0.69</v>
          </cell>
        </row>
        <row r="1817">
          <cell r="D1817" t="str">
            <v>15355451    -    PFA CONDUIT    -    0.6572</v>
          </cell>
        </row>
        <row r="1818">
          <cell r="D1818" t="str">
            <v>15355452    -    PFA CONDUIT    -    0.7851</v>
          </cell>
        </row>
        <row r="1819">
          <cell r="D1819" t="str">
            <v>15355453    -    PFA CONDUIT    -    1.3328</v>
          </cell>
        </row>
        <row r="1820">
          <cell r="D1820" t="str">
            <v>15355539    -    CDT PROFILE    -    0.0066</v>
          </cell>
        </row>
        <row r="1821">
          <cell r="D1821" t="str">
            <v>15358443    -    CONDUIT    -    0.077085</v>
          </cell>
        </row>
        <row r="1822">
          <cell r="D1822" t="str">
            <v>15358769    -    CDT. PROFILE    -    0.0113</v>
          </cell>
        </row>
        <row r="1823">
          <cell r="D1823" t="str">
            <v>15358965    -    PROFILE CONDUIT    -    0.122867</v>
          </cell>
        </row>
        <row r="1824">
          <cell r="D1824" t="str">
            <v>15359418    -    CONDUIT PROFILE    -    0.0979</v>
          </cell>
        </row>
        <row r="1825">
          <cell r="D1825" t="str">
            <v>15363625    -    RBK-VWS-125-NR3-X-65MM    -    0.047241</v>
          </cell>
        </row>
        <row r="1826">
          <cell r="D1826" t="str">
            <v>15363626    -    RBK-VWS-125-NR4-X-75MM    -    0.130064</v>
          </cell>
        </row>
        <row r="1827">
          <cell r="D1827" t="str">
            <v>15365671    -    RBK-ESS-CROSS-10.0-X-8MM    -    0.06489</v>
          </cell>
        </row>
        <row r="1828">
          <cell r="D1828" t="str">
            <v>15365672    -    TUBING #4, 55MM.    -    0.1726</v>
          </cell>
        </row>
        <row r="1829">
          <cell r="D1829" t="str">
            <v>15366097    -    ASM VENT. TUBE    -    0.4454</v>
          </cell>
        </row>
        <row r="1830">
          <cell r="D1830" t="str">
            <v>15373517    -    PROFILE CONDUIT    -    0.005</v>
          </cell>
        </row>
        <row r="1831">
          <cell r="D1831" t="str">
            <v>15380107    -    10MM FLEXGUARD 2120    -    0.077</v>
          </cell>
        </row>
        <row r="1832">
          <cell r="D1832" t="str">
            <v>15380130    -    BREATHER TUBING    -    0.607</v>
          </cell>
        </row>
        <row r="1833">
          <cell r="D1833" t="str">
            <v>15380388    -    TUBE, TWIST 2420.D:5MM    -    0.0977</v>
          </cell>
        </row>
        <row r="1834">
          <cell r="D1834" t="str">
            <v>15380580    -    PROFILE CONDUIT    -    2.587118</v>
          </cell>
        </row>
        <row r="1835">
          <cell r="D1835" t="str">
            <v>15380719    -    CONDUIT OVERLAP    -    0.0041</v>
          </cell>
        </row>
        <row r="1836">
          <cell r="D1836" t="str">
            <v>15380720    -    CONDUIT OVERLAP    -    0.0087</v>
          </cell>
        </row>
        <row r="1837">
          <cell r="D1837" t="str">
            <v>15380721    -    CONDUIT OVERLAP    -    0.0137</v>
          </cell>
        </row>
        <row r="1838">
          <cell r="D1838" t="str">
            <v>15380722    -    CONDUIT OVERLAP    -    0.0211</v>
          </cell>
        </row>
        <row r="1839">
          <cell r="D1839" t="str">
            <v>15380872    -    CAP RAYCHEM    -    0.11873</v>
          </cell>
        </row>
        <row r="1840">
          <cell r="D1840" t="str">
            <v>15380908    -    GLUE TUBE    -    0.08233</v>
          </cell>
        </row>
        <row r="1841">
          <cell r="D1841" t="str">
            <v>15383006    -    SLEEVE 1305MM X 156MM    -    3.8189</v>
          </cell>
        </row>
        <row r="1842">
          <cell r="D1842" t="str">
            <v>15383007    -    SLEEVE 770MM X 156MM    -    1.599</v>
          </cell>
        </row>
        <row r="1843">
          <cell r="D1843" t="str">
            <v>15383011    -    REFLEXWRAP ID-13MM C/L 350MM    -    1.085</v>
          </cell>
        </row>
        <row r="1844">
          <cell r="D1844" t="str">
            <v>15383012    -    VENT LINE ASM    -    0.5641</v>
          </cell>
        </row>
        <row r="1845">
          <cell r="D1845" t="str">
            <v>15383019    -    REFLEXWRAP ID-13MM C/L 90MM    -    0.279</v>
          </cell>
        </row>
        <row r="1846">
          <cell r="D1846" t="str">
            <v>15383082    -    SLEEVE - BH 1210 LOOM    -    0.279</v>
          </cell>
        </row>
        <row r="1847">
          <cell r="D1847" t="str">
            <v>15383111    -    SLEEVE-BRAIDED WOVEN 120MM X 19.05MM    -    0.0528</v>
          </cell>
        </row>
        <row r="1848">
          <cell r="D1848" t="str">
            <v>15383115    -    ASM VACUUM HOSE    -    0.763</v>
          </cell>
        </row>
        <row r="1849">
          <cell r="D1849" t="str">
            <v>15383116    -    ASM. VACUUM HOSE    -    1.1774</v>
          </cell>
        </row>
        <row r="1850">
          <cell r="D1850" t="str">
            <v>15383130    -    BLACK FLAME RETARDANT FOAM TUBING    -    0.405</v>
          </cell>
        </row>
        <row r="1851">
          <cell r="D1851" t="str">
            <v>15383162    -    SILICONE TUBING    -    0.0548</v>
          </cell>
        </row>
        <row r="1852">
          <cell r="D1852" t="str">
            <v>15383169    -    SPIRAL SLEEVE L-490MM SZ-19    -    0.6803</v>
          </cell>
        </row>
        <row r="1853">
          <cell r="D1853" t="str">
            <v>15383206    -    SLEV BOOT N/A    -    0.3</v>
          </cell>
        </row>
        <row r="1854">
          <cell r="D1854" t="str">
            <v>15383399    -    BLACK SPIRAL WRAP LOOM SLEEVING    -    0.364</v>
          </cell>
        </row>
        <row r="1855">
          <cell r="D1855" t="str">
            <v>15383400    -    BLACK SPIRAL WRAP LOOM SLEEVING    -    0.4472</v>
          </cell>
        </row>
        <row r="1856">
          <cell r="D1856" t="str">
            <v>15383401    -    BLACK SPIRAL WRAP LOOM SLEEVING    -    0.4888</v>
          </cell>
        </row>
        <row r="1857">
          <cell r="D1857" t="str">
            <v>15383403    -    BLACK SPIRAL WRAP LOOM SLEEVING    -    0.9828</v>
          </cell>
        </row>
        <row r="1858">
          <cell r="D1858" t="str">
            <v>15383404    -    BLACK SPIRAL WRAP LOOM SLEEVING    -    0.891</v>
          </cell>
        </row>
        <row r="1859">
          <cell r="D1859" t="str">
            <v>15383407    -    HOOK &amp; LOOP FLEXWRAP 2361    -    0.69</v>
          </cell>
        </row>
        <row r="1860">
          <cell r="D1860" t="str">
            <v>15383408    -    WOVEN - HOOK &amp; LOOP SLEEVING    -    0.61</v>
          </cell>
        </row>
        <row r="1861">
          <cell r="D1861" t="str">
            <v>15383421    -    WASHER HOSE WITH A LENGTH OF 835 MM.    -    0.6088</v>
          </cell>
        </row>
        <row r="1862">
          <cell r="D1862" t="str">
            <v>15385848    -    TUBE, REFLEX ID=6MM L=180 SILVER    -    0.603</v>
          </cell>
        </row>
        <row r="1863">
          <cell r="D1863" t="str">
            <v>15385849    -    TAPE, REFLEX 10X70 SILVER    -    0.072</v>
          </cell>
        </row>
        <row r="1864">
          <cell r="D1864" t="str">
            <v>15385868    -    SHRINKING TUBE    -    0.010874</v>
          </cell>
        </row>
        <row r="1865">
          <cell r="D1865" t="str">
            <v>15385870    -    SHRINKING TUBE    -    0.014498</v>
          </cell>
        </row>
        <row r="1866">
          <cell r="D1866" t="str">
            <v>15385873    -    SHRINKING TUBE    -    0.021748</v>
          </cell>
        </row>
        <row r="1867">
          <cell r="D1867" t="str">
            <v>15385875    -    SHRINKING TUBE    -    0.025372</v>
          </cell>
        </row>
        <row r="1868">
          <cell r="D1868" t="str">
            <v>15385921    -    SLEV    -    0.007225</v>
          </cell>
        </row>
        <row r="1869">
          <cell r="D1869" t="str">
            <v>15385926    -    TUBE BLK    -    0.050265</v>
          </cell>
        </row>
        <row r="1870">
          <cell r="D1870" t="str">
            <v>15385927    -    TUBE BLK    -    0.021111</v>
          </cell>
        </row>
        <row r="1871">
          <cell r="D1871" t="str">
            <v>15385928    -    TUBE WOVEN BLK    -    0.145056</v>
          </cell>
        </row>
        <row r="1872">
          <cell r="D1872" t="str">
            <v>15385929    -    TUBE BLK    -    0.078371</v>
          </cell>
        </row>
        <row r="1873">
          <cell r="D1873" t="str">
            <v>15385940    -    COV MISC BLK    -    0.886</v>
          </cell>
        </row>
        <row r="1874">
          <cell r="D1874" t="str">
            <v>15385988    -    ASM LOCK COV BLK    -    0.490868</v>
          </cell>
        </row>
        <row r="1875">
          <cell r="D1875" t="str">
            <v>15385989    -    COV COVER LIF GRA    -    0.373259</v>
          </cell>
        </row>
        <row r="1876">
          <cell r="D1876" t="str">
            <v>15385990    -    COV MISC BLK    -    0.588704</v>
          </cell>
        </row>
        <row r="1877">
          <cell r="D1877" t="str">
            <v>15385992    -    COV MISC BLK    -    0.373167</v>
          </cell>
        </row>
        <row r="1878">
          <cell r="D1878" t="str">
            <v>15385993    -    COV MISC BLK    -    0.514714</v>
          </cell>
        </row>
        <row r="1879">
          <cell r="D1879" t="str">
            <v>15386007    -    COV MISC BLK    -    0.03229</v>
          </cell>
        </row>
        <row r="1880">
          <cell r="D1880" t="str">
            <v>15386008    -    COV MISC NAT    -    0.213293</v>
          </cell>
        </row>
        <row r="1881">
          <cell r="D1881" t="str">
            <v>15386097    -    COV MISC ORN    -    0.021413</v>
          </cell>
        </row>
        <row r="1882">
          <cell r="D1882" t="str">
            <v>15386098    -    COV MISC NAT    -    0.028651</v>
          </cell>
        </row>
        <row r="1883">
          <cell r="D1883" t="str">
            <v>15386099    -    COV MISC GRN    -    0.023725</v>
          </cell>
        </row>
        <row r="1884">
          <cell r="D1884" t="str">
            <v>15392749    -    PROFILE CONDUIT    -    0.3074</v>
          </cell>
        </row>
        <row r="1885">
          <cell r="D1885" t="str">
            <v>15393138    -    PROFILE CONDUIT    -    0.4956</v>
          </cell>
        </row>
        <row r="1886">
          <cell r="D1886" t="str">
            <v>15393139    -    PROFILE CONDUIT    -    1.171</v>
          </cell>
        </row>
        <row r="1887">
          <cell r="D1887" t="str">
            <v>15393217    -    SLEEVING; 19 MM DIAMETER    -    0.4728</v>
          </cell>
        </row>
        <row r="1888">
          <cell r="D1888" t="str">
            <v>15393751    -    PROFILE CONDUIT    -    0.8672</v>
          </cell>
        </row>
        <row r="1889">
          <cell r="D1889" t="str">
            <v>15393752    -    PROFILE CONDUIT    -    0.3517</v>
          </cell>
        </row>
        <row r="1890">
          <cell r="D1890" t="str">
            <v>15393913    -    SLEEVE WRAP LOOM    -    0.676</v>
          </cell>
        </row>
        <row r="1891">
          <cell r="D1891" t="str">
            <v>15394099    -    PROFILE CONDUIT    -    0.069</v>
          </cell>
        </row>
        <row r="1892">
          <cell r="D1892" t="str">
            <v>15394599    -    PROFILE CONDUIT    -    0.1455</v>
          </cell>
        </row>
        <row r="1893">
          <cell r="D1893" t="str">
            <v>15394600    -    PROFILE CONDUIT    -    0.1455</v>
          </cell>
        </row>
        <row r="1894">
          <cell r="D1894" t="str">
            <v>15395763    -    SSL INNENBESCH. REY. NR.3    -    0.048577</v>
          </cell>
        </row>
        <row r="1895">
          <cell r="D1895" t="str">
            <v>15395764    -    RBK-ILS-125-NR1-0-30MM    -    0.014452</v>
          </cell>
        </row>
        <row r="1896">
          <cell r="D1896" t="str">
            <v>15395787    -    SSL INNENBESCH. REY. NR.2    -    0.031265</v>
          </cell>
        </row>
        <row r="1897">
          <cell r="D1897" t="str">
            <v>15395906    -    7807280    -    0.071786</v>
          </cell>
        </row>
        <row r="1898">
          <cell r="D1898" t="str">
            <v>15396339    -    TUBE HEATSHRINK L80.00    -    0.070018</v>
          </cell>
        </row>
        <row r="1899">
          <cell r="D1899" t="str">
            <v>15396642    -    7807400    -    0.193093</v>
          </cell>
        </row>
        <row r="1900">
          <cell r="D1900" t="str">
            <v>15398842    -    SLEEVE    -    0.065</v>
          </cell>
        </row>
        <row r="1901">
          <cell r="D1901" t="str">
            <v>15398872    -    BLK BRAIDED SLEEVING    -    0.105</v>
          </cell>
        </row>
        <row r="1902">
          <cell r="D1902" t="str">
            <v>15398875    -    SLEEVE    -    0.5824</v>
          </cell>
        </row>
        <row r="1903">
          <cell r="D1903" t="str">
            <v>15401155    -    SLEEVE    -    1.218</v>
          </cell>
        </row>
        <row r="1904">
          <cell r="D1904" t="str">
            <v>15401156    -    SLEEVE    -    1.2075</v>
          </cell>
        </row>
        <row r="1905">
          <cell r="D1905" t="str">
            <v>15401184    -    BLACK THERMFLEX 1213    -    0.2538</v>
          </cell>
        </row>
        <row r="1906">
          <cell r="D1906" t="str">
            <v>15401200    -    PROFILE CONDUIT    -    0.3074</v>
          </cell>
        </row>
        <row r="1907">
          <cell r="D1907" t="str">
            <v>15401487    -    VACUUM HOSE    -    0.4937</v>
          </cell>
        </row>
        <row r="1908">
          <cell r="D1908" t="str">
            <v>15401506    -    CONDUIT    -    0.121205</v>
          </cell>
        </row>
        <row r="1909">
          <cell r="D1909" t="str">
            <v>15401559    -    VACUUM HOSE    -    0.4819</v>
          </cell>
        </row>
        <row r="1910">
          <cell r="D1910" t="str">
            <v>15401567    -    VENT HOSE    -    0.6955</v>
          </cell>
        </row>
        <row r="1911">
          <cell r="D1911" t="str">
            <v>15401755    -    PROFILE CONDUIT    -    1.5653</v>
          </cell>
        </row>
        <row r="1912">
          <cell r="D1912" t="str">
            <v>15401755S    -    CDT PROFI MM    -    1.73065</v>
          </cell>
        </row>
        <row r="1913">
          <cell r="D1913" t="str">
            <v>15404206    -    WASHER HOSE (REV. 03)    -    1.5086</v>
          </cell>
        </row>
        <row r="1914">
          <cell r="D1914" t="str">
            <v>15404210    -    WASHER HOSE SIMILAR TO 15324367    -    1.4877</v>
          </cell>
        </row>
        <row r="1915">
          <cell r="D1915" t="str">
            <v>15404467    -    TUBE TWIST L=110 D=13    -    0.1661</v>
          </cell>
        </row>
        <row r="1916">
          <cell r="D1916" t="str">
            <v>15404468    -    TWISTTUBE 2420 13-0/- LG 80    -    0.10023</v>
          </cell>
        </row>
        <row r="1917">
          <cell r="D1917" t="str">
            <v>15404469    -    TWISTTUBE 2420 13-0/- LG 70    -    0.087708</v>
          </cell>
        </row>
        <row r="1918">
          <cell r="D1918" t="str">
            <v>15404470    -    COND OVERLAP O21.50 I21.50 L600.000 BLK    -    0.5309</v>
          </cell>
        </row>
        <row r="1919">
          <cell r="D1919" t="str">
            <v>15404489    -    BREATHER TUBE    -    0.7258</v>
          </cell>
        </row>
        <row r="1920">
          <cell r="D1920" t="str">
            <v>15404522    -    SLEEVE SPIRAL WRAP L=150    -    0.2625</v>
          </cell>
        </row>
        <row r="1921">
          <cell r="D1921" t="str">
            <v>15404552    -    BRAIDED SLEEVE 19MM FLEXGUARD 21    -    0.1739</v>
          </cell>
        </row>
        <row r="1922">
          <cell r="D1922" t="str">
            <v>15404553    -    BRAIDED SLEEVE 25MM FLEXGUARD 21    -    0.263</v>
          </cell>
        </row>
        <row r="1923">
          <cell r="D1923" t="str">
            <v>15404554    -    BRAIDED SLEEVE 25MM FLEXGUARD 21    -    0.4612</v>
          </cell>
        </row>
        <row r="1924">
          <cell r="D1924" t="str">
            <v>15404900    -    PLASTIC STRAP    -    0.007</v>
          </cell>
        </row>
        <row r="1925">
          <cell r="D1925" t="str">
            <v>15404984    -    PROFILE CONDUIT    -    0.584467</v>
          </cell>
        </row>
        <row r="1926">
          <cell r="D1926" t="str">
            <v>15405004    -    SLEEVE 38 X 120MM    -    0.3</v>
          </cell>
        </row>
        <row r="1927">
          <cell r="D1927" t="str">
            <v>15405318    -    TUBE SYBRON    -    0.037511</v>
          </cell>
        </row>
        <row r="1928">
          <cell r="D1928" t="str">
            <v>15405450    -    WASHER HOSE    -    1.66</v>
          </cell>
        </row>
        <row r="1929">
          <cell r="D1929" t="str">
            <v>15405483    -    CONDUIT    -    0.090382</v>
          </cell>
        </row>
        <row r="1930">
          <cell r="D1930" t="str">
            <v>15405502    -    WASHER HOSE SAME AS 15324743    -    2.1721</v>
          </cell>
        </row>
        <row r="1931">
          <cell r="D1931" t="str">
            <v>15406025    -    4.5 POLYETHYLENE CONVOLUTED CONDUIT    -    0.0392</v>
          </cell>
        </row>
        <row r="1932">
          <cell r="D1932" t="str">
            <v>15406042    -    VACUUM HOSE    -    0.6106</v>
          </cell>
        </row>
        <row r="1933">
          <cell r="D1933" t="str">
            <v>15409791    -    CONDUIT    -    0.08839</v>
          </cell>
        </row>
        <row r="1934">
          <cell r="D1934" t="str">
            <v>15409899    -    VACUUM HOSE    -    1.131</v>
          </cell>
        </row>
        <row r="1935">
          <cell r="D1935" t="str">
            <v>15409900    -    AIR LINE ASM    -    0.9991</v>
          </cell>
        </row>
        <row r="1936">
          <cell r="D1936" t="str">
            <v>15409901    -    VACUUM HOSE WITHOUT SLEEVE    -    1.2998</v>
          </cell>
        </row>
        <row r="1937">
          <cell r="D1937" t="str">
            <v>15410699    -    PROFILE CONDUIT    -    0.065967</v>
          </cell>
        </row>
        <row r="1938">
          <cell r="D1938" t="str">
            <v>15410701    -    PROFILE CONDUIT    -    0.060218</v>
          </cell>
        </row>
        <row r="1939">
          <cell r="D1939" t="str">
            <v>15410989    -    VACUUM HOSE    -    1.13</v>
          </cell>
        </row>
        <row r="1940">
          <cell r="D1940" t="str">
            <v>15411473    -    VACUUM HOSE LENGTH LF CONN    -    1.223</v>
          </cell>
        </row>
        <row r="1941">
          <cell r="D1941" t="str">
            <v>15411527    -    INTERIOR SLEEVE    -    0.186616</v>
          </cell>
        </row>
        <row r="1942">
          <cell r="D1942" t="str">
            <v>15411943    -    COLD MELT SEALANT    -    0.05214</v>
          </cell>
        </row>
        <row r="1943">
          <cell r="D1943" t="str">
            <v>15411945    -    VACUUM HOSE    -    3.8059</v>
          </cell>
        </row>
        <row r="1944">
          <cell r="D1944" t="str">
            <v>15412320    -    W/W REAR-BODY (HOSE)    -    1.7218</v>
          </cell>
        </row>
        <row r="1945">
          <cell r="D1945" t="str">
            <v>15412394    -    SLEEVE    -    0.2015</v>
          </cell>
        </row>
        <row r="1946">
          <cell r="D1946" t="str">
            <v>15412474    -    WASHER HOSE    -    1.1372</v>
          </cell>
        </row>
        <row r="1947">
          <cell r="D1947" t="str">
            <v>15412475    -    WASHER HOSE    -    1.1528</v>
          </cell>
        </row>
        <row r="1948">
          <cell r="D1948" t="str">
            <v>15412894    -    CONDUIT 325MM LENGHT    -    0.7464</v>
          </cell>
        </row>
        <row r="1949">
          <cell r="D1949" t="str">
            <v>15413071    -    QUIET SLEEVE 3400    -    0.32</v>
          </cell>
        </row>
        <row r="1950">
          <cell r="D1950" t="str">
            <v>15416033    -    VACUUM HOSE W/120 DEGREE ANGLE    -    0.93</v>
          </cell>
        </row>
        <row r="1951">
          <cell r="D1951" t="str">
            <v>15416353    -    CONDUIT OVERLAP CUT 80 MM    -    0.0068</v>
          </cell>
        </row>
        <row r="1952">
          <cell r="D1952" t="str">
            <v>15416911    -    WASHER NOZZLE TUBE 4,6 MM    -    0.609504</v>
          </cell>
        </row>
        <row r="1953">
          <cell r="D1953" t="str">
            <v>15416945    -    SHRINK TUBE GLUE 2 CHANNEL    -    0.03713</v>
          </cell>
        </row>
        <row r="1954">
          <cell r="D1954" t="str">
            <v>15416946    -    SHRINK TUBE GLUE 5 CHANNEL    -    0.09572</v>
          </cell>
        </row>
        <row r="1955">
          <cell r="D1955" t="str">
            <v>15417022    -    BRAIDED SLEEVE    -    0.4423</v>
          </cell>
        </row>
        <row r="1956">
          <cell r="D1956" t="str">
            <v>15417145    -    CDT OVERLAP CONDUIT    -    0.0061</v>
          </cell>
        </row>
        <row r="1957">
          <cell r="D1957" t="str">
            <v>15418120    -    CONDUIT HALF    -    0.1284</v>
          </cell>
        </row>
        <row r="1958">
          <cell r="D1958" t="str">
            <v>15418544    -    90 DEGREE CONNECTOR    -    0.3697</v>
          </cell>
        </row>
        <row r="1959">
          <cell r="D1959" t="str">
            <v>15418822    -    CONDUIT 19.00MM DIA., 230MM LENGHT    -    0.219</v>
          </cell>
        </row>
        <row r="1960">
          <cell r="D1960" t="str">
            <v>15418946    -    CONDUIT PROFILE    -    0.8592</v>
          </cell>
        </row>
        <row r="1961">
          <cell r="D1961" t="str">
            <v>15419129    -    OVERAL COVLT CDT    -    0.1335</v>
          </cell>
        </row>
        <row r="1962">
          <cell r="D1962" t="str">
            <v>15419188    -    PROFILE CONDUIT    -    0.4547</v>
          </cell>
        </row>
        <row r="1963">
          <cell r="D1963" t="str">
            <v>15419824    -    PROTECTIVE SLEEVE-EXPANDO    -    3.0093072</v>
          </cell>
        </row>
        <row r="1964">
          <cell r="D1964" t="str">
            <v>15420051    -    SLEEVE HOOK &amp; LOOP    -    0.148</v>
          </cell>
        </row>
        <row r="1965">
          <cell r="D1965" t="str">
            <v>15420295    -    CONDUIT 19.00MM DIA., 2400.0M    -    0.229</v>
          </cell>
        </row>
        <row r="1966">
          <cell r="D1966" t="str">
            <v>15420311    -    HOSE    -    1.08</v>
          </cell>
        </row>
        <row r="1967">
          <cell r="D1967" t="str">
            <v>15420313    -    HOSE    -    0.88</v>
          </cell>
        </row>
        <row r="1968">
          <cell r="D1968" t="str">
            <v>15420422    -    PROFILE CONDUIT    -    0.0506</v>
          </cell>
        </row>
        <row r="1969">
          <cell r="D1969" t="str">
            <v>15421942    -    CONDUIT OVERLAP    -    0.0144</v>
          </cell>
        </row>
        <row r="1970">
          <cell r="D1970" t="str">
            <v>15422401    -    SLEEVE; LENGTH 475.0MM    -    1.0925</v>
          </cell>
        </row>
        <row r="1971">
          <cell r="D1971" t="str">
            <v>15422413    -    WASHER HOSE SIMILAR TO 15324118, BUT    -    1.2503</v>
          </cell>
        </row>
        <row r="1972">
          <cell r="D1972" t="str">
            <v>15422420    -    SLEEVE    -    0.185</v>
          </cell>
        </row>
        <row r="1973">
          <cell r="D1973" t="str">
            <v>15422429    -    WASHER HOSE    -    1.5054</v>
          </cell>
        </row>
        <row r="1974">
          <cell r="D1974" t="str">
            <v>15422526    -    SLEEVE    -    0.0986</v>
          </cell>
        </row>
        <row r="1975">
          <cell r="D1975" t="str">
            <v>15422560    -    HEAT SHRINK TUBING    -    0.9195</v>
          </cell>
        </row>
        <row r="1976">
          <cell r="D1976" t="str">
            <v>15422825    -    CONDUIT PROFILE    -    0.196065</v>
          </cell>
        </row>
        <row r="1977">
          <cell r="D1977" t="str">
            <v>15422826    -    CONDUIT PROFILE    -    0.418532</v>
          </cell>
        </row>
        <row r="1978">
          <cell r="D1978" t="str">
            <v>15423391    -    OVERLAP CONDUIT    -    0.0215</v>
          </cell>
        </row>
        <row r="1979">
          <cell r="D1979" t="str">
            <v>15423392    -    OVERLAP CONDUIT    -    0.0242</v>
          </cell>
        </row>
        <row r="1980">
          <cell r="D1980" t="str">
            <v>15423393    -    OVERLAP CONDUIT    -    0.0433</v>
          </cell>
        </row>
        <row r="1981">
          <cell r="D1981" t="str">
            <v>15423394    -    CONDUIT OVERLAP    -    0.0288</v>
          </cell>
        </row>
        <row r="1982">
          <cell r="D1982" t="str">
            <v>15423395    -    CONDUIT OVERLAP    -    0.0602</v>
          </cell>
        </row>
        <row r="1983">
          <cell r="D1983" t="str">
            <v>15425047    -    CONDUIT PROFILE    -    0.068633</v>
          </cell>
        </row>
        <row r="1984">
          <cell r="D1984" t="str">
            <v>15428121    -    CONDUIT    -    0.03</v>
          </cell>
        </row>
        <row r="1985">
          <cell r="D1985" t="str">
            <v>15431026    -    LOOM 450MM X 19MM    -    1.51</v>
          </cell>
        </row>
        <row r="1986">
          <cell r="D1986" t="str">
            <v>15431027    -    HEAT REFLECTIVE CONDUIT    -    0.3816</v>
          </cell>
        </row>
        <row r="1987">
          <cell r="D1987" t="str">
            <v>15431028    -    CONVOLUTED CONDUIT    -    0.0333</v>
          </cell>
        </row>
        <row r="1988">
          <cell r="D1988" t="str">
            <v>15431035    -    HOSE    -    0.92</v>
          </cell>
        </row>
        <row r="1989">
          <cell r="D1989" t="str">
            <v>15431036    -    HOSE    -    1.27</v>
          </cell>
        </row>
        <row r="1990">
          <cell r="D1990" t="str">
            <v>15431044    -    VENT LINE ASSEMBLY    -    0.4375</v>
          </cell>
        </row>
        <row r="1991">
          <cell r="D1991" t="str">
            <v>15434327    -    SPRIAL WRAP LOOM    -    0.208</v>
          </cell>
        </row>
        <row r="1992">
          <cell r="D1992" t="str">
            <v>15434334    -    ASM WASHER HOSE    -    1.46</v>
          </cell>
        </row>
        <row r="1993">
          <cell r="D1993" t="str">
            <v>15434335    -    ASM WASHER HOSE    -    1.5086</v>
          </cell>
        </row>
        <row r="1994">
          <cell r="D1994" t="str">
            <v>15434781    -    PROFILE CONDUIT    -    0.1926</v>
          </cell>
        </row>
        <row r="1995">
          <cell r="D1995" t="str">
            <v>15434910    -    PROFILE CONDUIT    -    0.2126</v>
          </cell>
        </row>
        <row r="1996">
          <cell r="D1996" t="str">
            <v>15435971    -    PROFILE CONDUIT    -    0.2476</v>
          </cell>
        </row>
        <row r="1997">
          <cell r="D1997" t="str">
            <v>15437448    -    PROFILE CONDUIT    -    0.1813</v>
          </cell>
        </row>
        <row r="1998">
          <cell r="D1998" t="str">
            <v>15439377    -    WASHER HOUSE    -    1.6466</v>
          </cell>
        </row>
        <row r="1999">
          <cell r="D1999" t="str">
            <v>15439378    -    WASHER HOSE    -    1.5811</v>
          </cell>
        </row>
        <row r="2000">
          <cell r="D2000" t="str">
            <v>15439379    -    WASHER HOSE    -    0.582</v>
          </cell>
        </row>
        <row r="2001">
          <cell r="D2001" t="str">
            <v>15439381    -    VENT HOSE    -    0.9506</v>
          </cell>
        </row>
        <row r="2002">
          <cell r="D2002" t="str">
            <v>15439383    -    ASM WASHER HOSE    -    1.6372</v>
          </cell>
        </row>
        <row r="2003">
          <cell r="D2003" t="str">
            <v>15439948    -    COV TERM NONE    -    0.014033</v>
          </cell>
        </row>
        <row r="2004">
          <cell r="D2004" t="str">
            <v>15441289    -    OVERLAP CONDUIT    -    0.0145</v>
          </cell>
        </row>
        <row r="2005">
          <cell r="D2005" t="str">
            <v>15441352    -    WASHER HOSE    -    1.7783</v>
          </cell>
        </row>
        <row r="2006">
          <cell r="D2006" t="str">
            <v>15441373    -    15MMX55MM OVAL CONV.CDT    -    0.1073</v>
          </cell>
        </row>
        <row r="2007">
          <cell r="D2007" t="str">
            <v>15441790    -    BLK BRAID NYLON / POLYESTER SLEEVE    -    1.095</v>
          </cell>
        </row>
        <row r="2008">
          <cell r="D2008" t="str">
            <v>15444640    -    SLEEVE    -    0.5841</v>
          </cell>
        </row>
        <row r="2009">
          <cell r="D2009" t="str">
            <v>15444641    -    SLEEVE    -    0.1798</v>
          </cell>
        </row>
        <row r="2010">
          <cell r="D2010" t="str">
            <v>15444642    -    SLEEVE    -    0.0968</v>
          </cell>
        </row>
        <row r="2011">
          <cell r="D2011" t="str">
            <v>15445900    -    COMB    -    0.05887</v>
          </cell>
        </row>
        <row r="2012">
          <cell r="D2012" t="str">
            <v>15448095    -    SLEEVE    -    0.4956</v>
          </cell>
        </row>
        <row r="2013">
          <cell r="D2013" t="str">
            <v>15448097    -    SLEEVE    -    0.4425</v>
          </cell>
        </row>
        <row r="2014">
          <cell r="D2014" t="str">
            <v>15448117    -    WASHER HOSE    -    1.89</v>
          </cell>
        </row>
        <row r="2015">
          <cell r="D2015" t="str">
            <v>15448338    -    SLEEVE-FLEXGUARD    -    0.0605</v>
          </cell>
        </row>
        <row r="2016">
          <cell r="D2016" t="str">
            <v>15448345    -    SLEEVE-TWISTUBE    -    0.0815</v>
          </cell>
        </row>
        <row r="2017">
          <cell r="D2017" t="str">
            <v>15448346    -    SLEEVE-TWISTUBE    -    0.0977</v>
          </cell>
        </row>
        <row r="2018">
          <cell r="D2018" t="str">
            <v>15448347    -    SLEEVE-TWISTUBE    -    0.114</v>
          </cell>
        </row>
        <row r="2019">
          <cell r="D2019" t="str">
            <v>15448348    -    SLEEVE-TWISTUBE    -    0.1548</v>
          </cell>
        </row>
        <row r="2020">
          <cell r="D2020" t="str">
            <v>15448349    -    SLEEVE    -    0.1629</v>
          </cell>
        </row>
        <row r="2021">
          <cell r="D2021" t="str">
            <v>15448351    -    SLEEVE-TWISTUBE    -    0.3387</v>
          </cell>
        </row>
        <row r="2022">
          <cell r="D2022" t="str">
            <v>15448352    -    SLEEVE    -    0.4574</v>
          </cell>
        </row>
        <row r="2023">
          <cell r="D2023" t="str">
            <v>15448353    -    SLEEVE-TWISTUBE    -    0.695</v>
          </cell>
        </row>
        <row r="2024">
          <cell r="D2024" t="str">
            <v>15448362    -    VENT HOSE VERY SIMILAR TO 15401567, BUT    -    0.714</v>
          </cell>
        </row>
        <row r="2025">
          <cell r="D2025" t="str">
            <v>15448363    -    WASHER HOSE    -    2.2393</v>
          </cell>
        </row>
        <row r="2026">
          <cell r="D2026" t="str">
            <v>15448471    -    SLEEVE    -    0.12211</v>
          </cell>
        </row>
        <row r="2027">
          <cell r="D2027" t="str">
            <v>15448518    -    WATERHOSE W/CLIPS    -    2.114439</v>
          </cell>
        </row>
        <row r="2028">
          <cell r="D2028" t="str">
            <v>15448846    -    SLEEVE    -    0.277</v>
          </cell>
        </row>
        <row r="2029">
          <cell r="D2029" t="str">
            <v>15448871    -    LOOM L=115.0MM, D=6.0MM    -    0.051</v>
          </cell>
        </row>
        <row r="2030">
          <cell r="D2030" t="str">
            <v>15449341    -    OVERLAP CONDUIT    -    0.1186</v>
          </cell>
        </row>
        <row r="2031">
          <cell r="D2031" t="str">
            <v>15449453    -    WASHER HOSE    -    1.8915</v>
          </cell>
        </row>
        <row r="2032">
          <cell r="D2032" t="str">
            <v>15450080    -    OVERLAP CONDUIT R0067611. 460MM LONG    -    0.0811</v>
          </cell>
        </row>
        <row r="2033">
          <cell r="D2033" t="str">
            <v>15450743    -    SHIELD    -    0.664</v>
          </cell>
        </row>
        <row r="2034">
          <cell r="D2034" t="str">
            <v>15450793    -    FLEXWEAVE 2300 1    -    0.3946</v>
          </cell>
        </row>
        <row r="2035">
          <cell r="D2035" t="str">
            <v>15450794    -    3/8" RIGID PVC SCROLL BLACK SLIT    -    0.0111</v>
          </cell>
        </row>
        <row r="2036">
          <cell r="D2036" t="str">
            <v>15450841    -    3/4" RIGID PVC SCROLL BLACK SLIT    -    0.0411</v>
          </cell>
        </row>
        <row r="2037">
          <cell r="D2037" t="str">
            <v>15450843    -    3/4" RIGID PVC SCROLL BLACK SLIT    -    0.0401</v>
          </cell>
        </row>
        <row r="2038">
          <cell r="D2038" t="str">
            <v>15450844    -    3/4" RIGID PVC SCROLL BLACK SLIT    -    0.0589</v>
          </cell>
        </row>
        <row r="2039">
          <cell r="D2039" t="str">
            <v>15450845    -    3/4" RIGID PVC SCROLL BLACK SLIT    -    0.0462</v>
          </cell>
        </row>
        <row r="2040">
          <cell r="D2040" t="str">
            <v>15450846    -    3/8" RIGID PVC SCROLL BLACK SLIT    -    0.02</v>
          </cell>
        </row>
        <row r="2041">
          <cell r="D2041" t="str">
            <v>15450847    -    3/8" RIGID PVC SCROLL BLACK SLIT    -    0.0077</v>
          </cell>
        </row>
        <row r="2042">
          <cell r="D2042" t="str">
            <v>15450854    -    FLEXGUARD .75 ID 190MM LONG    -    0.116</v>
          </cell>
        </row>
        <row r="2043">
          <cell r="D2043" t="str">
            <v>15450986    -    SCROLL 3/4 X 4    -    0.0213</v>
          </cell>
        </row>
        <row r="2044">
          <cell r="D2044" t="str">
            <v>15450987    -    SCROLL 3/4 X 6    -    0.0214</v>
          </cell>
        </row>
        <row r="2045">
          <cell r="D2045" t="str">
            <v>15450988    -    1/2" X 3-1/2 C/S    -    0.1518</v>
          </cell>
        </row>
        <row r="2046">
          <cell r="D2046" t="str">
            <v>15450989    -    3/4" X 4" C/S    -    0.2846</v>
          </cell>
        </row>
        <row r="2047">
          <cell r="D2047" t="str">
            <v>15450990    -    1/4" X 5" NO/SLIT    -    0.08855</v>
          </cell>
        </row>
        <row r="2048">
          <cell r="D2048" t="str">
            <v>15450999    -    SCROLL 3/4 X 4 1/2    -    0.0252</v>
          </cell>
        </row>
        <row r="2049">
          <cell r="D2049" t="str">
            <v>15451001    -    TUBING PVC 1/4 X 4 1/4 020WALL    -    0.0082</v>
          </cell>
        </row>
        <row r="2050">
          <cell r="D2050" t="str">
            <v>15451002    -    SCROLL D0DB 1/2 X 11 1/8    -    0.0318</v>
          </cell>
        </row>
        <row r="2051">
          <cell r="D2051" t="str">
            <v>15451003    -    SCROLL DODB 3/4 X 9    -    0.048</v>
          </cell>
        </row>
        <row r="2052">
          <cell r="D2052" t="str">
            <v>15451004    -    TUBING PVC 5/8 X 3 5/8 030 WAL    -    0.0178</v>
          </cell>
        </row>
        <row r="2053">
          <cell r="D2053" t="str">
            <v>15451005    -    SCROLL 3/4 X 11 3/4    -    0.0658</v>
          </cell>
        </row>
        <row r="2054">
          <cell r="D2054" t="str">
            <v>15451007    -    TUBING PVC 1 1/8 X 4 3/8 030 W    -    0.048</v>
          </cell>
        </row>
        <row r="2055">
          <cell r="D2055" t="str">
            <v>15451008    -    SCROLL 1/2 X 11 7/8    -    0.0339</v>
          </cell>
        </row>
        <row r="2056">
          <cell r="D2056" t="str">
            <v>15451009    -    SCROLL 1/2 X 8 1/8    -    0.0231</v>
          </cell>
        </row>
        <row r="2057">
          <cell r="D2057" t="str">
            <v>15451011    -    SCROLL 3/4 X 10 1/4    -    0.0545</v>
          </cell>
        </row>
        <row r="2058">
          <cell r="D2058" t="str">
            <v>15451012    -    SCROLL 3/8 X 7 7/8 (200 MM)    -    0.0177</v>
          </cell>
        </row>
        <row r="2059">
          <cell r="D2059" t="str">
            <v>15451013    -    TUBING PVC 11/32 X 2    -    0.006</v>
          </cell>
        </row>
        <row r="2060">
          <cell r="D2060" t="str">
            <v>15451014    -    SCROLL 1/4 X 4 3/8    -    0.0079</v>
          </cell>
        </row>
        <row r="2061">
          <cell r="D2061" t="str">
            <v>15451015    -    SCROLL 1/2 X 380 MM    -    0.0469</v>
          </cell>
        </row>
        <row r="2062">
          <cell r="D2062" t="str">
            <v>15451016    -    SCROLL 1 X 275MM    -    0.0819</v>
          </cell>
        </row>
        <row r="2063">
          <cell r="D2063" t="str">
            <v>15451021    -    SCROLL 3/4 X 9 7/8    -    0.0526</v>
          </cell>
        </row>
        <row r="2064">
          <cell r="D2064" t="str">
            <v>15451023    -    SCROLL 3/4 X 15    -    0.0799</v>
          </cell>
        </row>
        <row r="2065">
          <cell r="D2065" t="str">
            <v>15451024    -    SIZE #2 THERMFLEX 1210    -    0.12</v>
          </cell>
        </row>
        <row r="2066">
          <cell r="D2066" t="str">
            <v>15451025    -    10MM FLEXGUARD 2130    -    0.0672</v>
          </cell>
        </row>
        <row r="2067">
          <cell r="D2067" t="str">
            <v>15451026    -    10MM FLEXGUARD 2130    -    0.0453</v>
          </cell>
        </row>
        <row r="2068">
          <cell r="D2068" t="str">
            <v>15451027    -    19MM FLEXGUARD 2130    -    0.159</v>
          </cell>
        </row>
        <row r="2069">
          <cell r="D2069" t="str">
            <v>15451028    -    32MM FLEXGUARD 2300    -    0.315</v>
          </cell>
        </row>
        <row r="2070">
          <cell r="D2070" t="str">
            <v>15451029    -    13MM FLEXGUARD 2130    -    0.2108</v>
          </cell>
        </row>
        <row r="2071">
          <cell r="D2071" t="str">
            <v>15451030    -    10MM FLEXGUARD 2130    -    0.17</v>
          </cell>
        </row>
        <row r="2072">
          <cell r="D2072" t="str">
            <v>15451031    -    10MM FLEXGUARD 2130    -    0.0352</v>
          </cell>
        </row>
        <row r="2073">
          <cell r="D2073" t="str">
            <v>15451032    -    FLEXGUARD TIGHTWEAVE 1/2 X 9 1/4    -    0.1441</v>
          </cell>
        </row>
        <row r="2074">
          <cell r="D2074" t="str">
            <v>15451033    -    10MMFLEXGUARD 2130    -    0.0655</v>
          </cell>
        </row>
        <row r="2075">
          <cell r="D2075" t="str">
            <v>15451034    -    19MM FLEXGUARD 2130    -    0.307</v>
          </cell>
        </row>
        <row r="2076">
          <cell r="D2076" t="str">
            <v>15451035    -    10MM FLEXGUARD 2130    -    0.152</v>
          </cell>
        </row>
        <row r="2077">
          <cell r="D2077" t="str">
            <v>15451036    -    10MM FLEXGUARD 2130    -    0.0728</v>
          </cell>
        </row>
        <row r="2078">
          <cell r="D2078" t="str">
            <v>15451037    -    SLEEVE (FS)    -    0.194</v>
          </cell>
        </row>
        <row r="2079">
          <cell r="D2079" t="str">
            <v>15451076    -    SHIELD    -    0.07</v>
          </cell>
        </row>
        <row r="2080">
          <cell r="D2080" t="str">
            <v>15451120    -    HEAT SHRINK 1/2 X 1 1/4 (FS)    -    0.0153</v>
          </cell>
        </row>
        <row r="2081">
          <cell r="D2081" t="str">
            <v>15451139    -    SLEEVE SK ES2000#2 X 30MM    -    0.063</v>
          </cell>
        </row>
        <row r="2082">
          <cell r="D2082" t="str">
            <v>15451163    -    SLEEVE RED 3/4 X 65MM (FS)    -    0.088</v>
          </cell>
        </row>
        <row r="2083">
          <cell r="D2083" t="str">
            <v>15451168    -    HEAT SHRINK TUBING 1/2 65MM (FS)    -    0.06</v>
          </cell>
        </row>
        <row r="2084">
          <cell r="D2084" t="str">
            <v>15451183    -    HEAT SHRINK 3/4 X 1 1/4 (FS)    -    0.0197</v>
          </cell>
        </row>
        <row r="2085">
          <cell r="D2085" t="str">
            <v>15451242    -    SLEEVE SK RED 1/2 X 1/4 (FS)    -    0.11</v>
          </cell>
        </row>
        <row r="2086">
          <cell r="D2086" t="str">
            <v>15451250    -    SLEEVE SK PO135 RED 1/2 X 1 1/2 (FS)    -    0.0392</v>
          </cell>
        </row>
        <row r="2087">
          <cell r="D2087" t="str">
            <v>15451255    -    SLEEVE SK SCL 3/4 X 2 5/8 (FS)    -    0.3616</v>
          </cell>
        </row>
        <row r="2088">
          <cell r="D2088" t="str">
            <v>15451258    -    SLEEVE SK SCT #1 1/4 X 1 1/4 (FS)    -    0.099</v>
          </cell>
        </row>
        <row r="2089">
          <cell r="D2089" t="str">
            <v>15451324    -    HEAT SHRINK RED 1/2 X 2 (FS)    -    0.0519</v>
          </cell>
        </row>
        <row r="2090">
          <cell r="D2090" t="str">
            <v>15451392    -    SLEEVE SK SCT #4 X 1 1/2 (FS)    -    0.2521</v>
          </cell>
        </row>
        <row r="2091">
          <cell r="D2091" t="str">
            <v>15451421    -    LOAM ASPH SLIT (1/4 X 14 3/4)    -    0.2</v>
          </cell>
        </row>
        <row r="2092">
          <cell r="D2092" t="str">
            <v>15451602    -    LOOM CONV 1 1/4 BULK (FS)    -    0.416624</v>
          </cell>
        </row>
        <row r="2093">
          <cell r="D2093" t="str">
            <v>15451603    -    LOOM CONV 15/16 BULK BLK NYL (FS)    -    0.32048</v>
          </cell>
        </row>
        <row r="2094">
          <cell r="D2094" t="str">
            <v>15451661    -    SHIELD LOOM CONV 3/8 X 11 13/16IN    -    0.044</v>
          </cell>
        </row>
        <row r="2095">
          <cell r="D2095" t="str">
            <v>15451669    -    SLEEVE    -    0.834171</v>
          </cell>
        </row>
        <row r="2096">
          <cell r="D2096" t="str">
            <v>15451748    -    SCROLL 1/2 X 20    -    0.086</v>
          </cell>
        </row>
        <row r="2097">
          <cell r="D2097" t="str">
            <v>15451749    -    6MM THERMFLEX 1220 (FS)    -    0.2805</v>
          </cell>
        </row>
        <row r="2098">
          <cell r="D2098" t="str">
            <v>15451761    -    SLEEVE (FS)    -    0.0363</v>
          </cell>
        </row>
        <row r="2099">
          <cell r="D2099" t="str">
            <v>15451762    -    TUBING (SF)    -    0.011</v>
          </cell>
        </row>
        <row r="2100">
          <cell r="D2100" t="str">
            <v>15451765    -    SLEEVE (FS)    -    0.224336</v>
          </cell>
        </row>
        <row r="2101">
          <cell r="D2101" t="str">
            <v>15451766    -    SLEEVE (FS)    -    0.193</v>
          </cell>
        </row>
        <row r="2102">
          <cell r="D2102" t="str">
            <v>15451789    -    6MM THERMFLEX 1220 (FS)    -    0.288</v>
          </cell>
        </row>
        <row r="2103">
          <cell r="D2103" t="str">
            <v>15451813    -    COVER (FS)    -    0.38</v>
          </cell>
        </row>
        <row r="2104">
          <cell r="D2104" t="str">
            <v>15451827    -    SLEEVE (FS)    -    0.07</v>
          </cell>
        </row>
        <row r="2105">
          <cell r="D2105" t="str">
            <v>15451842    -    TUBING (FS)    -    0.097</v>
          </cell>
        </row>
        <row r="2106">
          <cell r="D2106" t="str">
            <v>15451985    -    SLEEVE (FS)    -    0.034</v>
          </cell>
        </row>
        <row r="2107">
          <cell r="D2107" t="str">
            <v>15451986    -    SLEEVE (FS)    -    0.015</v>
          </cell>
        </row>
        <row r="2108">
          <cell r="D2108" t="str">
            <v>15451998    -    SLEEVE (FS)    -    0.0153</v>
          </cell>
        </row>
        <row r="2109">
          <cell r="D2109" t="str">
            <v>15452731    -    3/8" BLACK RIGID PVC SCROLL CUT    -    0.0402</v>
          </cell>
        </row>
        <row r="2110">
          <cell r="D2110" t="str">
            <v>15452894    -    HEAT SHRINK TUBING    -    0.02773</v>
          </cell>
        </row>
        <row r="2111">
          <cell r="D2111" t="str">
            <v>15453010    -    SPIRAL SLEEVE    -    0.6107</v>
          </cell>
        </row>
        <row r="2112">
          <cell r="D2112" t="str">
            <v>15453011    -    5.5MM CONVOLUTED CONDUIT    -    1.349085</v>
          </cell>
        </row>
        <row r="2113">
          <cell r="D2113" t="str">
            <v>15453699    -    CONDUIT OVERLAP L=60MM    -    0.0357</v>
          </cell>
        </row>
        <row r="2114">
          <cell r="D2114" t="str">
            <v>15454379    -    WASHER HOSE SIMILAR TO 15448363    -    2</v>
          </cell>
        </row>
        <row r="2115">
          <cell r="D2115" t="str">
            <v>15454954    -    SLEEVE SPIRAL WARP TWISTUBE    -    1.3128</v>
          </cell>
        </row>
        <row r="2116">
          <cell r="D2116" t="str">
            <v>15455069    -    SLEEVE    -    0.7613</v>
          </cell>
        </row>
        <row r="2117">
          <cell r="D2117" t="str">
            <v>15455070    -    SLEEVE    -    0.157</v>
          </cell>
        </row>
        <row r="2118">
          <cell r="D2118" t="str">
            <v>15456271    -    25MM TWISTTUBE 2430    -    0.5376</v>
          </cell>
        </row>
        <row r="2119">
          <cell r="D2119" t="str">
            <v>15456272    -    19MM TWISTTUBE 2430    -    0.462</v>
          </cell>
        </row>
        <row r="2120">
          <cell r="D2120" t="str">
            <v>15456990    -    3/4" RIGID PVC SCROLL BLACK SLIT    -    0.0928</v>
          </cell>
        </row>
        <row r="2121">
          <cell r="D2121" t="str">
            <v>15459738    -    GROM SHEET    -    0.8184</v>
          </cell>
        </row>
        <row r="2122">
          <cell r="D2122" t="str">
            <v>15460620    -    VACUUM HOSE    -    3.93</v>
          </cell>
        </row>
        <row r="2123">
          <cell r="D2123" t="str">
            <v>15461155    -    SHIELD    -    0.2156</v>
          </cell>
        </row>
        <row r="2124">
          <cell r="D2124" t="str">
            <v>15461156    -    SHIELD    -    0.1804</v>
          </cell>
        </row>
        <row r="2125">
          <cell r="D2125" t="str">
            <v>15461157    -    SHIELD    -    1.15</v>
          </cell>
        </row>
        <row r="2126">
          <cell r="D2126" t="str">
            <v>15461158    -    SHIELD    -    0.198</v>
          </cell>
        </row>
        <row r="2127">
          <cell r="D2127" t="str">
            <v>15461159    -    SHIELD    -    0.9008</v>
          </cell>
        </row>
        <row r="2128">
          <cell r="D2128" t="str">
            <v>15461160    -    SHIELD    -    0.599</v>
          </cell>
        </row>
        <row r="2129">
          <cell r="D2129" t="str">
            <v>15461227    -    19MM TWISTTUBE 2420    -    0.3938</v>
          </cell>
        </row>
        <row r="2130">
          <cell r="D2130" t="str">
            <v>15461269    -    10MM FLEXGUARD 2120    -    0.0549</v>
          </cell>
        </row>
        <row r="2131">
          <cell r="D2131" t="str">
            <v>15461270    -    8MM FLEXGUARD 2125    -    0.1168</v>
          </cell>
        </row>
        <row r="2132">
          <cell r="D2132" t="str">
            <v>15461273    -    CONDUIT OVERLAP =460MM LONG    -    0.1017</v>
          </cell>
        </row>
        <row r="2133">
          <cell r="D2133" t="str">
            <v>15461278    -    SLEEVE    -    0.13</v>
          </cell>
        </row>
        <row r="2134">
          <cell r="D2134" t="str">
            <v>15461321    -    TWISSTUBE 2420    -    0.35</v>
          </cell>
        </row>
        <row r="2135">
          <cell r="D2135" t="str">
            <v>15461338    -    FLEXTUBE    -    0.5708</v>
          </cell>
        </row>
        <row r="2136">
          <cell r="D2136" t="str">
            <v>15462689    -    6MM FLEXFIT 2100 X    -    0.0515</v>
          </cell>
        </row>
        <row r="2137">
          <cell r="D2137" t="str">
            <v>15463026    -    7.5MM CONVOLUTED CONDUIT (PFA)    -    1.150325</v>
          </cell>
        </row>
        <row r="2138">
          <cell r="D2138" t="str">
            <v>15465439    -    TUBING RED 3/8"    -    0.17985</v>
          </cell>
        </row>
        <row r="2139">
          <cell r="D2139" t="str">
            <v>15465475    -    CLEAR HEAT SHRINK TUBING    -    2.902395072</v>
          </cell>
        </row>
        <row r="2140">
          <cell r="D2140" t="str">
            <v>15466096    -    19MM FLEXWRAP 2300    -    0.8784</v>
          </cell>
        </row>
        <row r="2141">
          <cell r="D2141" t="str">
            <v>15466207    -    OVAL CONVOLUTED CONDUIT    -    0.040018</v>
          </cell>
        </row>
        <row r="2142">
          <cell r="D2142" t="str">
            <v>15466357    -    SLEEVE SK RED 1/2 X 1 1/8 (FS)    -    0.0154</v>
          </cell>
        </row>
        <row r="2143">
          <cell r="D2143" t="str">
            <v>15468019    -    SLEEVE SK RED 1/2 X 1 1/4    -    0.0154</v>
          </cell>
        </row>
        <row r="2144">
          <cell r="D2144" t="str">
            <v>15468020    -    SLEEVE BLACK 1/2 X 2 5/8    -    0.28</v>
          </cell>
        </row>
        <row r="2145">
          <cell r="D2145" t="str">
            <v>15468025    -    SCROLL 3/4 X 3/8 (85MM)    -    0.029</v>
          </cell>
        </row>
        <row r="2146">
          <cell r="D2146" t="str">
            <v>15468027    -    SLEEVE SK 1/2 X 11 7/8 RED GRADE B    -    0.22</v>
          </cell>
        </row>
        <row r="2147">
          <cell r="D2147" t="str">
            <v>15468041    -    SCROLL 3/4 X 4 3/8    -    0.035</v>
          </cell>
        </row>
        <row r="2148">
          <cell r="D2148" t="str">
            <v>15468042    -    SCROLL 3/4 X 11 7/8    -    0.1</v>
          </cell>
        </row>
        <row r="2149">
          <cell r="D2149" t="str">
            <v>15468043    -    TUBING PVC 1/4 X 5 1/2    -    0.0153</v>
          </cell>
        </row>
        <row r="2150">
          <cell r="D2150" t="str">
            <v>15473591    -    SLEEVE    -    0.2525</v>
          </cell>
        </row>
        <row r="2151">
          <cell r="D2151" t="str">
            <v>15474415    -    SCROLL (FS)    -    0.022</v>
          </cell>
        </row>
        <row r="2152">
          <cell r="D2152" t="str">
            <v>15474505    -    VACUUM HOSE    -    6</v>
          </cell>
        </row>
        <row r="2153">
          <cell r="D2153" t="str">
            <v>15474999    -    SLEEVE (FS)    -    0.011</v>
          </cell>
        </row>
        <row r="2154">
          <cell r="D2154" t="str">
            <v>15475957    -    CDT PROFILE    -    0.17</v>
          </cell>
        </row>
        <row r="2155">
          <cell r="D2155" t="str">
            <v>15476289    -    15MM THERMFLEX 1210    -    0.442</v>
          </cell>
        </row>
        <row r="2156">
          <cell r="D2156" t="str">
            <v>15476947    -    OVERLAP SLEEVE    -    0.0157</v>
          </cell>
        </row>
        <row r="2157">
          <cell r="D2157" t="str">
            <v>15477430    -    WIREGUIDE BRACKET    -    0.028</v>
          </cell>
        </row>
        <row r="2158">
          <cell r="D2158" t="str">
            <v>15478641    -    13MM REFLECTWARP    -    1.735</v>
          </cell>
        </row>
        <row r="2159">
          <cell r="D2159" t="str">
            <v>15478642    -    CONDUIT HALF LAP L=60MM    -    0.0368</v>
          </cell>
        </row>
        <row r="2160">
          <cell r="D2160" t="str">
            <v>15478649    -    CONDUIT HALF LAP L=160MM    -    0.0835</v>
          </cell>
        </row>
        <row r="2161">
          <cell r="D2161" t="str">
            <v>15479352    -    CDT PROFILE    -    0.0243</v>
          </cell>
        </row>
        <row r="2162">
          <cell r="D2162" t="str">
            <v>15479468    -    CONDUIT CONVOLUTED NYLON    -    0.0087</v>
          </cell>
        </row>
        <row r="2163">
          <cell r="D2163" t="str">
            <v>15479808    -    TWISTTUBE 2420    -    0.7991</v>
          </cell>
        </row>
        <row r="2164">
          <cell r="D2164" t="str">
            <v>15479814    -    TWISTTUBE 2420    -    0.4795</v>
          </cell>
        </row>
        <row r="2165">
          <cell r="D2165" t="str">
            <v>15480188    -    CONDUIT OVAL CONVOLUTED    -    0.022</v>
          </cell>
        </row>
        <row r="2166">
          <cell r="D2166" t="str">
            <v>15480308    -    LENGTH OF FOAM TUBE IS 70MM    -    0.059</v>
          </cell>
        </row>
        <row r="2167">
          <cell r="D2167" t="str">
            <v>15480961    -    QUIETSLEEVE 3410    -    0.37</v>
          </cell>
        </row>
        <row r="2168">
          <cell r="D2168" t="str">
            <v>15481161    -    WASHER HOSE REPLACING 15465967    -    1.75</v>
          </cell>
        </row>
        <row r="2169">
          <cell r="D2169" t="str">
            <v>15483027    -    25MM REFLEXWRAP 1460    -    0.6445</v>
          </cell>
        </row>
        <row r="2170">
          <cell r="D2170" t="str">
            <v>15483059    -    CONNECTOR HOLDERCAN    -    0.937802</v>
          </cell>
        </row>
        <row r="2171">
          <cell r="D2171" t="str">
            <v>15483834    -    VACUUM HOSE SIMILAR TO 15466009    -    3.44</v>
          </cell>
        </row>
        <row r="2172">
          <cell r="D2172" t="str">
            <v>15483835    -    REFLECT SLEEVE 1450E    -    0.6281</v>
          </cell>
        </row>
        <row r="2173">
          <cell r="D2173" t="str">
            <v>15483843    -    REFLECT SLEEVE 1450E    -    0.325</v>
          </cell>
        </row>
        <row r="2174">
          <cell r="D2174" t="str">
            <v>15483844    -    REFLEXWRAP 1460    -    0.43</v>
          </cell>
        </row>
        <row r="2175">
          <cell r="D2175" t="str">
            <v>15483880    -    10MM REFLEXWRAP 1460    -    0.74</v>
          </cell>
        </row>
        <row r="2176">
          <cell r="D2176" t="str">
            <v>15483997    -    10MM REFLECT SLEEVE 1450E    -    0.762</v>
          </cell>
        </row>
        <row r="2177">
          <cell r="D2177" t="str">
            <v>15483998    -    10MM REFLECT SLEEVE 1450E    -    0.269</v>
          </cell>
        </row>
        <row r="2178">
          <cell r="D2178" t="str">
            <v>15483999    -    DIE CUT REFLECTSHIELD 1435    -    0.378</v>
          </cell>
        </row>
        <row r="2179">
          <cell r="D2179" t="str">
            <v>15484000    -    13MM REFLEXWRAP 1460    -    0.5623</v>
          </cell>
        </row>
        <row r="2180">
          <cell r="D2180" t="str">
            <v>15484904    -    CONDUIT OVERLAP D=12MM L=90    -    0.0111</v>
          </cell>
        </row>
        <row r="2181">
          <cell r="D2181" t="str">
            <v>15487295    -    CDT PROFILE    -    0.0545</v>
          </cell>
        </row>
        <row r="2182">
          <cell r="D2182" t="str">
            <v>15488738    -    CDT OVERLAP    -    0.0439</v>
          </cell>
        </row>
        <row r="2183">
          <cell r="D2183" t="str">
            <v>15488782    -    CDT PROFILE    -    0.0702</v>
          </cell>
        </row>
        <row r="2184">
          <cell r="D2184" t="str">
            <v>15488783    -    CDT PROFILE    -    0.0702</v>
          </cell>
        </row>
        <row r="2185">
          <cell r="D2185" t="str">
            <v>15488965    -    CDT OVERLAP    -    0.0663</v>
          </cell>
        </row>
        <row r="2186">
          <cell r="D2186" t="str">
            <v>15488966    -    CDT OVERLAP    -    0.0458</v>
          </cell>
        </row>
        <row r="2187">
          <cell r="D2187" t="str">
            <v>15488971    -    CDT OVERLAP    -    0.1888</v>
          </cell>
        </row>
        <row r="2188">
          <cell r="D2188" t="str">
            <v>15490413    -    WATER HOSE L=6415MM    -    4.317936</v>
          </cell>
        </row>
        <row r="2189">
          <cell r="D2189" t="str">
            <v>15490414    -    WATER HOSE L=1379MM    -    2.374865</v>
          </cell>
        </row>
        <row r="2190">
          <cell r="D2190" t="str">
            <v>15490415    -    WATER HOSE L=1379MM    -    1.754162</v>
          </cell>
        </row>
        <row r="2191">
          <cell r="D2191" t="str">
            <v>15490416    -    AIR SUSPENSION HOSES L=5245    -    1.4977</v>
          </cell>
        </row>
        <row r="2192">
          <cell r="D2192" t="str">
            <v>15490417    -    AIR SUSPENSION HOSES L=4830    -    1.4288</v>
          </cell>
        </row>
        <row r="2193">
          <cell r="D2193" t="str">
            <v>15490418    -    AIR SUSPENSION HOSES L=5400MM    -    1.4913</v>
          </cell>
        </row>
        <row r="2194">
          <cell r="D2194" t="str">
            <v>15491411    -    COND CNVLT OVAL BLK    -    0.2042</v>
          </cell>
        </row>
        <row r="2195">
          <cell r="D2195" t="str">
            <v>15491630    -    AIR SUSPENSION HOSES L=8280MM    -    1.8039</v>
          </cell>
        </row>
        <row r="2196">
          <cell r="D2196" t="str">
            <v>15491631    -    AIR SUSPENSION HOSES L=6900MM    -    1.6389</v>
          </cell>
        </row>
        <row r="2197">
          <cell r="D2197" t="str">
            <v>15491662    -    TUBING (LENGTH 610MM OR 2.01FT)    -    1.916084</v>
          </cell>
        </row>
        <row r="2198">
          <cell r="D2198" t="str">
            <v>15491836    -    WASHER HOSE LENGTH 1453MM    -    2.482813</v>
          </cell>
        </row>
        <row r="2199">
          <cell r="D2199" t="str">
            <v>15491904    -    25MM FLEXWRAP 2325    -    1.25</v>
          </cell>
        </row>
        <row r="2200">
          <cell r="D2200" t="str">
            <v>15491905    -    25MM FLEXWRAP 2325    -    1.1</v>
          </cell>
        </row>
        <row r="2201">
          <cell r="D2201" t="str">
            <v>15496482    -    CDT PROFILE    -    0.1999</v>
          </cell>
        </row>
        <row r="2202">
          <cell r="D2202" t="str">
            <v>15498921    -    SLITED PUR TUBE DIAM 18MM L=155MM    -    0.522875</v>
          </cell>
        </row>
        <row r="2203">
          <cell r="D2203" t="str">
            <v>15498922    -    WASHER HOSE L=1430MM    -    2.401852</v>
          </cell>
        </row>
        <row r="2204">
          <cell r="D2204" t="str">
            <v>15498925    -    WASHER HOSE L=1379MM WITH AN ANGLE OF    -    2.374865</v>
          </cell>
        </row>
        <row r="2205">
          <cell r="D2205" t="str">
            <v>15498926    -    WASHER HOSE L=1379MM WITH AN ANGLE OF    -    2.118487</v>
          </cell>
        </row>
        <row r="2206">
          <cell r="D2206" t="str">
            <v>15499347    -    CDT PROFILE    -    0.0445</v>
          </cell>
        </row>
        <row r="2207">
          <cell r="D2207" t="str">
            <v>15499349    -    CDT PROFILE    -    0.2869</v>
          </cell>
        </row>
        <row r="2208">
          <cell r="D2208" t="str">
            <v>15499906    -    AIR SUSPENSION HOSE L=7970MM    -    1.7629</v>
          </cell>
        </row>
        <row r="2209">
          <cell r="D2209" t="str">
            <v>15499907    -    AIR SUSPENSION HOSE L=6590MM    -    1.6079</v>
          </cell>
        </row>
        <row r="2210">
          <cell r="D2210" t="str">
            <v>15657946    -    PROFILE CONDUIT    -    0.4822</v>
          </cell>
        </row>
        <row r="2211">
          <cell r="D2211" t="str">
            <v>15694161    -    WASHER HOSE ASSEMBLY    -    2.68</v>
          </cell>
        </row>
        <row r="2212">
          <cell r="D2212" t="str">
            <v>15705453    -    VAC HOSE    -    0.7183</v>
          </cell>
        </row>
        <row r="2213">
          <cell r="D2213" t="str">
            <v>15978239    -    PROFILE CONDUIT    -    0.427546</v>
          </cell>
        </row>
        <row r="2214">
          <cell r="D2214" t="str">
            <v>16753639    -    YELLOW FLAME RETARDANT FOAM TUBING    -    0.282</v>
          </cell>
        </row>
        <row r="2215">
          <cell r="D2215" t="str">
            <v>16873804    -    CONDUIT    -    0.0119</v>
          </cell>
        </row>
        <row r="2216">
          <cell r="D2216" t="str">
            <v>171 035 518    -    SPONGE    -    0.037454</v>
          </cell>
        </row>
        <row r="2217">
          <cell r="D2217" t="str">
            <v>17999444    -    SLEV-CORRNGATED-BRK (SEE 17988702)    -    0.033</v>
          </cell>
        </row>
        <row r="2218">
          <cell r="D2218" t="str">
            <v>17999905    -    SLEV CORRUGATED BRK (SEE 17998702    -    0.051</v>
          </cell>
        </row>
        <row r="2219">
          <cell r="D2219" t="str">
            <v>191 971 790K    -    FOAM TUBE    -    0.101489</v>
          </cell>
        </row>
        <row r="2220">
          <cell r="D2220" t="str">
            <v>25316674    -    PIPE-F/PMP FLEX-ND-25324483    -    0.0576</v>
          </cell>
        </row>
        <row r="2221">
          <cell r="D2221" t="str">
            <v>26022069    -    INSULATOR SLEEVE, HOSE    -    0.202</v>
          </cell>
        </row>
        <row r="2222">
          <cell r="D2222" t="str">
            <v>26022490    -    INSULATOR SLEEVE, RETURN HOSE    -    0.2038</v>
          </cell>
        </row>
        <row r="2223">
          <cell r="D2223" t="str">
            <v>26033581    -    CONDUIT, CONVOLUTED    -    0.00694</v>
          </cell>
        </row>
        <row r="2224">
          <cell r="D2224" t="str">
            <v>26035064    -    SLEEVE, ABRASION RESISTANT    -    0.334</v>
          </cell>
        </row>
        <row r="2225">
          <cell r="D2225" t="str">
            <v>26037495    -    CONDUIT, SPLIT CONVOLUTED    -    0.0368</v>
          </cell>
        </row>
        <row r="2226">
          <cell r="D2226" t="str">
            <v>26038323    -    SLEEVE, ABRASION RESISTANT    -    0.1596</v>
          </cell>
        </row>
        <row r="2227">
          <cell r="D2227" t="str">
            <v>26039847    -    SLEEVE, INSULATOR    -    0.2817</v>
          </cell>
        </row>
        <row r="2228">
          <cell r="D2228" t="str">
            <v>26042113    -    SLEEVE, ABRASION RESISTANT    -    0.1924</v>
          </cell>
        </row>
        <row r="2229">
          <cell r="D2229" t="str">
            <v>26042384    -    CONDUIT, CONVOLUTED    -    0.01241</v>
          </cell>
        </row>
        <row r="2230">
          <cell r="D2230" t="str">
            <v>26042857    -    CONDUIT, SPLIT CONVOLUTED    -    0.01335</v>
          </cell>
        </row>
        <row r="2231">
          <cell r="D2231" t="str">
            <v>26045246    -    SLEEVE, HOSE INSULATOR    -    0.433</v>
          </cell>
        </row>
        <row r="2232">
          <cell r="D2232" t="str">
            <v>26054336    -    SLEEVE, ABRASION RESISTANT    -    0.0939</v>
          </cell>
        </row>
        <row r="2233">
          <cell r="D2233" t="str">
            <v>26055888    -    SLEEVE, THERMAL RESISTANT    -    0.33</v>
          </cell>
        </row>
        <row r="2234">
          <cell r="D2234" t="str">
            <v>26056913    -    SLEEVE, HOSE INSULATOR    -    0.511</v>
          </cell>
        </row>
        <row r="2235">
          <cell r="D2235" t="str">
            <v>26057772    -    CONDUIT, CONVOLUTED    -    0.00378</v>
          </cell>
        </row>
        <row r="2236">
          <cell r="D2236" t="str">
            <v>26067575    -    SLEEVE, HOSE INSULATOR    -    0.7284</v>
          </cell>
        </row>
        <row r="2237">
          <cell r="D2237" t="str">
            <v>26067576    -    SLEEVE, HOSE INSULATOR    -    0.8113</v>
          </cell>
        </row>
        <row r="2238">
          <cell r="D2238" t="str">
            <v>26073957    -    SLEEVE, HOSE INSULATOR    -    1.129</v>
          </cell>
        </row>
        <row r="2239">
          <cell r="D2239" t="str">
            <v>26074235    -    SLEEVE, ABRASION RESISTANT    -    0.0801</v>
          </cell>
        </row>
        <row r="2240">
          <cell r="D2240" t="str">
            <v>26079183    -    SLEEVE, HOSE INSULATOR    -    0.9901</v>
          </cell>
        </row>
        <row r="2241">
          <cell r="D2241" t="str">
            <v>26079307    -    SLEEVE, HOSE INSULATOR    -    0.5952</v>
          </cell>
        </row>
        <row r="2242">
          <cell r="D2242" t="str">
            <v>26108680    -    CONDUIT, CONVOLUTED    -    0.04258</v>
          </cell>
        </row>
        <row r="2243">
          <cell r="D2243" t="str">
            <v>26110006    -    SLEEVE, HOSE INSULATOR    -    0.9693</v>
          </cell>
        </row>
        <row r="2244">
          <cell r="D2244" t="str">
            <v>M0431007    -    TUBE VINYL 5.4 X 0.5 BLACK    -    0.0512768</v>
          </cell>
        </row>
        <row r="2245">
          <cell r="D2245" t="str">
            <v>M0431019    -    TUBE VINYL 3.4 X 0.5 CLEAR    -    0.048072</v>
          </cell>
        </row>
        <row r="2246">
          <cell r="D2246" t="str">
            <v>M0431038    -    TUBE VINYL 9.8 X 0.9 BLACK    -    0.1522151808</v>
          </cell>
        </row>
        <row r="2247">
          <cell r="D2247" t="str">
            <v>M0431048    -    ELECTRICAL SLEEVING    -    0.2459491712</v>
          </cell>
        </row>
        <row r="2248">
          <cell r="D2248" t="str">
            <v>M0431232    -    TUBING - PVC - AST M #4 - YELLOW    -    0.1730592</v>
          </cell>
        </row>
        <row r="2249">
          <cell r="D2249" t="str">
            <v>M0618001    -    TUBE VINYL 6.6 X 0.8 BLACK    -    0.1834683904</v>
          </cell>
        </row>
        <row r="2250">
          <cell r="D2250" t="str">
            <v>M0618004    -    TUBE VINYL 9.5 X 1.0 BLACK    -    0.2227207808</v>
          </cell>
        </row>
        <row r="2251">
          <cell r="D2251" t="str">
            <v>M0953015    -    TUBE HOSE ASSEMBLY 2.53 NAT    -    0.82621</v>
          </cell>
        </row>
        <row r="2252">
          <cell r="D2252" t="str">
            <v>M0953019    -    TUBE HOSE ASSEMBLY 3.72 NAT    -    1.487124</v>
          </cell>
        </row>
        <row r="2253">
          <cell r="D2253" t="str">
            <v>M1140004    -    13.40.076.71    -    0.18756</v>
          </cell>
        </row>
        <row r="2254">
          <cell r="D2254" t="str">
            <v>M1140007    -    TUBE    -    0.321146</v>
          </cell>
        </row>
        <row r="2255">
          <cell r="D2255" t="str">
            <v>M1140009    -    13.48.069.71    -    0.377145</v>
          </cell>
        </row>
        <row r="2256">
          <cell r="D2256" t="str">
            <v>M1140011    -    GEWEBESCHLAUCH    -    0.487117</v>
          </cell>
        </row>
        <row r="2257">
          <cell r="D2257" t="str">
            <v>M1140014    -    13.81.003.71    -    0.560657</v>
          </cell>
        </row>
        <row r="2258">
          <cell r="D2258" t="str">
            <v>M1644001    -    SSL VITON 1/8 " SW    -    8.406482</v>
          </cell>
        </row>
        <row r="2259">
          <cell r="D2259" t="str">
            <v>M1644002    -    SSL VITON 3/16 " SW    -    11.091698</v>
          </cell>
        </row>
        <row r="2260">
          <cell r="D2260" t="str">
            <v>M1644003    -    29.433.06 GAINE TRMO RETRACTABLE VITON T    -    4.985732</v>
          </cell>
        </row>
        <row r="2261">
          <cell r="D2261" t="str">
            <v>M1644005    -    VITON-E-1/2-0-SP    -    5.508472</v>
          </cell>
        </row>
        <row r="2262">
          <cell r="D2262" t="str">
            <v>M1860005    -    UNSLIT BLACK FOAM TUBING    -    0.24036</v>
          </cell>
        </row>
        <row r="2263">
          <cell r="D2263" t="str">
            <v>M1860101    -    SLIT BLACK FOAM TUBING    -    0.3941904</v>
          </cell>
        </row>
        <row r="2264">
          <cell r="D2264" t="str">
            <v>M1860102    -    SLIT BLACK FOAM TUBING    -    0.3781664</v>
          </cell>
        </row>
        <row r="2265">
          <cell r="D2265" t="str">
            <v>M1860104    -    SLIT BLACK FOAM TUBING    -    0.4824634112</v>
          </cell>
        </row>
        <row r="2266">
          <cell r="D2266" t="str">
            <v>M1860105    -    SLIT BLACK FOAM TUBING    -    0.2339504</v>
          </cell>
        </row>
        <row r="2267">
          <cell r="D2267" t="str">
            <v>M1860106    -    SLIT BLACK FOAM TUBING    -    0.3544252416</v>
          </cell>
        </row>
        <row r="2268">
          <cell r="D2268" t="str">
            <v>M1883001    -    CORRUGADO (POLIETILENO)    -    0.0525811536</v>
          </cell>
        </row>
        <row r="2269">
          <cell r="D2269" t="str">
            <v>M1883002    -    CORRUGADO 9MM    -    0.0546194064</v>
          </cell>
        </row>
        <row r="2270">
          <cell r="D2270" t="str">
            <v>M1883003    -    TUBBING    -    0.0591381744</v>
          </cell>
        </row>
        <row r="2271">
          <cell r="D2271" t="str">
            <v>M1883004    -    CONDUIT 13MM    -    0.0722938784</v>
          </cell>
        </row>
        <row r="2272">
          <cell r="D2272" t="str">
            <v>M1883005    -    CORRUGADO 16MM    -    0.0897568336</v>
          </cell>
        </row>
        <row r="2273">
          <cell r="D2273" t="str">
            <v>M1883006    -    CORRUGADO 19MM    -    0.1173533664</v>
          </cell>
        </row>
        <row r="2274">
          <cell r="D2274" t="str">
            <v>M1883007    -    CONDUIT - 22MM - POPOLYETHYLONE - SLIT    -    0.1462734816</v>
          </cell>
        </row>
        <row r="2275">
          <cell r="D2275" t="str">
            <v>M1883008    -    25 MM POLYETHYLENE    -    0.1680533024</v>
          </cell>
        </row>
        <row r="2276">
          <cell r="D2276" t="str">
            <v>M1883009    -    30MM POLYETHYLENE    -    0.1957363648</v>
          </cell>
        </row>
        <row r="2277">
          <cell r="D2277" t="str">
            <v>M1883009S    -    CONDUIT    -    0.200748672</v>
          </cell>
        </row>
        <row r="2278">
          <cell r="D2278" t="str">
            <v>M1883011    -    CONDUIT    -    0.063406968</v>
          </cell>
        </row>
        <row r="2279">
          <cell r="D2279" t="str">
            <v>M1883015    -    POLY ETHYLENE CONVOLUTED CNDT    -    0.056116048</v>
          </cell>
        </row>
        <row r="2280">
          <cell r="D2280" t="str">
            <v>M1883016    -    POLY ETHYLENE CONVOLUTED CNDT    -    0.0644581424</v>
          </cell>
        </row>
        <row r="2281">
          <cell r="D2281" t="str">
            <v>M1883017    -    POLY ETHYLENE CONVOLUTED CNDT    -    0.078806032</v>
          </cell>
        </row>
        <row r="2282">
          <cell r="D2282" t="str">
            <v>M1883018    -    POLY ETHYLENE CONVOLUTED CNDT    -    0.0978297248</v>
          </cell>
        </row>
        <row r="2283">
          <cell r="D2283" t="str">
            <v>M1883019    -    POLY ETHYLENE CONVOLUTED CNDT    -    0.1173661856</v>
          </cell>
        </row>
        <row r="2284">
          <cell r="D2284" t="str">
            <v>M1883024    -    CONVOLUTED CONDUIT    -    0.2675911856</v>
          </cell>
        </row>
        <row r="2285">
          <cell r="D2285" t="str">
            <v>M1883025    -    19 MM BLK PLY CNVIT CDT    -    0.1173565712</v>
          </cell>
        </row>
        <row r="2286">
          <cell r="D2286" t="str">
            <v>M1883501    -    CONDUIT - POLYETHYLENE - 6MM 1/2 PACK    -    0.0534752928</v>
          </cell>
        </row>
        <row r="2287">
          <cell r="D2287" t="str">
            <v>M1883502    -    CONDUIT - POLYETHYLENE - 9MM 1/2 PACK    -    0.056116048</v>
          </cell>
        </row>
        <row r="2288">
          <cell r="D2288" t="str">
            <v>M1883503    -    CONDUIT - POLYETHYLENE - 10MM 1/2 PACK    -    0.0609520912</v>
          </cell>
        </row>
        <row r="2289">
          <cell r="D2289" t="str">
            <v>M1888001    -    6MM POLYPROPYLENE    -    0.0609328624</v>
          </cell>
        </row>
        <row r="2290">
          <cell r="D2290" t="str">
            <v>M1888002    -    9MM POLYPROPYLENE    -    0.0727265264</v>
          </cell>
        </row>
        <row r="2291">
          <cell r="D2291" t="str">
            <v>M1888003    -    10MM POLYPROPYLENE    -    0.0750468016</v>
          </cell>
        </row>
        <row r="2292">
          <cell r="D2292" t="str">
            <v>M1888004    -    13MM POLYPROPYLENE    -    0.098195072</v>
          </cell>
        </row>
        <row r="2293">
          <cell r="D2293" t="str">
            <v>M1888005    -    16MM POLYPROPYLENE    -    0.1203434448</v>
          </cell>
        </row>
        <row r="2294">
          <cell r="D2294" t="str">
            <v>M1888006    -    19MM POLYPROPYLENE    -    0.1586920816</v>
          </cell>
        </row>
        <row r="2295">
          <cell r="D2295" t="str">
            <v>M1888007    -    22MM POLYPROPYLENE    -    0.1916822928</v>
          </cell>
        </row>
        <row r="2296">
          <cell r="D2296" t="str">
            <v>M1888008    -    25MM POLYPROPYLENE    -    0.2298450512</v>
          </cell>
        </row>
        <row r="2297">
          <cell r="D2297" t="str">
            <v>M1888009    -    30MM POLYPROPYLENE    -    0.2799264608</v>
          </cell>
        </row>
        <row r="2298">
          <cell r="D2298" t="str">
            <v>M1888010    -    CONDUIT 8 MM POLYPROPYLENE    -    0.0712074512</v>
          </cell>
        </row>
        <row r="2299">
          <cell r="D2299" t="str">
            <v>M1888013    -    POLYPROPYLENE CONVOLUTED CNDT    -    0.0981822528</v>
          </cell>
        </row>
        <row r="2300">
          <cell r="D2300" t="str">
            <v>M1888026    -    6MM CONDUIT CONVLT UNSLIT BLACK    -    0.05384064</v>
          </cell>
        </row>
        <row r="2301">
          <cell r="D2301" t="str">
            <v>M1888501    -    CONDUIT - POLYPROPYLENE- 6MM 1/2 PACK    -    0.0617981584</v>
          </cell>
        </row>
        <row r="2302">
          <cell r="D2302" t="str">
            <v>M1888502    -    CONDUIT - POLYPROPYLENE- 9MM 1/2 PACK    -    0.0726656352</v>
          </cell>
        </row>
        <row r="2303">
          <cell r="D2303" t="str">
            <v>M1888503    -    CONDUIT - POLYPROPYLENE- 10 MM 1/2 PACK    -    0.0750468016</v>
          </cell>
        </row>
        <row r="2304">
          <cell r="D2304" t="str">
            <v>M1889006    -    19MM NYLON    -    0.1816096064</v>
          </cell>
        </row>
        <row r="2305">
          <cell r="D2305" t="str">
            <v>M1889007    -    CONDUIT-NYLON - 22MM    -    0.2398344128</v>
          </cell>
        </row>
        <row r="2306">
          <cell r="D2306" t="str">
            <v>M1889008    -    CONDUIT-NYLON - 25MM    -    0.2900279904</v>
          </cell>
        </row>
        <row r="2307">
          <cell r="D2307" t="str">
            <v>M1889009    -    CONDUIT 30 MM NYLON    -    0.3237905584</v>
          </cell>
        </row>
        <row r="2308">
          <cell r="D2308" t="str">
            <v>M1889010    -    8MM CONDUIT    -    0.0883210832</v>
          </cell>
        </row>
        <row r="2309">
          <cell r="D2309" t="str">
            <v>M1889011    -    CONVOLUTED CONDUIT    -    0.3595272832</v>
          </cell>
        </row>
        <row r="2310">
          <cell r="D2310" t="str">
            <v>M1889101    -    CONDUIT- 6 MM- UNSLIT, NYLON (R68995)    -    0.0758928688</v>
          </cell>
        </row>
        <row r="2311">
          <cell r="D2311" t="str">
            <v>M1889102    -    NYLON CONVOLUTED CONDUIT    -    0.105902616</v>
          </cell>
        </row>
        <row r="2312">
          <cell r="D2312" t="str">
            <v>M1889103    -    NYLON CONVOLUTED CONDUIT    -    0.1196768464</v>
          </cell>
        </row>
        <row r="2313">
          <cell r="D2313" t="str">
            <v>M1889104    -    NYLON CONVOLUTED CNDT    -    0.1291630544</v>
          </cell>
        </row>
        <row r="2314">
          <cell r="D2314" t="str">
            <v>M1889106    -    NYLON CONVOLUTED CNDT    -    0.20198252</v>
          </cell>
        </row>
        <row r="2315">
          <cell r="D2315" t="str">
            <v>M1889501    -    CONDUIT - NYLON - 6MM 1/2 PACK    -    0.0758992784</v>
          </cell>
        </row>
        <row r="2316">
          <cell r="D2316" t="str">
            <v>M1889502    -    CONDUIT - NYLON - 9MM 1/2 PACK    -    0.1030952112</v>
          </cell>
        </row>
        <row r="2317">
          <cell r="D2317" t="str">
            <v>M1889503    -    CONDUIT - NYLON - 10 MM 1/2 PACK    -    0.1116199792</v>
          </cell>
        </row>
        <row r="2318">
          <cell r="D2318" t="str">
            <v>M1973002    -    TUBE SLEEVE I23.11 BLK    -    0.16181</v>
          </cell>
        </row>
        <row r="2319">
          <cell r="D2319" t="str">
            <v>M1973003    -    TUBE SLEEVE BLK    -    0.1638</v>
          </cell>
        </row>
        <row r="2320">
          <cell r="D2320" t="str">
            <v>M2038002    -    HEAT SHRINK TUBE    -    0.1810712</v>
          </cell>
        </row>
        <row r="2321">
          <cell r="D2321" t="str">
            <v>M2038006    -    HEAT SHRINK TUBING BLACK    -    0.14453648</v>
          </cell>
        </row>
        <row r="2322">
          <cell r="D2322" t="str">
            <v>M2038007    -    BLACK POLYOLEFIN SHRINKABLE TUBING    -    0.10768128</v>
          </cell>
        </row>
        <row r="2323">
          <cell r="D2323" t="str">
            <v>M2038009    -    BLACK TUBING IRRADIATED POLYOFIN    -    0.174725696</v>
          </cell>
        </row>
        <row r="2324">
          <cell r="D2324" t="str">
            <v>M2038010    -    BLACK POLYOLEFIN SHRINKABLE TUBING    -    0.226867792</v>
          </cell>
        </row>
        <row r="2325">
          <cell r="D2325" t="str">
            <v>M2038013    -    BLACK POLYOLEFIN SHRINKABLE TUBING    -    0.255166176</v>
          </cell>
        </row>
        <row r="2326">
          <cell r="D2326" t="str">
            <v>M2038015    -    3230190952    -    1.149785</v>
          </cell>
        </row>
        <row r="2327">
          <cell r="D2327" t="str">
            <v>M2038201    -    606928 SSL 3/64" W    -    1.02551</v>
          </cell>
        </row>
        <row r="2328">
          <cell r="D2328" t="str">
            <v>M2038305    -    HEAT SHRINK TUBE    -    0.22978416</v>
          </cell>
        </row>
        <row r="2329">
          <cell r="D2329" t="str">
            <v>M2038307    -    3290048012    -    0.305764</v>
          </cell>
        </row>
        <row r="2330">
          <cell r="D2330" t="str">
            <v>M2038309    -    607684 TBHS __ 6,4X__ TR    -    0.728652</v>
          </cell>
        </row>
        <row r="2331">
          <cell r="D2331" t="str">
            <v>M2038310    -    SSL 3/8"NF RNF100 VG95343T05B00    -    1.551758</v>
          </cell>
        </row>
        <row r="2332">
          <cell r="D2332" t="str">
            <v>M2038313    -    RNF-100-1/2-X-SP    -    0.256108</v>
          </cell>
        </row>
        <row r="2333">
          <cell r="D2333" t="str">
            <v>M2038417    -    HEAT SHRINK TUBING    -    1.45594064</v>
          </cell>
        </row>
        <row r="2334">
          <cell r="D2334" t="str">
            <v>M2038419    -    SLEEVE    -    1.4998464</v>
          </cell>
        </row>
        <row r="2335">
          <cell r="D2335" t="str">
            <v>M2038602    -    SSL RNF 100 1/16" BLAU    -    0.998523</v>
          </cell>
        </row>
        <row r="2336">
          <cell r="D2336" t="str">
            <v>M2038706    -    610270 TBHS __ 4,8X__ GY    -    1.698676</v>
          </cell>
        </row>
        <row r="2337">
          <cell r="D2337" t="str">
            <v>M2038X02    -    HEAT SHRINK TUBING    -    0.9021512</v>
          </cell>
        </row>
        <row r="2338">
          <cell r="D2338" t="str">
            <v>M2038X04    -    SHRINK TUBING    -    0.46774056</v>
          </cell>
        </row>
        <row r="2339">
          <cell r="D2339" t="str">
            <v>M2038X05    -    HEAT SHRINK TUBING    -    0.648298992</v>
          </cell>
        </row>
        <row r="2340">
          <cell r="D2340" t="str">
            <v>M2038X06    -    RNF-3000-24/8-0-SP    -    0.914053</v>
          </cell>
        </row>
        <row r="2341">
          <cell r="D2341" t="str">
            <v>M2038X08    -    RNF-3000-1.5/0.5-0-SP    -    0.694918</v>
          </cell>
        </row>
        <row r="2342">
          <cell r="D2342" t="str">
            <v>M2038X10    -    TUBING    -    0.557284</v>
          </cell>
        </row>
        <row r="2343">
          <cell r="D2343" t="str">
            <v>M2177001    -    TUBING 7/64" ID 6MM WT 100MM CL BLK    -    0.1376750032</v>
          </cell>
        </row>
        <row r="2344">
          <cell r="D2344" t="str">
            <v>M2177002    -    NEOPRENE TUBING BLACK 9/64" ID    -    0.1474015712</v>
          </cell>
        </row>
        <row r="2345">
          <cell r="D2345" t="str">
            <v>M2177003    -    NEOPRENE TUBING BLACK 3/16" ID    -    0.1696524976</v>
          </cell>
        </row>
        <row r="2346">
          <cell r="D2346" t="str">
            <v>M2177004    -    NEOPRENE TUBING 1/4" ID BLACK    -    0.2864578432</v>
          </cell>
        </row>
        <row r="2347">
          <cell r="D2347" t="str">
            <v>M2177009    -    TUBE    -    0.686756592</v>
          </cell>
        </row>
        <row r="2348">
          <cell r="D2348" t="str">
            <v>M2177010    -    TUBING .562" ID X .060" WALL 50' LENGTHS    -    0.9481304656</v>
          </cell>
        </row>
        <row r="2349">
          <cell r="D2349" t="str">
            <v>M2177034    -    HEOPRENE TUBING 1/4" ID BLACK    -    0.4257031984</v>
          </cell>
        </row>
        <row r="2350">
          <cell r="D2350" t="str">
            <v>M2178001    -    NEOPRENE TUBING 1/4" RED    -    0.5312532864</v>
          </cell>
        </row>
        <row r="2351">
          <cell r="D2351" t="str">
            <v>M2178004    -    RED NEOPRENE TUBING    -    0.8306809552</v>
          </cell>
        </row>
        <row r="2352">
          <cell r="D2352" t="str">
            <v>M2178005    -    RED NEOPRENE TUBING    -    0.4128070832</v>
          </cell>
        </row>
        <row r="2353">
          <cell r="D2353" t="str">
            <v>M2390005    -    BLACK HEAT SHRINK TUBING    -    0.204049616</v>
          </cell>
        </row>
        <row r="2354">
          <cell r="D2354" t="str">
            <v>M2390006    -    BLACK HEAT SHRINK TUBING    -    0.257601824</v>
          </cell>
        </row>
        <row r="2355">
          <cell r="D2355" t="str">
            <v>M2390007    -    BLACK HEAT SHRINK TUBING    -    0.299776992</v>
          </cell>
        </row>
        <row r="2356">
          <cell r="D2356" t="str">
            <v>M2390008    -    BLACK HEAT SHRINK TUBING    -    0.325383344</v>
          </cell>
        </row>
        <row r="2357">
          <cell r="D2357" t="str">
            <v>M3035001    -    TRANSLUCENT HEAT SHRINK TUBING    -    0.594105824</v>
          </cell>
        </row>
        <row r="2358">
          <cell r="D2358" t="str">
            <v>M3035004    -    TRANSLUCENT HEAT SHRINK TUBING    -    1.20692768</v>
          </cell>
        </row>
        <row r="2359">
          <cell r="D2359" t="str">
            <v>M3491008    -    COND CNVLT ROUND SLIT BLK    -    0.217921</v>
          </cell>
        </row>
        <row r="2360">
          <cell r="D2360" t="str">
            <v>M3492013    -    CONVOLUTED CONDUIT, PROLYPROPYLENE (FS)    -    0.327758</v>
          </cell>
        </row>
        <row r="2361">
          <cell r="D2361" t="str">
            <v>M3497108    -    46101200    -    1.142499</v>
          </cell>
        </row>
        <row r="2362">
          <cell r="D2362" t="str">
            <v>M3504001    -    CONVOLUTED CONDUIT    -    0.057702424</v>
          </cell>
        </row>
        <row r="2363">
          <cell r="D2363" t="str">
            <v>M3504002    -    CONDUIT - 9 MM GRAY FLAME RETARDANT P.E.    -    0.0744186608</v>
          </cell>
        </row>
        <row r="2364">
          <cell r="D2364" t="str">
            <v>M3504003    -    CONDUIT -10 MM GRAY FLAME RETARDANT P.E.    -    0.089365848</v>
          </cell>
        </row>
        <row r="2365">
          <cell r="D2365" t="str">
            <v>M3504004    -    CONDUIT -13 MM GRAY FLAME RETARDANT P.E.    -    0.1103829264</v>
          </cell>
        </row>
        <row r="2366">
          <cell r="D2366" t="str">
            <v>M3504005    -    CONDUIT    -    0.1495808352</v>
          </cell>
        </row>
        <row r="2367">
          <cell r="D2367" t="str">
            <v>M3504006    -    CONDUIT -19 MM GRAY FLAME RETARDANT P.E.    -    0.170847888</v>
          </cell>
        </row>
        <row r="2368">
          <cell r="D2368" t="str">
            <v>M3504007    -    CONVOLUTED CONDUIT    -    0.203697088</v>
          </cell>
        </row>
        <row r="2369">
          <cell r="D2369" t="str">
            <v>M3504008    -    CONVOLUTED CONDUIT    -    0.2418085696</v>
          </cell>
        </row>
        <row r="2370">
          <cell r="D2370" t="str">
            <v>M3504009    -    CONVOLUTED CONDUIT    -    0.271975352</v>
          </cell>
        </row>
        <row r="2371">
          <cell r="D2371" t="str">
            <v>M3504012    -    CONVOLUTED CONDUIT    -    0.1326018048</v>
          </cell>
        </row>
        <row r="2372">
          <cell r="D2372" t="str">
            <v>M3505003    -    CONDUIT    -    0.0904522752</v>
          </cell>
        </row>
        <row r="2373">
          <cell r="D2373" t="str">
            <v>M3505004    -    CONDUIT-13 MM-    -    0.1239680736</v>
          </cell>
        </row>
        <row r="2374">
          <cell r="D2374" t="str">
            <v>M3505005    -    CONDUIT    -    0.15238824</v>
          </cell>
        </row>
        <row r="2375">
          <cell r="D2375" t="str">
            <v>M3505006    -    CONDUIT    -    0.2021716032</v>
          </cell>
        </row>
        <row r="2376">
          <cell r="D2376" t="str">
            <v>M3505008    -    CONVOLUTED CONDUIT    -    0.2909093104</v>
          </cell>
        </row>
        <row r="2377">
          <cell r="D2377" t="str">
            <v>M3505103    -    FLAME RETARDANT POLYETHYLENE    -    0.0904458656</v>
          </cell>
        </row>
        <row r="2378">
          <cell r="D2378" t="str">
            <v>M3536001    -    8MM FLEXGUARD 2130 BULK    -    0.47719472</v>
          </cell>
        </row>
        <row r="2379">
          <cell r="D2379" t="str">
            <v>M3536003    -    BLACK BRAIDED SLEEVING    -    0.36919296</v>
          </cell>
        </row>
        <row r="2380">
          <cell r="D2380" t="str">
            <v>M3536004    -    19MM FLEXGUARD 2130BULK    -    0.737104</v>
          </cell>
        </row>
        <row r="2381">
          <cell r="D2381" t="str">
            <v>M3536005    -    BRAIDED SLEEVE    -    0.84414432</v>
          </cell>
        </row>
        <row r="2382">
          <cell r="D2382" t="str">
            <v>M3536006    -    SLEEVE 245MM    -    0.48039952</v>
          </cell>
        </row>
        <row r="2383">
          <cell r="D2383" t="str">
            <v>M3536007    -    SLEEVE BLK    -    0.4422624</v>
          </cell>
        </row>
        <row r="2384">
          <cell r="D2384" t="str">
            <v>M3536102    -    BLACK BRAIDED SLEEVING    -    0.44482624</v>
          </cell>
        </row>
        <row r="2385">
          <cell r="D2385" t="str">
            <v>M3536104    -    BLACK BRAIDED SLEEVING    -    0.88644768</v>
          </cell>
        </row>
        <row r="2386">
          <cell r="D2386" t="str">
            <v>M3536105    -    BRAIDED SLEEVE 25MM FLEXGUARD 2120    -    0.95759424</v>
          </cell>
        </row>
        <row r="2387">
          <cell r="D2387" t="str">
            <v>M3536106    -    BRAIDED SLEEVE 32MM FLEXGUARD 2120    -    0.9998976</v>
          </cell>
        </row>
        <row r="2388">
          <cell r="D2388" t="str">
            <v>M3545102    -    FLEXGUARD 2135 6-0/-    -    3.187689</v>
          </cell>
        </row>
        <row r="2389">
          <cell r="D2389" t="str">
            <v>M3546001    -    TUBE SLEEVE I3.20 BLK    -    0.689032</v>
          </cell>
        </row>
        <row r="2390">
          <cell r="D2390" t="str">
            <v>M3546007    -    SLEEVING KNIT FIBERGLASS    -    2.0179568016</v>
          </cell>
        </row>
        <row r="2391">
          <cell r="D2391" t="str">
            <v>M3558005    -    SLEV LOOM 9.50 BLK    -    2.744588</v>
          </cell>
        </row>
        <row r="2392">
          <cell r="D2392" t="str">
            <v>M3558006    -    SLEV LOOM 12.70 BLK    -    3.751207</v>
          </cell>
        </row>
        <row r="2393">
          <cell r="D2393" t="str">
            <v>M3562001    -    SILVER REFLECTIVE WOVEN TUBING    -    1.4165216</v>
          </cell>
        </row>
        <row r="2394">
          <cell r="D2394" t="str">
            <v>M3562003    -    SILVER REFLECTIVE WOVEN TUBING    -    1.92672576</v>
          </cell>
        </row>
        <row r="2395">
          <cell r="D2395" t="str">
            <v>M3562004    -    REFLECTSLEEVE 1450 19-8/-    -    2.569293</v>
          </cell>
        </row>
        <row r="2396">
          <cell r="D2396" t="str">
            <v>M3562007    -    SILVER REFLECTIVE WOVEN TUBING    -    2.15074128</v>
          </cell>
        </row>
        <row r="2397">
          <cell r="D2397" t="str">
            <v>M3569001    -    TWISTTUBE 2420 8-0/-    -    0.669496</v>
          </cell>
        </row>
        <row r="2398">
          <cell r="D2398" t="str">
            <v>M3569002    -    TWISTTUBE 2420 13-0/-    -    0.959405</v>
          </cell>
        </row>
        <row r="2399">
          <cell r="D2399" t="str">
            <v>M3569003    -    TWISTTUBE 2420 25-0/-    -    1.463726</v>
          </cell>
        </row>
        <row r="2400">
          <cell r="D2400" t="str">
            <v>M3569004    -    TWISTTUBE 2420 38-0/-    -    3.547225</v>
          </cell>
        </row>
        <row r="2401">
          <cell r="D2401" t="str">
            <v>M3569005    -    TWISTTUBE 2420 5-0/-    -    0.693447</v>
          </cell>
        </row>
        <row r="2402">
          <cell r="D2402" t="str">
            <v>M3569006    -    TWISTTUBE 2420 19-0/-    -    1.460097</v>
          </cell>
        </row>
        <row r="2403">
          <cell r="D2403" t="str">
            <v>M3569007    -    TWISTTUBE 2420 29-0/-    -    1.714329</v>
          </cell>
        </row>
        <row r="2404">
          <cell r="D2404" t="str">
            <v>M3569008    -    TWISTTUBE 2420 32-0/-    -    2.363949</v>
          </cell>
        </row>
        <row r="2405">
          <cell r="D2405" t="str">
            <v>M3569009    -    TWISTTUBE 2420 10-0/-    -    1.154022</v>
          </cell>
        </row>
        <row r="2406">
          <cell r="D2406" t="str">
            <v>M3767101    -    36300400    -    0.243828</v>
          </cell>
        </row>
        <row r="2407">
          <cell r="D2407" t="str">
            <v>M3768001    -    40000410    -    0.244908</v>
          </cell>
        </row>
        <row r="2408">
          <cell r="D2408" t="str">
            <v>M3768006    -    TB 92GG14A199BA CAN.RAS.PR 9.80 12.80    -    0.487792</v>
          </cell>
        </row>
        <row r="2409">
          <cell r="D2409" t="str">
            <v>M3768009    -    CONDUIT    -    0.335574608</v>
          </cell>
        </row>
        <row r="2410">
          <cell r="D2410" t="str">
            <v>M3794201    -    RR. RQ FR}NKISCHE AD10    -    3.523031</v>
          </cell>
        </row>
        <row r="2411">
          <cell r="D2411" t="str">
            <v>M4028001    -    TUBE, 4.5MM UNSLIT BLK    -    0.044619</v>
          </cell>
        </row>
        <row r="2412">
          <cell r="D2412" t="str">
            <v>M4028002    -    TUBE, 5.7MM UNSLIT BLK    -    0.05577</v>
          </cell>
        </row>
        <row r="2413">
          <cell r="D2413" t="str">
            <v>M4028003    -    TUBE VINYL 6.6 X 0.5 BLACK    -    0.0524337328</v>
          </cell>
        </row>
        <row r="2414">
          <cell r="D2414" t="str">
            <v>M4028004    -    TUBE VINYL 8.9 X 0.5 BLACK    -    0.0870007056</v>
          </cell>
        </row>
        <row r="2415">
          <cell r="D2415" t="str">
            <v>M4028005    -    TUBE SLEEVE    -    0.0984</v>
          </cell>
        </row>
        <row r="2416">
          <cell r="D2416" t="str">
            <v>M4028006    -    TUBE SLEEVE    -    0.1345</v>
          </cell>
        </row>
        <row r="2417">
          <cell r="D2417" t="str">
            <v>M4028007    -    TUBE SLEEVE I15.00 BLK    -    0.053</v>
          </cell>
        </row>
        <row r="2418">
          <cell r="D2418" t="str">
            <v>M4028016    -    TUBBING    -    0.4422367616</v>
          </cell>
        </row>
        <row r="2419">
          <cell r="D2419" t="str">
            <v>M4028017    -    TUBE VINYL 32.8 X 1.0 BLACK    -    0.6689603376</v>
          </cell>
        </row>
        <row r="2420">
          <cell r="D2420" t="str">
            <v>M4028101    -    TUBE VINYL SLIT 4.7 X 0.5 BLACK    -    0.0427295984</v>
          </cell>
        </row>
        <row r="2421">
          <cell r="D2421" t="str">
            <v>M4028102    -    TUBE VINYL SLIT 6.0 X 0.5 BLACK    -    0.0523439984</v>
          </cell>
        </row>
        <row r="2422">
          <cell r="D2422" t="str">
            <v>M4028103    -    TUBE VINYL SLIT 6.6 X 0.5 BLACK    -    0.0559974704</v>
          </cell>
        </row>
        <row r="2423">
          <cell r="D2423" t="str">
            <v>M4028104    -    TUBE VINYL SLIT 8.9 X 0.5 BLACK    -    0.0875967984</v>
          </cell>
        </row>
        <row r="2424">
          <cell r="D2424" t="str">
            <v>M4028105    -    TUBE VINYL SLIT 10.5 X 0.5 BLACK    -    0.0931507168</v>
          </cell>
        </row>
        <row r="2425">
          <cell r="D2425" t="str">
            <v>M4028106    -    TUBE VINYL SLIT 12.6 X 0.5 BLACK    -    0.1313968</v>
          </cell>
        </row>
        <row r="2426">
          <cell r="D2426" t="str">
            <v>M4028107    -    TUBE VINYL SLIT 15.7 X 0.5 BLACK    -    0.1655824016</v>
          </cell>
        </row>
        <row r="2427">
          <cell r="D2427" t="str">
            <v>M4028108    -    TUBE VINYL SLIT 20.0 X 0.5    -    0.235697016</v>
          </cell>
        </row>
        <row r="2428">
          <cell r="D2428" t="str">
            <v>M4028109    -    TUBE SLEEVE I25.40 BLK    -    0.114</v>
          </cell>
        </row>
        <row r="2429">
          <cell r="D2429" t="str">
            <v>M4028110    -    TUBING    -    0.1350566816</v>
          </cell>
        </row>
        <row r="2430">
          <cell r="D2430" t="str">
            <v>M4028111    -    TUBE VINYL SLIT 8.4 X 1.0 BLACK    -    0.1837407984</v>
          </cell>
        </row>
        <row r="2431">
          <cell r="D2431" t="str">
            <v>M4028112    -    TUBE VINYL SLIT 10.4 X 1.0 BLACK    -    0.217942424</v>
          </cell>
        </row>
        <row r="2432">
          <cell r="D2432" t="str">
            <v>M4028113    -    TUBE VINYL SLIT 12.5 X 1.0 BLACK    -    0.2585216016</v>
          </cell>
        </row>
        <row r="2433">
          <cell r="D2433" t="str">
            <v>M4028114    -    TUB BKL SLIT 14MM    -    0.3012512</v>
          </cell>
        </row>
        <row r="2434">
          <cell r="D2434" t="str">
            <v>M4028115    -    TUBE VINYL SLIT 16.7 X 1.0 BLACK    -    0.3268896</v>
          </cell>
        </row>
        <row r="2435">
          <cell r="D2435" t="str">
            <v>M4028117    -    TUBE, 32.0MM SLIT BLK     -    0.70209</v>
          </cell>
        </row>
        <row r="2436">
          <cell r="D2436" t="str">
            <v>M4028123    -    COVERING    -    0.656984</v>
          </cell>
        </row>
        <row r="2437">
          <cell r="D2437" t="str">
            <v>M4028126    -    45MM TUBING W/SLIT    -    0.9849407984</v>
          </cell>
        </row>
        <row r="2438">
          <cell r="D2438" t="str">
            <v>M4037411    -    TAPE, VINYL 32MM PNK    -    0.02853</v>
          </cell>
        </row>
        <row r="2439">
          <cell r="D2439" t="str">
            <v>M4039001    -    TUBE SLEEVE O8.80 I8.00 GRA    -    0.089974</v>
          </cell>
        </row>
        <row r="2440">
          <cell r="D2440" t="str">
            <v>M4039003    -    TUBE SLEEVE O4.80 I4.00 GRA    -    0.05117</v>
          </cell>
        </row>
        <row r="2441">
          <cell r="D2441" t="str">
            <v>M4039005    -    TUBE SLEEVE O6.80 I6.00 GRA    -    0.068863</v>
          </cell>
        </row>
        <row r="2442">
          <cell r="D2442" t="str">
            <v>M4039103    -    TUBE    -    0.121541</v>
          </cell>
        </row>
        <row r="2443">
          <cell r="D2443" t="str">
            <v>M4039104    -    TUBE SLEEVE O5.80 I5.00 GRA    -    0.120234</v>
          </cell>
        </row>
        <row r="2444">
          <cell r="D2444" t="str">
            <v>M4039108    -    TUBE SLEEVE O10.80 I10.00 GRA    -    0.313352</v>
          </cell>
        </row>
        <row r="2445">
          <cell r="D2445" t="str">
            <v>M4039110    -    TUBE SLEEVE O12.80 I12.00 GRA    -    0.154012</v>
          </cell>
        </row>
        <row r="2446">
          <cell r="D2446" t="str">
            <v>M4043002    -    PM004043-002 40M    -    0.290875</v>
          </cell>
        </row>
        <row r="2447">
          <cell r="D2447" t="str">
            <v>M4043003S    -    PVC SHEET    -    0.290875</v>
          </cell>
        </row>
        <row r="2448">
          <cell r="D2448" t="str">
            <v>M4043004    -    VNYL, SHEET 130MM BLK    -    0.3415</v>
          </cell>
        </row>
        <row r="2449">
          <cell r="D2449" t="str">
            <v>M4043004S    -    PVC SHEET    -    0.34155</v>
          </cell>
        </row>
        <row r="2450">
          <cell r="D2450" t="str">
            <v>M4057016    -    3MM X .4MM WALL    -    0.016597</v>
          </cell>
        </row>
        <row r="2451">
          <cell r="D2451" t="str">
            <v>M4057018    -    4MM X .5MM WALL    -    0.021</v>
          </cell>
        </row>
        <row r="2452">
          <cell r="D2452" t="str">
            <v>M4057019    -    73270    -    0.107139</v>
          </cell>
        </row>
        <row r="2453">
          <cell r="D2453" t="str">
            <v>M4057020    -    5MM X .6MM WALL    -    0.028067</v>
          </cell>
        </row>
        <row r="2454">
          <cell r="D2454" t="str">
            <v>M4057021    -    6MM X .6MM WALL    -    0.032385</v>
          </cell>
        </row>
        <row r="2455">
          <cell r="D2455" t="str">
            <v>M4057022    -    7MM X .7MM    -    0.1249872</v>
          </cell>
        </row>
        <row r="2456">
          <cell r="D2456" t="str">
            <v>M4057023    -    73100    -    0.038875</v>
          </cell>
        </row>
        <row r="2457">
          <cell r="D2457" t="str">
            <v>M4057024    -    73170    -    0.065552</v>
          </cell>
        </row>
        <row r="2458">
          <cell r="D2458" t="str">
            <v>M4057025    -    TUBE 10X0,7 CE    -    0.055877</v>
          </cell>
        </row>
        <row r="2459">
          <cell r="D2459" t="str">
            <v>M4057026    -    11MM X .7MM WALL    -    0.054</v>
          </cell>
        </row>
        <row r="2460">
          <cell r="D2460" t="str">
            <v>M4057027    -    12MM X .8MM WALL    -    0.085279</v>
          </cell>
        </row>
        <row r="2461">
          <cell r="D2461" t="str">
            <v>M4057028    -    13MM X .8MM WALL    -    0.095264</v>
          </cell>
        </row>
        <row r="2462">
          <cell r="D2462" t="str">
            <v>M4057029    -    14MM X 1.0MM WALL    -    0.120767</v>
          </cell>
        </row>
        <row r="2463">
          <cell r="D2463" t="str">
            <v>M4057030    -    INSULATING SLEEVE    -    0.148429</v>
          </cell>
        </row>
        <row r="2464">
          <cell r="D2464" t="str">
            <v>M4057031    -    18MM X 1.0MM WALL    -    0.163002</v>
          </cell>
        </row>
        <row r="2465">
          <cell r="D2465" t="str">
            <v>M4057032    -    20MM X 1.2MM WALL    -    0.217786</v>
          </cell>
        </row>
        <row r="2466">
          <cell r="D2466" t="str">
            <v>M4057033    -    22MM SEAMLESS COT PVC    -    0.247202</v>
          </cell>
        </row>
        <row r="2467">
          <cell r="D2467" t="str">
            <v>M4057035    -    74440    -    0.41969</v>
          </cell>
        </row>
        <row r="2468">
          <cell r="D2468" t="str">
            <v>M4057037    -    17MM X 1.0MM WALL    -    0.148024</v>
          </cell>
        </row>
        <row r="2469">
          <cell r="D2469" t="str">
            <v>M4057038    -    19MM X 1.0MM WALL    -    0.174741</v>
          </cell>
        </row>
        <row r="2470">
          <cell r="D2470" t="str">
            <v>M4057039    -    21MM X 1.2MM WALL    -    0.241535</v>
          </cell>
        </row>
        <row r="2471">
          <cell r="D2471" t="str">
            <v>M4057040    -    23MM X 1.2MM WALL    -    0.256647</v>
          </cell>
        </row>
        <row r="2472">
          <cell r="D2472" t="str">
            <v>M4088002    -    DUAL WALL TUBING    -    5.063584</v>
          </cell>
        </row>
        <row r="2473">
          <cell r="D2473" t="str">
            <v>M4100008    -    CONDUIT SLIT (15MM) BLACK    -    0.1372</v>
          </cell>
        </row>
        <row r="2474">
          <cell r="D2474" t="str">
            <v>M4113002S    -    BC TUBE    -    0.008933</v>
          </cell>
        </row>
        <row r="2475">
          <cell r="D2475" t="str">
            <v>M4113004S    -    BC TUBE    -    0.013071</v>
          </cell>
        </row>
        <row r="2476">
          <cell r="D2476" t="str">
            <v>M4116003    -    TEFLON CONDUIT    -    4.075052</v>
          </cell>
        </row>
        <row r="2477">
          <cell r="D2477" t="str">
            <v>M4118002    -    2778    -    0.060046</v>
          </cell>
        </row>
        <row r="2478">
          <cell r="D2478" t="str">
            <v>M4118003    -    2783    -    0.062475</v>
          </cell>
        </row>
        <row r="2479">
          <cell r="D2479" t="str">
            <v>M4118005    -    UW-PUR-ISO 3,5X0,3/750M-COIL    -    0.084065</v>
          </cell>
        </row>
        <row r="2480">
          <cell r="D2480" t="str">
            <v>M4118006    -    TUBING    -    0.068817</v>
          </cell>
        </row>
        <row r="2481">
          <cell r="D2481" t="str">
            <v>M4118007    -    2803    -    0.100932</v>
          </cell>
        </row>
        <row r="2482">
          <cell r="D2482" t="str">
            <v>M4118008    -    CONVOLUTED CONDUIT    -    0.109838</v>
          </cell>
        </row>
        <row r="2483">
          <cell r="D2483" t="str">
            <v>M4118009    -    TUBING    -    0.108083</v>
          </cell>
        </row>
        <row r="2484">
          <cell r="D2484" t="str">
            <v>M4118010    -    UW-PUR-ISO 5,5X0,5/500M-COIL    -    0.134936</v>
          </cell>
        </row>
        <row r="2485">
          <cell r="D2485" t="str">
            <v>M4118011    -    TUBING POLYURETHANE    -    0.134936</v>
          </cell>
        </row>
        <row r="2486">
          <cell r="D2486" t="str">
            <v>M4164006    -    610462 TBHS __ 6,4X__ BK    -    0.4565</v>
          </cell>
        </row>
        <row r="2487">
          <cell r="D2487" t="str">
            <v>M4165001    -    GLASS SLEEVE, SILICONE COATED    -    0.25017</v>
          </cell>
        </row>
        <row r="2488">
          <cell r="D2488" t="str">
            <v>M4165002    -    GLASS SLEEVE, SILICONE COATED    -    0.2358</v>
          </cell>
        </row>
        <row r="2489">
          <cell r="D2489" t="str">
            <v>M4165004    -    GLASS SLEEVE, SILICONE COATED    -    0.311026</v>
          </cell>
        </row>
        <row r="2490">
          <cell r="D2490" t="str">
            <v>M4165005    -    GLASS SLEEVE, SILICONE COATED    -    0.371882</v>
          </cell>
        </row>
        <row r="2491">
          <cell r="D2491" t="str">
            <v>M4165006    -    10202932    -    0.371882</v>
          </cell>
        </row>
        <row r="2492">
          <cell r="D2492" t="str">
            <v>M4165007    -    10202158    -    0.432738</v>
          </cell>
        </row>
        <row r="2493">
          <cell r="D2493" t="str">
            <v>M4165008    -    GLASS SLEEVE, SILICONE COATED, BLACK    -    0.500341</v>
          </cell>
        </row>
        <row r="2494">
          <cell r="D2494" t="str">
            <v>M4165009    -    AKS 8.0X0.6 BK    -    0.510461</v>
          </cell>
        </row>
        <row r="2495">
          <cell r="D2495" t="str">
            <v>M4165010    -    TUBE WOV/SOL    -    0.55445</v>
          </cell>
        </row>
        <row r="2496">
          <cell r="D2496" t="str">
            <v>M4165011    -    10202909    -    0.55445</v>
          </cell>
        </row>
        <row r="2497">
          <cell r="D2497" t="str">
            <v>M4165012    -    10207992    -    0.601812</v>
          </cell>
        </row>
        <row r="2498">
          <cell r="D2498" t="str">
            <v>M4165015    -    10208203    -    0.872358</v>
          </cell>
        </row>
        <row r="2499">
          <cell r="D2499" t="str">
            <v>M4165016    -    TUBING    -    1.01431</v>
          </cell>
        </row>
        <row r="2500">
          <cell r="D2500" t="str">
            <v>M4165018    -    10206084    -    1.250987</v>
          </cell>
        </row>
        <row r="2501">
          <cell r="D2501" t="str">
            <v>M4165021    -    GLASS SLEEVE, SILICONE COATED    -    1.33883</v>
          </cell>
        </row>
        <row r="2502">
          <cell r="D2502" t="str">
            <v>M4165022    -    10210324    -    1.724341</v>
          </cell>
        </row>
        <row r="2503">
          <cell r="D2503" t="str">
            <v>M4165023    -    GLASS SLEEVE, SILICONE COATED    -    1.961018</v>
          </cell>
        </row>
        <row r="2504">
          <cell r="D2504" t="str">
            <v>M4165024    -    10202208    -    2.096223</v>
          </cell>
        </row>
        <row r="2505">
          <cell r="D2505" t="str">
            <v>M4165025    -    TUBE (GLASSSCHL) ID 22,0 MM    -    2.3329</v>
          </cell>
        </row>
        <row r="2506">
          <cell r="D2506" t="str">
            <v>M4165026    -    10210323    -    2.772385</v>
          </cell>
        </row>
        <row r="2507">
          <cell r="D2507" t="str">
            <v>M4165028    -    10210321    -    2.3329</v>
          </cell>
        </row>
        <row r="2508">
          <cell r="D2508" t="str">
            <v>M4165029    -    GLASS SLEEVE, SILICONE COATED    -    2.629758</v>
          </cell>
        </row>
        <row r="2509">
          <cell r="D2509" t="str">
            <v>M4165030    -    TUBING, FIBERGLASS, SILICONE COATED    -    3.2473</v>
          </cell>
        </row>
        <row r="2510">
          <cell r="D2510" t="str">
            <v>M4165031    -    10211977    -    4.192446</v>
          </cell>
        </row>
        <row r="2511">
          <cell r="D2511" t="str">
            <v>M4165033    -    10212041    -    6.728154</v>
          </cell>
        </row>
        <row r="2512">
          <cell r="D2512" t="str">
            <v>M4165035    -    GLASS SLEEVE, SILICONE COATED    -    8.756774</v>
          </cell>
        </row>
        <row r="2513">
          <cell r="D2513" t="str">
            <v>M4165045    -    HARNASLEEVE 1740 6-0/-    -    0.909884</v>
          </cell>
        </row>
        <row r="2514">
          <cell r="D2514" t="str">
            <v>M4165101    -    TB VIDAFLEX EN 10203998    -    0.311026</v>
          </cell>
        </row>
        <row r="2515">
          <cell r="D2515" t="str">
            <v>M4187004    -    FLEXFIT 2112 6-0/-    -    0.330538</v>
          </cell>
        </row>
        <row r="2516">
          <cell r="D2516" t="str">
            <v>M4187011    -    FLEXFIT 2112 30-0/-    -    0.91296</v>
          </cell>
        </row>
        <row r="2517">
          <cell r="D2517" t="str">
            <v>M4188003    -    BRAIDED CDT BLK    -    0.5960928</v>
          </cell>
        </row>
        <row r="2518">
          <cell r="D2518" t="str">
            <v>M4188006    -    QUIETSLEEVE 3430 22-0/2    -    0.626829</v>
          </cell>
        </row>
        <row r="2519">
          <cell r="D2519" t="str">
            <v>M4190102    -    TUBE WOVEN 9.30 SLV    -    3.11701</v>
          </cell>
        </row>
        <row r="2520">
          <cell r="D2520" t="str">
            <v>M4190103    -    TUBE WOVEN 11.30 SLV    -    3.11701</v>
          </cell>
        </row>
        <row r="2521">
          <cell r="D2521" t="str">
            <v>M4190110    -    TUBE WOVEN 4.90 SLV    -    2.037526</v>
          </cell>
        </row>
        <row r="2522">
          <cell r="D2522" t="str">
            <v>M4190111    -    TUBE WOVEN 6.90 SLV    -    2.860633</v>
          </cell>
        </row>
        <row r="2523">
          <cell r="D2523" t="str">
            <v>M4207002    -    607686 TBTB __ 2,7X0,6 GY    -    0.267307</v>
          </cell>
        </row>
        <row r="2524">
          <cell r="D2524" t="str">
            <v>M4207003    -    607650 TBTB __ 3,4X0,6 GY    -    0.286563</v>
          </cell>
        </row>
        <row r="2525">
          <cell r="D2525" t="str">
            <v>M4207004    -    606527 TBTB 223 4,2X0,6 G    -    0.309785</v>
          </cell>
        </row>
        <row r="2526">
          <cell r="D2526" t="str">
            <v>M4207005    -    606547 TBTB __ 5,3X0,6 GY    -    0.350967</v>
          </cell>
        </row>
        <row r="2527">
          <cell r="D2527" t="str">
            <v>M4207006    -    58120    -    0.419919</v>
          </cell>
        </row>
        <row r="2528">
          <cell r="D2528" t="str">
            <v>M4207007    -    606530 TBTB 223 7,45X0,6    -    0.452034</v>
          </cell>
        </row>
        <row r="2529">
          <cell r="D2529" t="str">
            <v>M4207008    -    606531 TBTB 223 8,4X0,6 G    -    0.505172</v>
          </cell>
        </row>
        <row r="2530">
          <cell r="D2530" t="str">
            <v>M4207009    -    606532 TBTB 223 9,5X0,6 G    -    0.591868</v>
          </cell>
        </row>
        <row r="2531">
          <cell r="D2531" t="str">
            <v>M4207010    -    606533 TBTB 223 11,1X0,6    -    0.676594</v>
          </cell>
        </row>
        <row r="2532">
          <cell r="D2532" t="str">
            <v>M4207011    -    606535 TBTB 223 15,0X0,75    -    0.993881</v>
          </cell>
        </row>
        <row r="2533">
          <cell r="D2533" t="str">
            <v>M4207012    -    606537 TBTB 223 20,0X0,85    -    1.717729</v>
          </cell>
        </row>
        <row r="2534">
          <cell r="D2534" t="str">
            <v>M4207013    -    621329 TBTB 223 23,0X0,85    -    2.341347</v>
          </cell>
        </row>
        <row r="2535">
          <cell r="D2535" t="str">
            <v>M4207014    -    606538 TBTB 223 26,0X0,85    -    2.924295</v>
          </cell>
        </row>
        <row r="2536">
          <cell r="D2536" t="str">
            <v>M4207015    -    606534 TBTB 223 12,7X0,6    -    0.808237</v>
          </cell>
        </row>
        <row r="2537">
          <cell r="D2537" t="str">
            <v>M4236004    -    COND CNVLT ROUND 13.00 MM BLK    -    0.623783</v>
          </cell>
        </row>
        <row r="2538">
          <cell r="D2538" t="str">
            <v>M4237101    -    35700700    -    0.249361</v>
          </cell>
        </row>
        <row r="2539">
          <cell r="D2539" t="str">
            <v>M4237102    -    35701000    -    0.27257</v>
          </cell>
        </row>
        <row r="2540">
          <cell r="D2540" t="str">
            <v>M4237103    -    35701300    -    0.322901</v>
          </cell>
        </row>
        <row r="2541">
          <cell r="D2541" t="str">
            <v>M4237104    -    35701700    -    0.363921</v>
          </cell>
        </row>
        <row r="2542">
          <cell r="D2542" t="str">
            <v>M4237105    -    35702200    -    0.673058</v>
          </cell>
        </row>
        <row r="2543">
          <cell r="D2543" t="str">
            <v>M4246001    -    SHRIN TUBING    -    0.310352</v>
          </cell>
        </row>
        <row r="2544">
          <cell r="D2544" t="str">
            <v>M4247201    -    SLEEVE BLK    -    0.255703</v>
          </cell>
        </row>
        <row r="2545">
          <cell r="D2545" t="str">
            <v>M4328006    -    21.F10.06 TUBO SAEJ30R7 (9.5MM    -    1.6404</v>
          </cell>
        </row>
        <row r="2546">
          <cell r="D2546" t="str">
            <v>M4328009    -    TUBE FUEL-TUBE ROUND 20.00 BLK    -    2.9528</v>
          </cell>
        </row>
        <row r="2547">
          <cell r="D2547" t="str">
            <v>M4336001    -    45300410    -    2.71895</v>
          </cell>
        </row>
        <row r="2548">
          <cell r="D2548" t="str">
            <v>M4336002    -    45300641    -    3.523031</v>
          </cell>
        </row>
        <row r="2549">
          <cell r="D2549" t="str">
            <v>M4336005    -    45301341    -    5.864972</v>
          </cell>
        </row>
        <row r="2550">
          <cell r="D2550" t="str">
            <v>M4343016    -    TUBING (SPEEDOMETER HOSE)    -    0.288432</v>
          </cell>
        </row>
        <row r="2551">
          <cell r="D2551" t="str">
            <v>M4344017    -    PVC TUBING    -    0.07787664</v>
          </cell>
        </row>
        <row r="2552">
          <cell r="D2552" t="str">
            <v>M4344019    -    PVC TUBING    -    0.08829224</v>
          </cell>
        </row>
        <row r="2553">
          <cell r="D2553" t="str">
            <v>M4344020    -    PVC TUBING    -    0.099797472</v>
          </cell>
        </row>
        <row r="2554">
          <cell r="D2554" t="str">
            <v>M4344021    -    PVC TUBING    -    0.10543792</v>
          </cell>
        </row>
        <row r="2555">
          <cell r="D2555" t="str">
            <v>M4344025    -    PVC TUBING    -    0.1794688</v>
          </cell>
        </row>
        <row r="2556">
          <cell r="D2556" t="str">
            <v>M4344027    -    PVC TUBING    -    0.24709008</v>
          </cell>
        </row>
        <row r="2557">
          <cell r="D2557" t="str">
            <v>M4344028    -    PVC TUBING    -    0.35060512</v>
          </cell>
        </row>
        <row r="2558">
          <cell r="D2558" t="str">
            <v>M4344029    -    PVC TUBING    -    0.46822128</v>
          </cell>
        </row>
        <row r="2559">
          <cell r="D2559" t="str">
            <v>M4345011    -    TUGA-GP-12.7/6.4-0-SP    -    0.233573</v>
          </cell>
        </row>
        <row r="2560">
          <cell r="D2560" t="str">
            <v>M4346005    -    BHD 007 PLUS 15-0/6    -    0.405792</v>
          </cell>
        </row>
        <row r="2561">
          <cell r="D2561" t="str">
            <v>M4346007    -    BHD 007 PLUS 25-0/6 (SP)    -    0.561898</v>
          </cell>
        </row>
        <row r="2562">
          <cell r="D2562" t="str">
            <v>M4346008    -    BHD 007 PLUS 30-0/6    -    0.656799</v>
          </cell>
        </row>
        <row r="2563">
          <cell r="D2563" t="str">
            <v>M4367004    -    TUBE WOV/SOL O21.00 I17.00 S    -    8.336855</v>
          </cell>
        </row>
        <row r="2564">
          <cell r="D2564" t="str">
            <v>M4371001    -    SHRINK TUBE    -    0.608</v>
          </cell>
        </row>
        <row r="2565">
          <cell r="D2565" t="str">
            <v>M4371102    -    6110030953    -    0.672788</v>
          </cell>
        </row>
        <row r="2566">
          <cell r="D2566" t="str">
            <v>M4371103    -    SSL IAKT 4.5/1.5 BLACK    -    0.802866</v>
          </cell>
        </row>
        <row r="2567">
          <cell r="D2567" t="str">
            <v>M4371104    -    6110060953    -    0.905147</v>
          </cell>
        </row>
        <row r="2568">
          <cell r="D2568" t="str">
            <v>M4371105    -    6110120953    -    1.800849</v>
          </cell>
        </row>
        <row r="2569">
          <cell r="D2569" t="str">
            <v>M4371106    -    6110190953    -    2.847409</v>
          </cell>
        </row>
        <row r="2570">
          <cell r="D2570" t="str">
            <v>M4371205    -    SSL IAKT 12/4 RED    -    1.198902</v>
          </cell>
        </row>
        <row r="2571">
          <cell r="D2571" t="str">
            <v>M4371206    -    SSL IAKT 19/6 RED    -    1.916084</v>
          </cell>
        </row>
        <row r="2572">
          <cell r="D2572" t="str">
            <v>M4372001    -    3210025011    -    0.290516</v>
          </cell>
        </row>
        <row r="2573">
          <cell r="D2573" t="str">
            <v>M4375001    -    TUBE HOSE 13.00 BLK    -    1.172859</v>
          </cell>
        </row>
        <row r="2574">
          <cell r="D2574" t="str">
            <v>M4375002    -    TUBE HOSE 21.00 BLK    -    1.29727</v>
          </cell>
        </row>
        <row r="2575">
          <cell r="D2575" t="str">
            <v>M4375003    -    TUBE HOSE 26.00 BLK    -    1.345307</v>
          </cell>
        </row>
        <row r="2576">
          <cell r="D2576" t="str">
            <v>M4375004    -    TUBE HOSE 31.00 BLK    -    1.40063</v>
          </cell>
        </row>
        <row r="2577">
          <cell r="D2577" t="str">
            <v>M4375005    -    TUBE HOSE 41.00 BLK    -    1.517889</v>
          </cell>
        </row>
        <row r="2578">
          <cell r="D2578" t="str">
            <v>M4385001    -    1960004    -    0.189989</v>
          </cell>
        </row>
        <row r="2579">
          <cell r="D2579" t="str">
            <v>M4477001    -    ISULATION TUBE 4,0    -    0.430039</v>
          </cell>
        </row>
        <row r="2580">
          <cell r="D2580" t="str">
            <v>M4477002    -    TUBE 6,0MM    -    0.643912</v>
          </cell>
        </row>
        <row r="2581">
          <cell r="D2581" t="str">
            <v>M4477004    -    TUBE RESISTANCE ON TEMPERATURE 10 MM    -    1.069634</v>
          </cell>
        </row>
        <row r="2582">
          <cell r="D2582" t="str">
            <v>M4483302    -    0822 0022 011    -    0.250305</v>
          </cell>
        </row>
        <row r="2583">
          <cell r="D2583" t="str">
            <v>M4483304    -    0822 0024 011    -    0.201189</v>
          </cell>
        </row>
        <row r="2584">
          <cell r="D2584" t="str">
            <v>M4490010    -    TB FIBRA VIDRO SW 5.00 6.00    -    0.311026</v>
          </cell>
        </row>
        <row r="2585">
          <cell r="D2585" t="str">
            <v>M4490011    -    TUBE D-6 ESP0,6 NG PVC 150C*    -    0.42977</v>
          </cell>
        </row>
        <row r="2586">
          <cell r="D2586" t="str">
            <v>M4490014    -    TB TUBO SA PRETO 9X130    -    0.709612</v>
          </cell>
        </row>
        <row r="2587">
          <cell r="D2587" t="str">
            <v>M4490015    -    TUBE 10MM SILICON    -    0.891654</v>
          </cell>
        </row>
        <row r="2588">
          <cell r="D2588" t="str">
            <v>M4527004    -    21.C13.36 TUBO ANILLADO 13 SOFANOU 03190    -    0.259872</v>
          </cell>
        </row>
        <row r="2589">
          <cell r="D2589" t="str">
            <v>M4528A26    -    TB AKSM-PVCATNR PR-BR 30.00 32.20    -    0.78519</v>
          </cell>
        </row>
        <row r="2590">
          <cell r="D2590" t="str">
            <v>M4528Y05    -    3908    -    0.658256</v>
          </cell>
        </row>
        <row r="2591">
          <cell r="D2591" t="str">
            <v>M4549002    -    1215060    -    0.224533</v>
          </cell>
        </row>
        <row r="2592">
          <cell r="D2592" t="str">
            <v>M4552001    -    CRN-1/16-0-SP    -    1.142229</v>
          </cell>
        </row>
        <row r="2593">
          <cell r="D2593" t="str">
            <v>M4554001    -    TUBE SOLID 10.00 BLK    -    0.139259</v>
          </cell>
        </row>
        <row r="2594">
          <cell r="D2594" t="str">
            <v>M4572001    -    TAPE MISC GRA 19.00 5.000    -    2.938895</v>
          </cell>
        </row>
        <row r="2595">
          <cell r="D2595" t="str">
            <v>M4614018    -    40001350    -    0.63811</v>
          </cell>
        </row>
        <row r="2596">
          <cell r="D2596" t="str">
            <v>M4614305    -    CDT CNVLT 6MM GRAY SLIT    -    0.236002</v>
          </cell>
        </row>
        <row r="2597">
          <cell r="D2597" t="str">
            <v>M4614309    -    CDT CNVLT 8.5 MM GRAY SLIT    -    0.263799</v>
          </cell>
        </row>
        <row r="2598">
          <cell r="D2598" t="str">
            <v>M4614311    -    CDT CNVLT 10 MM GRAY SLIT    -    0.269601</v>
          </cell>
        </row>
        <row r="2599">
          <cell r="D2599" t="str">
            <v>M4614317    -    CDT CNVLT 13 MM GRAY SLIT    -    0.339633</v>
          </cell>
        </row>
        <row r="2600">
          <cell r="D2600" t="str">
            <v>M4614325    -    CDT CNVLT 19 MM GRAY SLIT    -    0.554315</v>
          </cell>
        </row>
        <row r="2601">
          <cell r="D2601" t="str">
            <v>M4635004    -    4310032032    -    3.486194</v>
          </cell>
        </row>
        <row r="2602">
          <cell r="D2602" t="str">
            <v>M4636006    -    TB PU-SCHL BK 4.00 .00    -    0.100932</v>
          </cell>
        </row>
        <row r="2603">
          <cell r="D2603" t="str">
            <v>M4636032    -    TB PU-SCHL BK 21.00 .00    -    0.983005</v>
          </cell>
        </row>
        <row r="2604">
          <cell r="D2604" t="str">
            <v>M4639001    -    SLEEVE    -    0.7288227968</v>
          </cell>
        </row>
        <row r="2605">
          <cell r="D2605" t="str">
            <v>M4639002    -    SILICONE TUBING    -    0.8045073536</v>
          </cell>
        </row>
        <row r="2606">
          <cell r="D2606" t="str">
            <v>M4639003    -    SILICONE TUBING    -    0.8394877456</v>
          </cell>
        </row>
        <row r="2607">
          <cell r="D2607" t="str">
            <v>M4639004    -    SILICONE TUBING    -    1.4473902336</v>
          </cell>
        </row>
        <row r="2608">
          <cell r="D2608" t="str">
            <v>M4639005    -    SILICONE TUBING    -    1.9045229056</v>
          </cell>
        </row>
        <row r="2609">
          <cell r="D2609" t="str">
            <v>M4640001    -    CONVOLUTED CONDUIT    -    0.18980428</v>
          </cell>
        </row>
        <row r="2610">
          <cell r="D2610" t="str">
            <v>M4640001S    -    CONDUIT    -    0.202992032</v>
          </cell>
        </row>
        <row r="2611">
          <cell r="D2611" t="str">
            <v>M4640002    -    CONVOLUTED CONDUIT    -    0.2607553472</v>
          </cell>
        </row>
        <row r="2612">
          <cell r="D2612" t="str">
            <v>M4640003    -    CONVOLUTED CONDUIT    -    0.2972676336</v>
          </cell>
        </row>
        <row r="2613">
          <cell r="D2613" t="str">
            <v>M4640004    -    CONVOLUTED CONDUIT    -    0.3890691296</v>
          </cell>
        </row>
        <row r="2614">
          <cell r="D2614" t="str">
            <v>M4640004S    -    CONDUIT    -    0.415245936</v>
          </cell>
        </row>
        <row r="2615">
          <cell r="D2615" t="str">
            <v>M4640005    -    CONVOLUTED CONDUIT    -    0.515828584</v>
          </cell>
        </row>
        <row r="2616">
          <cell r="D2616" t="str">
            <v>M4640006    -    CONVOLUTED CONDUIT    -    0.6526479056</v>
          </cell>
        </row>
        <row r="2617">
          <cell r="D2617" t="str">
            <v>M4640007    -    CONVOLUTED CONDUIT    -    0.8570147968</v>
          </cell>
        </row>
        <row r="2618">
          <cell r="D2618" t="str">
            <v>M4640008    -    CONVOLUTED CONDUIT    -    1.0379610096</v>
          </cell>
        </row>
        <row r="2619">
          <cell r="D2619" t="str">
            <v>M4640009    -    CONVOLUTED CONDUIT    -    1.334414624</v>
          </cell>
        </row>
        <row r="2620">
          <cell r="D2620" t="str">
            <v>M4640501    -    CONVOLUTED CONDUIT    -    0.1902080848</v>
          </cell>
        </row>
        <row r="2621">
          <cell r="D2621" t="str">
            <v>M4640502    -    CONDUIT    -    0.2737764496</v>
          </cell>
        </row>
        <row r="2622">
          <cell r="D2622" t="str">
            <v>M4640502S    -    CONDUIT    -    0.278304832</v>
          </cell>
        </row>
        <row r="2623">
          <cell r="D2623" t="str">
            <v>M4641005    -    CONVOLUTED CONDUIT    -    0.1592657408</v>
          </cell>
        </row>
        <row r="2624">
          <cell r="D2624" t="str">
            <v>M4643002    -    724    -    0.460805</v>
          </cell>
        </row>
        <row r="2625">
          <cell r="D2625" t="str">
            <v>M4644001    -    45301000    -    2.380262</v>
          </cell>
        </row>
        <row r="2626">
          <cell r="D2626" t="str">
            <v>M4644002    -    CONVOLUTED CONDUIT MFA BLACK    -    2.411972</v>
          </cell>
        </row>
        <row r="2627">
          <cell r="D2627" t="str">
            <v>M4644003    -    1626    -    2.298896</v>
          </cell>
        </row>
        <row r="2628">
          <cell r="D2628" t="str">
            <v>M4644011    -    CONVOLUTED CONDUIT    -    1.538939</v>
          </cell>
        </row>
        <row r="2629">
          <cell r="D2629" t="str">
            <v>M4644012    -    45300700    -    1.790324</v>
          </cell>
        </row>
        <row r="2630">
          <cell r="D2630" t="str">
            <v>M4644101    -    CONDUIT    -    2.381072</v>
          </cell>
        </row>
        <row r="2631">
          <cell r="D2631" t="str">
            <v>M4644112    -    CORRUGATED TUBE MFA, SLITTED IN COIL    -    2.0238247904</v>
          </cell>
        </row>
        <row r="2632">
          <cell r="D2632" t="str">
            <v>M4649001    -    COND, CNVLT 7MM BLK PP SLIT    -    0.04096</v>
          </cell>
        </row>
        <row r="2633">
          <cell r="D2633" t="str">
            <v>M4649002    -    COND, CNVLT 10MM BLK PP SLIT    -    0.04292</v>
          </cell>
        </row>
        <row r="2634">
          <cell r="D2634" t="str">
            <v>M4649003    -    COND, CNVLT 13MM BLK PP SLIT    -    0.05459</v>
          </cell>
        </row>
        <row r="2635">
          <cell r="D2635" t="str">
            <v>M4649004    -    COND, CNVLT 16MM BLK PP SLIT    -    0.07595</v>
          </cell>
        </row>
        <row r="2636">
          <cell r="D2636" t="str">
            <v>M4649005    -    COND, CNVLT 19MM BLK PP SLIT    -    0.10339</v>
          </cell>
        </row>
        <row r="2637">
          <cell r="D2637" t="str">
            <v>M4649006    -    COND, CNVLT 22MM BLK PP SLIT    -    0.11887</v>
          </cell>
        </row>
        <row r="2638">
          <cell r="D2638" t="str">
            <v>M4649007    -    COND, CNVLT 25MM BLK PP SLIT    -    0.15798</v>
          </cell>
        </row>
        <row r="2639">
          <cell r="D2639" t="str">
            <v>M4649008    -    COND, CNVLT 28MM BLK PP SLIT    -    0.16052</v>
          </cell>
        </row>
        <row r="2640">
          <cell r="D2640" t="str">
            <v>M4650001    -    COND, CNVLT 7MM BLK FRPP SLIT    -    0.04694</v>
          </cell>
        </row>
        <row r="2641">
          <cell r="D2641" t="str">
            <v>M4650002    -    COND, CNVLT 10MM BLK FRPP SLIT    -    0.0637</v>
          </cell>
        </row>
        <row r="2642">
          <cell r="D2642" t="str">
            <v>M4650003    -    COND, CNVLT 13MM BLK FRPP SLIT    -    0.08046</v>
          </cell>
        </row>
        <row r="2643">
          <cell r="D2643" t="str">
            <v>M4650004    -    COND, 15MM FR PP SLIT BLK    -    0.108</v>
          </cell>
        </row>
        <row r="2644">
          <cell r="D2644" t="str">
            <v>M4650005    -    COND, CNVLT 19MM BLK FRPP SLIT    -    0.11446</v>
          </cell>
        </row>
        <row r="2645">
          <cell r="D2645" t="str">
            <v>M4650006    -    COND, 22MM FRPP BLK    -    0.1519</v>
          </cell>
        </row>
        <row r="2646">
          <cell r="D2646" t="str">
            <v>M4650201    -    FRPP 7MM YELLOW     -    0.0697</v>
          </cell>
        </row>
        <row r="2647">
          <cell r="D2647" t="str">
            <v>M4651001    -    37100615    -    0.111727</v>
          </cell>
        </row>
        <row r="2648">
          <cell r="D2648" t="str">
            <v>M4651109    -    COND AD32 RM    -    0.779657</v>
          </cell>
        </row>
        <row r="2649">
          <cell r="D2649" t="str">
            <v>M4651110    -    35302910    -    0.935508</v>
          </cell>
        </row>
        <row r="2650">
          <cell r="D2650" t="str">
            <v>M4652001    -    SSL 1/8"SW DR25    -    4.991264</v>
          </cell>
        </row>
        <row r="2651">
          <cell r="D2651" t="str">
            <v>M4652002    -    DR-25-3/16-0-35MM    -    2.922433</v>
          </cell>
        </row>
        <row r="2652">
          <cell r="D2652" t="str">
            <v>M4652003    -    DR-25-1/4-0-SP    -    2.74054</v>
          </cell>
        </row>
        <row r="2653">
          <cell r="D2653" t="str">
            <v>M4652004    -    DR-25-3/8-0-SP    -    3.244794</v>
          </cell>
        </row>
        <row r="2654">
          <cell r="D2654" t="str">
            <v>M4652005    -    DR-25-1/2-0-SP    -    3.681445</v>
          </cell>
        </row>
        <row r="2655">
          <cell r="D2655" t="str">
            <v>M4652006    -    SSL 3/4"SW DR25 VG95343T05D006A    -    12.198169</v>
          </cell>
        </row>
        <row r="2656">
          <cell r="D2656" t="str">
            <v>M4652007    -    SSL 1"SW DR25 VG95343T05D007A    -    6.544372</v>
          </cell>
        </row>
        <row r="2657">
          <cell r="D2657" t="str">
            <v>M4652011    -    DR-25-NR528-0-SP    -    4.319825</v>
          </cell>
        </row>
        <row r="2658">
          <cell r="D2658" t="str">
            <v>M4668001    -    TUBE, HOSE DIA 3,3MM BLK    -    0.591962</v>
          </cell>
        </row>
        <row r="2659">
          <cell r="D2659" t="str">
            <v>M4680006    -    RED NYLON COPOLYMER TUBING 6 MM    -    0.10704032</v>
          </cell>
        </row>
        <row r="2660">
          <cell r="D2660" t="str">
            <v>M4680010    -    10MM CONV. NYLON COPOLYMER    -    0.14357504</v>
          </cell>
        </row>
        <row r="2661">
          <cell r="D2661" t="str">
            <v>M4680013    -    CONDUIT NY RED 13 M SLIT    -    0.16312432</v>
          </cell>
        </row>
        <row r="2662">
          <cell r="D2662" t="str">
            <v>M4680015    -    RED CONDUIT    -    0.184276</v>
          </cell>
        </row>
        <row r="2663">
          <cell r="D2663" t="str">
            <v>M4783001    -    TUBE WOV/SOL 6.00 BLK    -    1.79977</v>
          </cell>
        </row>
        <row r="2664">
          <cell r="D2664" t="str">
            <v>M4783002    -    TUBE WOV/SOL 8.40 BLK    -    2.048996</v>
          </cell>
        </row>
        <row r="2665">
          <cell r="D2665" t="str">
            <v>M4783003    -    TUBE WOV/SOL 10.40 BLK    -    3.139679</v>
          </cell>
        </row>
        <row r="2666">
          <cell r="D2666" t="str">
            <v>M4783004    -    TUBING, BRAIDED, FIBER GLASS    -    3.494829</v>
          </cell>
        </row>
        <row r="2667">
          <cell r="D2667" t="str">
            <v>M4784001    -    TUBE WOV/SOL 6.00 BLK    -    1.702886</v>
          </cell>
        </row>
        <row r="2668">
          <cell r="D2668" t="str">
            <v>M4784003    -    TUBING    -    2.212942</v>
          </cell>
        </row>
        <row r="2669">
          <cell r="D2669" t="str">
            <v>M4784004    -    TUBING    -    2.806658</v>
          </cell>
        </row>
        <row r="2670">
          <cell r="D2670" t="str">
            <v>M4784101    -    TUBE WOV/SOL 6.00 BLK    -    2.118217</v>
          </cell>
        </row>
        <row r="2671">
          <cell r="D2671" t="str">
            <v>M4784103    -    TUBE WOV/SOL 10.40 BLK    -    2.685756</v>
          </cell>
        </row>
        <row r="2672">
          <cell r="D2672" t="str">
            <v>M4785105    -    COND CNVLT ROUND O21.20 I16.50    -    3.631519</v>
          </cell>
        </row>
        <row r="2673">
          <cell r="D2673" t="str">
            <v>M4805023    -    SE AKS 8.0*0.7 -40+70    -    0.117259</v>
          </cell>
        </row>
        <row r="2674">
          <cell r="D2674" t="str">
            <v>M4805026    -    AKS 11.0 BLACK SE    -    0.152477</v>
          </cell>
        </row>
        <row r="2675">
          <cell r="D2675" t="str">
            <v>M4817004    -    36701110    -    0.238701</v>
          </cell>
        </row>
        <row r="2676">
          <cell r="D2676" t="str">
            <v>M4817005    -    36701510    -    0.301851</v>
          </cell>
        </row>
        <row r="2677">
          <cell r="D2677" t="str">
            <v>M4817006    -    36701910    -    0.395631</v>
          </cell>
        </row>
        <row r="2678">
          <cell r="D2678" t="str">
            <v>M4828002    -    HSS,FRAG,4.8MM,2.4MM BLACK    -    1.508903</v>
          </cell>
        </row>
        <row r="2679">
          <cell r="D2679" t="str">
            <v>M4828003    -    FRAG-6/3.5-0-SP    -    1.564307</v>
          </cell>
        </row>
        <row r="2680">
          <cell r="D2680" t="str">
            <v>M4828004    -    FRAG-9/5-0-SP    -    2.135759</v>
          </cell>
        </row>
        <row r="2681">
          <cell r="D2681" t="str">
            <v>M4828005    -    FRAG-12/7-0-SP    -    2.17489</v>
          </cell>
        </row>
        <row r="2682">
          <cell r="D2682" t="str">
            <v>M4828006    -    FRAG-18/10-0-SP    -    3.454484</v>
          </cell>
        </row>
        <row r="2683">
          <cell r="D2683" t="str">
            <v>M4830003    -    KLBD2 DUPLOTAC 7183 400MM X 200M    -    1.592171</v>
          </cell>
        </row>
        <row r="2684">
          <cell r="D2684" t="str">
            <v>M4836019    -    689    -    0.226422</v>
          </cell>
        </row>
        <row r="2685">
          <cell r="D2685" t="str">
            <v>M4836101    -    614    -    0.110917</v>
          </cell>
        </row>
        <row r="2686">
          <cell r="D2686" t="str">
            <v>M4836103    -    CONDUIT: CONVULTED MODIFIED    -    0.112941</v>
          </cell>
        </row>
        <row r="2687">
          <cell r="D2687" t="str">
            <v>M4836105    -    CONDUIT 9MM    -    0.112941</v>
          </cell>
        </row>
        <row r="2688">
          <cell r="D2688" t="str">
            <v>M4836109    -    518    -    0.190394</v>
          </cell>
        </row>
        <row r="2689">
          <cell r="D2689" t="str">
            <v>M4836111    -    654    -    0.208745</v>
          </cell>
        </row>
        <row r="2690">
          <cell r="D2690" t="str">
            <v>M4836113    -    1926130    -    0.152882</v>
          </cell>
        </row>
        <row r="2691">
          <cell r="D2691" t="str">
            <v>M4836115    -    670    -    0.214413</v>
          </cell>
        </row>
        <row r="2692">
          <cell r="D2692" t="str">
            <v>M4836125    -    720    -    0.288762</v>
          </cell>
        </row>
        <row r="2693">
          <cell r="D2693" t="str">
            <v>M4839013    -    HOSE 9X10,BLACK    -    0.130958</v>
          </cell>
        </row>
        <row r="2694">
          <cell r="D2694" t="str">
            <v>M4840500    -    SEALED SHRINK TUBE 24/6MM    -    0.11916</v>
          </cell>
        </row>
        <row r="2695">
          <cell r="D2695" t="str">
            <v>M4841000    -    PROFILE CONDUIT    -    0.04903344</v>
          </cell>
        </row>
        <row r="2696">
          <cell r="D2696" t="str">
            <v>M4858003    -    13MM TWISTTUBE 2471    -    1.14</v>
          </cell>
        </row>
        <row r="2697">
          <cell r="D2697" t="str">
            <v>M4858006    -    29MM TWISTTUBE 2471    -    7.1141720752</v>
          </cell>
        </row>
        <row r="2698">
          <cell r="D2698" t="str">
            <v>M4936022    -    CONDUIT 22 MM BLACK    -    0.363</v>
          </cell>
        </row>
        <row r="2699">
          <cell r="D2699" t="str">
            <v>M4936105    -    COND CNVLT 5MM GRA    -    0.30159</v>
          </cell>
        </row>
        <row r="2700">
          <cell r="D2700" t="str">
            <v>M4936107    -    CONDUIT    -    0.33</v>
          </cell>
        </row>
        <row r="2701">
          <cell r="D2701" t="str">
            <v>M4936110    -    CONDUIT    -    0.418</v>
          </cell>
        </row>
        <row r="2702">
          <cell r="D2702" t="str">
            <v>M4936113    -    CONDUIT 13MM GRA    -    0.66936</v>
          </cell>
        </row>
        <row r="2703">
          <cell r="D2703" t="str">
            <v>M4936115    -    CONDUIT 15MM GRA    -    0.71986</v>
          </cell>
        </row>
        <row r="2704">
          <cell r="D2704" t="str">
            <v>M4936119    -    COND CNVLT 19MM GRA    -    0.545174</v>
          </cell>
        </row>
        <row r="2705">
          <cell r="D2705" t="str">
            <v>M4936128    -    CONDUIT 28MM GRA    -    1.35047</v>
          </cell>
        </row>
        <row r="2706">
          <cell r="D2706" t="str">
            <v>M4957016    -    AKS SCHLAUCH DIN 40621    -    0.016719</v>
          </cell>
        </row>
        <row r="2707">
          <cell r="D2707" t="str">
            <v>M4962001    -    COND CNVLT ROUND O10.00 I6.80 BLK    -    0.074487</v>
          </cell>
        </row>
        <row r="2708">
          <cell r="D2708" t="str">
            <v>M4962002    -    COND CNVLT ROUND O14.00 I9.00 BLK    -    0.09068</v>
          </cell>
        </row>
        <row r="2709">
          <cell r="D2709" t="str">
            <v>M4962003    -    COND CNVLT ROUND O15.10 I11.40 BLK    -    0.106873</v>
          </cell>
        </row>
        <row r="2710">
          <cell r="D2710" t="str">
            <v>M4984001    -    SLEV WOVEN 37.00 39.00 BLK    -    0.740796</v>
          </cell>
        </row>
        <row r="2711">
          <cell r="D2711" t="str">
            <v>M4984002    -    SLEV WOVEN 53.00 55.00 BLK    -    1.090009</v>
          </cell>
        </row>
        <row r="2712">
          <cell r="D2712" t="str">
            <v>M4984003    -    SLEV WOVEN 63.00 65.00 BLK    -    1.260298</v>
          </cell>
        </row>
        <row r="2713">
          <cell r="D2713" t="str">
            <v>M4984004    -    SLEV WOVEN 84.00 86.00 BLK    -    1.405083</v>
          </cell>
        </row>
        <row r="2714">
          <cell r="D2714" t="str">
            <v>M4984006    -    SLEV WOVEN 135.00 137.00 BLK    -    2.733388</v>
          </cell>
        </row>
        <row r="2715">
          <cell r="D2715" t="str">
            <v>M4986004    -    FLEXFIT 2114 18-0/-    -    1.53025</v>
          </cell>
        </row>
        <row r="2716">
          <cell r="D2716" t="str">
            <v>M4988001    -    2852    -    0.825306</v>
          </cell>
        </row>
        <row r="2717">
          <cell r="D2717" t="str">
            <v>M4989001    -    TUBE HEATSHRINK O1.50 I3.00    -    1.312653</v>
          </cell>
        </row>
        <row r="2718">
          <cell r="D2718" t="str">
            <v>M5000001    -    3771    -    0.275943</v>
          </cell>
        </row>
        <row r="2719">
          <cell r="D2719" t="str">
            <v>M5002001    -    BHD 777 15-0/-    -    0.309164</v>
          </cell>
        </row>
        <row r="2720">
          <cell r="D2720" t="str">
            <v>M5002002    -    BHD 777 25-0/-    -    0.461264</v>
          </cell>
        </row>
        <row r="2721">
          <cell r="D2721" t="str">
            <v>M5002003    -    BHD 777 30-0/-    -    0.519556</v>
          </cell>
        </row>
        <row r="2722">
          <cell r="D2722" t="str">
            <v>M5017008    -    RNF-150-1/2-0-SP    -    2.81408</v>
          </cell>
        </row>
        <row r="2723">
          <cell r="D2723" t="str">
            <v>M5018001    -    TUBE HOSE WASHER O8.50 I3.50 BLK    -    0.434492</v>
          </cell>
        </row>
        <row r="2724">
          <cell r="D2724" t="str">
            <v>M5031005    -    1997319    -    0.190934</v>
          </cell>
        </row>
        <row r="2725">
          <cell r="D2725" t="str">
            <v>M5031108    -    COND CNVLT ROUND SLIT BLK    -    0.251306</v>
          </cell>
        </row>
        <row r="2726">
          <cell r="D2726" t="str">
            <v>M5037001    -    TUBE MISC O6.00 I4.00 BLK    -    0.202403</v>
          </cell>
        </row>
        <row r="2727">
          <cell r="D2727" t="str">
            <v>M5038002    -    TAPE FOAM GRA 45.00 5.000    -    0.283365</v>
          </cell>
        </row>
        <row r="2728">
          <cell r="D2728" t="str">
            <v>M5044002    -    VRG TP DIAMT.6MM,MIN2,MAX14    -    0.208475</v>
          </cell>
        </row>
        <row r="2729">
          <cell r="D2729" t="str">
            <v>M5057003    -    1158    -    7.315231</v>
          </cell>
        </row>
        <row r="2730">
          <cell r="D2730" t="str">
            <v>M5059305    -    1211810    -    0.657271</v>
          </cell>
        </row>
        <row r="2731">
          <cell r="D2731" t="str">
            <v>M5059317    -    1211814    -    0.811367</v>
          </cell>
        </row>
        <row r="2732">
          <cell r="D2732" t="str">
            <v>M5081009    -    2151    -    0.911206</v>
          </cell>
        </row>
        <row r="2733">
          <cell r="D2733" t="str">
            <v>M5081010    -    2152    -    1.217091</v>
          </cell>
        </row>
        <row r="2734">
          <cell r="D2734" t="str">
            <v>M5084013    -    CDT CNVLT BLK (PE BASED) SLIT    -    0.068486576</v>
          </cell>
        </row>
        <row r="2735">
          <cell r="D2735" t="str">
            <v>M5084021    -    CDT CNVLT BLK (PE BASED) SLIT    -    0.117760376</v>
          </cell>
        </row>
        <row r="2736">
          <cell r="D2736" t="str">
            <v>M5084103    -    CDT CNVLT BLK (PE BASED) SLIT    -    0.04679008</v>
          </cell>
        </row>
        <row r="2737">
          <cell r="D2737" t="str">
            <v>M5084107    -    CDT CNVLT BLK (PE BASED) SLIT    -    0.04999488</v>
          </cell>
        </row>
        <row r="2738">
          <cell r="D2738" t="str">
            <v>M5084109    -    CDT CNVLT BLK (PE BASED) SLIT    -    0.0544816</v>
          </cell>
        </row>
        <row r="2739">
          <cell r="D2739" t="str">
            <v>M5084113    -    CDT CNVLT BLK (PE BASED) SLIT    -    0.06473696</v>
          </cell>
        </row>
        <row r="2740">
          <cell r="D2740" t="str">
            <v>M5084117    -    CDT CNVLT BLK (PE BASED) SLIT    -    0.08268384</v>
          </cell>
        </row>
        <row r="2741">
          <cell r="D2741" t="str">
            <v>M5084121    -    CDT CNVLT BLK (PE BASED) SLIT    -    0.10704032</v>
          </cell>
        </row>
        <row r="2742">
          <cell r="D2742" t="str">
            <v>M5084125    -    CDT CNVLT BLK (PE BASED) SLIT    -    0.13492208</v>
          </cell>
        </row>
        <row r="2743">
          <cell r="D2743" t="str">
            <v>M5084129    -    CDT CNVLT BLK (PE BASED) SLIT    -    0.15318944</v>
          </cell>
        </row>
        <row r="2744">
          <cell r="D2744" t="str">
            <v>M5084131    -    CDT CNVLT BLK (PE BASED) SLIT    -    0.17370016</v>
          </cell>
        </row>
        <row r="2745">
          <cell r="D2745" t="str">
            <v>M5084805    -    GRAY 7MM BULK POLYETHYLENE CONDUIT    -    0.053488112</v>
          </cell>
        </row>
        <row r="2746">
          <cell r="D2746" t="str">
            <v>M5084809    -    GRAY 10MM BULK POLYETHYLENE CONDUIT    -    0.062109024</v>
          </cell>
        </row>
        <row r="2747">
          <cell r="D2747" t="str">
            <v>M5084813    -    GRAY 13MM BULK POLYETHYLENE CONDUIT    -    0.0773061856</v>
          </cell>
        </row>
        <row r="2748">
          <cell r="D2748" t="str">
            <v>M5084821    -    GRAY 19MM BULK POLYETHYLENE CONDUIT    -    0.133351728</v>
          </cell>
        </row>
        <row r="2749">
          <cell r="D2749" t="str">
            <v>M5085001    -    BLACK 5MM BULK NYLON CONDUIT    -    0.060763008</v>
          </cell>
        </row>
        <row r="2750">
          <cell r="D2750" t="str">
            <v>M5085005    -    BLACK 7MM BULK NYLON CONDUIT    -    0.064672864</v>
          </cell>
        </row>
        <row r="2751">
          <cell r="D2751" t="str">
            <v>M5085009    -    BLACK 10MM BULK NYLON CONDUIT    -    0.094285216</v>
          </cell>
        </row>
        <row r="2752">
          <cell r="D2752" t="str">
            <v>M5085013    -    BLACK 13MM BULK NYLON CONDUIT    -    0.102970224</v>
          </cell>
        </row>
        <row r="2753">
          <cell r="D2753" t="str">
            <v>M5085019    -    BLACK 17MM BULK NYLON CONDUIT    -    0.142100832</v>
          </cell>
        </row>
        <row r="2754">
          <cell r="D2754" t="str">
            <v>M5085021    -    BLACK 19MM BULK NYLON CONDUIT    -    0.159534944</v>
          </cell>
        </row>
        <row r="2755">
          <cell r="D2755" t="str">
            <v>M5085025    -    BLACK 23MM BULK NYLON CONDUIT    -    0.220618432</v>
          </cell>
        </row>
        <row r="2756">
          <cell r="D2756" t="str">
            <v>M5085027    -    BLACK 25MM BULK NYLON CONDUIT    -    0.258531216</v>
          </cell>
        </row>
        <row r="2757">
          <cell r="D2757" t="str">
            <v>M5085035    -    1 1/4" CONVOLUTED TUBING    -    0.30637888</v>
          </cell>
        </row>
        <row r="2758">
          <cell r="D2758" t="str">
            <v>M5085103    -    NYLON BASED CONVOLUTED CONDUIT    -    0.05584364</v>
          </cell>
        </row>
        <row r="2759">
          <cell r="D2759" t="str">
            <v>M5085107    -    NYLON BASED CONVOLUTED CONDUIT    -    0.0580132896</v>
          </cell>
        </row>
        <row r="2760">
          <cell r="D2760" t="str">
            <v>M5085113    -    NYLON BASED CONVOLUTED CONDUIT    -    0.0923655408</v>
          </cell>
        </row>
        <row r="2761">
          <cell r="D2761" t="str">
            <v>M5085117    -    NYLON BASED CONVOLUTED CONDUIT    -    0.11401076</v>
          </cell>
        </row>
        <row r="2762">
          <cell r="D2762" t="str">
            <v>M5085121    -    NYLON BASED CONVOLUTED CONDUIT    -    0.1346785152</v>
          </cell>
        </row>
        <row r="2763">
          <cell r="D2763" t="str">
            <v>M5085125    -    NYLON BASED CONVOLUTED CONDUIT    -    0.1733187888</v>
          </cell>
        </row>
        <row r="2764">
          <cell r="D2764" t="str">
            <v>M5085129    -    NYLON BASED CONVOLUTED CONDUIT    -    0.2450133696</v>
          </cell>
        </row>
        <row r="2765">
          <cell r="D2765" t="str">
            <v>M5085131    -    NYLON BASED CONVOLUTED CONDUIT    -    0.2575281136</v>
          </cell>
        </row>
        <row r="2766">
          <cell r="D2766" t="str">
            <v>M5086007    -    FLEXFIT 2115 SB 12-0/-    -    0.405886</v>
          </cell>
        </row>
        <row r="2767">
          <cell r="D2767" t="str">
            <v>M5087001    -    16888    -    0.082823</v>
          </cell>
        </row>
        <row r="2768">
          <cell r="D2768" t="str">
            <v>M5118001    -    21.007.A6 TUB LAVAL CABLELECKTRA(4X7)MAT    -    0.191602</v>
          </cell>
        </row>
        <row r="2769">
          <cell r="D2769" t="str">
            <v>M5227006    -    RR OVAL    -    0.62799</v>
          </cell>
        </row>
        <row r="2770">
          <cell r="D2770" t="str">
            <v>M5239004    -    1936405    -    0.0842</v>
          </cell>
        </row>
        <row r="2771">
          <cell r="D2771" t="str">
            <v>M5239006    -    1936408    -    0.100257</v>
          </cell>
        </row>
        <row r="2772">
          <cell r="D2772" t="str">
            <v>M5239008    -    1936411    -    0.117664</v>
          </cell>
        </row>
        <row r="2773">
          <cell r="D2773" t="str">
            <v>M5243001    -    TUBE SOLID O8.00 I4.00 BLK    -    0.18891</v>
          </cell>
        </row>
        <row r="2774">
          <cell r="D2774" t="str">
            <v>M5244001    -    TUBE WOVEN SLV    -    1.754162</v>
          </cell>
        </row>
        <row r="2775">
          <cell r="D2775" t="str">
            <v>M5331103    -    CDT CNVLT BLK/GRN (PP BASED) SLIT    -    0.04679008</v>
          </cell>
        </row>
        <row r="2776">
          <cell r="D2776" t="str">
            <v>M5331107    -    CDT CNVLT BLK/GRN (PP BASED) SLIT    -    0.05159728</v>
          </cell>
        </row>
        <row r="2777">
          <cell r="D2777" t="str">
            <v>M5331109    -    CDT CNVLT BLK/GRN (PP BASED) SLIT    -    0.0544816</v>
          </cell>
        </row>
        <row r="2778">
          <cell r="D2778" t="str">
            <v>M5331113    -    CDT CNVLT BLK/GRN (PP BASED) SLIT    -    0.06473696</v>
          </cell>
        </row>
        <row r="2779">
          <cell r="D2779" t="str">
            <v>M5331117    -    CDT CNVLT BLK/GRN (PP BASED) SLIT    -    0.08268384</v>
          </cell>
        </row>
        <row r="2780">
          <cell r="D2780" t="str">
            <v>M5331131    -    CDT CNVLT BLK/GRN (PP BASED) SLIT    -    0.17370016</v>
          </cell>
        </row>
        <row r="2781">
          <cell r="D2781" t="str">
            <v>M5343001    -    30085420    -    1.749439</v>
          </cell>
        </row>
        <row r="2782">
          <cell r="D2782" t="str">
            <v>M5355103    -    POLYPROPYLENE BASED CNV CDT    -    0.05544304</v>
          </cell>
        </row>
        <row r="2783">
          <cell r="D2783" t="str">
            <v>M5355107    -    CDT CNVLT BLK/GRAY (PP BS BASED)    -    0.06281408</v>
          </cell>
        </row>
        <row r="2784">
          <cell r="D2784" t="str">
            <v>M5355109    -    CDT CNVLT BLK/GRAY (PP BS BASED)    -    0.06698032</v>
          </cell>
        </row>
        <row r="2785">
          <cell r="D2785" t="str">
            <v>M5355113    -    POLYPROPYLENE BASED CNV CDT    -    0.07979952</v>
          </cell>
        </row>
        <row r="2786">
          <cell r="D2786" t="str">
            <v>M5355117    -    POLYPROPYLENE BASED CNV CDT    -    0.10223312</v>
          </cell>
        </row>
        <row r="2787">
          <cell r="D2787" t="str">
            <v>M5355121    -    POLYPROPYLENE BASED CNV CDT    -    0.14004976</v>
          </cell>
        </row>
        <row r="2788">
          <cell r="D2788" t="str">
            <v>M5355125    -    POLYPROPYLENE BASED CNV CDT    -    0.17882784</v>
          </cell>
        </row>
        <row r="2789">
          <cell r="D2789" t="str">
            <v>M5355129    -    CDT CNVLT BLK/GRAY (PP BS BASED)    -    0.20094096</v>
          </cell>
        </row>
        <row r="2790">
          <cell r="D2790" t="str">
            <v>M5367005    -    COND CNVLT ROUND UNSLIT BLK    -    0.038662</v>
          </cell>
        </row>
        <row r="2791">
          <cell r="D2791" t="str">
            <v>M5367007    -    COND CNVLT ROUND UNSLIT BLK    -    0.039871</v>
          </cell>
        </row>
        <row r="2792">
          <cell r="D2792" t="str">
            <v>M5383002    -    TUBE SLEEVE O4.80 I4.00 BLK    -    0.05117</v>
          </cell>
        </row>
        <row r="2793">
          <cell r="D2793" t="str">
            <v>M5383005    -    TUBE SLEEVE O6.80 I6.00 BLK    -    0.068863</v>
          </cell>
        </row>
        <row r="2794">
          <cell r="D2794" t="str">
            <v>M5383007    -    TUBE SLEEVE O8.80 I8.00 BLK    -    0.089974</v>
          </cell>
        </row>
        <row r="2795">
          <cell r="D2795" t="str">
            <v>M5383011    -    TUBE SLEEVE O10.80 I10.00 BLK    -    0.111186</v>
          </cell>
        </row>
        <row r="2796">
          <cell r="D2796" t="str">
            <v>M5383015    -    TUBE SLEEVE O12.80 I12.00 BLK    -    0.154012</v>
          </cell>
        </row>
        <row r="2797">
          <cell r="D2797" t="str">
            <v>M5383019    -    TUBE SLEEVE O14.80 I14.00 BLK    -    0.179044</v>
          </cell>
        </row>
        <row r="2798">
          <cell r="D2798" t="str">
            <v>M5383022    -    TUBE SLEEVE O16.80 I16.00 BLK    -    0.230013</v>
          </cell>
        </row>
        <row r="2799">
          <cell r="D2799" t="str">
            <v>M5383029    -    TUBE SLEEVE O21.60 I20.00 BLK    -    0.439216</v>
          </cell>
        </row>
        <row r="2800">
          <cell r="D2800" t="str">
            <v>M5383034    -    TUBE SLEEVE O27.60 I26.00 BLK    -    0.763726</v>
          </cell>
        </row>
        <row r="2801">
          <cell r="D2801" t="str">
            <v>M5383036    -    TUBE SLEEVE O31.60 I30.00 BLK    -    0.829775</v>
          </cell>
        </row>
        <row r="2802">
          <cell r="D2802" t="str">
            <v>M5408104    -    CONDUIT CONVOLUTED    -    1.996776</v>
          </cell>
        </row>
        <row r="2803">
          <cell r="D2803" t="str">
            <v>Y-D9    -    CONDUIT    -    0.064035</v>
          </cell>
        </row>
        <row r="2804">
          <cell r="D2804" t="str">
            <v>0-0085205-1H    -    CONNECTOR    -    0.150218</v>
          </cell>
        </row>
        <row r="2805">
          <cell r="D2805" t="str">
            <v>1985367    -    SOCKET    -    0.01289</v>
          </cell>
        </row>
        <row r="2806">
          <cell r="D2806" t="str">
            <v>021 971 921    -    FIXING PART    -    0.189929</v>
          </cell>
        </row>
        <row r="2807">
          <cell r="D2807" t="str">
            <v>2962449    -    CONNECTOR - 56 SERIES 3F    -    0.027058</v>
          </cell>
        </row>
        <row r="2808">
          <cell r="D2808" t="str">
            <v>2962510    -    CONNECTOR - 56 SERIES 3F    -    0.024412</v>
          </cell>
        </row>
        <row r="2809">
          <cell r="D2809" t="str">
            <v>2962965    -    CONN, 1F 56 SER BLK    -    0.012</v>
          </cell>
        </row>
        <row r="2810">
          <cell r="D2810" t="str">
            <v>2962969    -    56 SER - 4F    -    0.063554</v>
          </cell>
        </row>
        <row r="2811">
          <cell r="D2811" t="str">
            <v>2965019    -    56 SER - 4F    -    0.028305</v>
          </cell>
        </row>
        <row r="2812">
          <cell r="D2812" t="str">
            <v>2965164    -    CONNECTOR - 56 SERIES 3F    -    0.14959</v>
          </cell>
        </row>
        <row r="2813">
          <cell r="D2813" t="str">
            <v>2965446    -    56 SER - 8F    -    0.039004</v>
          </cell>
        </row>
        <row r="2814">
          <cell r="D2814" t="str">
            <v>2965454    -    58 SER - 2F    -    0.04772</v>
          </cell>
        </row>
        <row r="2815">
          <cell r="D2815" t="str">
            <v>2965972    -    CONNECTOR - 8M 56 SERIES    -    0.096364</v>
          </cell>
        </row>
        <row r="2816">
          <cell r="D2816" t="str">
            <v>2965977    -    56 SER - 8F    -    0.038596</v>
          </cell>
        </row>
        <row r="2817">
          <cell r="D2817" t="str">
            <v>2965980    -    56 SER - 2F LOCK    -    0.0485</v>
          </cell>
        </row>
        <row r="2818">
          <cell r="D2818" t="str">
            <v>2965981    -    CONNECTOR - 56 SERIES 2F    -    0.02813</v>
          </cell>
        </row>
        <row r="2819">
          <cell r="D2819" t="str">
            <v>2973422    -    56 SER - 5F    -    0.039925</v>
          </cell>
        </row>
        <row r="2820">
          <cell r="D2820" t="str">
            <v>2973431    -    CONNECTOR - 2 M - 56 SERIES    -    0.107222</v>
          </cell>
        </row>
        <row r="2821">
          <cell r="D2821" t="str">
            <v>2973890    -    56 SER - 6F    -    0.017305</v>
          </cell>
        </row>
        <row r="2822">
          <cell r="D2822" t="str">
            <v>2973903    -    56 SER - 2M    -    0.04074</v>
          </cell>
        </row>
        <row r="2823">
          <cell r="D2823" t="str">
            <v>2977042    -    56 SER - 6M    -    0.06693</v>
          </cell>
        </row>
        <row r="2824">
          <cell r="D2824" t="str">
            <v>2977045    -    CONN 3F 56 SER LK TYPE    -    0.03234</v>
          </cell>
        </row>
        <row r="2825">
          <cell r="D2825" t="str">
            <v>2977047    -    56 SER - 3M LOCK    -    0.032602</v>
          </cell>
        </row>
        <row r="2826">
          <cell r="D2826" t="str">
            <v>2977048    -    56 SER - 4F    -    0.04705</v>
          </cell>
        </row>
        <row r="2827">
          <cell r="D2827" t="str">
            <v>2977049    -    56 SER - 4M    -    0.05296</v>
          </cell>
        </row>
        <row r="2828">
          <cell r="D2828" t="str">
            <v>2977253    -    CONN, 1F 56 SER LK TYPE BLK    -    0.0096</v>
          </cell>
        </row>
        <row r="2829">
          <cell r="D2829" t="str">
            <v>2977443    -    CLIP - RIPCORD    -    0.02749</v>
          </cell>
        </row>
        <row r="2830">
          <cell r="D2830" t="str">
            <v>2977763    -    CONNECTOR - 2 M - 56 SERIES    -    0.054281</v>
          </cell>
        </row>
        <row r="2831">
          <cell r="D2831" t="str">
            <v>2977878    -    CONNECTOR    -    0.02452</v>
          </cell>
        </row>
        <row r="2832">
          <cell r="D2832" t="str">
            <v>2977940    -    CONN-3F 56 SER    -    0.048</v>
          </cell>
        </row>
        <row r="2833">
          <cell r="D2833" t="str">
            <v>2984015    -    CONNECTOR - 8 TERM - TWINLOCK    -    0.0239</v>
          </cell>
        </row>
        <row r="2834">
          <cell r="D2834" t="str">
            <v>2984169    -    CONN 56 SERIES 8F    -    0.169</v>
          </cell>
        </row>
        <row r="2835">
          <cell r="D2835" t="str">
            <v>2984378    -    CONN-56 SERIES-3F    -    0.0446</v>
          </cell>
        </row>
        <row r="2836">
          <cell r="D2836" t="str">
            <v>2984415    -    CONN 1MXD 56 SER LK TYPE    -    0.04378</v>
          </cell>
        </row>
        <row r="2837">
          <cell r="D2837" t="str">
            <v>2984537    -    CLIP - HARNESS    -    0.0286</v>
          </cell>
        </row>
        <row r="2838">
          <cell r="D2838" t="str">
            <v>2984570    -    56 SER - 4F    -    0.086</v>
          </cell>
        </row>
        <row r="2839">
          <cell r="D2839" t="str">
            <v>2984678    -    56 SER - 3M LOCK    -    0.032844</v>
          </cell>
        </row>
        <row r="2840">
          <cell r="D2840" t="str">
            <v>2984887    -    56 SER - 3M    -    0.063535</v>
          </cell>
        </row>
        <row r="2841">
          <cell r="D2841" t="str">
            <v>2984951    -    CONNECTOR - 2F - 56 SERIES    -    0.18533</v>
          </cell>
        </row>
        <row r="2842">
          <cell r="D2842" t="str">
            <v>2984958    -    56 SER - 8F    -    0.019953</v>
          </cell>
        </row>
        <row r="2843">
          <cell r="D2843" t="str">
            <v>2984959    -    CONNECTOR - 3F - 56 SERIES    -    0.08559</v>
          </cell>
        </row>
        <row r="2844">
          <cell r="D2844" t="str">
            <v>2989526    -    CONNECTOR - TWIN LOCK - 12 TERM    -    0.0532</v>
          </cell>
        </row>
        <row r="2845">
          <cell r="D2845" t="str">
            <v>2989527    -    CONNECTOR - TWIN LOCK - 12 TERM    -    0.1047</v>
          </cell>
        </row>
        <row r="2846">
          <cell r="D2846" t="str">
            <v>6288733    -    LAMP SOCKET - BROWN    -    0.0689</v>
          </cell>
        </row>
        <row r="2847">
          <cell r="D2847" t="str">
            <v>6294468    -    MOLDED PLASTIC    -    0.011815</v>
          </cell>
        </row>
        <row r="2848">
          <cell r="D2848" t="str">
            <v>6294493    -    56 SER - 2F LOCK    -    0.04258</v>
          </cell>
        </row>
        <row r="2849">
          <cell r="D2849" t="str">
            <v>6294544    -    56 SER - 4M    -    0.04675</v>
          </cell>
        </row>
        <row r="2850">
          <cell r="D2850" t="str">
            <v>6294702    -    LAMP SOCKET    -    0.031696</v>
          </cell>
        </row>
        <row r="2851">
          <cell r="D2851" t="str">
            <v>8900116    -    CLIP - SNAP ON    -    0.02619</v>
          </cell>
        </row>
        <row r="2852">
          <cell r="D2852" t="str">
            <v>8900361    -    LAMP - SKT BODY B-1    -    0.18437</v>
          </cell>
        </row>
        <row r="2853">
          <cell r="D2853" t="str">
            <v>8900438    -    CONN BODY    -    0.044002</v>
          </cell>
        </row>
        <row r="2854">
          <cell r="D2854" t="str">
            <v>8900467    -    CLIP - HARNESS    -    0.03149</v>
          </cell>
        </row>
        <row r="2855">
          <cell r="D2855" t="str">
            <v>8900737    -    CONNECTOR - 3M    -    0.0456</v>
          </cell>
        </row>
        <row r="2856">
          <cell r="D2856" t="str">
            <v>8900863    -    56 SER - 2F    -    0.029643</v>
          </cell>
        </row>
        <row r="2857">
          <cell r="D2857" t="str">
            <v>8900968    -    PACK CON I - 2M    -    0.04389</v>
          </cell>
        </row>
        <row r="2858">
          <cell r="D2858" t="str">
            <v>8905027    -    CLIP, HARNESS ASM    -    0.118</v>
          </cell>
        </row>
        <row r="2859">
          <cell r="D2859" t="str">
            <v>8905206    -    CONNECTOR    -    0.05044</v>
          </cell>
        </row>
        <row r="2860">
          <cell r="D2860" t="str">
            <v>8905467    -    PACK ON I - 11M    -    0.16327</v>
          </cell>
        </row>
        <row r="2861">
          <cell r="D2861" t="str">
            <v>8905498    -    CLIP, HARNESS ASM    -    0.1313</v>
          </cell>
        </row>
        <row r="2862">
          <cell r="D2862" t="str">
            <v>8905581    -    6W LIGHT SOURCE - BOTTOM    -    0.2035</v>
          </cell>
        </row>
        <row r="2863">
          <cell r="D2863" t="str">
            <v>8905615    -    CONN, 1F 56 SER LT GRN    -    0.0252</v>
          </cell>
        </row>
        <row r="2864">
          <cell r="D2864" t="str">
            <v>8905652    -    CONNECTOR - 2 M - 56 SERIES    -    0.03492</v>
          </cell>
        </row>
        <row r="2865">
          <cell r="D2865" t="str">
            <v>8905825    -    56 SER - 2F LOCK    -    0.03655</v>
          </cell>
        </row>
        <row r="2866">
          <cell r="D2866" t="str">
            <v>8905846    -    CONDUIT - END FITTING    -    0.0236</v>
          </cell>
        </row>
        <row r="2867">
          <cell r="D2867" t="str">
            <v>8905925    -    CONDUIT FITTING    -    0.04452</v>
          </cell>
        </row>
        <row r="2868">
          <cell r="D2868" t="str">
            <v>8911169    -    CONDUIT CLIP    -    0.016607</v>
          </cell>
        </row>
        <row r="2869">
          <cell r="D2869" t="str">
            <v>8911256    -    56 SER - 1F    -    0.021049</v>
          </cell>
        </row>
        <row r="2870">
          <cell r="D2870" t="str">
            <v>8911289    -    CONDUIT FITTING    -    0.04171</v>
          </cell>
        </row>
        <row r="2871">
          <cell r="D2871" t="str">
            <v>8911295    -    CONDUIT FITTING    -    0.07501</v>
          </cell>
        </row>
        <row r="2872">
          <cell r="D2872" t="str">
            <v>8911429    -    CLIP - 8 MM    -    0.037211</v>
          </cell>
        </row>
        <row r="2873">
          <cell r="D2873" t="str">
            <v>8911473    -    CONDUIT CLIP    -    0.02055</v>
          </cell>
        </row>
        <row r="2874">
          <cell r="D2874" t="str">
            <v>08911943S    -    GASKET    -    0.0031</v>
          </cell>
        </row>
        <row r="2875">
          <cell r="D2875" t="str">
            <v>8911953    -    CLIP - CONV. CDT.    -    0.01743</v>
          </cell>
        </row>
        <row r="2876">
          <cell r="D2876" t="str">
            <v>8911979    -    CONNECTOR - 2 F - 56 SERIES    -    0.061447</v>
          </cell>
        </row>
        <row r="2877">
          <cell r="D2877" t="str">
            <v>8917052    -    56 SER - 1F LOCK    -    0.0388</v>
          </cell>
        </row>
        <row r="2878">
          <cell r="D2878" t="str">
            <v>8917143    -    CLIP    -    0.0241</v>
          </cell>
        </row>
        <row r="2879">
          <cell r="D2879" t="str">
            <v>8917234    -    CONN 7M 56 SERIES    -    0.07119</v>
          </cell>
        </row>
        <row r="2880">
          <cell r="D2880" t="str">
            <v>8917255    -    CLIP - LOCKING IGN. CABLE    -    0.056477</v>
          </cell>
        </row>
        <row r="2881">
          <cell r="D2881" t="str">
            <v>8917284    -    CONDUIT FITTING    -    0.13589</v>
          </cell>
        </row>
        <row r="2882">
          <cell r="D2882" t="str">
            <v>8917321    -    CONV. CDT. BREAKOUT TEE    -    0.0729</v>
          </cell>
        </row>
        <row r="2883">
          <cell r="D2883" t="str">
            <v>8917439    -    RETAINER COVER - 8 MM    -    0.105742</v>
          </cell>
        </row>
        <row r="2884">
          <cell r="D2884" t="str">
            <v>8917442    -    CONVOLUTED CONDUIT BREAKOUT TEE    -    0.0806</v>
          </cell>
        </row>
        <row r="2885">
          <cell r="D2885" t="str">
            <v>8917625    -    CONDUIT CLIP    -    0.015743</v>
          </cell>
        </row>
        <row r="2886">
          <cell r="D2886" t="str">
            <v>8917644    -    CONN BODY    -    0.02</v>
          </cell>
        </row>
        <row r="2887">
          <cell r="D2887" t="str">
            <v>8917651    -    CONN BODY    -    0.102</v>
          </cell>
        </row>
        <row r="2888">
          <cell r="D2888" t="str">
            <v>8917695    -    58 SER - 6F    -    0.0582</v>
          </cell>
        </row>
        <row r="2889">
          <cell r="D2889" t="str">
            <v>8917857    -    CONNECTOR BODY-3W-BLACK    -    0.15055</v>
          </cell>
        </row>
        <row r="2890">
          <cell r="D2890" t="str">
            <v>1003958    -    BC CONN-CONNECTOR    -    0.168689</v>
          </cell>
        </row>
        <row r="2891">
          <cell r="D2891" t="str">
            <v>10717579    -    PCMAXIFUSE1VRG    -    0.087303</v>
          </cell>
        </row>
        <row r="2892">
          <cell r="D2892" t="str">
            <v>10717580    -    PCMAXIFUSENO    -    0.087303</v>
          </cell>
        </row>
        <row r="2893">
          <cell r="D2893" t="str">
            <v>10717582    -    VERROUSEGONDAIRE    -    0.061666</v>
          </cell>
        </row>
        <row r="2894">
          <cell r="D2894" t="str">
            <v>10717599    -    GEHAEUSE    -    1.01207</v>
          </cell>
        </row>
        <row r="2895">
          <cell r="D2895" t="str">
            <v>10717607    -    CX POS 2472 1 CAV BK 032 545    -    0.126961</v>
          </cell>
        </row>
        <row r="2896">
          <cell r="D2896" t="str">
            <v>10717610    -    CONN F 12-WAY    -    0.22829</v>
          </cell>
        </row>
        <row r="2897">
          <cell r="D2897" t="str">
            <v>10717666    -    PLUG 6 CAV. JPT BLACK    -    0.65812</v>
          </cell>
        </row>
        <row r="2898">
          <cell r="D2898" t="str">
            <v>10717672    -    6F CONNECTOR    -    0.314548</v>
          </cell>
        </row>
        <row r="2899">
          <cell r="D2899" t="str">
            <v>10717691    -    CONN, 2F 2.5MM PPL SEALED    -    0.361695</v>
          </cell>
        </row>
        <row r="2900">
          <cell r="D2900" t="str">
            <v>10717704    -    CONNECTOR    -    0.089692</v>
          </cell>
        </row>
        <row r="2901">
          <cell r="D2901" t="str">
            <v>10717705    -    CONNECTOR    -    0.089692</v>
          </cell>
        </row>
        <row r="2902">
          <cell r="D2902" t="str">
            <v>10717708    -    2-P STECKERGEH. COD. B    -    0.060991</v>
          </cell>
        </row>
        <row r="2903">
          <cell r="D2903" t="str">
            <v>10717736    -    STECKHLSENGEH. 3-POL. SLK 2,8 ELA COD A VERR. 2    -    0.379452</v>
          </cell>
        </row>
        <row r="2904">
          <cell r="D2904" t="str">
            <v>10717828    -    CLIP    -    0.043854</v>
          </cell>
        </row>
        <row r="2905">
          <cell r="D2905" t="str">
            <v>10717828S    -    CONNECTOR    -    0.043854</v>
          </cell>
        </row>
        <row r="2906">
          <cell r="D2906" t="str">
            <v>10718096    -    SPLICE CAP GRN    -    0.017946</v>
          </cell>
        </row>
        <row r="2907">
          <cell r="D2907" t="str">
            <v>10718116    -    TRAGEKOERPER    -    0.651968</v>
          </cell>
        </row>
        <row r="2908">
          <cell r="D2908" t="str">
            <v>10718264    -    CONN, 8F ECONOSEAL J SERIES    -    0.3909</v>
          </cell>
        </row>
        <row r="2909">
          <cell r="D2909" t="str">
            <v>10718269    -    TPA    -    0.0901</v>
          </cell>
        </row>
        <row r="2910">
          <cell r="D2910" t="str">
            <v>10718275    -    CONN-GRA F    -    0.396306</v>
          </cell>
        </row>
        <row r="2911">
          <cell r="D2911" t="str">
            <v>10718276    -    CONN    -    0.754316</v>
          </cell>
        </row>
        <row r="2912">
          <cell r="D2912" t="str">
            <v>10718287    -    KUPPLUNGSOBERTEIL    -    0.366377</v>
          </cell>
        </row>
        <row r="2913">
          <cell r="D2913" t="str">
            <v>10718295    -    BUCHSENGEHUSE12-POL.MITEZH    -    0.770779</v>
          </cell>
        </row>
        <row r="2914">
          <cell r="D2914" t="str">
            <v>10718347    -    ZB.DIAGNOSEDOSE    -    6.411028</v>
          </cell>
        </row>
        <row r="2915">
          <cell r="D2915" t="str">
            <v>10718348    -    ZB.SCHRAUBDECKEL    -    1.282211</v>
          </cell>
        </row>
        <row r="2916">
          <cell r="D2916" t="str">
            <v>10718587    -    16.D14.93 CO 8V BC YAZAKI(72286071)    -    0.945073</v>
          </cell>
        </row>
        <row r="2917">
          <cell r="D2917" t="str">
            <v>10718704    -    ACC2, CHANNEL BLK    -    1.389161</v>
          </cell>
        </row>
        <row r="2918">
          <cell r="D2918" t="str">
            <v>10718959    -    GROM    -    0.701665</v>
          </cell>
        </row>
        <row r="2919">
          <cell r="D2919" t="str">
            <v>10719401    -    ARETACE    -    0.146945</v>
          </cell>
        </row>
        <row r="2920">
          <cell r="D2920" t="str">
            <v>10719411    -    SPACER BROWN    -    0.07021</v>
          </cell>
        </row>
        <row r="2921">
          <cell r="D2921" t="str">
            <v>10719414    -    SPACER    -    0.02356</v>
          </cell>
        </row>
        <row r="2922">
          <cell r="D2922" t="str">
            <v>10719415    -    SPACER    -    0.02577</v>
          </cell>
        </row>
        <row r="2923">
          <cell r="D2923" t="str">
            <v>10719422    -    WED LOCK    -    0.0733</v>
          </cell>
        </row>
        <row r="2924">
          <cell r="D2924" t="str">
            <v>10719470    -    VERRIEGELUNG    -    0.192958</v>
          </cell>
        </row>
        <row r="2925">
          <cell r="D2925" t="str">
            <v>10719485    -    CLIP    -    0.072164</v>
          </cell>
        </row>
        <row r="2926">
          <cell r="D2926" t="str">
            <v>10719500    -    ASM CONN 0 F TIMER JR-POWER GRA SLD BASE    -    0.22993</v>
          </cell>
        </row>
        <row r="2927">
          <cell r="D2927" t="str">
            <v>10719504    -    CLIP    -    0.245772</v>
          </cell>
        </row>
        <row r="2928">
          <cell r="D2928" t="str">
            <v>10719770    -    DOUBLE VERROU PIECE6V    -    0.047254</v>
          </cell>
        </row>
        <row r="2929">
          <cell r="D2929" t="str">
            <v>10719812    -    T-PIECE,9MM*9MM*9MM, BLACK    -    0.072825</v>
          </cell>
        </row>
        <row r="2930">
          <cell r="D2930" t="str">
            <v>10719877    -    SPACER    -    0.012441</v>
          </cell>
        </row>
        <row r="2931">
          <cell r="D2931" t="str">
            <v>10720079    -    LOCK TERM LK PLATE BRN    -    0.032</v>
          </cell>
        </row>
        <row r="2932">
          <cell r="D2932" t="str">
            <v>10720193    -    DECKEL    -    0.155041</v>
          </cell>
        </row>
        <row r="2933">
          <cell r="D2933" t="str">
            <v>10720266    -    LOCKING RING    -    0.10555</v>
          </cell>
        </row>
        <row r="2934">
          <cell r="D2934" t="str">
            <v>10720328    -    COVER    -    0.142</v>
          </cell>
        </row>
        <row r="2935">
          <cell r="D2935" t="str">
            <v>10720413    -    626411 MCCLO 160 __    -    2.428839</v>
          </cell>
        </row>
        <row r="2936">
          <cell r="D2936" t="str">
            <v>10720852    -    617085 INBO 223 GY    -    0.30646</v>
          </cell>
        </row>
        <row r="2937">
          <cell r="D2937" t="str">
            <v>10720967    -    TUELLE    -    0.404941</v>
          </cell>
        </row>
        <row r="2938">
          <cell r="D2938" t="str">
            <v>10721133    -    CAVITY PLUG    -    0.156953</v>
          </cell>
        </row>
        <row r="2939">
          <cell r="D2939" t="str">
            <v>10721270    -    3W SOCKET HOUSING    -    0.15027</v>
          </cell>
        </row>
        <row r="2940">
          <cell r="D2940" t="str">
            <v>10721296    -    CENT RELAY CTR WHT    -    0.220754</v>
          </cell>
        </row>
        <row r="2941">
          <cell r="D2941" t="str">
            <v>10721297    -    MDK 3 CONN.    -    0.019431</v>
          </cell>
        </row>
        <row r="2942">
          <cell r="D2942" t="str">
            <v>10721308    -    CONNECTOR 2W BLACK    -    0.080327</v>
          </cell>
        </row>
        <row r="2943">
          <cell r="D2943" t="str">
            <v>10721321    -    11.107.93 CO.PRO.1V (BC)A.M.P.626063-0 5    -    0.096884</v>
          </cell>
        </row>
        <row r="2944">
          <cell r="D2944" t="str">
            <v>10721332    -    CX 2 CAV CI 443 906    -    0.242344</v>
          </cell>
        </row>
        <row r="2945">
          <cell r="D2945" t="str">
            <v>10721337    -    CONNECTOR 2W BLACK    -    0.101836</v>
          </cell>
        </row>
        <row r="2946">
          <cell r="D2946" t="str">
            <v>10721344    -    CONN. FEMALE 13-WAY    -    1.362849</v>
          </cell>
        </row>
        <row r="2947">
          <cell r="D2947" t="str">
            <v>10721416    -    2 WAY CONNECTOR BLACK    -    0.101971</v>
          </cell>
        </row>
        <row r="2948">
          <cell r="D2948" t="str">
            <v>10721429    -    CONNECTOR 6W BLACK    -    0.136163</v>
          </cell>
        </row>
        <row r="2949">
          <cell r="D2949" t="str">
            <v>10721430    -    CONN 2 WAY M CONI 1 BK    -    0.129538</v>
          </cell>
        </row>
        <row r="2950">
          <cell r="D2950" t="str">
            <v>10721501    -    CONN 1 F POS. LOCK 6.3 BLK    -    0.069978</v>
          </cell>
        </row>
        <row r="2951">
          <cell r="D2951" t="str">
            <v>10721505    -    CX 3 VIAS 3 VD 44390623    -    0.352182</v>
          </cell>
        </row>
        <row r="2952">
          <cell r="D2952" t="str">
            <v>10721523    -    CONN, FEMALE - SEALED    -    1.02203</v>
          </cell>
        </row>
        <row r="2953">
          <cell r="D2953" t="str">
            <v>10721537    -    605542 AK 14848    -    0.701665</v>
          </cell>
        </row>
        <row r="2954">
          <cell r="D2954" t="str">
            <v>10721539    -    CONN 8F TIMER    -    0.48594</v>
          </cell>
        </row>
        <row r="2955">
          <cell r="D2955" t="str">
            <v>10721541    -    CONNECTOR 12W BLACK    -    0.267172</v>
          </cell>
        </row>
        <row r="2956">
          <cell r="D2956" t="str">
            <v>10721543    -    CONNECTOR 2W BLACK    -    0.102564</v>
          </cell>
        </row>
        <row r="2957">
          <cell r="D2957" t="str">
            <v>10721544    -    SVORKOVNICE 10 POLOVA-PVC CERN    -    0.64062</v>
          </cell>
        </row>
        <row r="2958">
          <cell r="D2958" t="str">
            <v>10721546    -    CONN M+F    -    0.129808</v>
          </cell>
        </row>
        <row r="2959">
          <cell r="D2959" t="str">
            <v>10721564    -    CONN 4F JPT    -    0.091473</v>
          </cell>
        </row>
        <row r="2960">
          <cell r="D2960" t="str">
            <v>10721596    -    606595 AK 15366    -    0.651698</v>
          </cell>
        </row>
        <row r="2961">
          <cell r="D2961" t="str">
            <v>10721606    -    CONN    -    0.34402</v>
          </cell>
        </row>
        <row r="2962">
          <cell r="D2962" t="str">
            <v>10721654    -    CONN F 6-WAY    -    0.18723</v>
          </cell>
        </row>
        <row r="2963">
          <cell r="D2963" t="str">
            <v>10721659    -    CONN 2F JPT    -    0.064229</v>
          </cell>
        </row>
        <row r="2964">
          <cell r="D2964" t="str">
            <v>10721686    -    CENT RELAY CTR    -    0.220754</v>
          </cell>
        </row>
        <row r="2965">
          <cell r="D2965" t="str">
            <v>10721688    -    COV BLK    -    2.842443</v>
          </cell>
        </row>
        <row r="2966">
          <cell r="D2966" t="str">
            <v>10721696    -    CONN 9W    -    0.70939</v>
          </cell>
        </row>
        <row r="2967">
          <cell r="D2967" t="str">
            <v>10721698    -    CONN 9W    -    0.74417</v>
          </cell>
        </row>
        <row r="2968">
          <cell r="D2968" t="str">
            <v>10721724    -    CONNECTOR 3F    -    0.32422</v>
          </cell>
        </row>
        <row r="2969">
          <cell r="D2969" t="str">
            <v>10721756-L    -    BC CONN    -    0.083861</v>
          </cell>
        </row>
        <row r="2970">
          <cell r="D2970" t="str">
            <v>10721767    -    CONNECTOR 4 WAY FEMALE WHT W04    -    0.436867</v>
          </cell>
        </row>
        <row r="2971">
          <cell r="D2971" t="str">
            <v>10721787    -    CONN 4W F    -    0.15859</v>
          </cell>
        </row>
        <row r="2972">
          <cell r="D2972" t="str">
            <v>10721796    -    GETRIEBEKUPPLUNG    -    2.69481</v>
          </cell>
        </row>
        <row r="2973">
          <cell r="D2973" t="str">
            <v>10721803    -    109596 ZLACZE 976416    -    0.028606</v>
          </cell>
        </row>
        <row r="2974">
          <cell r="D2974" t="str">
            <v>10721815    -    COVER - PLASTIC    -    0.09811</v>
          </cell>
        </row>
        <row r="2975">
          <cell r="D2975" t="str">
            <v>10721848    -    609260 STIFTEINSATZ    -    2.617749</v>
          </cell>
        </row>
        <row r="2976">
          <cell r="D2976" t="str">
            <v>10721874    -    CONN 5F JPT    -    0.076643</v>
          </cell>
        </row>
        <row r="2977">
          <cell r="D2977" t="str">
            <v>10721876    -    CONN 2M (2,8 MM)    -    0.029821</v>
          </cell>
        </row>
        <row r="2978">
          <cell r="D2978" t="str">
            <v>10721884    -    CONN M+F    -    0.282865</v>
          </cell>
        </row>
        <row r="2979">
          <cell r="D2979" t="str">
            <v>10721890    -    CONN    -    0.075969</v>
          </cell>
        </row>
        <row r="2980">
          <cell r="D2980" t="str">
            <v>10721899    -    609588 DECKEL    -    0.162125</v>
          </cell>
        </row>
        <row r="2981">
          <cell r="D2981" t="str">
            <v>10721900    -    609589 DECKEL    -    0.148707</v>
          </cell>
        </row>
        <row r="2982">
          <cell r="D2982" t="str">
            <v>10721901    -    609590 DECKEL    -    0.140197</v>
          </cell>
        </row>
        <row r="2983">
          <cell r="D2983" t="str">
            <v>10721904    -    609593 ZUGENTLASTUNG    -    0.060471</v>
          </cell>
        </row>
        <row r="2984">
          <cell r="D2984" t="str">
            <v>10721913    -    609608 ZUGENTLASTUNG    -    0.05695</v>
          </cell>
        </row>
        <row r="2985">
          <cell r="D2985" t="str">
            <v>10721915    -    609610 ZUGENTLASTUNG    -    0.062209</v>
          </cell>
        </row>
        <row r="2986">
          <cell r="D2986" t="str">
            <v>10721922    -    609621 ZUGENTLASTUNG    -    0.067327</v>
          </cell>
        </row>
        <row r="2987">
          <cell r="D2987" t="str">
            <v>10721934    -    COV CONN TIMER BLK    -    1.159069</v>
          </cell>
        </row>
        <row r="2988">
          <cell r="D2988" t="str">
            <v>10721945    -    CONN, FEMALE 15 WAY    -    0.65518</v>
          </cell>
        </row>
        <row r="2989">
          <cell r="D2989" t="str">
            <v>10721948    -    CONN, FEMALE    -    0.27614</v>
          </cell>
        </row>
        <row r="2990">
          <cell r="D2990" t="str">
            <v>10721958    -    CONNECTOR 8F MISC GRA    -    0.22984</v>
          </cell>
        </row>
        <row r="2991">
          <cell r="D2991" t="str">
            <v>10721966    -    CONNECTOR 3W    -    0.07311</v>
          </cell>
        </row>
        <row r="2992">
          <cell r="D2992" t="str">
            <v>10721974    -    610515 SCHUTZKAPPE    -    2.512929</v>
          </cell>
        </row>
        <row r="2993">
          <cell r="D2993" t="str">
            <v>10722002    -    PCMAXIFUSE2VOR    -    0.18783</v>
          </cell>
        </row>
        <row r="2994">
          <cell r="D2994" t="str">
            <v>10722055    -    CONN 1F POSITIVE LOCK    -    0.048577</v>
          </cell>
        </row>
        <row r="2995">
          <cell r="D2995" t="str">
            <v>10722065    -    16.538.98 CON A.M.P. 927525-7 6V VD 57M7    -    0.107422</v>
          </cell>
        </row>
        <row r="2996">
          <cell r="D2996" t="str">
            <v>10722074    -    15.290.96 SE AMP 174395.2 (1/2    -    0.091189</v>
          </cell>
        </row>
        <row r="2997">
          <cell r="D2997" t="str">
            <v>10722104    -    611911 NETZKABELSTECKER    -    2.357458</v>
          </cell>
        </row>
        <row r="2998">
          <cell r="D2998" t="str">
            <v>10722112    -    CX 10 SW 8A097298    -    0.132507</v>
          </cell>
        </row>
        <row r="2999">
          <cell r="D2999" t="str">
            <v>10722121    -    611995 GERAETEDOSE    -    1.710038</v>
          </cell>
        </row>
        <row r="3000">
          <cell r="D3000" t="str">
            <v>10722181    -    CONNECTOR    -    0.14304</v>
          </cell>
        </row>
        <row r="3001">
          <cell r="D3001" t="str">
            <v>10722221    -    HOUSING 12.P. CE    -    0.445287</v>
          </cell>
        </row>
        <row r="3002">
          <cell r="D3002" t="str">
            <v>10722222    -    COVER HN    -    0.370263</v>
          </cell>
        </row>
        <row r="3003">
          <cell r="D3003" t="str">
            <v>10722223    -    COV BLK    -    0.370263</v>
          </cell>
        </row>
        <row r="3004">
          <cell r="D3004" t="str">
            <v>10722224    -    HOUSING 12.P.    -    0.445287</v>
          </cell>
        </row>
        <row r="3005">
          <cell r="D3005" t="str">
            <v>10722226    -    COVER 16.P.+8.P. HN    -    0.349078</v>
          </cell>
        </row>
        <row r="3006">
          <cell r="D3006" t="str">
            <v>10722234    -    8-WAY FM SPCR REARER    -    0.08179</v>
          </cell>
        </row>
        <row r="3007">
          <cell r="D3007" t="str">
            <v>10722278    -    CONN 3M SPT (4,8 MM)    -    0.08003</v>
          </cell>
        </row>
        <row r="3008">
          <cell r="D3008" t="str">
            <v>10722286    -    4 WAY CONNECTOR    -    0.19998</v>
          </cell>
        </row>
        <row r="3009">
          <cell r="D3009" t="str">
            <v>10722287    -    CONNECTOR 2F    -    0.1951</v>
          </cell>
        </row>
        <row r="3010">
          <cell r="D3010" t="str">
            <v>10722288    -    CONNECTOR VOLVO 3523482    -    0.11495</v>
          </cell>
        </row>
        <row r="3011">
          <cell r="D3011" t="str">
            <v>10722289    -    2-P FL-STECKERGEH.    -    0.033113</v>
          </cell>
        </row>
        <row r="3012">
          <cell r="D3012" t="str">
            <v>10722290    -    4 WAY CONNECTOR YELLOW    -    0.071049</v>
          </cell>
        </row>
        <row r="3013">
          <cell r="D3013" t="str">
            <v>10722292    -    CONN W/SLEVE    -    2.42</v>
          </cell>
        </row>
        <row r="3014">
          <cell r="D3014" t="str">
            <v>10722296    -    CONN 4 F BRN    -    0.386347</v>
          </cell>
        </row>
        <row r="3015">
          <cell r="D3015" t="str">
            <v>10722330    -    COVER ELC 42-WAY BLK    -    0.45042</v>
          </cell>
        </row>
        <row r="3016">
          <cell r="D3016" t="str">
            <v>10722355    -    DON*T USE SPNS    -    0.090137</v>
          </cell>
        </row>
        <row r="3017">
          <cell r="D3017" t="str">
            <v>10722368    -    ZENTRALSTECKER    -    1.183978</v>
          </cell>
        </row>
        <row r="3018">
          <cell r="D3018" t="str">
            <v>10722390    -    CONN 3F SPT    -    0.129916</v>
          </cell>
        </row>
        <row r="3019">
          <cell r="D3019" t="str">
            <v>10722394    -    POKRYWA VOLVO 8637473    -    0.25461</v>
          </cell>
        </row>
        <row r="3020">
          <cell r="D3020" t="str">
            <v>10722400    -    CONN 3F JPT    -    0.077817</v>
          </cell>
        </row>
        <row r="3021">
          <cell r="D3021" t="str">
            <v>10722420    -    CONN 6F JPT    -    0.076508</v>
          </cell>
        </row>
        <row r="3022">
          <cell r="D3022" t="str">
            <v>10722424    -    2 WAY CONNECTOR BLACK    -    0.469144</v>
          </cell>
        </row>
        <row r="3023">
          <cell r="D3023" t="str">
            <v>10722425    -    6 WAY CONNECTOR BLACK    -    0.214912</v>
          </cell>
        </row>
        <row r="3024">
          <cell r="D3024" t="str">
            <v>10722432    -    10-P STECKERGEH.    -    0.257956</v>
          </cell>
        </row>
        <row r="3025">
          <cell r="D3025" t="str">
            <v>10722435    -    615427 DECKEL ZUS.    -    1.276341</v>
          </cell>
        </row>
        <row r="3026">
          <cell r="D3026" t="str">
            <v>10722438    -    COVER BLK    -    2.185955</v>
          </cell>
        </row>
        <row r="3027">
          <cell r="D3027" t="str">
            <v>10722461    -    CONNECTOR    -    0.33437</v>
          </cell>
        </row>
        <row r="3028">
          <cell r="D3028" t="str">
            <v>10722471    -    CONN 4W    -    1.6356</v>
          </cell>
        </row>
        <row r="3029">
          <cell r="D3029" t="str">
            <v>10722487    -    KAPPE    -    0.689129</v>
          </cell>
        </row>
        <row r="3030">
          <cell r="D3030" t="str">
            <v>10722491    -    LEVER HOUSING    -    0.37611</v>
          </cell>
        </row>
        <row r="3031">
          <cell r="D3031" t="str">
            <v>10722492    -    CONNECTOR 28W    -    0.15623</v>
          </cell>
        </row>
        <row r="3032">
          <cell r="D3032" t="str">
            <v>10722495    -    28W CONNECTOR    -    0.3307</v>
          </cell>
        </row>
        <row r="3033">
          <cell r="D3033" t="str">
            <v>10722496    -    CONN 6W    -    0.230186</v>
          </cell>
        </row>
        <row r="3034">
          <cell r="D3034" t="str">
            <v>10722513    -    CONN F 16-WAY    -    1.92575</v>
          </cell>
        </row>
        <row r="3035">
          <cell r="D3035" t="str">
            <v>10722570    -    616503 FLACHSTECKERGEHAEU    -    0.466391</v>
          </cell>
        </row>
        <row r="3036">
          <cell r="D3036" t="str">
            <v>10722576    -    CONN 16 F    -    2.414698</v>
          </cell>
        </row>
        <row r="3037">
          <cell r="D3037" t="str">
            <v>10722617    -    MULTILOCK PLUG    -    0.16349</v>
          </cell>
        </row>
        <row r="3038">
          <cell r="D3038" t="str">
            <v>10722618    -    CONN 3W    -    0.256377</v>
          </cell>
        </row>
        <row r="3039">
          <cell r="D3039" t="str">
            <v>10722635    -    CONNECTOR    -    0.144003</v>
          </cell>
        </row>
        <row r="3040">
          <cell r="D3040" t="str">
            <v>10722638    -    UNTERTEIL    -    0.273825</v>
          </cell>
        </row>
        <row r="3041">
          <cell r="D3041" t="str">
            <v>10722675    -    CONN 6W    -    0.76</v>
          </cell>
        </row>
        <row r="3042">
          <cell r="D3042" t="str">
            <v>10722678    -    DECKEL    -    0.228189</v>
          </cell>
        </row>
        <row r="3043">
          <cell r="D3043" t="str">
            <v>10722679    -    STECKER-TRAGEKOERPER    -    0.514401</v>
          </cell>
        </row>
        <row r="3044">
          <cell r="D3044" t="str">
            <v>10722707    -    CONNECTOR    -    0.52158</v>
          </cell>
        </row>
        <row r="3045">
          <cell r="D3045" t="str">
            <v>10722718    -    DECKEL    -    0.330336</v>
          </cell>
        </row>
        <row r="3046">
          <cell r="D3046" t="str">
            <v>10722737    -    617551 CNCO 3    -    2.012563</v>
          </cell>
        </row>
        <row r="3047">
          <cell r="D3047" t="str">
            <v>10722770    -    CONNECTOR    -    0.22882</v>
          </cell>
        </row>
        <row r="3048">
          <cell r="D3048" t="str">
            <v>10722775    -    CONNECTOR 14W    -    0.25327</v>
          </cell>
        </row>
        <row r="3049">
          <cell r="D3049" t="str">
            <v>10722811    -    ASM CONN 0 M BLK SLD BASE 2    -    0.827563</v>
          </cell>
        </row>
        <row r="3050">
          <cell r="D3050" t="str">
            <v>10722812    -    HOUSING    -    0.05057</v>
          </cell>
        </row>
        <row r="3051">
          <cell r="D3051" t="str">
            <v>10722816    -    4W CONN    -    0.04967</v>
          </cell>
        </row>
        <row r="3052">
          <cell r="D3052" t="str">
            <v>10722820    -    COV CONN NAT    -    0.135988</v>
          </cell>
        </row>
        <row r="3053">
          <cell r="D3053" t="str">
            <v>10722835    -    ASM CONN 3FC ?. 808900    -    0.354206</v>
          </cell>
        </row>
        <row r="3054">
          <cell r="D3054" t="str">
            <v>10722848    -    CX 9 CA 7701996149    -    0.063974</v>
          </cell>
        </row>
        <row r="3055">
          <cell r="D3055" t="str">
            <v>10722855    -    CONN 2 F MFK BLK    -    0.196952</v>
          </cell>
        </row>
        <row r="3056">
          <cell r="D3056" t="str">
            <v>10722873    -    AMP SUPERSEAL 1.5 SERIES CONN.    -    0.111497</v>
          </cell>
        </row>
        <row r="3057">
          <cell r="D3057" t="str">
            <v>10722895    -    CONNECTOR    -    0.1</v>
          </cell>
        </row>
        <row r="3058">
          <cell r="D3058" t="str">
            <v>10722903    -    CONN 4F    -    0.30998</v>
          </cell>
        </row>
        <row r="3059">
          <cell r="D3059" t="str">
            <v>10722911    -    LOCK STRAIN RLF RED    -    1.960717</v>
          </cell>
        </row>
        <row r="3060">
          <cell r="D3060" t="str">
            <v>10722916    -    16.477.06 CON 4V AMP 0.0344268.1 VOLVO 7    -    0.108353</v>
          </cell>
        </row>
        <row r="3061">
          <cell r="D3061" t="str">
            <v>10722918    -    2 WAY MALE CONNECTOR, BLACK    -    0.40009</v>
          </cell>
        </row>
        <row r="3062">
          <cell r="D3062" t="str">
            <v>10722921    -    CONN 2M    -    0.31865</v>
          </cell>
        </row>
        <row r="3063">
          <cell r="D3063" t="str">
            <v>10722929    -    STECKERIV    -    0.45225</v>
          </cell>
        </row>
        <row r="3064">
          <cell r="D3064" t="str">
            <v>10722935    -    STECKERIII    -    0.559173</v>
          </cell>
        </row>
        <row r="3065">
          <cell r="D3065" t="str">
            <v>10722954    -    ASS CONN    -    0.62478</v>
          </cell>
        </row>
        <row r="3066">
          <cell r="D3066" t="str">
            <v>10722956    -    TRGERKOAX2,5MMRADIAL    -    0.150858</v>
          </cell>
        </row>
        <row r="3067">
          <cell r="D3067" t="str">
            <v>10722957    -    DECKELKOAX2,5MMRADIAL    -    0.129309</v>
          </cell>
        </row>
        <row r="3068">
          <cell r="D3068" t="str">
            <v>10722994    -    CONN 4 F TIMER JR-POWER BLK    -    0.213873</v>
          </cell>
        </row>
        <row r="3069">
          <cell r="D3069" t="str">
            <v>10722999    -    CONN 6 F    -    0.05141</v>
          </cell>
        </row>
        <row r="3070">
          <cell r="D3070" t="str">
            <v>10723042    -    16.E26.91 CON SIEMENS V23540-M5602-Y123    -    0.517437</v>
          </cell>
        </row>
        <row r="3071">
          <cell r="D3071" t="str">
            <v>10723046    -    10-WAY CONNECTOR    -    0.236164</v>
          </cell>
        </row>
        <row r="3072">
          <cell r="D3072" t="str">
            <v>10723074    -    CONN 14 F MDK BLU    -    0.200973</v>
          </cell>
        </row>
        <row r="3073">
          <cell r="D3073" t="str">
            <v>10723085    -    KRYT SVORKOVNICE    -    0.044637</v>
          </cell>
        </row>
        <row r="3074">
          <cell r="D3074" t="str">
            <v>10723120    -    CONNECTOR    -    0.052355</v>
          </cell>
        </row>
        <row r="3075">
          <cell r="D3075" t="str">
            <v>10723143    -    CONN, 2F 2.8MM BLK SEALED    -    0.205588</v>
          </cell>
        </row>
        <row r="3076">
          <cell r="D3076" t="str">
            <v>10723150    -    CONNECTOR    -    0.283972</v>
          </cell>
        </row>
        <row r="3077">
          <cell r="D3077" t="str">
            <v>10723222    -    ACC2, COVER BLK 0 2 WAY CONN    -    0.030434</v>
          </cell>
        </row>
        <row r="3078">
          <cell r="D3078" t="str">
            <v>10723226    -    CONNECTOR    -    0.548378</v>
          </cell>
        </row>
        <row r="3079">
          <cell r="D3079" t="str">
            <v>10723230    -    DV TAMPA BL 8364650.9    -    0.207936</v>
          </cell>
        </row>
        <row r="3080">
          <cell r="D3080" t="str">
            <v>10723231    -    COVER    -    0.215155</v>
          </cell>
        </row>
        <row r="3081">
          <cell r="D3081" t="str">
            <v>10723232    -    COVER HOUSING-PVC    -    0.215155</v>
          </cell>
        </row>
        <row r="3082">
          <cell r="D3082" t="str">
            <v>10723233    -    DV TAMPA AM 8364660.9    -    0.215155</v>
          </cell>
        </row>
        <row r="3083">
          <cell r="D3083" t="str">
            <v>10723244    -    COVER CE    -    0.420864</v>
          </cell>
        </row>
        <row r="3084">
          <cell r="D3084" t="str">
            <v>10723270    -    CONNECTOR    -    0.253139</v>
          </cell>
        </row>
        <row r="3085">
          <cell r="D3085" t="str">
            <v>10723283    -    621980 CNCN F 179 BK 9 G    -    0.08424</v>
          </cell>
        </row>
        <row r="3086">
          <cell r="D3086" t="str">
            <v>10723288    -    CONNECTOR    -    0.21911</v>
          </cell>
        </row>
        <row r="3087">
          <cell r="D3087" t="str">
            <v>10723289    -    CONNECTOR    -    0.484742</v>
          </cell>
        </row>
        <row r="3088">
          <cell r="D3088" t="str">
            <v>10723306    -    COV GRA    -    0.041263</v>
          </cell>
        </row>
        <row r="3089">
          <cell r="D3089" t="str">
            <v>10723307    -    CONN 6F    -    0.226989</v>
          </cell>
        </row>
        <row r="3090">
          <cell r="D3090" t="str">
            <v>10723326    -    CONN, 8M MIC/Q BLK    -    0.072811</v>
          </cell>
        </row>
        <row r="3091">
          <cell r="D3091" t="str">
            <v>10723328    -    STECKHLSENGEHUSE6-POL.SPT    -    0.566729</v>
          </cell>
        </row>
        <row r="3092">
          <cell r="D3092" t="str">
            <v>10723332    -    CONNECTOR    -    0.115883</v>
          </cell>
        </row>
        <row r="3093">
          <cell r="D3093" t="str">
            <v>10723334    -    CONNECTOR    -    0.115883</v>
          </cell>
        </row>
        <row r="3094">
          <cell r="D3094" t="str">
            <v>10723335    -    COVER    -    0.383972</v>
          </cell>
        </row>
        <row r="3095">
          <cell r="D3095" t="str">
            <v>10723351    -    COV BLK    -    0.206978</v>
          </cell>
        </row>
        <row r="3096">
          <cell r="D3096" t="str">
            <v>10723355    -    CONN, 20F MISC BLK    -    0.076751</v>
          </cell>
        </row>
        <row r="3097">
          <cell r="D3097" t="str">
            <v>10723357    -    COVER    -    0.259764</v>
          </cell>
        </row>
        <row r="3098">
          <cell r="D3098" t="str">
            <v>10723362    -    CONN,F,6-W,BLACK    -    0.238026</v>
          </cell>
        </row>
        <row r="3099">
          <cell r="D3099" t="str">
            <v>10723365    -    2 POL.GEHAEUSE    -    0.234289</v>
          </cell>
        </row>
        <row r="3100">
          <cell r="D3100" t="str">
            <v>10723377    -    CONNECTOR    -    0.22881</v>
          </cell>
        </row>
        <row r="3101">
          <cell r="D3101" t="str">
            <v>10723380    -    CONNECTOR    -    0.43653</v>
          </cell>
        </row>
        <row r="3102">
          <cell r="D3102" t="str">
            <v>10723388    -    CONN, 21F MIC/Q GRA    -    0.156768</v>
          </cell>
        </row>
        <row r="3103">
          <cell r="D3103" t="str">
            <v>10723389    -    CONN, 21F MIC/Q BLK    -    0.156768</v>
          </cell>
        </row>
        <row r="3104">
          <cell r="D3104" t="str">
            <v>10723390    -    ACC2, COVER BLK    -    0.268616</v>
          </cell>
        </row>
        <row r="3105">
          <cell r="D3105" t="str">
            <v>10723396    -    COVER    -    0.011146</v>
          </cell>
        </row>
        <row r="3106">
          <cell r="D3106" t="str">
            <v>10723401    -    9-P ABDECKKAPPE KOD.A2    -    0.085104</v>
          </cell>
        </row>
        <row r="3107">
          <cell r="D3107" t="str">
            <v>10723429    -    ACC2, COVER  80WAY CONN,    -    0.045946</v>
          </cell>
        </row>
        <row r="3108">
          <cell r="D3108" t="str">
            <v>10723430    -    CONNECTOR    -    0.094468</v>
          </cell>
        </row>
        <row r="3109">
          <cell r="D3109" t="str">
            <v>10723433    -    CONN 6W    -    0.116</v>
          </cell>
        </row>
        <row r="3110">
          <cell r="D3110" t="str">
            <v>10723434    -    CONNECTOR    -    0.201729</v>
          </cell>
        </row>
        <row r="3111">
          <cell r="D3111" t="str">
            <v>10723436    -    COVER ALT    -    0.07439</v>
          </cell>
        </row>
        <row r="3112">
          <cell r="D3112" t="str">
            <v>10723447    -    CONNECTOR    -    0.951187</v>
          </cell>
        </row>
        <row r="3113">
          <cell r="D3113" t="str">
            <v>10723452    -    COVER    -    0.11231</v>
          </cell>
        </row>
        <row r="3114">
          <cell r="D3114" t="str">
            <v>10723462    -    CONN 4 WAY    -    0.09706</v>
          </cell>
        </row>
        <row r="3115">
          <cell r="D3115" t="str">
            <v>10723463    -    CONNECTOR    -    0.12463</v>
          </cell>
        </row>
        <row r="3116">
          <cell r="D3116" t="str">
            <v>10723488    -    15.528.93 CO AMP 282189-3 2V BC 1/24897/    -    0.174026</v>
          </cell>
        </row>
        <row r="3117">
          <cell r="D3117" t="str">
            <v>10723499    -    CX 13 CR 7701996038    -    0.112316</v>
          </cell>
        </row>
        <row r="3118">
          <cell r="D3118" t="str">
            <v>10723500    -    CX 13 PR 7701996039    -    0.11931</v>
          </cell>
        </row>
        <row r="3119">
          <cell r="D3119" t="str">
            <v>10723505    -    12.395.64 CON AMP 142259.4 9V GR MIC 770    -    0.066317</v>
          </cell>
        </row>
        <row r="3120">
          <cell r="D3120" t="str">
            <v>10723540    -    1 WAY CONNECTOR    -    0.017461</v>
          </cell>
        </row>
        <row r="3121">
          <cell r="D3121" t="str">
            <v>10723543    -    CONN 9 M BLK    -    0.050466</v>
          </cell>
        </row>
        <row r="3122">
          <cell r="D3122" t="str">
            <v>10723565    -    CONN 4 F BLK    -    0.069714</v>
          </cell>
        </row>
        <row r="3123">
          <cell r="D3123" t="str">
            <v>10723575    -    STECKER2-FACH    -    0.063379</v>
          </cell>
        </row>
        <row r="3124">
          <cell r="D3124" t="str">
            <v>10723581    -    CX 6 CAV    -    0.244908</v>
          </cell>
        </row>
        <row r="3125">
          <cell r="D3125" t="str">
            <v>10723586    -    CONN 6W    -    0.2122</v>
          </cell>
        </row>
        <row r="3126">
          <cell r="D3126" t="str">
            <v>10723591    -    2F SEALED CONN    -    0.241885</v>
          </cell>
        </row>
        <row r="3127">
          <cell r="D3127" t="str">
            <v>10723607    -    COVER    -    0.116692</v>
          </cell>
        </row>
        <row r="3128">
          <cell r="D3128" t="str">
            <v>10723608    -    CONNECTOR    -    0.128634</v>
          </cell>
        </row>
        <row r="3129">
          <cell r="D3129" t="str">
            <v>10723618    -    CONNECTOR    -    0.223979</v>
          </cell>
        </row>
        <row r="3130">
          <cell r="D3130" t="str">
            <v>10723670    -    CONN ASSY    -    0.1908</v>
          </cell>
        </row>
        <row r="3131">
          <cell r="D3131" t="str">
            <v>10723691    -    CONN,F,6-W,TIMER JR-POWER    -    0.141682</v>
          </cell>
        </row>
        <row r="3132">
          <cell r="D3132" t="str">
            <v>10723695    -    CONNECTOR 8F BLACK    -    0.57254</v>
          </cell>
        </row>
        <row r="3133">
          <cell r="D3133" t="str">
            <v>10723696    -    CONNECTOR 8F BLACK    -    0.57254</v>
          </cell>
        </row>
        <row r="3134">
          <cell r="D3134" t="str">
            <v>10723697    -    DECKEL    -    0.2414</v>
          </cell>
        </row>
        <row r="3135">
          <cell r="D3135" t="str">
            <v>10723722    -    SLEEVE,TERM,RUBBER YELLOWTRANS,DERAYIOK4X20    -    0.011604</v>
          </cell>
        </row>
        <row r="3136">
          <cell r="D3136" t="str">
            <v>10723740    -    CONN 2F    -    0.09311</v>
          </cell>
        </row>
        <row r="3137">
          <cell r="D3137" t="str">
            <v>10723741    -    CONN ASM 2 WAY F 1.5 BK SLD    -    0.2178</v>
          </cell>
        </row>
        <row r="3138">
          <cell r="D3138" t="str">
            <v>10723742    -    CONN 20F    -    0.358</v>
          </cell>
        </row>
        <row r="3139">
          <cell r="D3139" t="str">
            <v>10723747    -    FEMALE CONNECTOR    -    0.08</v>
          </cell>
        </row>
        <row r="3140">
          <cell r="D3140" t="str">
            <v>10723752    -    CONNECTOR    -    0.139523</v>
          </cell>
        </row>
        <row r="3141">
          <cell r="D3141" t="str">
            <v>10723762    -    COVER    -    0.615279</v>
          </cell>
        </row>
        <row r="3142">
          <cell r="D3142" t="str">
            <v>10723808    -    STECKHLSENGEHUSE2-POL.SLK2,8ELA-COD.A-VERR.3    -    0.241885</v>
          </cell>
        </row>
        <row r="3143">
          <cell r="D3143" t="str">
            <v>10723818    -    9-POL. GEH. F9-34    -    0.068993</v>
          </cell>
        </row>
        <row r="3144">
          <cell r="D3144" t="str">
            <v>10723820    -    VERROUSECONDAIREMFUNIT    -    0.046067</v>
          </cell>
        </row>
        <row r="3145">
          <cell r="D3145" t="str">
            <v>10723827    -    627549 CNCN M 181 BK 13    -    0.884664</v>
          </cell>
        </row>
        <row r="3146">
          <cell r="D3146" t="str">
            <v>10723840    -    CONNECTOR    -    0.271234</v>
          </cell>
        </row>
        <row r="3147">
          <cell r="D3147" t="str">
            <v>10723841    -    CONNECTOR    -    0.271234</v>
          </cell>
        </row>
        <row r="3148">
          <cell r="D3148" t="str">
            <v>10723862    -    627919 CNCN F 24 BK 10    -    0.288357</v>
          </cell>
        </row>
        <row r="3149">
          <cell r="D3149" t="str">
            <v>10723863    -    HOUSING 14.P. CE-FI    -    0.288357</v>
          </cell>
        </row>
        <row r="3150">
          <cell r="D3150" t="str">
            <v>10723874    -    ABDECKKAPPE 12POL    -    0.238026</v>
          </cell>
        </row>
        <row r="3151">
          <cell r="D3151" t="str">
            <v>10723918    -    CONN F 12-WAY    -    0.33594</v>
          </cell>
        </row>
        <row r="3152">
          <cell r="D3152" t="str">
            <v>10723926    -    CONN F 2 WAY RIGHT ANGLE    -    0.11483</v>
          </cell>
        </row>
        <row r="3153">
          <cell r="D3153" t="str">
            <v>10723932    -    CONNECTOR    -    0.12205</v>
          </cell>
        </row>
        <row r="3154">
          <cell r="D3154" t="str">
            <v>10723948    -    3W CONN M    -    0.10848</v>
          </cell>
        </row>
        <row r="3155">
          <cell r="D3155" t="str">
            <v>10723949    -    HOUSING 1 P PVC WHITE    -    0.153651</v>
          </cell>
        </row>
        <row r="3156">
          <cell r="D3156" t="str">
            <v>10723950    -    CONNECTOR    -    0.413834</v>
          </cell>
        </row>
        <row r="3157">
          <cell r="D3157" t="str">
            <v>10723951    -    CONN, MALE 8 WAY    -    0.23086</v>
          </cell>
        </row>
        <row r="3158">
          <cell r="D3158" t="str">
            <v>10723953    -    DV CX 2VIAS NATURAL 443971996    -    0.04183</v>
          </cell>
        </row>
        <row r="3159">
          <cell r="D3159" t="str">
            <v>10723967    -    CONN M&amp;F    -    5.464888</v>
          </cell>
        </row>
        <row r="3160">
          <cell r="D3160" t="str">
            <v>10723984    -    6.3 FF HOUSING    -    0.36799</v>
          </cell>
        </row>
        <row r="3161">
          <cell r="D3161" t="str">
            <v>10723985    -    CONN 6M 2.5MM PIN    -    0.2381</v>
          </cell>
        </row>
        <row r="3162">
          <cell r="D3162" t="str">
            <v>10724068    -    CONN M 2-WAY    -    0.108353</v>
          </cell>
        </row>
        <row r="3163">
          <cell r="D3163" t="str">
            <v>10724080    -    CONNECTOR 1-WAY    -    0.00797</v>
          </cell>
        </row>
        <row r="3164">
          <cell r="D3164" t="str">
            <v>10724143    -    TRAGEKOERPER    -    0.097801</v>
          </cell>
        </row>
        <row r="3165">
          <cell r="D3165" t="str">
            <v>10724179    -    KUPPLUNG1-FACH    -    0.303632</v>
          </cell>
        </row>
        <row r="3166">
          <cell r="D3166" t="str">
            <v>10724279    -    CX 4 CAV BK 1378134.    -    0.116557</v>
          </cell>
        </row>
        <row r="3167">
          <cell r="D3167" t="str">
            <v>10724296    -    CONN 4 F RECEPTACLE 4.8 BLK    -    0.044664</v>
          </cell>
        </row>
        <row r="3168">
          <cell r="D3168" t="str">
            <v>10724322    -    CONN,F,3-W,WHITE    -    0.028714</v>
          </cell>
        </row>
        <row r="3169">
          <cell r="D3169" t="str">
            <v>10724745    -    CX MODULE MTE 20 CAV BK 443 972    -    0.924443</v>
          </cell>
        </row>
        <row r="3170">
          <cell r="D3170" t="str">
            <v>10724938    -    CONNECTOR    -    0.07143</v>
          </cell>
        </row>
        <row r="3171">
          <cell r="D3171" t="str">
            <v>10726252    -    CONN 2 F WHT    -    0.088248</v>
          </cell>
        </row>
        <row r="3172">
          <cell r="D3172" t="str">
            <v>10726367    -    628601 MCADA 243 94    -    1.524771</v>
          </cell>
        </row>
        <row r="3173">
          <cell r="D3173" t="str">
            <v>10726399    -    MOUN    -    0.127514</v>
          </cell>
        </row>
        <row r="3174">
          <cell r="D3174" t="str">
            <v>10726452    -    CONN 12F    -    0.06692</v>
          </cell>
        </row>
        <row r="3175">
          <cell r="D3175" t="str">
            <v>10726455    -    24-P ABDECKKAPPE KOD.A    -    0.303052</v>
          </cell>
        </row>
        <row r="3176">
          <cell r="D3176" t="str">
            <v>10726456S    -    CONNECTOR    -    0.384566</v>
          </cell>
        </row>
        <row r="3177">
          <cell r="D3177" t="str">
            <v>10726458    -    CONNECTOR    -    0.334748</v>
          </cell>
        </row>
        <row r="3178">
          <cell r="D3178" t="str">
            <v>10726471    -    CONN 43W    -    2.66052</v>
          </cell>
        </row>
        <row r="3179">
          <cell r="D3179" t="str">
            <v>10726516    -    CONN,F,7-W,BLACK,ASSY    -    0.53035</v>
          </cell>
        </row>
        <row r="3180">
          <cell r="D3180" t="str">
            <v>10726558    -    SOCKET CONTACT    -    0.027176</v>
          </cell>
        </row>
        <row r="3181">
          <cell r="D3181" t="str">
            <v>10726651    -    FUSE PLUG,60A,BLUE    -    0.027176</v>
          </cell>
        </row>
        <row r="3182">
          <cell r="D3182" t="str">
            <v>10726718    -    DECKEL    -    0.20915</v>
          </cell>
        </row>
        <row r="3183">
          <cell r="D3183" t="str">
            <v>10726722    -    CONN,FUSE BOX HOLDER,2-W,BLACK    -    0.141412</v>
          </cell>
        </row>
        <row r="3184">
          <cell r="D3184" t="str">
            <v>10726764    -    2W CONN    -    0.11813</v>
          </cell>
        </row>
        <row r="3185">
          <cell r="D3185" t="str">
            <v>10726765    -    CONNECTOR VOLVO 9168717    -    0.1634</v>
          </cell>
        </row>
        <row r="3186">
          <cell r="D3186" t="str">
            <v>10726766    -    CONNECTOR 6W LIGHT GRAY    -    0.18658</v>
          </cell>
        </row>
        <row r="3187">
          <cell r="D3187" t="str">
            <v>10726768    -    CONNECTOR VOLVO 9168757    -    0.281194</v>
          </cell>
        </row>
        <row r="3188">
          <cell r="D3188" t="str">
            <v>10726769    -    CONNECTOR    -    0.19321</v>
          </cell>
        </row>
        <row r="3189">
          <cell r="D3189" t="str">
            <v>10726773    -    CONNECTOR    -    0.7029</v>
          </cell>
        </row>
        <row r="3190">
          <cell r="D3190" t="str">
            <v>10726776    -    CONNECTOR 4F    -    0.2776</v>
          </cell>
        </row>
        <row r="3191">
          <cell r="D3191" t="str">
            <v>10726778    -    CONN 2 F BLK SEALED    -    0.2718</v>
          </cell>
        </row>
        <row r="3192">
          <cell r="D3192" t="str">
            <v>10726841    -    2 WAY CONNECTOR BLACK    -    0.13109</v>
          </cell>
        </row>
        <row r="3193">
          <cell r="D3193" t="str">
            <v>10726859    -    CONN 3M    -    0.07211</v>
          </cell>
        </row>
        <row r="3194">
          <cell r="D3194" t="str">
            <v>10726924    -    CABLE CLAMP    -    2.37849</v>
          </cell>
        </row>
        <row r="3195">
          <cell r="D3195" t="str">
            <v>10726988    -    KABELKANAL    -    1.885589</v>
          </cell>
        </row>
        <row r="3196">
          <cell r="D3196" t="str">
            <v>10727030    -    CONNECTOR    -    0.133735</v>
          </cell>
        </row>
        <row r="3197">
          <cell r="D3197" t="str">
            <v>10727056    -    CONNECTOR    -    0.033127</v>
          </cell>
        </row>
        <row r="3198">
          <cell r="D3198" t="str">
            <v>10727058    -    ACC2, COVER NAT    -    0.07806</v>
          </cell>
        </row>
        <row r="3199">
          <cell r="D3199" t="str">
            <v>10728141    -    630329 MDPO 243 __ HALTE    -    0.067603</v>
          </cell>
        </row>
        <row r="3200">
          <cell r="D3200" t="str">
            <v>10728163    -    CDT FIT END FIT    -    0.52454</v>
          </cell>
        </row>
        <row r="3201">
          <cell r="D3201" t="str">
            <v>10730684    -    KOAXIALKUPPLUNG 2-POL.    -    3.735811</v>
          </cell>
        </row>
        <row r="3202">
          <cell r="D3202" t="str">
            <v>10730717    -    KUPPLUNG 2-POL    -    4.726804</v>
          </cell>
        </row>
        <row r="3203">
          <cell r="D3203" t="str">
            <v>10730740    -    DOPPEL NTC-KUPPLUNG    -    6.189356</v>
          </cell>
        </row>
        <row r="3204">
          <cell r="D3204" t="str">
            <v>10730762    -    KOAXIALKUPPLUNG    -    11.369787</v>
          </cell>
        </row>
        <row r="3205">
          <cell r="D3205" t="str">
            <v>10730923    -    632740 CNCN.ASM F 81    -    2.863196</v>
          </cell>
        </row>
        <row r="3206">
          <cell r="D3206" t="str">
            <v>10730924    -    632741 CNCN.ASM F 40    -    1.986925</v>
          </cell>
        </row>
        <row r="3207">
          <cell r="D3207" t="str">
            <v>10730978    -    CONN,F,2-W,BROWN    -    0.39725</v>
          </cell>
        </row>
        <row r="3208">
          <cell r="D3208" t="str">
            <v>10731389    -    CLIP    -    0.014425</v>
          </cell>
        </row>
        <row r="3209">
          <cell r="D3209" t="str">
            <v>10731418    -    9287431    -    0.443614</v>
          </cell>
        </row>
        <row r="3210">
          <cell r="D3210" t="str">
            <v>10731747    -    KUPPLUNG4-POL.    -    3.303315</v>
          </cell>
        </row>
        <row r="3211">
          <cell r="D3211" t="str">
            <v>10731923    -    LOCK    -    0.530851</v>
          </cell>
        </row>
        <row r="3212">
          <cell r="D3212" t="str">
            <v>10731958    -    SECONDARY LOCK    -    0.09987</v>
          </cell>
        </row>
        <row r="3213">
          <cell r="D3213" t="str">
            <v>10732072    -    GROM    -    1.079484</v>
          </cell>
        </row>
        <row r="3214">
          <cell r="D3214" t="str">
            <v>10732077    -    611915 KABELTUELLE    -    0.08447</v>
          </cell>
        </row>
        <row r="3215">
          <cell r="D3215" t="str">
            <v>10732078    -    611916 KABELTUELLE    -    0.08447</v>
          </cell>
        </row>
        <row r="3216">
          <cell r="D3216" t="str">
            <v>10732125    -    CENT    -    0.138039</v>
          </cell>
        </row>
        <row r="3217">
          <cell r="D3217" t="str">
            <v>10732750    -    9654671    -    0.120039</v>
          </cell>
        </row>
        <row r="3218">
          <cell r="D3218" t="str">
            <v>10732798    -    STECKER 4-POL.    -    0.740796</v>
          </cell>
        </row>
        <row r="3219">
          <cell r="D3219" t="str">
            <v>10732828    -    STECKER 2-POL    -    3.280754</v>
          </cell>
        </row>
        <row r="3220">
          <cell r="D3220" t="str">
            <v>10732843    -    KUPPLUNG 4-POL    -    14.713367</v>
          </cell>
        </row>
        <row r="3221">
          <cell r="D3221" t="str">
            <v>10732922    -    CONNECTOR 1M    -    0.12081</v>
          </cell>
        </row>
        <row r="3222">
          <cell r="D3222" t="str">
            <v>10732931    -    STECKHLSENGEHUSE4-POL.SPT    -    0.566729</v>
          </cell>
        </row>
        <row r="3223">
          <cell r="D3223" t="str">
            <v>10732954    -    KABELVERBINDER    -    11.551855</v>
          </cell>
        </row>
        <row r="3224">
          <cell r="D3224" t="str">
            <v>10732965    -    CONN 0 MISC YEL    -    0.020456</v>
          </cell>
        </row>
        <row r="3225">
          <cell r="D3225" t="str">
            <v>10732971    -    SWCH    -    43.335615</v>
          </cell>
        </row>
        <row r="3226">
          <cell r="D3226" t="str">
            <v>10733414    -    ASM CONN 24 MULTILOCK 040 WHT    -    0.276119</v>
          </cell>
        </row>
        <row r="3227">
          <cell r="D3227" t="str">
            <v>10733415    -    ASM CONN 24 MULTILOCK 040 GRA LT    -    0.276119</v>
          </cell>
        </row>
        <row r="3228">
          <cell r="D3228" t="str">
            <v>10733578    -    CX 52 PR 77035970    -    1.669557</v>
          </cell>
        </row>
        <row r="3229">
          <cell r="D3229" t="str">
            <v>10733616    -    CONN 6-WAY    -    0.059507</v>
          </cell>
        </row>
        <row r="3230">
          <cell r="D3230" t="str">
            <v>10733619    -    CONNECTOR 7F SOCKET    -    0.172448</v>
          </cell>
        </row>
        <row r="3231">
          <cell r="D3231" t="str">
            <v>10733722    -    16.D29.93 CO YAZAKY 7228-6090 9V BA    -    1.606913</v>
          </cell>
        </row>
        <row r="3232">
          <cell r="D3232" t="str">
            <v>10733762    -    16.A12.93 CON 18V/BC YAZAKI (72834180)    -    0.268306</v>
          </cell>
        </row>
        <row r="3233">
          <cell r="D3233" t="str">
            <v>10733774    -    CONN 6F    -    0.0991</v>
          </cell>
        </row>
        <row r="3234">
          <cell r="D3234" t="str">
            <v>10733957    -    2W CONN    -    0.12055</v>
          </cell>
        </row>
        <row r="3235">
          <cell r="D3235" t="str">
            <v>10734099    -    CONN 2M    -    0.02416</v>
          </cell>
        </row>
        <row r="3236">
          <cell r="D3236" t="str">
            <v>10734141    -    CONN 22 M PIN 2.5    -    0.364706</v>
          </cell>
        </row>
        <row r="3237">
          <cell r="D3237" t="str">
            <v>10734152    -    CONN 6 F BLK    -    0.05983</v>
          </cell>
        </row>
        <row r="3238">
          <cell r="D3238" t="str">
            <v>10734155    -    CONNECTOR AFS    -    0.128013</v>
          </cell>
        </row>
        <row r="3239">
          <cell r="D3239" t="str">
            <v>10734157    -    CONNECTOR AFK    -    0.049238</v>
          </cell>
        </row>
        <row r="3240">
          <cell r="D3240" t="str">
            <v>10734163    -    CONN 6 M    -    1.085724</v>
          </cell>
        </row>
        <row r="3241">
          <cell r="D3241" t="str">
            <v>10734165    -    CONNECTOR VOLVO 4367681111    -    1.085724</v>
          </cell>
        </row>
        <row r="3242">
          <cell r="D3242" t="str">
            <v>10734166    -    CONNECTOR VOLVO 4387551111    -    1.135989</v>
          </cell>
        </row>
        <row r="3243">
          <cell r="D3243" t="str">
            <v>10734431    -    CONNECTOR VOLVO 9168603    -    0.20674</v>
          </cell>
        </row>
        <row r="3244">
          <cell r="D3244" t="str">
            <v>10734435    -    CONNECTOR VOLVO 9168665    -    0.23607</v>
          </cell>
        </row>
        <row r="3245">
          <cell r="D3245" t="str">
            <v>10734447    -    ASM CONNECTOR    -    0.3505</v>
          </cell>
        </row>
        <row r="3246">
          <cell r="D3246" t="str">
            <v>10734461    -    CONNECTOR    -    0.21191</v>
          </cell>
        </row>
        <row r="3247">
          <cell r="D3247" t="str">
            <v>10734465    -    CONNECTOR VOLVO 9168563    -    0.1299</v>
          </cell>
        </row>
        <row r="3248">
          <cell r="D3248" t="str">
            <v>10734474    -    CONNECTOR    -    0.3044</v>
          </cell>
        </row>
        <row r="3249">
          <cell r="D3249" t="str">
            <v>10734529    -    CONNECTOR AFS    -    0.062637</v>
          </cell>
        </row>
        <row r="3250">
          <cell r="D3250" t="str">
            <v>10734563    -    16.305.93 CONECTOR 14V.BC YASAKY 7283-42    -    0.211849</v>
          </cell>
        </row>
        <row r="3251">
          <cell r="D3251" t="str">
            <v>10734566    -    16.306.94 CONECTOR 5V GR YASAKY 7283-125    -    0.223008</v>
          </cell>
        </row>
        <row r="3252">
          <cell r="D3252" t="str">
            <v>10734571    -    CONN 9F    -    0.08467</v>
          </cell>
        </row>
        <row r="3253">
          <cell r="D3253" t="str">
            <v>10734578    -    CONN, 20F MISC GRA    -    0.076751</v>
          </cell>
        </row>
        <row r="3254">
          <cell r="D3254" t="str">
            <v>10734646    -    COV CONN TIMER BLACK    -    0.085104</v>
          </cell>
        </row>
        <row r="3255">
          <cell r="D3255" t="str">
            <v>10734652    -    DV COVER 26 VIAS YELLOW    -    0.242884</v>
          </cell>
        </row>
        <row r="3256">
          <cell r="D3256" t="str">
            <v>10734740    -    14.637.96 CARCASA FUS. MTA B0-002027A AL    -    0.613957</v>
          </cell>
        </row>
        <row r="3257">
          <cell r="D3257" t="str">
            <v>10734741    -    COV    -    0.9758</v>
          </cell>
        </row>
        <row r="3258">
          <cell r="D3258" t="str">
            <v>10734785    -    GROM    -    0.097289</v>
          </cell>
        </row>
        <row r="3259">
          <cell r="D3259" t="str">
            <v>10735013    -    25.908.96 PASAHILOS FIAT 188 (PUNTO)    -    0.555422</v>
          </cell>
        </row>
        <row r="3260">
          <cell r="D3260" t="str">
            <v>10735033    -    VERRIEGELUNG    -    0.075024</v>
          </cell>
        </row>
        <row r="3261">
          <cell r="D3261" t="str">
            <v>10735056    -    CONNECTOR VOLVO GT521SR    -    0.180544</v>
          </cell>
        </row>
        <row r="3262">
          <cell r="D3262" t="str">
            <v>10736079    -    RETAINER    -    0.071778</v>
          </cell>
        </row>
        <row r="3263">
          <cell r="D3263" t="str">
            <v>10737062    -    CONNECTOR VOLVO 981853    -    0.150802</v>
          </cell>
        </row>
        <row r="3264">
          <cell r="D3264" t="str">
            <v>10737843    -    PCMAXIFUSEVE    -    0.087303</v>
          </cell>
        </row>
        <row r="3265">
          <cell r="D3265" t="str">
            <v>10738063    -    CONNECTOR 9V NR * 9616466380    -    0.293255</v>
          </cell>
        </row>
        <row r="3266">
          <cell r="D3266" t="str">
            <v>10738067    -    CONNECTOR 9V VE * 9616466980    -    0.293255</v>
          </cell>
        </row>
        <row r="3267">
          <cell r="D3267" t="str">
            <v>10738074    -    CONNECTOR    -    0.809613</v>
          </cell>
        </row>
        <row r="3268">
          <cell r="D3268" t="str">
            <v>10738094    -    LEVA CODICE    -    0.292756</v>
          </cell>
        </row>
        <row r="3269">
          <cell r="D3269" t="str">
            <v>10738099    -    CONNECTOR 2V BA * 9631187280    -    0.029268</v>
          </cell>
        </row>
        <row r="3270">
          <cell r="D3270" t="str">
            <v>10738108    -    CONN    -    0.05809</v>
          </cell>
        </row>
        <row r="3271">
          <cell r="D3271" t="str">
            <v>10738110    -    CONNECTOR 2V RG * 9631187580    -    0.029268</v>
          </cell>
        </row>
        <row r="3272">
          <cell r="D3272" t="str">
            <v>10738112    -    COVER BLK    -    0.004952</v>
          </cell>
        </row>
        <row r="3273">
          <cell r="D3273" t="str">
            <v>10738115    -    COVER * 9611136380    -    0.035933</v>
          </cell>
        </row>
        <row r="3274">
          <cell r="D3274" t="str">
            <v>10738120    -    COVER * 9620505080    -    0.526248</v>
          </cell>
        </row>
        <row r="3275">
          <cell r="D3275" t="str">
            <v>10738320    -    2-POL.GEHAEUSE    -    0.260836</v>
          </cell>
        </row>
        <row r="3276">
          <cell r="D3276" t="str">
            <v>10738886    -    CONN 16 BLK    -    0.512418</v>
          </cell>
        </row>
        <row r="3277">
          <cell r="D3277" t="str">
            <v>10738888    -    CONNECTOR 16V BA * 9628679580    -    0.269871</v>
          </cell>
        </row>
        <row r="3278">
          <cell r="D3278" t="str">
            <v>10738931    -    639069 CNCN 179 BK 4    -    0.15523</v>
          </cell>
        </row>
        <row r="3279">
          <cell r="D3279" t="str">
            <v>10739931    -    LOCK,2-W,ORANGE    -    0.035186</v>
          </cell>
        </row>
        <row r="3280">
          <cell r="D3280" t="str">
            <v>10739960    -    CONNECTOR    -    0.20893</v>
          </cell>
        </row>
        <row r="3281">
          <cell r="D3281" t="str">
            <v>10739961    -    CONNECTOR 7282-5541-30 YAZAKI 9168806    -    0.2082</v>
          </cell>
        </row>
        <row r="3282">
          <cell r="D3282" t="str">
            <v>10739991    -    CONNEKTOR    -    0.99266</v>
          </cell>
        </row>
        <row r="3283">
          <cell r="D3283" t="str">
            <v>10739996    -    CONN 12M    -    0.277</v>
          </cell>
        </row>
        <row r="3284">
          <cell r="D3284" t="str">
            <v>10740027    -    CONN,F,14-W,BLACK SUB ASSY    -    11.824263</v>
          </cell>
        </row>
        <row r="3285">
          <cell r="D3285" t="str">
            <v>10740336    -    CONNECTOR    -    1.159892</v>
          </cell>
        </row>
        <row r="3286">
          <cell r="D3286" t="str">
            <v>10740338    -    COVER 1/01415/87    -    0.249631</v>
          </cell>
        </row>
        <row r="3287">
          <cell r="D3287" t="str">
            <v>10740391    -    CONN, 3 F BK    -    0.253139</v>
          </cell>
        </row>
        <row r="3288">
          <cell r="D3288" t="str">
            <v>10740437    -    HOUSING 2.P. 2,8 CE    -    0.151802</v>
          </cell>
        </row>
        <row r="3289">
          <cell r="D3289" t="str">
            <v>10740473    -    CONN 2F BLK    -    0.262315</v>
          </cell>
        </row>
        <row r="3290">
          <cell r="D3290" t="str">
            <v>10740475    -    ACC3, SHELL BLK    -    0.431794</v>
          </cell>
        </row>
        <row r="3291">
          <cell r="D3291" t="str">
            <v>10740478    -    CONN 5W    -    0.120255</v>
          </cell>
        </row>
        <row r="3292">
          <cell r="D3292" t="str">
            <v>10740550    -    MOUN BRACKET    -    0.550942</v>
          </cell>
        </row>
        <row r="3293">
          <cell r="D3293" t="str">
            <v>10740565    -    STECKERGEH. A    -    0.507951</v>
          </cell>
        </row>
        <row r="3294">
          <cell r="D3294" t="str">
            <v>10740566S    -    CONNECTOR    -    0.079153</v>
          </cell>
        </row>
        <row r="3295">
          <cell r="D3295" t="str">
            <v>10740616    -    1-POL.GEHAEUSE CLIPSEE C    -    0.102855</v>
          </cell>
        </row>
        <row r="3296">
          <cell r="D3296" t="str">
            <v>10740651    -    CX TAMPA 0 GE 8D0972586    -    0.213873</v>
          </cell>
        </row>
        <row r="3297">
          <cell r="D3297" t="str">
            <v>10741047    -    ABDECKKAPPE    -    0.093834</v>
          </cell>
        </row>
        <row r="3298">
          <cell r="D3298" t="str">
            <v>10741048    -    CONN 10F QUADLOK BLK    -    0.07786</v>
          </cell>
        </row>
        <row r="3299">
          <cell r="D3299" t="str">
            <v>10741054    -    WDF 2 CONN    -    0.053165</v>
          </cell>
        </row>
        <row r="3300">
          <cell r="D3300" t="str">
            <v>10741055    -    CONN    -    0.06033</v>
          </cell>
        </row>
        <row r="3301">
          <cell r="D3301" t="str">
            <v>10741093    -    CONN    -    0.14492</v>
          </cell>
        </row>
        <row r="3302">
          <cell r="D3302" t="str">
            <v>10741098    -    22M CONNECTOR    -    0.58041</v>
          </cell>
        </row>
        <row r="3303">
          <cell r="D3303" t="str">
            <v>10741100    -    CLIP    -    0.215897</v>
          </cell>
        </row>
        <row r="3304">
          <cell r="D3304" t="str">
            <v>10741123    -    STECKHLSENGEHUSE2POL.SLK2,8ELADRAHTBGELCODB    -    0.182163</v>
          </cell>
        </row>
        <row r="3305">
          <cell r="D3305" t="str">
            <v>10741132    -    COVER    -    0.25702</v>
          </cell>
        </row>
        <row r="3306">
          <cell r="D3306" t="str">
            <v>10741139    -    MOUN WIRE TIE 7.00 3.60 STRAP    -    0.020918</v>
          </cell>
        </row>
        <row r="3307">
          <cell r="D3307" t="str">
            <v>10748095    -    CONN 2    -    0.085981</v>
          </cell>
        </row>
        <row r="3308">
          <cell r="D3308" t="str">
            <v>10748096    -    CONNECTOR SICMA 16 V * 9628679280    -    0.269871</v>
          </cell>
        </row>
        <row r="3309">
          <cell r="D3309" t="str">
            <v>10748105    -    CONN 6 F QUADLOK MICRO BLK SLD    -    0.084402</v>
          </cell>
        </row>
        <row r="3310">
          <cell r="D3310" t="str">
            <v>10748110    -    CONNECTOR 26V NR * 9631162380    -    0.08393</v>
          </cell>
        </row>
        <row r="3311">
          <cell r="D3311" t="str">
            <v>10748112    -    CONN 0    -    0.119701</v>
          </cell>
        </row>
        <row r="3312">
          <cell r="D3312" t="str">
            <v>10748130    -    MOD MICRORELAIS    -    0.408031</v>
          </cell>
        </row>
        <row r="3313">
          <cell r="D3313" t="str">
            <v>10748237    -    RETAINER    -    0.0254</v>
          </cell>
        </row>
        <row r="3314">
          <cell r="D3314" t="str">
            <v>10748240    -    14.737.96 TAPA JOINT CONEC. 18V NG    -    0.368374</v>
          </cell>
        </row>
        <row r="3315">
          <cell r="D3315" t="str">
            <v>10748241    -    COVER CONN    -    6.8615</v>
          </cell>
        </row>
        <row r="3316">
          <cell r="D3316" t="str">
            <v>10748247    -    CAVITY PLUG    -    0.0767</v>
          </cell>
        </row>
        <row r="3317">
          <cell r="D3317" t="str">
            <v>10748262    -    20-POL.GEH.MQS    -    0.040481</v>
          </cell>
        </row>
        <row r="3318">
          <cell r="D3318" t="str">
            <v>10748297    -    639599 CNCN.ASM M 4    -    0.134531</v>
          </cell>
        </row>
        <row r="3319">
          <cell r="D3319" t="str">
            <v>10748545    -    CENT RELAY CTR BLK    -    0.58643</v>
          </cell>
        </row>
        <row r="3320">
          <cell r="D3320" t="str">
            <v>10748546    -    CENT RELAY CTR BLK    -    0.793421</v>
          </cell>
        </row>
        <row r="3321">
          <cell r="D3321" t="str">
            <v>10748547    -    CENT RELAY CTR BLK    -    1.276355</v>
          </cell>
        </row>
        <row r="3322">
          <cell r="D3322" t="str">
            <v>10748548    -    CONN M+F    -    0.489843</v>
          </cell>
        </row>
        <row r="3323">
          <cell r="D3323" t="str">
            <v>10748549    -    CENT RELAY CTR BLK    -    0.489816</v>
          </cell>
        </row>
        <row r="3324">
          <cell r="D3324" t="str">
            <v>10748550    -    CENT RELAY CTR BLK    -    0.620973</v>
          </cell>
        </row>
        <row r="3325">
          <cell r="D3325" t="str">
            <v>10748606    -    CONN 10 F BLK    -    3.845662</v>
          </cell>
        </row>
        <row r="3326">
          <cell r="D3326" t="str">
            <v>10748616    -    CONN    -    0.34158</v>
          </cell>
        </row>
        <row r="3327">
          <cell r="D3327" t="str">
            <v>10748664    -    COV CONN QUAD BLU    -    0.134936</v>
          </cell>
        </row>
        <row r="3328">
          <cell r="D3328" t="str">
            <v>10748670    -    CONNECTORS    -    0.75</v>
          </cell>
        </row>
        <row r="3329">
          <cell r="D3329" t="str">
            <v>10748672    -    20-POL.GEH.MQS    -    0.040481</v>
          </cell>
        </row>
        <row r="3330">
          <cell r="D3330" t="str">
            <v>10748995    -    HOUSING 3.P. S ARET. YELLOW    -    0.093915</v>
          </cell>
        </row>
        <row r="3331">
          <cell r="D3331" t="str">
            <v>10749013    -    CONN 10F SLK 2.8 UNSLD    -    0.112874</v>
          </cell>
        </row>
        <row r="3332">
          <cell r="D3332" t="str">
            <v>10749014    -    CONN 10 SLK    -    0.112874</v>
          </cell>
        </row>
        <row r="3333">
          <cell r="D3333" t="str">
            <v>10749041    -    ACC2, COVER BLU    -    0.07806</v>
          </cell>
        </row>
        <row r="3334">
          <cell r="D3334" t="str">
            <v>10749198    -    CX 2 PR 8Z097270    -    0.282796</v>
          </cell>
        </row>
        <row r="3335">
          <cell r="D3335" t="str">
            <v>10749227    -    VERRIEGELUNGSDE. ZUS-12    -    0.110391</v>
          </cell>
        </row>
        <row r="3336">
          <cell r="D3336" t="str">
            <v>10749385    -    DV VEDANTE CEGO OR 7703397964    -    0.009445</v>
          </cell>
        </row>
        <row r="3337">
          <cell r="D3337" t="str">
            <v>10749463    -    CONN 4M    -    0.127285</v>
          </cell>
        </row>
        <row r="3338">
          <cell r="D3338" t="str">
            <v>10749464    -    CONNECTOR 10 BLK    -    0.263124</v>
          </cell>
        </row>
        <row r="3339">
          <cell r="D3339" t="str">
            <v>10749467    -    20 WAY HOUSING    -    0.14816</v>
          </cell>
        </row>
        <row r="3340">
          <cell r="D3340" t="str">
            <v>10749468    -    109675121    -    0.285699</v>
          </cell>
        </row>
        <row r="3341">
          <cell r="D3341" t="str">
            <v>10749472    -    CONNECTOR 4-WAY    -    0.062205</v>
          </cell>
        </row>
        <row r="3342">
          <cell r="D3342" t="str">
            <v>10749473    -    CONN 2F BLK    -    0.071543</v>
          </cell>
        </row>
        <row r="3343">
          <cell r="D3343" t="str">
            <v>10749475    -    CONN 2F    -    0.058495</v>
          </cell>
        </row>
        <row r="3344">
          <cell r="D3344" t="str">
            <v>10749675    -    COV BLK    -    0.018095</v>
          </cell>
        </row>
        <row r="3345">
          <cell r="D3345" t="str">
            <v>10749676    -    CENT ELEC CTR BLK    -    0.917831</v>
          </cell>
        </row>
        <row r="3346">
          <cell r="D3346" t="str">
            <v>10749696    -    COV. CONN    -    0.29125</v>
          </cell>
        </row>
        <row r="3347">
          <cell r="D3347" t="str">
            <v>10749715    -    CONN    -    0.08876</v>
          </cell>
        </row>
        <row r="3348">
          <cell r="D3348" t="str">
            <v>10749728    -    16.D94.93 SE ZF40-1 SI. V23540-M9099-Y25    -    0.03449</v>
          </cell>
        </row>
        <row r="3349">
          <cell r="D3349" t="str">
            <v>10749729    -    VERRIEGEL.FUER ZF59-1 KURZ    -    0.03449</v>
          </cell>
        </row>
        <row r="3350">
          <cell r="D3350" t="str">
            <v>10749730    -    VERRIEGEL FUERZF59-1 LANG    -    0.068993</v>
          </cell>
        </row>
        <row r="3351">
          <cell r="D3351" t="str">
            <v>10749731    -    59-POL.STECKHGEHAEUSE    -    0.386347</v>
          </cell>
        </row>
        <row r="3352">
          <cell r="D3352" t="str">
            <v>10749732    -    16.D93.96 CON ZF40-1 SI V23540-M9099-Y21    -    0.376618</v>
          </cell>
        </row>
        <row r="3353">
          <cell r="D3353" t="str">
            <v>10749735    -    16.D95.93 PE. ZF40-1 SI V23540-M9099-Y23    -    0.068993</v>
          </cell>
        </row>
        <row r="3354">
          <cell r="D3354" t="str">
            <v>10749744    -    CONNECTOR FEMALE    -    0.07717</v>
          </cell>
        </row>
        <row r="3355">
          <cell r="D3355" t="str">
            <v>10750173    -    ASW 2*0.3+SCR G+R    -    0.693164</v>
          </cell>
        </row>
        <row r="3356">
          <cell r="D3356" t="str">
            <v>10750174    -    ASW 2*0.3+SCR R+L    -    0.693164</v>
          </cell>
        </row>
        <row r="3357">
          <cell r="D3357" t="str">
            <v>10750175    -    ASW 0.5+SCR G    -    0.47473</v>
          </cell>
        </row>
        <row r="3358">
          <cell r="D3358" t="str">
            <v>10750186    -    ASW 2*0.5+SCR R+L    -    0.761723</v>
          </cell>
        </row>
        <row r="3359">
          <cell r="D3359" t="str">
            <v>10750196    -    ASW 2*0.5+SCR G+R    -    0.761723</v>
          </cell>
        </row>
        <row r="3360">
          <cell r="D3360" t="str">
            <v>10750199    -    ASW 2*0.5+SCR P+L    -    0.761723</v>
          </cell>
        </row>
        <row r="3361">
          <cell r="D3361" t="str">
            <v>10750296    -    ASW 4*0.5+SCR L/Y+L/G+W/L+O/L    -    1.391311</v>
          </cell>
        </row>
        <row r="3362">
          <cell r="D3362" t="str">
            <v>10750437    -    CONN, F8 WH    -    0.16503</v>
          </cell>
        </row>
        <row r="3363">
          <cell r="D3363" t="str">
            <v>10750438    -    CONN, 8 F BLK    -    0.255959</v>
          </cell>
        </row>
        <row r="3364">
          <cell r="D3364" t="str">
            <v>10750568    -    TB KUPPLUNG 4-POL (A) DC    -    0.061396</v>
          </cell>
        </row>
        <row r="3365">
          <cell r="D3365" t="str">
            <v>10750569    -    CONN 3W    -    0.29933</v>
          </cell>
        </row>
        <row r="3366">
          <cell r="D3366" t="str">
            <v>10750712    -    ASW 7*0.3+SCR BR+B+G+R+Y+W+L    -    1.383538</v>
          </cell>
        </row>
        <row r="3367">
          <cell r="D3367" t="str">
            <v>10750713    -    ASW 0.5+SCR W    -    0.47473</v>
          </cell>
        </row>
        <row r="3368">
          <cell r="D3368" t="str">
            <v>10751052    -    COV BLU    -    0.615279</v>
          </cell>
        </row>
        <row r="3369">
          <cell r="D3369" t="str">
            <v>10751079    -    ASW 3*0.5+SCR W+R+B    -    1.092361</v>
          </cell>
        </row>
        <row r="3370">
          <cell r="D3370" t="str">
            <v>10751084    -    6 WAY FEMALE CON DARK GRAY    -    0.429061</v>
          </cell>
        </row>
        <row r="3371">
          <cell r="D3371" t="str">
            <v>10751090    -    DV NUT M8 MET    -    0.029551</v>
          </cell>
        </row>
        <row r="3372">
          <cell r="D3372" t="str">
            <v>10751270    -    ACC3, CARRIER PLATE NAT    -    1.51627</v>
          </cell>
        </row>
        <row r="3373">
          <cell r="D3373" t="str">
            <v>10751317    -    DOPPEL NTC-KUPPLUNG 4-POL.    -    15.868023</v>
          </cell>
        </row>
        <row r="3374">
          <cell r="D3374" t="str">
            <v>10751612    -    1 WAY CONNECTOR F1-37    -    0.062367</v>
          </cell>
        </row>
        <row r="3375">
          <cell r="D3375" t="str">
            <v>10751614    -    CONN, VI    -    0.040212</v>
          </cell>
        </row>
        <row r="3376">
          <cell r="D3376" t="str">
            <v>10752105    -    BRACKET RLY BX BLK 24382 4M480    -    0.479696</v>
          </cell>
        </row>
        <row r="3377">
          <cell r="D3377" t="str">
            <v>10752106    -    COV RLY BOX BLACK 24380 4M480    -    3.685763</v>
          </cell>
        </row>
        <row r="3378">
          <cell r="D3378" t="str">
            <v>10752304    -    CONN, 16 F BLK    -    1.10542</v>
          </cell>
        </row>
        <row r="3379">
          <cell r="D3379" t="str">
            <v>10752304-L    -    BC CONNECTOR [ZFW16-1] [BK]    -    1.7591</v>
          </cell>
        </row>
        <row r="3380">
          <cell r="D3380" t="str">
            <v>10752364    -    802420 MOUN ZN/CROZ*HALTER D    -    0.10444</v>
          </cell>
        </row>
        <row r="3381">
          <cell r="D3381" t="str">
            <v>10752692    -    CONN 3 BLK    -    0.036702</v>
          </cell>
        </row>
        <row r="3382">
          <cell r="D3382" t="str">
            <v>10752694    -    CONN 10W    -    0.568483</v>
          </cell>
        </row>
        <row r="3383">
          <cell r="D3383" t="str">
            <v>10752764    -    CONN 2F    -    0.1037</v>
          </cell>
        </row>
        <row r="3384">
          <cell r="D3384" t="str">
            <v>10752765    -    6860.238 / 1520-00    -    0.067468</v>
          </cell>
        </row>
        <row r="3385">
          <cell r="D3385" t="str">
            <v>10752771    -    CX 2 CAV BK 8377212.9    -    0.164891</v>
          </cell>
        </row>
        <row r="3386">
          <cell r="D3386" t="str">
            <v>10752890    -    COVER HOUSING 16.P. BROWN    -    0.220754</v>
          </cell>
        </row>
        <row r="3387">
          <cell r="D3387" t="str">
            <v>10752891    -    COV BLK    -    0.206991</v>
          </cell>
        </row>
        <row r="3388">
          <cell r="D3388" t="str">
            <v>10753223    -    CONN 4 F P/C BLU    -    0.57751</v>
          </cell>
        </row>
        <row r="3389">
          <cell r="D3389" t="str">
            <v>10753394    -    CONNECTOR    -    0.484742</v>
          </cell>
        </row>
        <row r="3390">
          <cell r="D3390" t="str">
            <v>10753435    -    ACC3, DIODE 3A    -    1.004194</v>
          </cell>
        </row>
        <row r="3391">
          <cell r="D3391" t="str">
            <v>10753784    -    CONN 3M    -    0.15602</v>
          </cell>
        </row>
        <row r="3392">
          <cell r="D3392" t="str">
            <v>10753989    -    CONN,F,2-W,NATURAL,LOSE    -    0.024572</v>
          </cell>
        </row>
        <row r="3393">
          <cell r="D3393" t="str">
            <v>10754104    -    COVER HOUSING 75.P. YELLOW-BLUE    -    0.434627</v>
          </cell>
        </row>
        <row r="3394">
          <cell r="D3394" t="str">
            <v>10754105    -    CX P/CS1528E 16V BE    -    0.269871</v>
          </cell>
        </row>
        <row r="3395">
          <cell r="D3395" t="str">
            <v>10754184    -    CONN 9W    -    0.44967</v>
          </cell>
        </row>
        <row r="3396">
          <cell r="D3396" t="str">
            <v>10754216    -    2M CONNECTOR    -    0.04992</v>
          </cell>
        </row>
        <row r="3397">
          <cell r="D3397" t="str">
            <v>10756260    -    HOUSING 50.P. BLUE    -    0.862373</v>
          </cell>
        </row>
        <row r="3398">
          <cell r="D3398" t="str">
            <v>10756266    -    2-POL. STECKHUELGEH. (A)    -    0.044529</v>
          </cell>
        </row>
        <row r="3399">
          <cell r="D3399" t="str">
            <v>10756291    -    CON 10W    -    0.1454</v>
          </cell>
        </row>
        <row r="3400">
          <cell r="D3400" t="str">
            <v>10756292    -    CX CAIXA 10 PR 6901804.9    -    0.110647</v>
          </cell>
        </row>
        <row r="3401">
          <cell r="D3401" t="str">
            <v>10756293    -    CONNECTOR    -    0.1454</v>
          </cell>
        </row>
        <row r="3402">
          <cell r="D3402" t="str">
            <v>10756296    -    CON 10W    -    0.1454</v>
          </cell>
        </row>
        <row r="3403">
          <cell r="D3403" t="str">
            <v>10756320    -    CONN 090II 6M UNSLD BLUE    -    0.15055</v>
          </cell>
        </row>
        <row r="3404">
          <cell r="D3404" t="str">
            <v>10756334    -    DECKEL    -    0.517343</v>
          </cell>
        </row>
        <row r="3405">
          <cell r="D3405" t="str">
            <v>10756423    -    804999 POKRYWA 001 546 25 35    -    0.148308</v>
          </cell>
        </row>
        <row r="3406">
          <cell r="D3406" t="str">
            <v>10756491    -    CONNECTOR    -    2.345705</v>
          </cell>
        </row>
        <row r="3407">
          <cell r="D3407" t="str">
            <v>10756492    -    BUCHSENGEH. 10 POL. LKS 1,5 ELA COD. A    -    1.012016</v>
          </cell>
        </row>
        <row r="3408">
          <cell r="D3408" t="str">
            <v>10756510    -    9WAYS BLACK CONNECTOR    -    0.215993</v>
          </cell>
        </row>
        <row r="3409">
          <cell r="D3409" t="str">
            <v>10756522    -    CONN 2M SLEEVE BLK SEALED    -    0.185212</v>
          </cell>
        </row>
        <row r="3410">
          <cell r="D3410" t="str">
            <v>10756523    -    CONN 2M    -    0.162327</v>
          </cell>
        </row>
        <row r="3411">
          <cell r="D3411" t="str">
            <v>10756529    -    CONN 2 WAY    -    0.169816</v>
          </cell>
        </row>
        <row r="3412">
          <cell r="D3412" t="str">
            <v>10756545    -    805960 MOUN HALTER DC 612 159 0    -    0.188505</v>
          </cell>
        </row>
        <row r="3413">
          <cell r="D3413" t="str">
            <v>10756565    -    2F CONNECTOR    -    0.05408</v>
          </cell>
        </row>
        <row r="3414">
          <cell r="D3414" t="str">
            <v>10756566    -    CONNECTOR    -    0.05408</v>
          </cell>
        </row>
        <row r="3415">
          <cell r="D3415" t="str">
            <v>10756595    -    CONNECTOR    -    0.37833</v>
          </cell>
        </row>
        <row r="3416">
          <cell r="D3416" t="str">
            <v>10756613    -    CONN 32 F BLK    -    1.086892</v>
          </cell>
        </row>
        <row r="3417">
          <cell r="D3417" t="str">
            <v>10756614    -    CONN 32 F GRA    -    1.086892</v>
          </cell>
        </row>
        <row r="3418">
          <cell r="D3418" t="str">
            <v>10756623    -    VD CI 06A972741    -    0.01338</v>
          </cell>
        </row>
        <row r="3419">
          <cell r="D3419" t="str">
            <v>10756626    -    DV TAMPA PR    -    0.031849</v>
          </cell>
        </row>
        <row r="3420">
          <cell r="D3420" t="str">
            <v>10756627    -    806234 CONN 2 F RECEPTACLE BLK    -    0.166217</v>
          </cell>
        </row>
        <row r="3421">
          <cell r="D3421" t="str">
            <v>10756646    -    806320 COND CDT-FIT OUTLET MMBL    -    0.077318</v>
          </cell>
        </row>
        <row r="3422">
          <cell r="D3422" t="str">
            <v>10756673    -    CONN 7W    -    0.16033</v>
          </cell>
        </row>
        <row r="3423">
          <cell r="D3423" t="str">
            <v>10756674    -    CONNECTOR 7F    -    0.16033</v>
          </cell>
        </row>
        <row r="3424">
          <cell r="D3424" t="str">
            <v>10756675    -    CONNECTOR    -    0.136</v>
          </cell>
        </row>
        <row r="3425">
          <cell r="D3425" t="str">
            <v>10756682    -    ZFW14-2 CONNECTOR    -    1.421222</v>
          </cell>
        </row>
        <row r="3426">
          <cell r="D3426" t="str">
            <v>10756689    -    CX P/C8NG1E 2 CI 9630605380    -    0.445287</v>
          </cell>
        </row>
        <row r="3427">
          <cell r="D3427" t="str">
            <v>10756694    -    MICRO TIMER II CUFEAU    -    0.089692</v>
          </cell>
        </row>
        <row r="3428">
          <cell r="D3428" t="str">
            <v>10756742    -    STECKHLSENGEHUSE SLK 2.8 ELA 4-POL.    -    0.565731</v>
          </cell>
        </row>
        <row r="3429">
          <cell r="D3429" t="str">
            <v>10756754    -    CONNECTOR    -    0.24005</v>
          </cell>
        </row>
        <row r="3430">
          <cell r="D3430" t="str">
            <v>10756795    -    CONNECTOR    -    1.111099</v>
          </cell>
        </row>
        <row r="3431">
          <cell r="D3431" t="str">
            <v>10756819    -    6 WAY BLIND HOUSING    -    0.063015</v>
          </cell>
        </row>
        <row r="3432">
          <cell r="D3432" t="str">
            <v>10756820    -    4 WAY BLIND HOUSING    -    0.0623</v>
          </cell>
        </row>
        <row r="3433">
          <cell r="D3433" t="str">
            <v>10756821    -    2 WAY BLIND HOUSING    -    0.059466</v>
          </cell>
        </row>
        <row r="3434">
          <cell r="D3434" t="str">
            <v>10756822    -    3 WAY BLIND HOUSING    -    0.060883</v>
          </cell>
        </row>
        <row r="3435">
          <cell r="D3435" t="str">
            <v>10756926    -    CLIP    -    0.098543</v>
          </cell>
        </row>
        <row r="3436">
          <cell r="D3436" t="str">
            <v>10756973    -    CONNECTOR    -    0.144071</v>
          </cell>
        </row>
        <row r="3437">
          <cell r="D3437" t="str">
            <v>10756974    -    CONN 6 F QUADLOK MICRO BLK    -    0.108286</v>
          </cell>
        </row>
        <row r="3438">
          <cell r="D3438" t="str">
            <v>10756976    -    CONNECTOR    -    0.166268</v>
          </cell>
        </row>
        <row r="3439">
          <cell r="D3439" t="str">
            <v>10757055    -    6 WAY CONNECTOR BK    -    0.412228</v>
          </cell>
        </row>
        <row r="3440">
          <cell r="D3440" t="str">
            <v>10757091    -    CONNECTOR 1F    -    1.034955</v>
          </cell>
        </row>
        <row r="3441">
          <cell r="D3441" t="str">
            <v>10757113    -    CONNECTOR    -    0.301405</v>
          </cell>
        </row>
        <row r="3442">
          <cell r="D3442" t="str">
            <v>10757118    -    COVER SCHULTE K7130799    -    0.289707</v>
          </cell>
        </row>
        <row r="3443">
          <cell r="D3443" t="str">
            <v>10757119    -    809201 MISC TBD MULTI 24.00 15    -    2.0915</v>
          </cell>
        </row>
        <row r="3444">
          <cell r="D3444" t="str">
            <v>10757188    -    DECKEL    -    0.275943</v>
          </cell>
        </row>
        <row r="3445">
          <cell r="D3445" t="str">
            <v>10757204    -    4 WAY CONNECTOR    -    0.06171</v>
          </cell>
        </row>
        <row r="3446">
          <cell r="D3446" t="str">
            <v>10757212    -    CONNECTOR    -    0.61031</v>
          </cell>
        </row>
        <row r="3447">
          <cell r="D3447" t="str">
            <v>10757323    -    HOUSING 12.P. CE-FI    -    0.200109</v>
          </cell>
        </row>
        <row r="3448">
          <cell r="D3448" t="str">
            <v>10757470    -    CONNECTOR    -    0.20109</v>
          </cell>
        </row>
        <row r="3449">
          <cell r="D3449" t="str">
            <v>10757471    -    CONNECTOR 2 WAY    -    0.1055</v>
          </cell>
        </row>
        <row r="3450">
          <cell r="D3450" t="str">
            <v>10757508    -    STECKHLSENGEHUSE 2POL. SLK 2,8    -    0.205669</v>
          </cell>
        </row>
        <row r="3451">
          <cell r="D3451" t="str">
            <v>10757537    -    TUBE FOAM 80.00 GRA    -    0.327758</v>
          </cell>
        </row>
        <row r="3452">
          <cell r="D3452" t="str">
            <v>10757658    -    HOUSING 16.P. CE    -    0.476052</v>
          </cell>
        </row>
        <row r="3453">
          <cell r="D3453" t="str">
            <v>10757671    -    CONN 3F MISC BLE SEALED    -    0.36</v>
          </cell>
        </row>
        <row r="3454">
          <cell r="D3454" t="str">
            <v>10757672    -    ASM CONN 2F    -    0.27</v>
          </cell>
        </row>
        <row r="3455">
          <cell r="D3455" t="str">
            <v>10757676    -    CONN    -    0.3825</v>
          </cell>
        </row>
        <row r="3456">
          <cell r="D3456" t="str">
            <v>10757696    -    CONN 2 F RED    -    0.124141</v>
          </cell>
        </row>
        <row r="3457">
          <cell r="D3457" t="str">
            <v>10757755    -    HOUSING 2.P. YELLOW-BLACK    -    0.43891</v>
          </cell>
        </row>
        <row r="3458">
          <cell r="D3458" t="str">
            <v>10762248    -    COVER    -    0.07906</v>
          </cell>
        </row>
        <row r="3459">
          <cell r="D3459" t="str">
            <v>10762249    -    CONN 4F BLK    -    0.07211</v>
          </cell>
        </row>
        <row r="3460">
          <cell r="D3460" t="str">
            <v>10762269    -    LOCK 4 WAY YELLOW    -    0.052682</v>
          </cell>
        </row>
        <row r="3461">
          <cell r="D3461" t="str">
            <v>10762274    -    CONN,F,3-W,WHITE,ASSY    -    0.14117</v>
          </cell>
        </row>
        <row r="3462">
          <cell r="D3462" t="str">
            <v>10762289    -    CONN 4 M P/C GRA SLD    -    0.298342</v>
          </cell>
        </row>
        <row r="3463">
          <cell r="D3463" t="str">
            <v>10762290    -    813566 GROM    -    0.08447</v>
          </cell>
        </row>
        <row r="3464">
          <cell r="D3464" t="str">
            <v>10762311    -    CONN 2M    -    0.2122</v>
          </cell>
        </row>
        <row r="3465">
          <cell r="D3465" t="str">
            <v>10762327    -    RING TERMINAL    -    0.340415</v>
          </cell>
        </row>
        <row r="3466">
          <cell r="D3466" t="str">
            <v>10762334    -    CONNECTOR VOLVO 978310 POMYLKA!!!!!    -    0.272727</v>
          </cell>
        </row>
        <row r="3467">
          <cell r="D3467" t="str">
            <v>10762354    -    CONNECTEUR JPT 9V * 9636536080    -    0.539742</v>
          </cell>
        </row>
        <row r="3468">
          <cell r="D3468" t="str">
            <v>10762358    -    16.I22.96 CARCASA+LEVA 284360-1 AMP    -    0.377819</v>
          </cell>
        </row>
        <row r="3469">
          <cell r="D3469" t="str">
            <v>10762378    -    CONN 3-WAY    -    0.508437</v>
          </cell>
        </row>
        <row r="3470">
          <cell r="D3470" t="str">
            <v>10762407    -    STECKHLSENGEHUSE2POL.SLK2,8ELANL    -    0.265202</v>
          </cell>
        </row>
        <row r="3471">
          <cell r="D3471" t="str">
            <v>10762413    -    CONNECTOR    -    0.07072</v>
          </cell>
        </row>
        <row r="3472">
          <cell r="D3472" t="str">
            <v>10762418    -    CONNECOTR    -    0.114101</v>
          </cell>
        </row>
        <row r="3473">
          <cell r="D3473" t="str">
            <v>10762419    -    MALE CONNECTOR    -    0.271369</v>
          </cell>
        </row>
        <row r="3474">
          <cell r="D3474" t="str">
            <v>10762420    -    CONN 16W    -    0.26837</v>
          </cell>
        </row>
        <row r="3475">
          <cell r="D3475" t="str">
            <v>10762421    -    ABDECKKAPPE    -    0.48087</v>
          </cell>
        </row>
        <row r="3476">
          <cell r="D3476" t="str">
            <v>10762423    -    CONN 5 F BLK    -    0.651914</v>
          </cell>
        </row>
        <row r="3477">
          <cell r="D3477" t="str">
            <v>10762433    -    CONN 7 F RECEPTACLE BRN    -    0.467555</v>
          </cell>
        </row>
        <row r="3478">
          <cell r="D3478" t="str">
            <v>10762442    -    CONN 2F QUADLOCK M YEL    -    0.05409</v>
          </cell>
        </row>
        <row r="3479">
          <cell r="D3479" t="str">
            <v>10762443    -    6POL SLKSTECKERGEHAEUSE    -    0.271369</v>
          </cell>
        </row>
        <row r="3480">
          <cell r="D3480" t="str">
            <v>10762444    -    CONNECTOR 2M    -    0.04055</v>
          </cell>
        </row>
        <row r="3481">
          <cell r="D3481" t="str">
            <v>10762459    -    CONNECTOR    -    0.048347</v>
          </cell>
        </row>
        <row r="3482">
          <cell r="D3482" t="str">
            <v>10762462    -    FEMALE CONNECTOR    -    0.048347</v>
          </cell>
        </row>
        <row r="3483">
          <cell r="D3483" t="str">
            <v>10762537    -    CONNECTOR    -    0.815118</v>
          </cell>
        </row>
        <row r="3484">
          <cell r="D3484" t="str">
            <v>10762549    -    CONN HAW203    -    0.048347</v>
          </cell>
        </row>
        <row r="3485">
          <cell r="D3485" t="str">
            <v>10762604    -    CONN 2F TIMER    -    0.097154</v>
          </cell>
        </row>
        <row r="3486">
          <cell r="D3486" t="str">
            <v>10762662    -    CONNECTOR    -    0.286846</v>
          </cell>
        </row>
        <row r="3487">
          <cell r="D3487" t="str">
            <v>10762663    -    WDF 2 CONN    -    0.068426</v>
          </cell>
        </row>
        <row r="3488">
          <cell r="D3488" t="str">
            <v>10762665    -    3F CONNECTOR    -    0.04679</v>
          </cell>
        </row>
        <row r="3489">
          <cell r="D3489" t="str">
            <v>10762666    -    CONN 10-WAY    -    0.121428</v>
          </cell>
        </row>
        <row r="3490">
          <cell r="D3490" t="str">
            <v>10762670    -    27M CONNECTOR    -    3.55735</v>
          </cell>
        </row>
        <row r="3491">
          <cell r="D3491" t="str">
            <v>10762671    -    CONN 6F    -    0.10886</v>
          </cell>
        </row>
        <row r="3492">
          <cell r="D3492" t="str">
            <v>10762674    -    CONN 48F    -    0.98469</v>
          </cell>
        </row>
        <row r="3493">
          <cell r="D3493" t="str">
            <v>10762675    -    CONN    -    0.62758</v>
          </cell>
        </row>
        <row r="3494">
          <cell r="D3494" t="str">
            <v>10762693    -    CONN 3F    -    0.09639</v>
          </cell>
        </row>
        <row r="3495">
          <cell r="D3495" t="str">
            <v>10762696    -    CONNECOTR    -    0.048347</v>
          </cell>
        </row>
        <row r="3496">
          <cell r="D3496" t="str">
            <v>10762763    -    CONN 2F SLK    -    0.058495</v>
          </cell>
        </row>
        <row r="3497">
          <cell r="D3497" t="str">
            <v>10762840    -    CONNECTOR    -    0.123358</v>
          </cell>
        </row>
        <row r="3498">
          <cell r="D3498" t="str">
            <v>10762855    -    CONNECTOR    -    0.062178</v>
          </cell>
        </row>
        <row r="3499">
          <cell r="D3499" t="str">
            <v>10762856    -    CONNECTOR    -    0.067616</v>
          </cell>
        </row>
        <row r="3500">
          <cell r="D3500" t="str">
            <v>10762857    -    CONN, 3M MIC/Q BLU    -    0.065241</v>
          </cell>
        </row>
        <row r="3501">
          <cell r="D3501" t="str">
            <v>10762881    -    CONNECTOR 8M    -    0.176631</v>
          </cell>
        </row>
        <row r="3502">
          <cell r="D3502" t="str">
            <v>10762882    -    CONNECTOR    -    0.160573</v>
          </cell>
        </row>
        <row r="3503">
          <cell r="D3503" t="str">
            <v>10763003    -    RETAINER    -    0.021212</v>
          </cell>
        </row>
        <row r="3504">
          <cell r="D3504" t="str">
            <v>10763003N    -    LOCK,RETAINER,2-W,NATURA    -    0.021666</v>
          </cell>
        </row>
        <row r="3505">
          <cell r="D3505" t="str">
            <v>10763005    -    CONNECTOR 2W    -    0.426095</v>
          </cell>
        </row>
        <row r="3506">
          <cell r="D3506" t="str">
            <v>10763040    -    CONNECTOR    -    0.138633</v>
          </cell>
        </row>
        <row r="3507">
          <cell r="D3507" t="str">
            <v>10763041    -    CONNECTOR    -    0.138633</v>
          </cell>
        </row>
        <row r="3508">
          <cell r="D3508" t="str">
            <v>10763042    -    CONNECTOR    -    0.135408</v>
          </cell>
        </row>
        <row r="3509">
          <cell r="D3509" t="str">
            <v>10763046    -    COVER    -    0.118662</v>
          </cell>
        </row>
        <row r="3510">
          <cell r="D3510" t="str">
            <v>10763077    -    CONN 9F    -    0.47089</v>
          </cell>
        </row>
        <row r="3511">
          <cell r="D3511" t="str">
            <v>10763081    -    CONN 31F    -    1.65867</v>
          </cell>
        </row>
        <row r="3512">
          <cell r="D3512" t="str">
            <v>10763085    -    CONN COVER    -    0.26339</v>
          </cell>
        </row>
        <row r="3513">
          <cell r="D3513" t="str">
            <v>10763086    -    ACC1, DOUBLE LOCK PLATE    -    0.194483</v>
          </cell>
        </row>
        <row r="3514">
          <cell r="D3514" t="str">
            <v>10763087    -    ACC1, HOLDER    -    0.2186</v>
          </cell>
        </row>
        <row r="3515">
          <cell r="D3515" t="str">
            <v>10763102    -    CX P/L6NG1E 3V BE 9630604780    -    0.477537</v>
          </cell>
        </row>
        <row r="3516">
          <cell r="D3516" t="str">
            <v>10763103    -    CX P/LS1528EA 16V NR 9631226780    -    0.18891</v>
          </cell>
        </row>
        <row r="3517">
          <cell r="D3517" t="str">
            <v>10763104    -    CX P/LS1528EA 16V BE 963122728    -    0.22939</v>
          </cell>
        </row>
        <row r="3518">
          <cell r="D3518" t="str">
            <v>10763105    -    CONN 16 F GRA    -    0.269871</v>
          </cell>
        </row>
        <row r="3519">
          <cell r="D3519" t="str">
            <v>10763111    -    CX P/MCMQSF 40V GR 9632594380    -    0.134936</v>
          </cell>
        </row>
        <row r="3520">
          <cell r="D3520" t="str">
            <v>10763112    -    CX P/MCMQS8CC 34V OR 9635241680    -    0.505657</v>
          </cell>
        </row>
        <row r="3521">
          <cell r="D3521" t="str">
            <v>10763114    -    CONN 10 F BLK    -    0.248902</v>
          </cell>
        </row>
        <row r="3522">
          <cell r="D3522" t="str">
            <v>10763115    -    SUPPORT DE CONTACT    -    2.20768</v>
          </cell>
        </row>
        <row r="3523">
          <cell r="D3523" t="str">
            <v>10763159    -    CONNECTOR 12 WAY SEALED BLACK FEMALE    -    0.86125</v>
          </cell>
        </row>
        <row r="3524">
          <cell r="D3524" t="str">
            <v>10763218    -    CX 40 CAV 038 906    -    0.385214</v>
          </cell>
        </row>
        <row r="3525">
          <cell r="D3525" t="str">
            <v>10763258    -    CONNECTOR    -    0.39806</v>
          </cell>
        </row>
        <row r="3526">
          <cell r="D3526" t="str">
            <v>10763359    -    CONNECTOR    -    0.19207</v>
          </cell>
        </row>
        <row r="3527">
          <cell r="D3527" t="str">
            <v>10763407    -    CONNECTOR 4 WAY    -    0.07717</v>
          </cell>
        </row>
        <row r="3528">
          <cell r="D3528" t="str">
            <v>10763597    -    CONN 4F    -    0.103482</v>
          </cell>
        </row>
        <row r="3529">
          <cell r="D3529" t="str">
            <v>10763625    -    CONNECTOR    -    0.063069</v>
          </cell>
        </row>
        <row r="3530">
          <cell r="D3530" t="str">
            <v>10763631    -    COV BLK    -    0.137985</v>
          </cell>
        </row>
        <row r="3531">
          <cell r="D3531" t="str">
            <v>10763632    -    COV BLK    -    0.137985</v>
          </cell>
        </row>
        <row r="3532">
          <cell r="D3532" t="str">
            <v>10763633    -    LOCK 41 NAT    -    0.068993</v>
          </cell>
        </row>
        <row r="3533">
          <cell r="D3533" t="str">
            <v>10763655    -    CONN, 3F MICRO/TW BLU    -    0.053124</v>
          </cell>
        </row>
        <row r="3534">
          <cell r="D3534" t="str">
            <v>10763656    -    CONNECTOR    -    0.049332</v>
          </cell>
        </row>
        <row r="3535">
          <cell r="D3535" t="str">
            <v>10763657    -    CONNECTOR    -    0.054851</v>
          </cell>
        </row>
        <row r="3536">
          <cell r="D3536" t="str">
            <v>10763658    -    CONNECTOR    -    0.051748</v>
          </cell>
        </row>
        <row r="3537">
          <cell r="D3537" t="str">
            <v>10763659    -    CONN 4 F RECEPTACLE 1.5 GRA SEALED    -    0.489937</v>
          </cell>
        </row>
        <row r="3538">
          <cell r="D3538" t="str">
            <v>10763661    -    CONNECTOR    -    0.401379</v>
          </cell>
        </row>
        <row r="3539">
          <cell r="D3539" t="str">
            <v>10763674    -    818914 MISC    -    0.056309</v>
          </cell>
        </row>
        <row r="3540">
          <cell r="D3540" t="str">
            <v>10763694    -    18 PIN MQS FEMALE CONN. (BLACK)    -    0.2331</v>
          </cell>
        </row>
        <row r="3541">
          <cell r="D3541" t="str">
            <v>10763705    -    819189 CONN 9 M+F    -    2.766178</v>
          </cell>
        </row>
        <row r="3542">
          <cell r="D3542" t="str">
            <v>10763718    -    CONN 4 F BLK    -    0.136798</v>
          </cell>
        </row>
        <row r="3543">
          <cell r="D3543" t="str">
            <v>10763719    -    COUVERCLE    -    0.545004</v>
          </cell>
        </row>
        <row r="3544">
          <cell r="D3544" t="str">
            <v>10768257    -    CONN    -    0.11637</v>
          </cell>
        </row>
        <row r="3545">
          <cell r="D3545" t="str">
            <v>10768259    -    CONNECTOR    -    0.1255</v>
          </cell>
        </row>
        <row r="3546">
          <cell r="D3546" t="str">
            <v>10768260    -    CONNECTOR 56 WAY    -    1.3537</v>
          </cell>
        </row>
        <row r="3547">
          <cell r="D3547" t="str">
            <v>10768261    -    CONNECTOR 84 WAY    -    0.39249</v>
          </cell>
        </row>
        <row r="3548">
          <cell r="D3548" t="str">
            <v>10768266    -    DV COVER NAT 6906030.9    -    0.483717</v>
          </cell>
        </row>
        <row r="3549">
          <cell r="D3549" t="str">
            <v>10768268    -    DV SEC LOCK NAT 6906035.2    -    0.049805</v>
          </cell>
        </row>
        <row r="3550">
          <cell r="D3550" t="str">
            <v>10768303    -    CONNECTOR    -    0.06102</v>
          </cell>
        </row>
        <row r="3551">
          <cell r="D3551" t="str">
            <v>10768335    -    COV CONN HSG BLK    -    0.098773</v>
          </cell>
        </row>
        <row r="3552">
          <cell r="D3552" t="str">
            <v>10768336    -    CONN 6 F CLR    -    0.049386</v>
          </cell>
        </row>
        <row r="3553">
          <cell r="D3553" t="str">
            <v>10768337    -    CONN 6 M BLK    -    0.049386</v>
          </cell>
        </row>
        <row r="3554">
          <cell r="D3554" t="str">
            <v>10768367    -    CONNECTOR    -    0.47339</v>
          </cell>
        </row>
        <row r="3555">
          <cell r="D3555" t="str">
            <v>10768368    -    6-P BUCHSENGEH. KOD.A    -    0.191797</v>
          </cell>
        </row>
        <row r="3556">
          <cell r="D3556" t="str">
            <v>10768369    -    CONNECTOR    -    0.43663</v>
          </cell>
        </row>
        <row r="3557">
          <cell r="D3557" t="str">
            <v>10768401    -    COVER    -    0.625</v>
          </cell>
        </row>
        <row r="3558">
          <cell r="D3558" t="str">
            <v>10768402    -    COV BLK    -    0.189575</v>
          </cell>
        </row>
        <row r="3559">
          <cell r="D3559" t="str">
            <v>10768431    -    RETAINER    -    0.100041</v>
          </cell>
        </row>
        <row r="3560">
          <cell r="D3560" t="str">
            <v>10768478    -    CONN    -    0.26108</v>
          </cell>
        </row>
        <row r="3561">
          <cell r="D3561" t="str">
            <v>10768500    -    CONNECTOR 7283-4260-30    -    0.220215</v>
          </cell>
        </row>
        <row r="3562">
          <cell r="D3562" t="str">
            <v>10768515    -    CONNECTOR    -    0.13419</v>
          </cell>
        </row>
        <row r="3563">
          <cell r="D3563" t="str">
            <v>10768516    -    CONN    -    0.13419</v>
          </cell>
        </row>
        <row r="3564">
          <cell r="D3564" t="str">
            <v>10768544    -    CONNECTOR    -    0.224222</v>
          </cell>
        </row>
        <row r="3565">
          <cell r="D3565" t="str">
            <v>10768545    -    SR PLUG WEDGE, GREEN    -    0.02</v>
          </cell>
        </row>
        <row r="3566">
          <cell r="D3566" t="str">
            <v>10768564    -    CONN 2 F GRA SLD    -    0.212523</v>
          </cell>
        </row>
        <row r="3567">
          <cell r="D3567" t="str">
            <v>10768566    -    ASM CONN 0 F GRN SLD BASE 2    -    0.212523</v>
          </cell>
        </row>
        <row r="3568">
          <cell r="D3568" t="str">
            <v>10768568    -    CONN 3 F BLK SEALED    -    0.25098</v>
          </cell>
        </row>
        <row r="3569">
          <cell r="D3569" t="str">
            <v>10768578    -    CONN, M BK    -    0.300299</v>
          </cell>
        </row>
        <row r="3570">
          <cell r="D3570" t="str">
            <v>10768582    -    COVER    -    0.075564</v>
          </cell>
        </row>
        <row r="3571">
          <cell r="D3571" t="str">
            <v>10768602    -    CONNECTOR    -    0.098782</v>
          </cell>
        </row>
        <row r="3572">
          <cell r="D3572" t="str">
            <v>10768603    -    CONN 18F    -    0.05132</v>
          </cell>
        </row>
        <row r="3573">
          <cell r="D3573" t="str">
            <v>10768604    -    COV CONN QUAD NAT    -    0.269871</v>
          </cell>
        </row>
        <row r="3574">
          <cell r="D3574" t="str">
            <v>10768605    -    COVER    -    0.184</v>
          </cell>
        </row>
        <row r="3575">
          <cell r="D3575" t="str">
            <v>10768608    -    6 WAY CONN    -    0.27703</v>
          </cell>
        </row>
        <row r="3576">
          <cell r="D3576" t="str">
            <v>10768632    -    CONN, 48F BK    -    0.931379</v>
          </cell>
        </row>
        <row r="3577">
          <cell r="D3577" t="str">
            <v>10768648    -    CONN 8-WAY    -    0.17794</v>
          </cell>
        </row>
        <row r="3578">
          <cell r="D3578" t="str">
            <v>10768649    -    LOCK    -    0.02024</v>
          </cell>
        </row>
        <row r="3579">
          <cell r="D3579" t="str">
            <v>10768694    -    3-POL.GEHAEUSE AMP    -    0.110553</v>
          </cell>
        </row>
        <row r="3580">
          <cell r="D3580" t="str">
            <v>10768696    -    TERM F FASTON 4,8    -    0.015868</v>
          </cell>
        </row>
        <row r="3581">
          <cell r="D3581" t="str">
            <v>10768704    -    CONN 6 F GRA    -    0.43854</v>
          </cell>
        </row>
        <row r="3582">
          <cell r="D3582" t="str">
            <v>10768705    -    CONN 2 F BLU SEALED    -    0.212523</v>
          </cell>
        </row>
        <row r="3583">
          <cell r="D3583" t="str">
            <v>10768712    -    CONN 2F    -    0.08155</v>
          </cell>
        </row>
        <row r="3584">
          <cell r="D3584" t="str">
            <v>10768713    -    CONN 2F    -    0.08156</v>
          </cell>
        </row>
        <row r="3585">
          <cell r="D3585" t="str">
            <v>10768714    -    CONN 2F TIMER STD POWER    -    0.08156</v>
          </cell>
        </row>
        <row r="3586">
          <cell r="D3586" t="str">
            <v>10768776    -    COV CONN    -    1.638657</v>
          </cell>
        </row>
        <row r="3587">
          <cell r="D3587" t="str">
            <v>10768777    -    821984 CONN 7 F    -    0.79558</v>
          </cell>
        </row>
        <row r="3588">
          <cell r="D3588" t="str">
            <v>10768779    -    CONN    -    0.04077</v>
          </cell>
        </row>
        <row r="3589">
          <cell r="D3589" t="str">
            <v>10768808    -    CONN 6 F WHT    -    0.281502</v>
          </cell>
        </row>
        <row r="3590">
          <cell r="D3590" t="str">
            <v>10768809    -    CONN 8 F WHT    -    0.375984</v>
          </cell>
        </row>
        <row r="3591">
          <cell r="D3591" t="str">
            <v>10768810    -    CONN 4 F WHT    -    0.138201</v>
          </cell>
        </row>
        <row r="3592">
          <cell r="D3592" t="str">
            <v>10768838    -    CONN 12 F    -    0.079491</v>
          </cell>
        </row>
        <row r="3593">
          <cell r="D3593" t="str">
            <v>10768842    -    CONN, 6F ELO BLK    -    0.081407</v>
          </cell>
        </row>
        <row r="3594">
          <cell r="D3594" t="str">
            <v>10768843    -    CONNECTOR    -    0.110391</v>
          </cell>
        </row>
        <row r="3595">
          <cell r="D3595" t="str">
            <v>10768844    -    CONNECTOR    -    0.062632</v>
          </cell>
        </row>
        <row r="3596">
          <cell r="D3596" t="str">
            <v>10768847    -    CONN 2F    -    0.08155</v>
          </cell>
        </row>
        <row r="3597">
          <cell r="D3597" t="str">
            <v>10768875    -    CX 9 CAV BLK 6906560.1    -    0.333941</v>
          </cell>
        </row>
        <row r="3598">
          <cell r="D3598" t="str">
            <v>10768911    -    CONN 6M    -    0.17826</v>
          </cell>
        </row>
        <row r="3599">
          <cell r="D3599" t="str">
            <v>10768914    -    CONN, F BL    -    0.1459</v>
          </cell>
        </row>
        <row r="3600">
          <cell r="D3600" t="str">
            <v>10768916    -    CONN 10F    -    0.272516</v>
          </cell>
        </row>
        <row r="3601">
          <cell r="D3601" t="str">
            <v>10768925    -    CONNECTOR    -    0.129633</v>
          </cell>
        </row>
        <row r="3602">
          <cell r="D3602" t="str">
            <v>10768952    -    CONN, F BU    -    0.391866</v>
          </cell>
        </row>
        <row r="3603">
          <cell r="D3603" t="str">
            <v>10768957    -    CONN, BU    -    0.849972</v>
          </cell>
        </row>
        <row r="3604">
          <cell r="D3604" t="str">
            <v>10768966    -    CONN 6 M GRN SLD    -    0.119931</v>
          </cell>
        </row>
        <row r="3605">
          <cell r="D3605" t="str">
            <v>10768980    -    CONNECTOR 3F    -    0.0527</v>
          </cell>
        </row>
        <row r="3606">
          <cell r="D3606" t="str">
            <v>10769076    -    823909 CONN 4 M GRN    -    1.342203</v>
          </cell>
        </row>
        <row r="3607">
          <cell r="D3607" t="str">
            <v>10769084    -    CONNECTOR VOLVO 9168807    -    0.2528</v>
          </cell>
        </row>
        <row r="3608">
          <cell r="D3608" t="str">
            <v>10769117    -    4WAY CONNECTOR    -    0.13805</v>
          </cell>
        </row>
        <row r="3609">
          <cell r="D3609" t="str">
            <v>10769128    -    CONNECTOR VOLVO 9168590    -    0.18736</v>
          </cell>
        </row>
        <row r="3610">
          <cell r="D3610" t="str">
            <v>10769133    -    ACC2,COVER CONNECTOR TIMER BLK    -    0.262045</v>
          </cell>
        </row>
        <row r="3611">
          <cell r="D3611" t="str">
            <v>10769149    -    CONN 4WAY    -    0.18205</v>
          </cell>
        </row>
        <row r="3612">
          <cell r="D3612" t="str">
            <v>10769184    -    CONNECTOR 3F    -    0.246</v>
          </cell>
        </row>
        <row r="3613">
          <cell r="D3613" t="str">
            <v>10769193    -    CONNECTOR 12W BLACK    -    0.519502</v>
          </cell>
        </row>
        <row r="3614">
          <cell r="D3614" t="str">
            <v>10769208    -    CONN, 2M MIC/Q BLK    -    0.121442</v>
          </cell>
        </row>
        <row r="3615">
          <cell r="D3615" t="str">
            <v>10769212    -    SECONDARY LOCK BLACK    -    0.286314</v>
          </cell>
        </row>
        <row r="3616">
          <cell r="D3616" t="str">
            <v>10769213    -    30 WAY FEMALE CONNECTOR BLACK    -    1.076273</v>
          </cell>
        </row>
        <row r="3617">
          <cell r="D3617" t="str">
            <v>10769227    -    CONN 3F    -    0.0527</v>
          </cell>
        </row>
        <row r="3618">
          <cell r="D3618" t="str">
            <v>10769228    -    CONN 3F QUADLOCK MICRO YEL    -    0.0527</v>
          </cell>
        </row>
        <row r="3619">
          <cell r="D3619" t="str">
            <v>10769229    -    13 WAY CONNECTOR BK    -    0.310595</v>
          </cell>
        </row>
        <row r="3620">
          <cell r="D3620" t="str">
            <v>10769254    -    ABDECKKAPPE ZF50-3 NEU    -    0.407046</v>
          </cell>
        </row>
        <row r="3621">
          <cell r="D3621" t="str">
            <v>10769256    -    ABDECKKAPPE ZF50-4 NEU    -    0.45534</v>
          </cell>
        </row>
        <row r="3622">
          <cell r="D3622" t="str">
            <v>10769257    -    ABDECKKAPPE ZF50-6 NEU    -    0.45534</v>
          </cell>
        </row>
        <row r="3623">
          <cell r="D3623" t="str">
            <v>10769306    -    COVER GREEN    -    0.33284</v>
          </cell>
        </row>
        <row r="3624">
          <cell r="D3624" t="str">
            <v>10769314    -    MISC - PROTECTOR WHT    -    0.825805</v>
          </cell>
        </row>
        <row r="3625">
          <cell r="D3625" t="str">
            <v>10769320    -    CONN, 2 BK HFM 2-2    -    0.081</v>
          </cell>
        </row>
        <row r="3626">
          <cell r="D3626" t="str">
            <v>10769321    -    CONN, BU HFF 2-3 FOR Z1    -    0.096587</v>
          </cell>
        </row>
        <row r="3627">
          <cell r="D3627" t="str">
            <v>10769322    -    CONN, BU (HFF 2-1)    -    0.0698</v>
          </cell>
        </row>
        <row r="3628">
          <cell r="D3628" t="str">
            <v>10769325    -    COVER BLACK    -    0.501044</v>
          </cell>
        </row>
        <row r="3629">
          <cell r="D3629" t="str">
            <v>10769345    -    CONNECTOR 1W YELLOW    -    0.007961</v>
          </cell>
        </row>
        <row r="3630">
          <cell r="D3630" t="str">
            <v>10769390    -    ASS CONN    -    0.11032</v>
          </cell>
        </row>
        <row r="3631">
          <cell r="D3631" t="str">
            <v>10769393    -    CONN,F,2-W,WHITE,,ASSY    -    0.0432</v>
          </cell>
        </row>
        <row r="3632">
          <cell r="D3632" t="str">
            <v>10769397    -    20 WAY CONNECTOR BLACK    -    0.267901</v>
          </cell>
        </row>
        <row r="3633">
          <cell r="D3633" t="str">
            <v>10769451    -    CONN    -    0.29124</v>
          </cell>
        </row>
        <row r="3634">
          <cell r="D3634" t="str">
            <v>10769454    -    CONN    -    0.75237</v>
          </cell>
        </row>
        <row r="3635">
          <cell r="D3635" t="str">
            <v>10769466    -    CONN 13 BLK    -    1.257477</v>
          </cell>
        </row>
        <row r="3636">
          <cell r="D3636" t="str">
            <v>10769486    -    CONN    -    0.099</v>
          </cell>
        </row>
        <row r="3637">
          <cell r="D3637" t="str">
            <v>10769487    -    CONNECTOR    -    0.07697</v>
          </cell>
        </row>
        <row r="3638">
          <cell r="D3638" t="str">
            <v>10769567    -    MOUN BRACKET CONN    -    0.526841</v>
          </cell>
        </row>
        <row r="3639">
          <cell r="D3639" t="str">
            <v>10769568    -    MOUN FITTING    -    0.094831</v>
          </cell>
        </row>
        <row r="3640">
          <cell r="D3640" t="str">
            <v>10769573    -    CONN 7M PIN 1.5BLK SEALED    -    0.84541</v>
          </cell>
        </row>
        <row r="3641">
          <cell r="D3641" t="str">
            <v>10769576    -    CONN 10 F BLK    -    0.458781</v>
          </cell>
        </row>
        <row r="3642">
          <cell r="D3642" t="str">
            <v>10769578    -    COV BLK    -    1.776207</v>
          </cell>
        </row>
        <row r="3643">
          <cell r="D3643" t="str">
            <v>10769590    -    COV BLK    -    1.776207</v>
          </cell>
        </row>
        <row r="3644">
          <cell r="D3644" t="str">
            <v>10769597    -    CONNECTOR    -    0.246824</v>
          </cell>
        </row>
        <row r="3645">
          <cell r="D3645" t="str">
            <v>10769598    -    FEMALE CONNECTOR    -    0.120255</v>
          </cell>
        </row>
        <row r="3646">
          <cell r="D3646" t="str">
            <v>10774235    -    CONNECTOR    -    0.158684</v>
          </cell>
        </row>
        <row r="3647">
          <cell r="D3647" t="str">
            <v>10774285    -    SCHUTZKAPPE    -    0.317368</v>
          </cell>
        </row>
        <row r="3648">
          <cell r="D3648" t="str">
            <v>10774352    -    CONN, 17MXD SPLICE COVER BLK    -    0.064229</v>
          </cell>
        </row>
        <row r="3649">
          <cell r="D3649" t="str">
            <v>10774353    -    MISC    -    0.110512</v>
          </cell>
        </row>
        <row r="3650">
          <cell r="D3650" t="str">
            <v>10774354    -    CONNECTOR    -    0.034139</v>
          </cell>
        </row>
        <row r="3651">
          <cell r="D3651" t="str">
            <v>10774356    -    MISC    -    0.088788</v>
          </cell>
        </row>
        <row r="3652">
          <cell r="D3652" t="str">
            <v>10774358    -    OTHE - CARRIER PLATE NAT    -    2.071935</v>
          </cell>
        </row>
        <row r="3653">
          <cell r="D3653" t="str">
            <v>10774359    -    CONN, 3 SPLICE COVER BLK    -    0.016732</v>
          </cell>
        </row>
        <row r="3654">
          <cell r="D3654" t="str">
            <v>10774360    -    CONNECTOR    -    0.02186</v>
          </cell>
        </row>
        <row r="3655">
          <cell r="D3655" t="str">
            <v>10774363    -    MISC    -    0.039536</v>
          </cell>
        </row>
        <row r="3656">
          <cell r="D3656" t="str">
            <v>10774364    -    CONNECTOR    -    0.115235</v>
          </cell>
        </row>
        <row r="3657">
          <cell r="D3657" t="str">
            <v>10774366    -    CONN, 9 W SPLICE COVER BLK    -    0.03198</v>
          </cell>
        </row>
        <row r="3658">
          <cell r="D3658" t="str">
            <v>10774367    -    CONN, 7 W SPLICE COVER BLK    -    0.024558</v>
          </cell>
        </row>
        <row r="3659">
          <cell r="D3659" t="str">
            <v>10774377    -    HOUSING 29.P. JPT+MT TES. BLACK    -    1.138316</v>
          </cell>
        </row>
        <row r="3660">
          <cell r="D3660" t="str">
            <v>10774403    -    01.A19.02 TERM AMP 1318306-1 0,75-2,5MM    -    0.022305</v>
          </cell>
        </row>
        <row r="3661">
          <cell r="D3661" t="str">
            <v>10774406    -    14.916.96 CARCASA AMP NEGRA 60 VIAS    -    0.62575</v>
          </cell>
        </row>
        <row r="3662">
          <cell r="D3662" t="str">
            <v>10774408    -    TPA SEC LOCK    -    3.18982</v>
          </cell>
        </row>
        <row r="3663">
          <cell r="D3663" t="str">
            <v>10774425    -    CONNECTOR 3F    -    0.71303</v>
          </cell>
        </row>
        <row r="3664">
          <cell r="D3664" t="str">
            <v>10774426    -    CAVITY PLUG    -    0.027</v>
          </cell>
        </row>
        <row r="3665">
          <cell r="D3665" t="str">
            <v>10774430    -    CLAMP    -    1.84348</v>
          </cell>
        </row>
        <row r="3666">
          <cell r="D3666" t="str">
            <v>10774431    -    ACC1, CPA    -    0.0288</v>
          </cell>
        </row>
        <row r="3667">
          <cell r="D3667" t="str">
            <v>10774437    -    CONN 10 F FUSE BLK    -    0.752373</v>
          </cell>
        </row>
        <row r="3668">
          <cell r="D3668" t="str">
            <v>10774444    -    615428 MDSC 243 GY    -    0.19822</v>
          </cell>
        </row>
        <row r="3669">
          <cell r="D3669" t="str">
            <v>10774468    -    CONN, 26F MODU 4 UNSLD YEL    -    0.426787</v>
          </cell>
        </row>
        <row r="3670">
          <cell r="D3670" t="str">
            <v>10774469    -    609617 ZUGENTLASTUNG    -    0.057885</v>
          </cell>
        </row>
        <row r="3671">
          <cell r="D3671" t="str">
            <v>10774536    -    CONNECTOR 16W BLACK    -    0.267172</v>
          </cell>
        </row>
        <row r="3672">
          <cell r="D3672" t="str">
            <v>10774541    -    GROMMET FIAT 7744733    -    0.248092</v>
          </cell>
        </row>
        <row r="3673">
          <cell r="D3673" t="str">
            <v>10774544    -    MOUN CLIP 7.00 0.00 NONE CONN    -    0.055971</v>
          </cell>
        </row>
        <row r="3674">
          <cell r="D3674" t="str">
            <v>10774560    -    CONN 5 F 250 BRN    -    0.244802</v>
          </cell>
        </row>
        <row r="3675">
          <cell r="D3675" t="str">
            <v>10774586    -    CONNECTOR, 172165-1   -    0.0819</v>
          </cell>
        </row>
        <row r="3676">
          <cell r="D3676" t="str">
            <v>10774599    -    CONNECTOR    -    0.276618</v>
          </cell>
        </row>
        <row r="3677">
          <cell r="D3677" t="str">
            <v>10774600    -    CONTACT PIN    -    0.14471</v>
          </cell>
        </row>
        <row r="3678">
          <cell r="D3678" t="str">
            <v>10774603    -    639619 CNCN.ASM M 4 *    -    0.111052</v>
          </cell>
        </row>
        <row r="3679">
          <cell r="D3679" t="str">
            <v>10774610    -    01.118.05 TER AMP 0-1,5 FASTON 6,3 SERIE    -    0.026677</v>
          </cell>
        </row>
        <row r="3680">
          <cell r="D3680" t="str">
            <v>10774611    -    804741 COVER ABDECKKA.+HEBEL F. ST    -    0.428434</v>
          </cell>
        </row>
        <row r="3681">
          <cell r="D3681" t="str">
            <v>10774612    -    DV COVER GR 1744640.9    -    0.272219</v>
          </cell>
        </row>
        <row r="3682">
          <cell r="D3682" t="str">
            <v>10774634    -    COV CONN BLK    -    0.100392</v>
          </cell>
        </row>
        <row r="3683">
          <cell r="D3683" t="str">
            <v>10774636    -    CONNECTOR    -    0.035623</v>
          </cell>
        </row>
        <row r="3684">
          <cell r="D3684" t="str">
            <v>10774638    -    CONN 3F BLK SEALED    -    0.142883</v>
          </cell>
        </row>
        <row r="3685">
          <cell r="D3685" t="str">
            <v>12124264     - TPA M/P 150   -   0.0272</v>
          </cell>
        </row>
        <row r="3686">
          <cell r="D3686" t="str">
            <v>10774640    -    SPACER    -    0.01416</v>
          </cell>
        </row>
        <row r="3687">
          <cell r="D3687" t="str">
            <v>10774651    -    CONN 14 F BLK SEALED    -    0.248376</v>
          </cell>
        </row>
        <row r="3688">
          <cell r="D3688" t="str">
            <v>10774731    -    ACC3, BUTYL STRIPE 50MM    -    0.053563</v>
          </cell>
        </row>
        <row r="3689">
          <cell r="D3689" t="str">
            <v>10774784    -    608711 ZUGENTLASTUNGSBUEG    -    0.089692</v>
          </cell>
        </row>
        <row r="3690">
          <cell r="D3690" t="str">
            <v>10774785    -    609301 KABELUMLENKBUEGEL    -    0.075888</v>
          </cell>
        </row>
        <row r="3691">
          <cell r="D3691" t="str">
            <v>10774786    -    609889 ZUGENTLASTUNGSBUEG    -    0.082796</v>
          </cell>
        </row>
        <row r="3692">
          <cell r="D3692" t="str">
            <v>10774787    -    612152 ZUGENTLASTUNGSBUEG    -    0.082796</v>
          </cell>
        </row>
        <row r="3693">
          <cell r="D3693" t="str">
            <v>10774789    -    2-P STECKHUELSENGEH.    -    0.517437</v>
          </cell>
        </row>
        <row r="3694">
          <cell r="D3694" t="str">
            <v>10774791    -    2-P STECKHUELSENGEH.    -    0.532955</v>
          </cell>
        </row>
        <row r="3695">
          <cell r="D3695" t="str">
            <v>10774794    -    2-P STECKHUEG. SIEMENS    -    0.517437</v>
          </cell>
        </row>
        <row r="3696">
          <cell r="D3696" t="str">
            <v>10774798    -    ACC3, RELAY RED    -    1.376342</v>
          </cell>
        </row>
        <row r="3697">
          <cell r="D3697" t="str">
            <v>10774828    -    TUELLE    -    0.359603</v>
          </cell>
        </row>
        <row r="3698">
          <cell r="D3698" t="str">
            <v>10774841    -    CONNECTOR 2 WAY FEMALE GRAY    -    0.195656</v>
          </cell>
        </row>
        <row r="3699">
          <cell r="D3699" t="str">
            <v>10774852    -    CONN 6F    -    0.198</v>
          </cell>
        </row>
        <row r="3700">
          <cell r="D3700" t="str">
            <v>10774854    -    3W CONN    -    0.05271</v>
          </cell>
        </row>
        <row r="3701">
          <cell r="D3701" t="str">
            <v>10774855    -    CONN 42F    -    1.33751</v>
          </cell>
        </row>
        <row r="3702">
          <cell r="D3702" t="str">
            <v>10774859    -    TUELLE    -    0.340982</v>
          </cell>
        </row>
        <row r="3703">
          <cell r="D3703" t="str">
            <v>10774897    -    CONN    -    0.198</v>
          </cell>
        </row>
        <row r="3704">
          <cell r="D3704" t="str">
            <v>10774903    -    CONN 8M    -    0.1061</v>
          </cell>
        </row>
        <row r="3705">
          <cell r="D3705" t="str">
            <v>10774923    -    MALE CONN.4-WAY    -    0.44499</v>
          </cell>
        </row>
        <row r="3706">
          <cell r="D3706" t="str">
            <v>10774928    -    STECKHLSENGEH. 3-POL. SLK 2,8 ELA COD A VERR. 3    -    0.327893</v>
          </cell>
        </row>
        <row r="3707">
          <cell r="D3707" t="str">
            <v>10774930    -    BUCHSENGEHUSE12-POL.LKS1,5(OHNEKB,DECKELSW.)    -    0.540538</v>
          </cell>
        </row>
        <row r="3708">
          <cell r="D3708" t="str">
            <v>10774931    -    STECKHLSENGEH. 2-POL. SLK 2,8 ELA COD A VERR. 3    -    0.379452</v>
          </cell>
        </row>
        <row r="3709">
          <cell r="D3709" t="str">
            <v>10774932    -    STECKER3-POL.    -    0.394187</v>
          </cell>
        </row>
        <row r="3710">
          <cell r="D3710" t="str">
            <v>10774934    -    STECKHLSENGEHUSE2-POL.SLK2,8ELA-COD.B-VERR.3    -    0.249631</v>
          </cell>
        </row>
        <row r="3711">
          <cell r="D3711" t="str">
            <v>10774939    -    STECKER3-FACH    -    0.635668</v>
          </cell>
        </row>
        <row r="3712">
          <cell r="D3712" t="str">
            <v>10775005    -    HOUSING    -    0.59844</v>
          </cell>
        </row>
        <row r="3713">
          <cell r="D3713" t="str">
            <v>10775015    -    COVER BU    -    0.607129</v>
          </cell>
        </row>
        <row r="3714">
          <cell r="D3714" t="str">
            <v>10775016    -    SOCKET HEADER WH    -    1.414326</v>
          </cell>
        </row>
        <row r="3715">
          <cell r="D3715" t="str">
            <v>10775040    -    LOCK    -    0.128391</v>
          </cell>
        </row>
        <row r="3716">
          <cell r="D3716" t="str">
            <v>10775043    -    CONN 2F NAT    -    0.078654</v>
          </cell>
        </row>
        <row r="3717">
          <cell r="D3717" t="str">
            <v>10775048    -    STECKHLSENGEHUSE SLK 2,8-ELA 2-POL.    -    0.344895</v>
          </cell>
        </row>
        <row r="3718">
          <cell r="D3718" t="str">
            <v>10775083    -    SPACER    -    0.02518</v>
          </cell>
        </row>
        <row r="3719">
          <cell r="D3719" t="str">
            <v>10775088    -    KUPPLUNG 8-POL.    -    0.104777</v>
          </cell>
        </row>
        <row r="3720">
          <cell r="D3720" t="str">
            <v>10775230    -    CONNECTOR    -    0.010984</v>
          </cell>
        </row>
        <row r="3721">
          <cell r="D3721" t="str">
            <v>10775322    -    CONN, ASM 3F DL 090 SLD GRA DK    -    0.445348</v>
          </cell>
        </row>
        <row r="3722">
          <cell r="D3722" t="str">
            <v>10775323    -    CONNECTOR    -    0.262854</v>
          </cell>
        </row>
        <row r="3723">
          <cell r="D3723" t="str">
            <v>10775324    -    CONNECTOR    -    0.359194</v>
          </cell>
        </row>
        <row r="3724">
          <cell r="D3724" t="str">
            <v>10775361    -    CONN, ASM 2M 070 SLD, GRA    -    0.322299</v>
          </cell>
        </row>
        <row r="3725">
          <cell r="D3725" t="str">
            <v>10775370    -    DV CARAPU. 7034-1278    -    0.08948</v>
          </cell>
        </row>
        <row r="3726">
          <cell r="D3726" t="str">
            <v>10775371    -    CONN, ASM 2F 058W/110 SLD GRN    -    0.945786</v>
          </cell>
        </row>
        <row r="3727">
          <cell r="D3727" t="str">
            <v>10775376    -    CX YAZAKI 4 CY 7703297472    -    0.06214</v>
          </cell>
        </row>
        <row r="3728">
          <cell r="D3728" t="str">
            <v>10775382    -    CONN, 1M    -    0.035387</v>
          </cell>
        </row>
        <row r="3729">
          <cell r="D3729" t="str">
            <v>10775399    -    CONNECTOR    -    0.70605</v>
          </cell>
        </row>
        <row r="3730">
          <cell r="D3730" t="str">
            <v>10775400    -    REAR HOLDER X TYPE 4P BLACK    -    0.5349</v>
          </cell>
        </row>
        <row r="3731">
          <cell r="D3731" t="str">
            <v>10775455    -    CONNECTOR    -    0.413334</v>
          </cell>
        </row>
        <row r="3732">
          <cell r="D3732" t="str">
            <v>10775456    -    CONNECTOR    -    0.413334</v>
          </cell>
        </row>
        <row r="3733">
          <cell r="D3733" t="str">
            <v>10775479    -    CONNECTOR    -    0.042044</v>
          </cell>
        </row>
        <row r="3734">
          <cell r="D3734" t="str">
            <v>10775482    -    CX CX-MT EDGE 0 PR 3B090638    -    2.621662</v>
          </cell>
        </row>
        <row r="3735">
          <cell r="D3735" t="str">
            <v>10775483    -    CX CX-MT EDGE 0 PR 3B090637    -    1.828241</v>
          </cell>
        </row>
        <row r="3736">
          <cell r="D3736" t="str">
            <v>10775485    -    CX CONNECTOR    -    0.408004</v>
          </cell>
        </row>
        <row r="3737">
          <cell r="D3737" t="str">
            <v>10775486    -    CX 5 CAV BK 8364876.    -    0.169223</v>
          </cell>
        </row>
        <row r="3738">
          <cell r="D3738" t="str">
            <v>10775584    -    CONN 4F    -    0.88066</v>
          </cell>
        </row>
        <row r="3739">
          <cell r="D3739" t="str">
            <v>10775729    -    COV RED    -    0.345961</v>
          </cell>
        </row>
        <row r="3740">
          <cell r="D3740" t="str">
            <v>10775732    -    12-P STECKHUELSENG. ZF12-1    -    0.372557</v>
          </cell>
        </row>
        <row r="3741">
          <cell r="D3741" t="str">
            <v>10775735    -    TB KUPPLUNG 2-POLIG (A)    -    0.04967</v>
          </cell>
        </row>
        <row r="3742">
          <cell r="D3742" t="str">
            <v>10775746    -    CONN 32 M    -    0.28349</v>
          </cell>
        </row>
        <row r="3743">
          <cell r="D3743" t="str">
            <v>10775750    -    ACC2, COVER BLK    -    0.054649</v>
          </cell>
        </row>
        <row r="3744">
          <cell r="D3744" t="str">
            <v>10775751    -    CONN 5F    -    0.08461</v>
          </cell>
        </row>
        <row r="3745">
          <cell r="D3745" t="str">
            <v>10775784    -    STECKHLSENGEH. 3-POL. SLK 2,8 ELA COD B VERR. 3    -    0.327893</v>
          </cell>
        </row>
        <row r="3746">
          <cell r="D3746" t="str">
            <v>10775832    -    2-P ST-GEH. MISC    -    0.118662</v>
          </cell>
        </row>
        <row r="3747">
          <cell r="D3747" t="str">
            <v>10775833    -    ACC2, COVER BLK    -    0.07806</v>
          </cell>
        </row>
        <row r="3748">
          <cell r="D3748" t="str">
            <v>10775834    -    627583 CNCO 24 BK    -    0.737949</v>
          </cell>
        </row>
        <row r="3749">
          <cell r="D3749" t="str">
            <v>10775847    -    CONN, 2M MICRO/TW NAT    -    0.118662</v>
          </cell>
        </row>
        <row r="3750">
          <cell r="D3750" t="str">
            <v>10775849    -    CONNECTOR    -    0.312133</v>
          </cell>
        </row>
        <row r="3751">
          <cell r="D3751" t="str">
            <v>10775853    -    CONN 2F RECEPTACLE HOUSING    -    0.165766</v>
          </cell>
        </row>
        <row r="3752">
          <cell r="D3752" t="str">
            <v>10775856    -    CONN F 30-WAY    -    0.31073</v>
          </cell>
        </row>
        <row r="3753">
          <cell r="D3753" t="str">
            <v>10775860    -    CONN 6W    -    0.07846</v>
          </cell>
        </row>
        <row r="3754">
          <cell r="D3754" t="str">
            <v>10775861    -    CONNECTOR    -    0.212814</v>
          </cell>
        </row>
        <row r="3755">
          <cell r="D3755" t="str">
            <v>10775867    -    CX 2 CAV YE 8380742.    -    0.305804</v>
          </cell>
        </row>
        <row r="3756">
          <cell r="D3756" t="str">
            <v>10775895    -    CONNECTOR    -    0.155459</v>
          </cell>
        </row>
        <row r="3757">
          <cell r="D3757" t="str">
            <v>10775896    -    DV TAMPA SW 8373308.1    -    0.147404</v>
          </cell>
        </row>
        <row r="3758">
          <cell r="D3758" t="str">
            <v>10775898    -    CONNECTOR    -    0.631957</v>
          </cell>
        </row>
        <row r="3759">
          <cell r="D3759" t="str">
            <v>10775908    -    COVER CONN    -    0.34228</v>
          </cell>
        </row>
        <row r="3760">
          <cell r="D3760" t="str">
            <v>10775939    -    CONN 14 M    -    0.33526</v>
          </cell>
        </row>
        <row r="3761">
          <cell r="D3761" t="str">
            <v>10775943    -    CONN 1 M 250 NAT    -    0.244802</v>
          </cell>
        </row>
        <row r="3762">
          <cell r="D3762" t="str">
            <v>10775959    -    CONNECTOR    -    0.209806</v>
          </cell>
        </row>
        <row r="3763">
          <cell r="D3763" t="str">
            <v>10775962    -    CONNECTOR    -    0.025233</v>
          </cell>
        </row>
        <row r="3764">
          <cell r="D3764" t="str">
            <v>10775997    -    CONN 6 F    -    0.102896</v>
          </cell>
        </row>
        <row r="3765">
          <cell r="D3765" t="str">
            <v>10776002    -    CX 4 CAV NT (REN.8200061919)    -    0.12796</v>
          </cell>
        </row>
        <row r="3766">
          <cell r="D3766" t="str">
            <v>10776019    -    CONN 2 F BLK    -    0.097275</v>
          </cell>
        </row>
        <row r="3767">
          <cell r="D3767" t="str">
            <v>10776058    -    CONN 8 F MDK BLK    -    0.557216</v>
          </cell>
        </row>
        <row r="3768">
          <cell r="D3768" t="str">
            <v>10776279    -    CONNECTOR    -    0.08404</v>
          </cell>
        </row>
        <row r="3769">
          <cell r="D3769" t="str">
            <v>10776315    -    DIODE ASSY    -    1.06315</v>
          </cell>
        </row>
        <row r="3770">
          <cell r="D3770" t="str">
            <v>10776323    -    CONN, ASM 2F YEL W/ WIRE 1300 MM    -    1.000444</v>
          </cell>
        </row>
        <row r="3771">
          <cell r="D3771" t="str">
            <v>10776369    -    16.G30.03 CO YAZAKI 7228-6051 5V BC    -    0</v>
          </cell>
        </row>
        <row r="3772">
          <cell r="D3772" t="str">
            <v>10776400    -    29.455.96 SOPORTE RELE MTA    -    0.154501</v>
          </cell>
        </row>
        <row r="3773">
          <cell r="D3773" t="str">
            <v>10776517    -    CONNECTOR    -    2.766583</v>
          </cell>
        </row>
        <row r="3774">
          <cell r="D3774" t="str">
            <v>10776551    -    CAVITY PLUG    -    0.045</v>
          </cell>
        </row>
        <row r="3775">
          <cell r="D3775" t="str">
            <v>10776612    -    JOINT ECONOSEAL    -    0.030033</v>
          </cell>
        </row>
        <row r="3776">
          <cell r="D3776" t="str">
            <v>10776819    -    CX 8 CAV BL 8364624.    -    0.583785</v>
          </cell>
        </row>
        <row r="3777">
          <cell r="D3777" t="str">
            <v>10776823    -    SEC LOCK    -    0.08427</v>
          </cell>
        </row>
        <row r="3778">
          <cell r="D3778" t="str">
            <v>10776824    -    ASM CONN    -    0.55594</v>
          </cell>
        </row>
        <row r="3779">
          <cell r="D3779" t="str">
            <v>10776827    -    DV TAMPA NAT 8369670.9    -    0.120362</v>
          </cell>
        </row>
        <row r="3780">
          <cell r="D3780" t="str">
            <v>10776830    -    CX 27 CA 7701996056    -    0.162508</v>
          </cell>
        </row>
        <row r="3781">
          <cell r="D3781" t="str">
            <v>10776833    -    CONNECTOR BLACK    -    4.278704</v>
          </cell>
        </row>
        <row r="3782">
          <cell r="D3782" t="str">
            <v>10776837    -    CX 30 CAV BK 8372632.    -    0.155459</v>
          </cell>
        </row>
        <row r="3783">
          <cell r="D3783" t="str">
            <v>10776839    -    CX 10 SW 1J093773    -    0.067468</v>
          </cell>
        </row>
        <row r="3784">
          <cell r="D3784" t="str">
            <v>10776848    -    2V MA KONNEKTR    -    0.216034</v>
          </cell>
        </row>
        <row r="3785">
          <cell r="D3785" t="str">
            <v>10776849    -    CONN 070 2F SLD    -    0.29479</v>
          </cell>
        </row>
        <row r="3786">
          <cell r="D3786" t="str">
            <v>10776856    -    CONN 070 2F SEALED RED    -    0.32427</v>
          </cell>
        </row>
        <row r="3787">
          <cell r="D3787" t="str">
            <v>10776887    -    DV TAMPA CX ABS SW 96FG14N003B    -    0.259238</v>
          </cell>
        </row>
        <row r="3788">
          <cell r="D3788" t="str">
            <v>10776912    -    CONN, 2F ECONOSEAL J SERIES    -    0.1243</v>
          </cell>
        </row>
        <row r="3789">
          <cell r="D3789" t="str">
            <v>10777021    -    CX 10 CAV NT 1383522.    -    1.253416</v>
          </cell>
        </row>
        <row r="3790">
          <cell r="D3790" t="str">
            <v>10777065    -    CX POS2344 3 CAV BK    -    0.056039</v>
          </cell>
        </row>
        <row r="3791">
          <cell r="D3791" t="str">
            <v>10777066    -    CONN 2F    -    0.05409</v>
          </cell>
        </row>
        <row r="3792">
          <cell r="D3792" t="str">
            <v>10777080    -    CONN 1F    -    0.19364</v>
          </cell>
        </row>
        <row r="3793">
          <cell r="D3793" t="str">
            <v>10777100    -    CONNECTOR    -    1.9555</v>
          </cell>
        </row>
        <row r="3794">
          <cell r="D3794" t="str">
            <v>10777104    -    CONN    -    0.91</v>
          </cell>
        </row>
        <row r="3795">
          <cell r="D3795" t="str">
            <v>10777110    -    16.H56.96 SEGURIDAD PARA CONECTOR 42 VIA    -    0.204778</v>
          </cell>
        </row>
        <row r="3796">
          <cell r="D3796" t="str">
            <v>10777111    -    16.H08.96 CON 16V NG 1-964449-1 AMP 57M8    -    1.281563</v>
          </cell>
        </row>
        <row r="3797">
          <cell r="D3797" t="str">
            <v>10777203    -    ACC1, SECLOCK LOCK WGE 16W YEL    -    0.112594</v>
          </cell>
        </row>
        <row r="3798">
          <cell r="D3798" t="str">
            <v>10777212    -    CONN    -    0.84</v>
          </cell>
        </row>
        <row r="3799">
          <cell r="D3799" t="str">
            <v>10777221    -    CONN, 16M    -    0.488576</v>
          </cell>
        </row>
        <row r="3800">
          <cell r="D3800" t="str">
            <v>10777222    -    ACC1, TPA16W YEL    -    0.096</v>
          </cell>
        </row>
        <row r="3801">
          <cell r="D3801" t="str">
            <v>10777226    -    TERM, F 0.3-0.85 58 W-TYPE SLD TIN ACC1, TPA 16W YEL    -    0.123551</v>
          </cell>
        </row>
        <row r="3802">
          <cell r="D3802" t="str">
            <v>10777488    -    CONNECTOR 4W    -    0.6</v>
          </cell>
        </row>
        <row r="3803">
          <cell r="D3803" t="str">
            <v>12047936   -   ACC1, TPA M/P 150 BLACK   -   0.0721</v>
          </cell>
        </row>
        <row r="3804">
          <cell r="D3804" t="str">
            <v>10777489    -    CONN 14'S    -    8.25</v>
          </cell>
        </row>
        <row r="3805">
          <cell r="D3805" t="str">
            <v>10777491    -    CONNECTOR 8F SLD    -    1.65</v>
          </cell>
        </row>
        <row r="3806">
          <cell r="D3806" t="str">
            <v>10777500    -    RECEPTACLE WEDGE, GREEN    -    0.02</v>
          </cell>
        </row>
        <row r="3807">
          <cell r="D3807" t="str">
            <v>10777503    -    PLUG WEDGE    -    0.06</v>
          </cell>
        </row>
        <row r="3808">
          <cell r="D3808" t="str">
            <v>10777540    -    CONNECTOR 24 WAY    -    0.975638</v>
          </cell>
        </row>
        <row r="3809">
          <cell r="D3809" t="str">
            <v>10778408    -    CENT RELAY CTR BLK    -    1.069364</v>
          </cell>
        </row>
        <row r="3810">
          <cell r="D3810" t="str">
            <v>10778714    -    CONN,F,3-W,DK GREY,HM090S,SEALED    -    0.245621</v>
          </cell>
        </row>
        <row r="3811">
          <cell r="D3811" t="str">
            <v>10778721    -    CONN 7 S F    -    0.344477</v>
          </cell>
        </row>
        <row r="3812">
          <cell r="D3812" t="str">
            <v>10778722    -    CONN 7W U F    -    0.223764</v>
          </cell>
        </row>
        <row r="3813">
          <cell r="D3813" t="str">
            <v>10778852    -    CENT CLR    -    0.220107</v>
          </cell>
        </row>
        <row r="3814">
          <cell r="D3814" t="str">
            <v>10778938    -    CONN    -    0.09</v>
          </cell>
        </row>
        <row r="3815">
          <cell r="D3815" t="str">
            <v>10778971    -    CONN 4 F WHT    -    0.136798</v>
          </cell>
        </row>
        <row r="3816">
          <cell r="D3816" t="str">
            <v>10778977    -    SEC. LOCK RED    -    0.226989</v>
          </cell>
        </row>
        <row r="3817">
          <cell r="D3817" t="str">
            <v>10779143    -    CONN 64 F GRN    -    1.672526</v>
          </cell>
        </row>
        <row r="3818">
          <cell r="D3818" t="str">
            <v>10779146    -    4 WAYS BROWN CONNEKTOR    -    0.532267</v>
          </cell>
        </row>
        <row r="3819">
          <cell r="D3819" t="str">
            <v>10779151    -    COVER 20 WAY BLACK    -    0.448391</v>
          </cell>
        </row>
        <row r="3820">
          <cell r="D3820" t="str">
            <v>10779159    -    CABLE SEAL    -    0.010781</v>
          </cell>
        </row>
        <row r="3821">
          <cell r="D3821" t="str">
            <v>10779180    -    CONN 1F SOCKET NAT    -    0.05393</v>
          </cell>
        </row>
        <row r="3822">
          <cell r="D3822" t="str">
            <v>10779181    -    CONN 1F SOCKET    -    0.05393</v>
          </cell>
        </row>
        <row r="3823">
          <cell r="D3823" t="str">
            <v>10779184    -    6-P BUCHSENGEH.    -    0.065714</v>
          </cell>
        </row>
        <row r="3824">
          <cell r="D3824" t="str">
            <v>10779185    -    2-P STECKERGEH.    -    0.095912</v>
          </cell>
        </row>
        <row r="3825">
          <cell r="D3825" t="str">
            <v>10779186    -    28-P STECKHUELSENGEH.    -    0.365648</v>
          </cell>
        </row>
        <row r="3826">
          <cell r="D3826" t="str">
            <v>10779191    -    CONN    -    0.01896</v>
          </cell>
        </row>
        <row r="3827">
          <cell r="D3827" t="str">
            <v>10779328    -    25.427.06 CAPCH MTA 60564191 ID-609211    -    0.264878</v>
          </cell>
        </row>
        <row r="3828">
          <cell r="D3828" t="str">
            <v>10779333    -    CONN 13 BLK    -    0.894717</v>
          </cell>
        </row>
        <row r="3829">
          <cell r="D3829" t="str">
            <v>10779384    -    CONNECTOR 1W    -    0.13561</v>
          </cell>
        </row>
        <row r="3830">
          <cell r="D3830" t="str">
            <v>10779420    -    CONNECTOR    -    0.117</v>
          </cell>
        </row>
        <row r="3831">
          <cell r="D3831" t="str">
            <v>10779425    -    CONNECTOR    -    0.65437</v>
          </cell>
        </row>
        <row r="3832">
          <cell r="D3832" t="str">
            <v>10779435    -    HOUSING 3.P. YELLOW    -    0.384566</v>
          </cell>
        </row>
        <row r="3833">
          <cell r="D3833" t="str">
            <v>10779452    -    HOUSING 4.P. 1,5 CE    -    0.28155</v>
          </cell>
        </row>
        <row r="3834">
          <cell r="D3834" t="str">
            <v>10779453    -    CONN 5 F TAB 1.5 YEL    -    0.294931</v>
          </cell>
        </row>
        <row r="3835">
          <cell r="D3835" t="str">
            <v>10779461    -    CONN F WHT    -    0.097275</v>
          </cell>
        </row>
        <row r="3836">
          <cell r="D3836" t="str">
            <v>10779506    -    CONN 2 F GRN    -    0.212523</v>
          </cell>
        </row>
        <row r="3837">
          <cell r="D3837" t="str">
            <v>10779536    -    CONNECTOR    -    0.2455</v>
          </cell>
        </row>
        <row r="3838">
          <cell r="D3838" t="str">
            <v>10779537    -    CLIP,BODY,BLACK    -    0.04</v>
          </cell>
        </row>
        <row r="3839">
          <cell r="D3839" t="str">
            <v>10779539    -    CONN, 4M MIC/Q NAT    -    0.144071</v>
          </cell>
        </row>
        <row r="3840">
          <cell r="D3840" t="str">
            <v>10779540    -    MISC PLASTIC    -    0.313158</v>
          </cell>
        </row>
        <row r="3841">
          <cell r="D3841" t="str">
            <v>10779547    -    COV MULTI    -    0.407046</v>
          </cell>
        </row>
        <row r="3842">
          <cell r="D3842" t="str">
            <v>10779550    -    COVER    -    0.5436</v>
          </cell>
        </row>
        <row r="3843">
          <cell r="D3843" t="str">
            <v>10779551    -    CONN 18F    -    0.20056</v>
          </cell>
        </row>
        <row r="3844">
          <cell r="D3844" t="str">
            <v>10779552    -    CONN 36F    -    0.23453</v>
          </cell>
        </row>
        <row r="3845">
          <cell r="D3845" t="str">
            <v>10779562    -    16.I04.96 TAPA AMP C-284321-1 (NG)    -    0.16168</v>
          </cell>
        </row>
        <row r="3846">
          <cell r="D3846" t="str">
            <v>10779659    -    14.534.94 LOCKING YAZAKI    -    0.045554</v>
          </cell>
        </row>
        <row r="3847">
          <cell r="D3847" t="str">
            <v>10779660    -    CONNECTOR 26 F BLK    -    0.186278</v>
          </cell>
        </row>
        <row r="3848">
          <cell r="D3848" t="str">
            <v>10779661    -    CONNECTOR 26F MLK BLK    -    0.186278</v>
          </cell>
        </row>
        <row r="3849">
          <cell r="D3849" t="str">
            <v>10779674    -    SAMMELDICHTUNGSHALTER 48POLIG COD A    -    0.102551</v>
          </cell>
        </row>
        <row r="3850">
          <cell r="D3850" t="str">
            <v>10779675    -    SAMMELDICHTUNGSHALTER 48POLIG COD B    -    0.102551</v>
          </cell>
        </row>
        <row r="3851">
          <cell r="D3851" t="str">
            <v>10779678    -    MODUL 48 X MLK 1,2 COD.B    -    0.157578</v>
          </cell>
        </row>
        <row r="3852">
          <cell r="D3852" t="str">
            <v>10779680    -    KAPPE 96POLIG    -    0.152504</v>
          </cell>
        </row>
        <row r="3853">
          <cell r="D3853" t="str">
            <v>10779681    -    RIEGEL 96POLIG MLK1,2    -    0.06207</v>
          </cell>
        </row>
        <row r="3854">
          <cell r="D3854" t="str">
            <v>10779682    -    STECKHLSENGEHUSE 96-POL.    -    1.491037</v>
          </cell>
        </row>
        <row r="3855">
          <cell r="D3855" t="str">
            <v>10779705    -    CONNECTOR 58 BLK    -    1.710982</v>
          </cell>
        </row>
        <row r="3856">
          <cell r="D3856" t="str">
            <v>10779723    -    CONNECTOR 2W    -    0.91</v>
          </cell>
        </row>
        <row r="3857">
          <cell r="D3857" t="str">
            <v>10779751    -    CONN 16F RECEPTACLE 2.8 BLK    -    0.189274</v>
          </cell>
        </row>
        <row r="3858">
          <cell r="D3858" t="str">
            <v>10779823    -    CONN 10 F    -    0.175513</v>
          </cell>
        </row>
        <row r="3859">
          <cell r="D3859" t="str">
            <v>10779824    -    CONN 10 M    -    0.179126</v>
          </cell>
        </row>
        <row r="3860">
          <cell r="D3860" t="str">
            <v>10779826    -    COV CONN    -    0.38676</v>
          </cell>
        </row>
        <row r="3861">
          <cell r="D3861" t="str">
            <v>10779830    -    CONN 2 F 090 II BLK SEALED    -    0.509651</v>
          </cell>
        </row>
        <row r="3862">
          <cell r="D3862" t="str">
            <v>10779916    -    CONN 3 F RECEPTACLE 2.8 YEL    -    0.121176</v>
          </cell>
        </row>
        <row r="3863">
          <cell r="D3863" t="str">
            <v>10779923    -    FEMALE    -    0.300906</v>
          </cell>
        </row>
        <row r="3864">
          <cell r="D3864" t="str">
            <v>10779925    -    COV CONN    -    0.40537</v>
          </cell>
        </row>
        <row r="3865">
          <cell r="D3865" t="str">
            <v>10779954    -    CONN 26W    -    0.502</v>
          </cell>
        </row>
        <row r="3866">
          <cell r="D3866" t="str">
            <v>10780030    -    COV SHIPPING BLK    -    0.455407</v>
          </cell>
        </row>
        <row r="3867">
          <cell r="D3867" t="str">
            <v>10780041    -    CONN    -    0.08156</v>
          </cell>
        </row>
        <row r="3868">
          <cell r="D3868" t="str">
            <v>10780042    -    CONN    -    0.06796</v>
          </cell>
        </row>
        <row r="3869">
          <cell r="D3869" t="str">
            <v>10780043    -    2WAY CONN    -    0.058495</v>
          </cell>
        </row>
        <row r="3870">
          <cell r="D3870" t="str">
            <v>10780059    -    CONN 2 F GRN    -    0.124141</v>
          </cell>
        </row>
        <row r="3871">
          <cell r="D3871" t="str">
            <v>10780122    -    16.J88.91 CON YAZAKI 7283-6507-70 2V    -    0.874584</v>
          </cell>
        </row>
        <row r="3872">
          <cell r="D3872" t="str">
            <v>10780149    -    COV BLK    -    0.304441</v>
          </cell>
        </row>
        <row r="3873">
          <cell r="D3873" t="str">
            <v>10780166    -    16.J90.92 CON AMP 284423-6 32V MQS    -    1.02551</v>
          </cell>
        </row>
        <row r="3874">
          <cell r="D3874" t="str">
            <v>10780167    -    LOCK TER    -    0.29931</v>
          </cell>
        </row>
        <row r="3875">
          <cell r="D3875" t="str">
            <v>10780185    -    COV CONN    -    2.26</v>
          </cell>
        </row>
        <row r="3876">
          <cell r="D3876" t="str">
            <v>10780198    -    CONN, 2F OG 6345MM T600,U/UM ZF2-18    -    2.494957</v>
          </cell>
        </row>
        <row r="3877">
          <cell r="D3877" t="str">
            <v>10780213    -    CONN, 2F OG 6660MM T600 R/RM ZF2-18    -    2.67712</v>
          </cell>
        </row>
        <row r="3878">
          <cell r="D3878" t="str">
            <v>10780241    -    HOUSING 2.P. TES CE    -    0.466612</v>
          </cell>
        </row>
        <row r="3879">
          <cell r="D3879" t="str">
            <v>10780245    -    ACC3, WIRE ANTENNA ASSY Z3 (3360MM)    -    4.2748</v>
          </cell>
        </row>
        <row r="3880">
          <cell r="D3880" t="str">
            <v>10780259    -    ACC3, WIRE ANTENNA ASSY Z1    -    0.8878</v>
          </cell>
        </row>
        <row r="3881">
          <cell r="D3881" t="str">
            <v>10780260    -    ACC3, WIRE ANTENNA ASSY Z1 (3080MM)    -    1.649533</v>
          </cell>
        </row>
        <row r="3882">
          <cell r="D3882" t="str">
            <v>10780300    -    STECKHLSENGEH. 2POL, ELA 2,5 MM2    -    0.241885</v>
          </cell>
        </row>
        <row r="3883">
          <cell r="D3883" t="str">
            <v>10780306    -    COVER CONN    -    0.22953</v>
          </cell>
        </row>
        <row r="3884">
          <cell r="D3884" t="str">
            <v>10780335    -    COVER MO    -    0.411162</v>
          </cell>
        </row>
        <row r="3885">
          <cell r="D3885" t="str">
            <v>10780357    -    CONN 2 F NAT    -    0.297533</v>
          </cell>
        </row>
        <row r="3886">
          <cell r="D3886" t="str">
            <v>10780358    -    CONN 4 F NAT    -    0.367564</v>
          </cell>
        </row>
        <row r="3887">
          <cell r="D3887" t="str">
            <v>10780359    -    CONN 8 F GRA    -    0.16732</v>
          </cell>
        </row>
        <row r="3888">
          <cell r="D3888" t="str">
            <v>10780364    -    CONN 14 M MIXED MIXED GRA LT    -    0.415353</v>
          </cell>
        </row>
        <row r="3889">
          <cell r="D3889" t="str">
            <v>10780376    -    SOCKET HOUSING 12 POL    -    0.05919</v>
          </cell>
        </row>
        <row r="3890">
          <cell r="D3890" t="str">
            <v>10780380    -    COV CONN BLK    -    0.037917</v>
          </cell>
        </row>
        <row r="3891">
          <cell r="D3891" t="str">
            <v>10780414    -    CONNECTOR    -    0.17562</v>
          </cell>
        </row>
        <row r="3892">
          <cell r="D3892" t="str">
            <v>10780427    -    16.J94.0N CON YAZAKI 7283-6502-50 2V NJ    -    0.584</v>
          </cell>
        </row>
        <row r="3893">
          <cell r="D3893" t="str">
            <v>10780435    -    CONN, 3 F BK    -    0.362029</v>
          </cell>
        </row>
        <row r="3894">
          <cell r="D3894" t="str">
            <v>10780469    -    COV    -    0.18891</v>
          </cell>
        </row>
        <row r="3895">
          <cell r="D3895" t="str">
            <v>10780470    -    MOUN    -    0.256377</v>
          </cell>
        </row>
        <row r="3896">
          <cell r="D3896" t="str">
            <v>10780471    -    TERM SN    -    0.256377</v>
          </cell>
        </row>
        <row r="3897">
          <cell r="D3897" t="str">
            <v>10780743    -    CONN 16W    -    1.17</v>
          </cell>
        </row>
        <row r="3898">
          <cell r="D3898" t="str">
            <v>10780860    -    CONN 8F TIMER ASIM    -    0.088315</v>
          </cell>
        </row>
        <row r="3899">
          <cell r="D3899" t="str">
            <v>10780913    -    CONN 3W    -    0.10388</v>
          </cell>
        </row>
        <row r="3900">
          <cell r="D3900" t="str">
            <v>10781006    -    COVER CE    -    0.031035</v>
          </cell>
        </row>
        <row r="3901">
          <cell r="D3901" t="str">
            <v>10781008    -    COVER    -    0.031032</v>
          </cell>
        </row>
        <row r="3902">
          <cell r="D3902" t="str">
            <v>10781027    -    CONN 2 F WHT    -    0.122913</v>
          </cell>
        </row>
        <row r="3903">
          <cell r="D3903" t="str">
            <v>10781029    -    PLUG    -    0.30963</v>
          </cell>
        </row>
        <row r="3904">
          <cell r="D3904" t="str">
            <v>10781046    -    CONN, 2F OR RHD ZF 2-19    -    1.276355</v>
          </cell>
        </row>
        <row r="3905">
          <cell r="D3905" t="str">
            <v>10781048    -    CONN, 2F OR LHD ZF 2-19    -    0.97275</v>
          </cell>
        </row>
        <row r="3906">
          <cell r="D3906" t="str">
            <v>10781105    -    CONN 2 F BLK    -    0.055189</v>
          </cell>
        </row>
        <row r="3907">
          <cell r="D3907" t="str">
            <v>10781108    -    CONN 6 M BLK    -    0.078384</v>
          </cell>
        </row>
        <row r="3908">
          <cell r="D3908" t="str">
            <v>10781109    -    CONN 6 M CLR    -    0.078384</v>
          </cell>
        </row>
        <row r="3909">
          <cell r="D3909" t="str">
            <v>10781110    -    CONN 6 M GRA    -    0.078384</v>
          </cell>
        </row>
        <row r="3910">
          <cell r="D3910" t="str">
            <v>10781111    -    CONN 3 M BLU    -    0.078384</v>
          </cell>
        </row>
        <row r="3911">
          <cell r="D3911" t="str">
            <v>10781112    -    CONN 6 M BRN    -    0.078411</v>
          </cell>
        </row>
        <row r="3912">
          <cell r="D3912" t="str">
            <v>10781116    -    CONN 3 M CLR    -    0.06037</v>
          </cell>
        </row>
        <row r="3913">
          <cell r="D3913" t="str">
            <v>10781133    -    COV CONN GRA DK    -    0.256377</v>
          </cell>
        </row>
        <row r="3914">
          <cell r="D3914" t="str">
            <v>10781134    -    COV CONN    -    0.121442</v>
          </cell>
        </row>
        <row r="3915">
          <cell r="D3915" t="str">
            <v>10781135    -    COV CONN    -    0.256377</v>
          </cell>
        </row>
        <row r="3916">
          <cell r="D3916" t="str">
            <v>10781165    -    CONN 6 F GRA    -    0.206047</v>
          </cell>
        </row>
        <row r="3917">
          <cell r="D3917" t="str">
            <v>10787249    -    CONNECTOR 3F    -    0.0454</v>
          </cell>
        </row>
        <row r="3918">
          <cell r="D3918" t="str">
            <v>10787259    -    CONN 3 F GRN SEALED    -    0.25098</v>
          </cell>
        </row>
        <row r="3919">
          <cell r="D3919" t="str">
            <v>10787262    -    CONN 2 M BLK    -    0.371073</v>
          </cell>
        </row>
        <row r="3920">
          <cell r="D3920" t="str">
            <v>10787263    -    CONN 3 F YEL SEALED    -    0.25098</v>
          </cell>
        </row>
        <row r="3921">
          <cell r="D3921" t="str">
            <v>10787299    -    SECONDARY LOCK    -    0.127177</v>
          </cell>
        </row>
        <row r="3922">
          <cell r="D3922" t="str">
            <v>10787355    -    CONNECTOR    -    0.319365</v>
          </cell>
        </row>
        <row r="3923">
          <cell r="D3923" t="str">
            <v>10787380    -    CONN 4F    -    0.127285</v>
          </cell>
        </row>
        <row r="3924">
          <cell r="D3924" t="str">
            <v>10787393    -    CONNECTOR 6F    -    0.19303</v>
          </cell>
        </row>
        <row r="3925">
          <cell r="D3925" t="str">
            <v>10787399    -    HOLDER OF TERMINAL    -    0.200217</v>
          </cell>
        </row>
        <row r="3926">
          <cell r="D3926" t="str">
            <v>10787433    -    CONN 47F    -    2.33553</v>
          </cell>
        </row>
        <row r="3927">
          <cell r="D3927" t="str">
            <v>10787434    -    COVER CONN BLK    -    0.5547</v>
          </cell>
        </row>
        <row r="3928">
          <cell r="D3928" t="str">
            <v>10787477    -    CONN, 1F MPT UNSLD ORN    -    0.062367</v>
          </cell>
        </row>
        <row r="3929">
          <cell r="D3929" t="str">
            <v>10787478    -    CONN, 1F MPT UNSLD BLU    -    0.062367</v>
          </cell>
        </row>
        <row r="3930">
          <cell r="D3930" t="str">
            <v>10787481    -    CONN 3F MAXI POWER TIMER    -    0.376699</v>
          </cell>
        </row>
        <row r="3931">
          <cell r="D3931" t="str">
            <v>10787489    -    CONNECTOR    -    0.306911</v>
          </cell>
        </row>
        <row r="3932">
          <cell r="D3932" t="str">
            <v>10787521    -    CONNECTOR    -    0.444289</v>
          </cell>
        </row>
        <row r="3933">
          <cell r="D3933" t="str">
            <v>10787530    -    CONN 62F MCP GRA SEALED    -    9.1</v>
          </cell>
        </row>
        <row r="3934">
          <cell r="D3934" t="str">
            <v>10787531    -    COV CONN BLK    -    0.76</v>
          </cell>
        </row>
        <row r="3935">
          <cell r="D3935" t="str">
            <v>10787533    -    CONN 62F    -    9.1</v>
          </cell>
        </row>
        <row r="3936">
          <cell r="D3936" t="str">
            <v>10787536    -    ACC3,ANTENNA ASSY Z1 IP RHD, 1600MM    -    1.389836</v>
          </cell>
        </row>
        <row r="3937">
          <cell r="D3937" t="str">
            <v>10787539    -    ACC3, ANTN Z4/Z40/Z5/Z50 RB, 6280MM    -    2.1922</v>
          </cell>
        </row>
        <row r="3938">
          <cell r="D3938" t="str">
            <v>10787552    -    CONN 2 F YEL    -    0.212523</v>
          </cell>
        </row>
        <row r="3939">
          <cell r="D3939" t="str">
            <v>10787566    -    14.802.96 S. LOCK 1394004-1 AMPNG    -    0.132574</v>
          </cell>
        </row>
        <row r="3940">
          <cell r="D3940" t="str">
            <v>10787583    -    CONNECTOR    -    0.128324</v>
          </cell>
        </row>
        <row r="3941">
          <cell r="D3941" t="str">
            <v>10787585    -    CONN 10F    -    0.246824</v>
          </cell>
        </row>
        <row r="3942">
          <cell r="D3942" t="str">
            <v>10787586    -    MALE CONNECTOR    -    0.357579</v>
          </cell>
        </row>
        <row r="3943">
          <cell r="D3943" t="str">
            <v>10787589    -    COV CONN    -    1.489688</v>
          </cell>
        </row>
        <row r="3944">
          <cell r="D3944" t="str">
            <v>10787629    -    ABDECKKAPPE F.BU-GEHAEUSE    -    0.23526</v>
          </cell>
        </row>
        <row r="3945">
          <cell r="D3945" t="str">
            <v>10787635    -    CONN, 2F NAT    -    0.089732</v>
          </cell>
        </row>
        <row r="3946">
          <cell r="D3946" t="str">
            <v>10787636    -    CONN 4M    -    1.82375</v>
          </cell>
        </row>
        <row r="3947">
          <cell r="D3947" t="str">
            <v>10787652    -    309653691    -    0.159791</v>
          </cell>
        </row>
        <row r="3948">
          <cell r="D3948" t="str">
            <v>10787658    -    CONNECTOR 47W    -    3.25296</v>
          </cell>
        </row>
        <row r="3949">
          <cell r="D3949" t="str">
            <v>10787659    -    4F SEALED CONNECTOR    -    1.551758</v>
          </cell>
        </row>
        <row r="3950">
          <cell r="D3950" t="str">
            <v>10787663    -    CONNECTOR 18W    -    0.22592</v>
          </cell>
        </row>
        <row r="3951">
          <cell r="D3951" t="str">
            <v>10787680    -    STECKHLSENGEH. 3-POL. (2X LSK 8, 1X SLK 2,8 ELA)    -    0.600463</v>
          </cell>
        </row>
        <row r="3952">
          <cell r="D3952" t="str">
            <v>10787714    -    CONNECTOR    -    0.314197</v>
          </cell>
        </row>
        <row r="3953">
          <cell r="D3953" t="str">
            <v>10787716    -    CONN 2F    -    0.055189</v>
          </cell>
        </row>
        <row r="3954">
          <cell r="D3954" t="str">
            <v>10787720    -    CONN    -    0.40512</v>
          </cell>
        </row>
        <row r="3955">
          <cell r="D3955" t="str">
            <v>10787776    -    CONN, 8F 2.8MM BLK    -    0.103482</v>
          </cell>
        </row>
        <row r="3956">
          <cell r="D3956" t="str">
            <v>10787800    -    CONNECTOR    -    0.220768</v>
          </cell>
        </row>
        <row r="3957">
          <cell r="D3957" t="str">
            <v>10787820    -    MODUL 48 X MLK 1,2 COD.A    -    0.157578</v>
          </cell>
        </row>
        <row r="3958">
          <cell r="D3958" t="str">
            <v>10787826    -    CONN 10M    -    0.39526</v>
          </cell>
        </row>
        <row r="3959">
          <cell r="D3959" t="str">
            <v>10787834    -    CONN 6 GRA DK    -    0.2718</v>
          </cell>
        </row>
        <row r="3960">
          <cell r="D3960" t="str">
            <v>10787844    -    CONN 4W    -    0.53255</v>
          </cell>
        </row>
        <row r="3961">
          <cell r="D3961" t="str">
            <v>10787845    -    LOCK CONN    -    0.27807</v>
          </cell>
        </row>
        <row r="3962">
          <cell r="D3962" t="str">
            <v>10787846    -    MODUL 26 X MLK 1,2 COD.A    -    0.141439</v>
          </cell>
        </row>
        <row r="3963">
          <cell r="D3963" t="str">
            <v>10787847    -    MODUL 26 X MLK 1,2 COD.B    -    0.141439</v>
          </cell>
        </row>
        <row r="3964">
          <cell r="D3964" t="str">
            <v>10787848    -    STECKHLSENGEHUSE 58-POL.    -    1.341259</v>
          </cell>
        </row>
        <row r="3965">
          <cell r="D3965" t="str">
            <v>10787849    -    COV CONN BLK    -    0.136636</v>
          </cell>
        </row>
        <row r="3966">
          <cell r="D3966" t="str">
            <v>10787853    -    CONNECTOR    -    0.129956</v>
          </cell>
        </row>
        <row r="3967">
          <cell r="D3967" t="str">
            <v>10787854    -    CONNECTOR    -    0.712095</v>
          </cell>
        </row>
        <row r="3968">
          <cell r="D3968" t="str">
            <v>10787860    -    MOUN BRACKET    -    1.44381</v>
          </cell>
        </row>
        <row r="3969">
          <cell r="D3969" t="str">
            <v>10787872    -    CONNECTOR    -    0.137634</v>
          </cell>
        </row>
        <row r="3970">
          <cell r="D3970" t="str">
            <v>10787880    -    PROTECTOR    -    0.516533</v>
          </cell>
        </row>
        <row r="3971">
          <cell r="D3971" t="str">
            <v>10787905    -    CONN 1F SOCKET BLU    -    0.05393</v>
          </cell>
        </row>
        <row r="3972">
          <cell r="D3972" t="str">
            <v>10787906    -    CONN 1F SOCKET VLT    -    0.05393</v>
          </cell>
        </row>
        <row r="3973">
          <cell r="D3973" t="str">
            <v>10787954    -    STECKHLSENGEHUSE SLK2.8-ELA, 6-POL.    -    0.827897</v>
          </cell>
        </row>
        <row r="3974">
          <cell r="D3974" t="str">
            <v>10787961    -    MOUN    -    1.328845</v>
          </cell>
        </row>
        <row r="3975">
          <cell r="D3975" t="str">
            <v>10787992    -    CONNECTOR 16F    -    0.23734</v>
          </cell>
        </row>
        <row r="3976">
          <cell r="D3976" t="str">
            <v>10788017    -    CONN 6F    -    0.36815</v>
          </cell>
        </row>
        <row r="3977">
          <cell r="D3977" t="str">
            <v>10788045    -    CONN 4F    -    0.195252</v>
          </cell>
        </row>
        <row r="3978">
          <cell r="D3978" t="str">
            <v>10788061    -    CONN 4F    -    3.812</v>
          </cell>
        </row>
        <row r="3979">
          <cell r="D3979" t="str">
            <v>10788080    -    CONN 12 F FLAT CONN BLK    -    0.070571</v>
          </cell>
        </row>
        <row r="3980">
          <cell r="D3980" t="str">
            <v>10788081    -    CONN 12 F FLAT CONN BRN    -    0.070571</v>
          </cell>
        </row>
        <row r="3981">
          <cell r="D3981" t="str">
            <v>10788085    -    CONN 11 F FLAT CONN MIXED BLK    -    0.08339</v>
          </cell>
        </row>
        <row r="3982">
          <cell r="D3982" t="str">
            <v>10788086    -    CONN 11 F FLAT CONN MIXED BRN    -    0.08339</v>
          </cell>
        </row>
        <row r="3983">
          <cell r="D3983" t="str">
            <v>10788115    -    COVER GRN    -    0.26853</v>
          </cell>
        </row>
        <row r="3984">
          <cell r="D3984" t="str">
            <v>10788116    -    COV CONN QUAD VLT    -    0.267172</v>
          </cell>
        </row>
        <row r="3985">
          <cell r="D3985" t="str">
            <v>10788117    -    COV CONN QUAD BLU    -    0.267172</v>
          </cell>
        </row>
        <row r="3986">
          <cell r="D3986" t="str">
            <v>10788118    -    COVER    -    0.267172</v>
          </cell>
        </row>
        <row r="3987">
          <cell r="D3987" t="str">
            <v>10788119    -    CONNECTOR    -    0.118743</v>
          </cell>
        </row>
        <row r="3988">
          <cell r="D3988" t="str">
            <v>10788120    -    COV CONN QUAD NAT    -    0.267172</v>
          </cell>
        </row>
        <row r="3989">
          <cell r="D3989" t="str">
            <v>10788128    -    COVER BLACK (18WAY)    -    0.479291</v>
          </cell>
        </row>
        <row r="3990">
          <cell r="D3990" t="str">
            <v>10788129    -    COVER BLACK    -    0.324264</v>
          </cell>
        </row>
        <row r="3991">
          <cell r="D3991" t="str">
            <v>10788140    -    COV CONN BLK    -    0.118608</v>
          </cell>
        </row>
        <row r="3992">
          <cell r="D3992" t="str">
            <v>10788141    -    CONN, 17 SPLICE ACC2, COVER BLK    -    0.121307</v>
          </cell>
        </row>
        <row r="3993">
          <cell r="D3993" t="str">
            <v>10788155H    -    CABLE TIE    -    0.012144</v>
          </cell>
        </row>
        <row r="3994">
          <cell r="D3994" t="str">
            <v>10788270    -    CAVITY PLUG    -    0.019576</v>
          </cell>
        </row>
        <row r="3995">
          <cell r="D3995" t="str">
            <v>10788275    -    CENT FUS BLK BLK    -    1.670501</v>
          </cell>
        </row>
        <row r="3996">
          <cell r="D3996" t="str">
            <v>10788335    -    CONN F    -    0.103496</v>
          </cell>
        </row>
        <row r="3997">
          <cell r="D3997" t="str">
            <v>10788385    -    MISC SUBHARNESS BLK    -    0.138741</v>
          </cell>
        </row>
        <row r="3998">
          <cell r="D3998" t="str">
            <v>10788405    -    ABDECKKAPPE ZUS-22    -    0.110387</v>
          </cell>
        </row>
        <row r="3999">
          <cell r="D3999" t="str">
            <v>10788407    -    COVER CE    -    0.068951</v>
          </cell>
        </row>
        <row r="4000">
          <cell r="D4000" t="str">
            <v>10788408    -    COVER    -    0.103496</v>
          </cell>
        </row>
        <row r="4001">
          <cell r="D4001" t="str">
            <v>10788409    -    COVER    -    0.103496</v>
          </cell>
        </row>
        <row r="4002">
          <cell r="D4002" t="str">
            <v>10788411    -    COVER HN    -    0.075834</v>
          </cell>
        </row>
        <row r="4003">
          <cell r="D4003" t="str">
            <v>10788412    -    COVER HN    -    0.117259</v>
          </cell>
        </row>
        <row r="4004">
          <cell r="D4004" t="str">
            <v>10788415    -    COVER RU 8E0 972 420 .02    -    0.082852</v>
          </cell>
        </row>
        <row r="4005">
          <cell r="D4005" t="str">
            <v>10788416    -    COVER    -    0.131022</v>
          </cell>
        </row>
        <row r="4006">
          <cell r="D4006" t="str">
            <v>10788421    -    COVER    -    0.068952</v>
          </cell>
        </row>
        <row r="4007">
          <cell r="D4007" t="str">
            <v>10788422    -    COVER    -    0.068952</v>
          </cell>
        </row>
        <row r="4008">
          <cell r="D4008" t="str">
            <v>10788423    -    COVER    -    0.068952</v>
          </cell>
        </row>
        <row r="4009">
          <cell r="D4009" t="str">
            <v>10788424    -    COVER BLUE    -    0.068952</v>
          </cell>
        </row>
        <row r="4010">
          <cell r="D4010" t="str">
            <v>10788425    -    COVER WHITE    -    0.068952</v>
          </cell>
        </row>
        <row r="4011">
          <cell r="D4011" t="str">
            <v>10788427    -    COVER CE    -    0.068952</v>
          </cell>
        </row>
        <row r="4012">
          <cell r="D4012" t="str">
            <v>10788428    -    COV BLK    -    0.068952</v>
          </cell>
        </row>
        <row r="4013">
          <cell r="D4013" t="str">
            <v>10788431    -    COVER CE    -    0.037917</v>
          </cell>
        </row>
        <row r="4014">
          <cell r="D4014" t="str">
            <v>10788453    -    CONN, 6F BLK    -    0.537124</v>
          </cell>
        </row>
        <row r="4015">
          <cell r="D4015" t="str">
            <v>10788475    -    COVER BROWN    -    0.459849</v>
          </cell>
        </row>
        <row r="4016">
          <cell r="D4016" t="str">
            <v>10788482    -    MOUTING BRACKET    -    0.099852</v>
          </cell>
        </row>
        <row r="4017">
          <cell r="D4017" t="str">
            <v>10788483    -    SAMMELDICHTUNGSHALTER 26POL. C    -    0.099852</v>
          </cell>
        </row>
        <row r="4018">
          <cell r="D4018" t="str">
            <v>10788486    -    KAPPE 58POLIG    -    0.137985</v>
          </cell>
        </row>
        <row r="4019">
          <cell r="D4019" t="str">
            <v>10788487    -    HOUSING FOR 58-WAY CONN    -    1.333163</v>
          </cell>
        </row>
        <row r="4020">
          <cell r="D4020" t="str">
            <v>10788559    -    CONN, 6 F BLK    -    0.537124</v>
          </cell>
        </row>
        <row r="4021">
          <cell r="D4021" t="str">
            <v>10788560    -    CONNCETOR BK    -    0.246325</v>
          </cell>
        </row>
        <row r="4022">
          <cell r="D4022" t="str">
            <v>10788570    -    CONN COVER &amp; LID    -    6.247514</v>
          </cell>
        </row>
        <row r="4023">
          <cell r="D4023" t="str">
            <v>10788573    -    4F CONNECTOR    -    0.05757</v>
          </cell>
        </row>
        <row r="4024">
          <cell r="D4024" t="str">
            <v>10788581    -    ARETACE VIOLET    -    0.028336</v>
          </cell>
        </row>
        <row r="4025">
          <cell r="D4025" t="str">
            <v>10788582    -    CONN,F,32-W,NATURAL    -    0.093672</v>
          </cell>
        </row>
        <row r="4026">
          <cell r="D4026" t="str">
            <v>10788594    -    CONN 2 F RED    -    0.138039</v>
          </cell>
        </row>
        <row r="4027">
          <cell r="D4027" t="str">
            <v>10788637    -    COV BLK    -    1.185757</v>
          </cell>
        </row>
        <row r="4028">
          <cell r="D4028" t="str">
            <v>10788685    -    COV YEL    -    0.430444</v>
          </cell>
        </row>
        <row r="4029">
          <cell r="D4029" t="str">
            <v>10788686    -    COV CONN BLK    -    0.25179</v>
          </cell>
        </row>
        <row r="4030">
          <cell r="D4030" t="str">
            <v>10788690    -    COVER MO    -    0.545004</v>
          </cell>
        </row>
        <row r="4031">
          <cell r="D4031" t="str">
            <v>10788692    -    COVER SE    -    0.25179</v>
          </cell>
        </row>
        <row r="4032">
          <cell r="D4032" t="str">
            <v>10788702    -    CONN 20F    -    2.23287</v>
          </cell>
        </row>
        <row r="4033">
          <cell r="D4033" t="str">
            <v>10788703    -    CONN 10F    -    0.22884</v>
          </cell>
        </row>
        <row r="4034">
          <cell r="D4034" t="str">
            <v>10788704    -    COV CONN    -    1.00548</v>
          </cell>
        </row>
        <row r="4035">
          <cell r="D4035" t="str">
            <v>10788771    -    CONN 4F    -    0.05865</v>
          </cell>
        </row>
        <row r="4036">
          <cell r="D4036" t="str">
            <v>10788772    -    COVER    -    0.032519</v>
          </cell>
        </row>
        <row r="4037">
          <cell r="D4037" t="str">
            <v>10788798    -    COVER    -    0.499261</v>
          </cell>
        </row>
        <row r="4038">
          <cell r="D4038" t="str">
            <v>10788863    -    COV CONN GRA    -    0.085104</v>
          </cell>
        </row>
        <row r="4039">
          <cell r="D4039" t="str">
            <v>10788876    -    ACC1, TPA    -    0.0128</v>
          </cell>
        </row>
        <row r="4040">
          <cell r="D4040" t="str">
            <v>10788924    -    CONN 18W    -    0.35072</v>
          </cell>
        </row>
        <row r="4041">
          <cell r="D4041" t="str">
            <v>10788930    -    4POL.ANTGEH.REV.F HFM4-1    -    0.160452</v>
          </cell>
        </row>
        <row r="4042">
          <cell r="D4042" t="str">
            <v>10788933    -    GROM CONN    -    0.661184</v>
          </cell>
        </row>
        <row r="4043">
          <cell r="D4043" t="str">
            <v>10788962    -    COV CONN MQS BLK    -    0.174202</v>
          </cell>
        </row>
        <row r="4044">
          <cell r="D4044" t="str">
            <v>10788964    -    COVER    -    0.174202</v>
          </cell>
        </row>
        <row r="4045">
          <cell r="D4045" t="str">
            <v>10788968    -    COV BLK    -    0.230875</v>
          </cell>
        </row>
        <row r="4046">
          <cell r="D4046" t="str">
            <v>10788970    -    COVER    -    0.230875</v>
          </cell>
        </row>
        <row r="4047">
          <cell r="D4047" t="str">
            <v>10788989    -    CENT FUS BLK    -    2.358673</v>
          </cell>
        </row>
        <row r="4048">
          <cell r="D4048" t="str">
            <v>10789028    -    CONN 9 F GRN    -    2.034153</v>
          </cell>
        </row>
        <row r="4049">
          <cell r="D4049" t="str">
            <v>10789029    -    CONN 9 M GRN    -    1.771973</v>
          </cell>
        </row>
        <row r="4050">
          <cell r="D4050" t="str">
            <v>10789032    -    COV    -    3.22118</v>
          </cell>
        </row>
        <row r="4051">
          <cell r="D4051" t="str">
            <v>10789034    -    CONN 5W    -    0.1363</v>
          </cell>
        </row>
        <row r="4052">
          <cell r="D4052" t="str">
            <v>10789050    -    COV CONN    -    2.153975</v>
          </cell>
        </row>
        <row r="4053">
          <cell r="D4053" t="str">
            <v>10789090    -    CONN 4F MULTI-LOCK .070 PLIG HSG    -    0.147215</v>
          </cell>
        </row>
        <row r="4054">
          <cell r="D4054" t="str">
            <v>10789095    -    COVER ZL    -    0.430444</v>
          </cell>
        </row>
        <row r="4055">
          <cell r="D4055" t="str">
            <v>10789115    -    CABLE TIE BLACK    -    0.013494</v>
          </cell>
        </row>
        <row r="4056">
          <cell r="D4056" t="str">
            <v>10789217    -    2-POL STECKHUELSENG.    -    0.182824</v>
          </cell>
        </row>
        <row r="4057">
          <cell r="D4057" t="str">
            <v>10793537    -    CONN    -    0.141682</v>
          </cell>
        </row>
        <row r="4058">
          <cell r="D4058" t="str">
            <v>10807234    -    R-SCER-1K2-0.5-0.250-1206    -    0.002604</v>
          </cell>
        </row>
        <row r="4059">
          <cell r="D4059" t="str">
            <v>10810265    -    CONN 2W BLK    -    0.08155</v>
          </cell>
        </row>
        <row r="4060">
          <cell r="D4060" t="str">
            <v>10810266    -    CONN 2F FUSE BLU DK    -    0.08156</v>
          </cell>
        </row>
        <row r="4061">
          <cell r="D4061" t="str">
            <v>10810267    -    CONN    -    0.08156</v>
          </cell>
        </row>
        <row r="4062">
          <cell r="D4062" t="str">
            <v>10810268    -    CONN 2W GRN    -    0.08155</v>
          </cell>
        </row>
        <row r="4063">
          <cell r="D4063" t="str">
            <v>10810269    -    HOUSING 5.P.    -    0.566729</v>
          </cell>
        </row>
        <row r="4064">
          <cell r="D4064" t="str">
            <v>10810290    -    CONN, 60F MQS BLK    -    1.9581</v>
          </cell>
        </row>
        <row r="4065">
          <cell r="D4065" t="str">
            <v>10810308    -    MISC    -    28.05309</v>
          </cell>
        </row>
        <row r="4066">
          <cell r="D4066" t="str">
            <v>10810337    -    STECKHLSENGEHUSE SLK2.8-ELA, 2-POL.    -    0.271963</v>
          </cell>
        </row>
        <row r="4067">
          <cell r="D4067" t="str">
            <v>10810338    -    COVER    -    0.151128</v>
          </cell>
        </row>
        <row r="4068">
          <cell r="D4068" t="str">
            <v>10810340    -    COVER CE    -    0.337339</v>
          </cell>
        </row>
        <row r="4069">
          <cell r="D4069" t="str">
            <v>10810341    -    ARETACE FI    -    0.290111</v>
          </cell>
        </row>
        <row r="4070">
          <cell r="D4070" t="str">
            <v>10810349    -    CONN 2 F TIMER MICRO II BLK SEALED    -    0.116043</v>
          </cell>
        </row>
        <row r="4071">
          <cell r="D4071" t="str">
            <v>10810357    -    4-P GEHAEUSE CODE C    -    0.088936</v>
          </cell>
        </row>
        <row r="4072">
          <cell r="D4072" t="str">
            <v>10810417    -    CONN 4-WAY    -    0.195252</v>
          </cell>
        </row>
        <row r="4073">
          <cell r="D4073" t="str">
            <v>10810426    -    COV CONN BLK    -    2.13306</v>
          </cell>
        </row>
        <row r="4074">
          <cell r="D4074" t="str">
            <v>10810427    -    COVER CONN    -    0.09431</v>
          </cell>
        </row>
        <row r="4075">
          <cell r="D4075" t="str">
            <v>10810464    -    COVER    -    0.609908</v>
          </cell>
        </row>
        <row r="4076">
          <cell r="D4076" t="str">
            <v>10810516    -    COV CONN BLK    -    2.02943</v>
          </cell>
        </row>
        <row r="4077">
          <cell r="D4077" t="str">
            <v>10810529    -    CONN 6 F BLK SLD    -    0.725737</v>
          </cell>
        </row>
        <row r="4078">
          <cell r="D4078" t="str">
            <v>10810589    -    KONTAKTTRAEGER MLK1.226-POL.    -    0.308665</v>
          </cell>
        </row>
        <row r="4079">
          <cell r="D4079" t="str">
            <v>10810590    -    KONTAKTTRAEGER MLK1.226-POL.    -    0.378872</v>
          </cell>
        </row>
        <row r="4080">
          <cell r="D4080" t="str">
            <v>10810615    -    ABDECKKAPPE FUER ZF14-7    -    0.441239</v>
          </cell>
        </row>
        <row r="4081">
          <cell r="D4081" t="str">
            <v>10810644    -    COVER CE    -    0.124141</v>
          </cell>
        </row>
        <row r="4082">
          <cell r="D4082" t="str">
            <v>10810649    -    CONN 2 F TIMER YEL SEALED    -    0.241535</v>
          </cell>
        </row>
        <row r="4083">
          <cell r="D4083" t="str">
            <v>10810654    -    COVER CE    -    0.10865</v>
          </cell>
        </row>
        <row r="4084">
          <cell r="D4084" t="str">
            <v>10810669    -    DECKEL    -    0.403592</v>
          </cell>
        </row>
        <row r="4085">
          <cell r="D4085" t="str">
            <v>10810679    -    HOUSING 4.P.ZL    -    0.8366</v>
          </cell>
        </row>
        <row r="4086">
          <cell r="D4086" t="str">
            <v>10810680    -    LOCK GRA    -    0.283365</v>
          </cell>
        </row>
        <row r="4087">
          <cell r="D4087" t="str">
            <v>10810681    -    MISC GRA    -    0.634197</v>
          </cell>
        </row>
        <row r="4088">
          <cell r="D4088" t="str">
            <v>10810685    -    CONN 4 WAY    -    0.203753</v>
          </cell>
        </row>
        <row r="4089">
          <cell r="D4089" t="str">
            <v>10810730    -    CONNECTOR    -    0.41197</v>
          </cell>
        </row>
        <row r="4090">
          <cell r="D4090" t="str">
            <v>10810740    -    STECKHLSENGEH. 6POLIG SLK2,8 (UNGEDICHTET)    -    0.256377</v>
          </cell>
        </row>
        <row r="4091">
          <cell r="D4091" t="str">
            <v>10810811N    -    CLIP,MOUNT,BLACK    -    0.031164</v>
          </cell>
        </row>
        <row r="4092">
          <cell r="D4092" t="str">
            <v>10810822N    -    CLIP,MOUNT,GREY    -    0.012566</v>
          </cell>
        </row>
        <row r="4093">
          <cell r="D4093" t="str">
            <v>10810860    -    TERM CLIP    -    0.010484</v>
          </cell>
        </row>
        <row r="4094">
          <cell r="D4094" t="str">
            <v>10810866    -    CONN 3 F GRA SEALED    -    0.084445</v>
          </cell>
        </row>
        <row r="4095">
          <cell r="D4095" t="str">
            <v>10810867    -    1ONN 1 F BLK SEALED    -    0.071577</v>
          </cell>
        </row>
        <row r="4096">
          <cell r="D4096" t="str">
            <v>10810868    -    CONN 4 F MISC WHT    -    0.079821</v>
          </cell>
        </row>
        <row r="4097">
          <cell r="D4097" t="str">
            <v>10810869    -    CONN 2 F MISC BRN SEALED    -    0.071577</v>
          </cell>
        </row>
        <row r="4098">
          <cell r="D4098" t="str">
            <v>10810870N    -    CONN,F,6-W,BLACK,SEALED, RS    -    0.104223</v>
          </cell>
        </row>
        <row r="4099">
          <cell r="D4099" t="str">
            <v>10810879    -    LOCK TPA 6 NAT    -    0.021413</v>
          </cell>
        </row>
        <row r="4100">
          <cell r="D4100" t="str">
            <v>10810879N    -    RETAINER,6-W,RS    -    0.02121</v>
          </cell>
        </row>
        <row r="4101">
          <cell r="D4101" t="str">
            <v>10810880    -    LOCK TPA 3 NAT    -    0.021413</v>
          </cell>
        </row>
        <row r="4102">
          <cell r="D4102" t="str">
            <v>10810881    -    LOCK TPA 2 NAT    -    0.020609</v>
          </cell>
        </row>
        <row r="4103">
          <cell r="D4103" t="str">
            <v>10810882    -    LOCK TPA 1 NAT    -    0.021413</v>
          </cell>
        </row>
        <row r="4104">
          <cell r="D4104" t="str">
            <v>10810883    -    CONN 2 F GRA SEALED    -    0.396792</v>
          </cell>
        </row>
        <row r="4105">
          <cell r="D4105" t="str">
            <v>10810902    -    CONN 6 M GRA    -    0.31188</v>
          </cell>
        </row>
        <row r="4106">
          <cell r="D4106" t="str">
            <v>10810931    -    COVER BLK    -    11.617947</v>
          </cell>
        </row>
        <row r="4107">
          <cell r="D4107" t="str">
            <v>10810948    -    STECKERTEIL    -    0.323278</v>
          </cell>
        </row>
        <row r="4108">
          <cell r="D4108" t="str">
            <v>10810972    -    CONNECTOR    -    0.124181</v>
          </cell>
        </row>
        <row r="4109">
          <cell r="D4109" t="str">
            <v>10810973    -    CONNECTOR    -    0.14488</v>
          </cell>
        </row>
        <row r="4110">
          <cell r="D4110" t="str">
            <v>10810977    -    COVER CE    -    0.269871</v>
          </cell>
        </row>
        <row r="4111">
          <cell r="D4111" t="str">
            <v>10810987    -    COVER HN    -    0.037917</v>
          </cell>
        </row>
        <row r="4112">
          <cell r="D4112" t="str">
            <v>10811018    -    CONN    -    8.47657</v>
          </cell>
        </row>
        <row r="4113">
          <cell r="D4113" t="str">
            <v>10811019    -    COVER BLK    -    0.12342</v>
          </cell>
        </row>
        <row r="4114">
          <cell r="D4114" t="str">
            <v>10811088    -    HOUSING 6.P. 0,63MM MO    -    0.064317</v>
          </cell>
        </row>
        <row r="4115">
          <cell r="D4115" t="str">
            <v>10811091    -    HOUSING 4.P. 2,8 BLACK-VIOLET    -    0.073754</v>
          </cell>
        </row>
        <row r="4116">
          <cell r="D4116" t="str">
            <v>10811092    -    HOUSING 6.P. BLUE    -    0.070958</v>
          </cell>
        </row>
        <row r="4117">
          <cell r="D4117" t="str">
            <v>10811093    -    HOUSING 6.P. BROWN-VIOLET    -    0.073405</v>
          </cell>
        </row>
        <row r="4118">
          <cell r="D4118" t="str">
            <v>10811094    -    HOUSING 6.P. WHITE-VIOLET    -    0.080745</v>
          </cell>
        </row>
        <row r="4119">
          <cell r="D4119" t="str">
            <v>10811107    -    OCHRANNA KOVOVA SPONKA    -    0.066793</v>
          </cell>
        </row>
        <row r="4120">
          <cell r="D4120" t="str">
            <v>10811163    -    KLEMA 4.P.L.R.    -    0.953454</v>
          </cell>
        </row>
        <row r="4121">
          <cell r="D4121" t="str">
            <v>10811164    -    VODIC S KLEMOU 5.P.L.R.    -    1.722722</v>
          </cell>
        </row>
        <row r="4122">
          <cell r="D4122" t="str">
            <v>10811176    -    CONNECTOR    -    1.31556</v>
          </cell>
        </row>
        <row r="4123">
          <cell r="D4123" t="str">
            <v>10811201    -    ABDECKKAPPE ZF50-9    -    0.448445</v>
          </cell>
        </row>
        <row r="4124">
          <cell r="D4124" t="str">
            <v>10811202    -    ABDECKKAPPE ZF50-10    -    0.448445</v>
          </cell>
        </row>
        <row r="4125">
          <cell r="D4125" t="str">
            <v>10811246    -    ARETACE MO    -    0.066118</v>
          </cell>
        </row>
        <row r="4126">
          <cell r="D4126" t="str">
            <v>10811247    -    COVER BLACK    -    0.263124</v>
          </cell>
        </row>
        <row r="4127">
          <cell r="D4127" t="str">
            <v>10811270    -    ASM CONNECTOR    -    0.116179</v>
          </cell>
        </row>
        <row r="4128">
          <cell r="D4128" t="str">
            <v>10811281    -    LOCKlNG    -    0.082436</v>
          </cell>
        </row>
        <row r="4129">
          <cell r="D4129" t="str">
            <v>10811293    -    CONN 14 F MIXED MIXED GRA LT    -    0.268924</v>
          </cell>
        </row>
        <row r="4130">
          <cell r="D4130" t="str">
            <v>10811295    -    LOCK COMB YEL    -    0.275957</v>
          </cell>
        </row>
        <row r="4131">
          <cell r="D4131" t="str">
            <v>10811296    -    CONN, 12 F BLK    -    0.607129</v>
          </cell>
        </row>
        <row r="4132">
          <cell r="D4132" t="str">
            <v>10811297    -    CONN 2F    -    0.18376</v>
          </cell>
        </row>
        <row r="4133">
          <cell r="D4133" t="str">
            <v>10811468    -    CONN, 26F MIC/Q GRA    -    0.123466</v>
          </cell>
        </row>
        <row r="4134">
          <cell r="D4134" t="str">
            <v>10811524    -    CONN 16 F BLK SEALED    -    1.929578</v>
          </cell>
        </row>
        <row r="4135">
          <cell r="D4135" t="str">
            <v>10811580    -    CONN    -    0.18756</v>
          </cell>
        </row>
        <row r="4136">
          <cell r="D4136" t="str">
            <v>10811582    -    COVER BLACK 16 WAY    -    0.343721</v>
          </cell>
        </row>
        <row r="4137">
          <cell r="D4137" t="str">
            <v>10811588    -    MOUN BRACKET    -    0.391313</v>
          </cell>
        </row>
        <row r="4138">
          <cell r="D4138" t="str">
            <v>10811617    -    CENT FUS BLK    -    1.956565</v>
          </cell>
        </row>
        <row r="4139">
          <cell r="D4139" t="str">
            <v>10811658    -    KONTAKTSTECKER    -    2.518166</v>
          </cell>
        </row>
        <row r="4140">
          <cell r="D4140" t="str">
            <v>10811664    -    SECOND. LOCKING    -    0.015787</v>
          </cell>
        </row>
        <row r="4141">
          <cell r="D4141" t="str">
            <v>10811672    -    COVER BLK    -    0.047362</v>
          </cell>
        </row>
        <row r="4142">
          <cell r="D4142" t="str">
            <v>10811673    -    CONN 6F FLAT    -    0.033599</v>
          </cell>
        </row>
        <row r="4143">
          <cell r="D4143" t="str">
            <v>10811678    -    COV BLK    -    0.033194</v>
          </cell>
        </row>
        <row r="4144">
          <cell r="D4144" t="str">
            <v>10811679    -    CONN 12F FLAT    -    0.02078</v>
          </cell>
        </row>
        <row r="4145">
          <cell r="D4145" t="str">
            <v>10811680    -    COV BLK    -    0.028876</v>
          </cell>
        </row>
        <row r="4146">
          <cell r="D4146" t="str">
            <v>10811681    -    CONN 8F FLAT    -    0.022399</v>
          </cell>
        </row>
        <row r="4147">
          <cell r="D4147" t="str">
            <v>10811710    -    CONN    -    0.59</v>
          </cell>
        </row>
        <row r="4148">
          <cell r="D4148" t="str">
            <v>10811756    -    CONNECTOR 9W    -    4.19</v>
          </cell>
        </row>
        <row r="4149">
          <cell r="D4149" t="str">
            <v>10811758    -    COVER    -    1.000412</v>
          </cell>
        </row>
        <row r="4150">
          <cell r="D4150" t="str">
            <v>10811784    -    CONN 4 F MISC GRA SLD    -    0.198044</v>
          </cell>
        </row>
        <row r="4151">
          <cell r="D4151" t="str">
            <v>10811795    -    CONN 6 F BLK SEALED    -    0.161113</v>
          </cell>
        </row>
        <row r="4152">
          <cell r="D4152" t="str">
            <v>10811797    -    6-P GEH}USE YAZAKI    -    0.112901</v>
          </cell>
        </row>
        <row r="4153">
          <cell r="D4153" t="str">
            <v>10811816    -    CONN, ASM 2 F 6345 MM U/F    -    2.512499</v>
          </cell>
        </row>
        <row r="4154">
          <cell r="D4154" t="str">
            <v>10811854    -    COV BLK    -    0.674678</v>
          </cell>
        </row>
        <row r="4155">
          <cell r="D4155" t="str">
            <v>10811885    -    80-POL.GEH. SUMITOMO    -    0.114957</v>
          </cell>
        </row>
        <row r="4156">
          <cell r="D4156" t="str">
            <v>10811886    -    80-P GEH}USE SUMITOMO    -    0.687669</v>
          </cell>
        </row>
        <row r="4157">
          <cell r="D4157" t="str">
            <v>10811887    -    ABDECKKAPPE SUMITOMO    -    0.327345</v>
          </cell>
        </row>
        <row r="4158">
          <cell r="D4158" t="str">
            <v>10811888    -    20-P GEH}USE SUMITOMO    -    0.149067</v>
          </cell>
        </row>
        <row r="4159">
          <cell r="D4159" t="str">
            <v>10811889    -    20-P GEH}USE SUMITOMO    -    0.136818</v>
          </cell>
        </row>
        <row r="4160">
          <cell r="D4160" t="str">
            <v>10811901    -    CONN 20 F WHT    -    0.107908</v>
          </cell>
        </row>
        <row r="4161">
          <cell r="D4161" t="str">
            <v>10811902    -    CONN 4 F BLK    -    0.083107</v>
          </cell>
        </row>
        <row r="4162">
          <cell r="D4162" t="str">
            <v>10811929    -    CONN 4M    -    0.10633</v>
          </cell>
        </row>
        <row r="4163">
          <cell r="D4163" t="str">
            <v>10811950    -    COV CONN BLK    -    0.151398</v>
          </cell>
        </row>
        <row r="4164">
          <cell r="D4164" t="str">
            <v>10811964    -    CHAN BLK    -    0.082713</v>
          </cell>
        </row>
        <row r="4165">
          <cell r="D4165" t="str">
            <v>10811985    -    GROM    -    0.442588</v>
          </cell>
        </row>
        <row r="4166">
          <cell r="D4166" t="str">
            <v>10812010    -    CONN 4 WAYB    -    0.066361</v>
          </cell>
        </row>
        <row r="4167">
          <cell r="D4167" t="str">
            <v>10812011    -    CONN 4 WAY    -    0.066361</v>
          </cell>
        </row>
        <row r="4168">
          <cell r="D4168" t="str">
            <v>10812025    -    CONN 2 WAY    -    0.124734</v>
          </cell>
        </row>
        <row r="4169">
          <cell r="D4169" t="str">
            <v>10812026    -    2WAY CONN    -    0.059534</v>
          </cell>
        </row>
        <row r="4170">
          <cell r="D4170" t="str">
            <v>10812027    -    CONN 14 POL    -    0.096007</v>
          </cell>
        </row>
        <row r="4171">
          <cell r="D4171" t="str">
            <v>10812028    -    CONN 47F    -    2.2039</v>
          </cell>
        </row>
        <row r="4172">
          <cell r="D4172" t="str">
            <v>10812029    -    ABDECKKAP.F-GESCHL.47-POL    -    0.428434</v>
          </cell>
        </row>
        <row r="4173">
          <cell r="D4173" t="str">
            <v>10812049    -    COV BLK    -    1.190131</v>
          </cell>
        </row>
        <row r="4174">
          <cell r="D4174" t="str">
            <v>10812057    -    CONN 2M MQS    -    0.09015</v>
          </cell>
        </row>
        <row r="4175">
          <cell r="D4175" t="str">
            <v>10812061    -    LOCK 2 VLT    -    0.009046</v>
          </cell>
        </row>
        <row r="4176">
          <cell r="D4176" t="str">
            <v>10812074    -    CONN 11 F BLK    -    0.472274</v>
          </cell>
        </row>
        <row r="4177">
          <cell r="D4177" t="str">
            <v>10812160    -    CENT RELAY CTR BLK    -    4.992614</v>
          </cell>
        </row>
        <row r="4178">
          <cell r="D4178" t="str">
            <v>10814302    -    CONN 25F    -    1.43565</v>
          </cell>
        </row>
        <row r="4179">
          <cell r="D4179" t="str">
            <v>10814452    -    CONN 1F    -    0.04219</v>
          </cell>
        </row>
        <row r="4180">
          <cell r="D4180" t="str">
            <v>10814513    -    CONN 30M    -    0.4763</v>
          </cell>
        </row>
        <row r="4181">
          <cell r="D4181" t="str">
            <v>10814528    -    CPA    -    0.08235</v>
          </cell>
        </row>
        <row r="4182">
          <cell r="D4182" t="str">
            <v>10814601    -    STRAIN RELIEF    -    0.05427</v>
          </cell>
        </row>
        <row r="4183">
          <cell r="D4183" t="str">
            <v>10814602    -    STRAIN RELIEF    -    0.05071</v>
          </cell>
        </row>
        <row r="4184">
          <cell r="D4184" t="str">
            <v>10814674    -    COV    -    5.302965</v>
          </cell>
        </row>
        <row r="4185">
          <cell r="D4185" t="str">
            <v>10814723    -    CONN 2W F    -    0.207</v>
          </cell>
        </row>
        <row r="4186">
          <cell r="D4186" t="str">
            <v>10814724    -    CONN    -    0.1908</v>
          </cell>
        </row>
        <row r="4187">
          <cell r="D4187" t="str">
            <v>10814819    -    CONN 4 M GRA LT    -    0.2933</v>
          </cell>
        </row>
        <row r="4188">
          <cell r="D4188" t="str">
            <v>15422071    -    STABILIZER 16M GT MXD        -   0.025</v>
          </cell>
        </row>
        <row r="4189">
          <cell r="D4189" t="str">
            <v>15326057    -    SLD 16M CONN    -    0.15295</v>
          </cell>
        </row>
        <row r="4190">
          <cell r="D4190" t="str">
            <v>10819314    -    CONN 8 F BLK    -    0.116922</v>
          </cell>
        </row>
        <row r="4191">
          <cell r="D4191" t="str">
            <v>10819316    -    CONN 6 GRA    -    0.166875</v>
          </cell>
        </row>
        <row r="4192">
          <cell r="D4192" t="str">
            <v>10819318    -    COVER CAP BLACK    -    0.108637</v>
          </cell>
        </row>
        <row r="4193">
          <cell r="D4193" t="str">
            <v>10819420    -    CONN 3F    -    0.264474</v>
          </cell>
        </row>
        <row r="4194">
          <cell r="D4194" t="str">
            <v>10819421    -    SPLI, COVER    -    0.107948</v>
          </cell>
        </row>
        <row r="4195">
          <cell r="D4195" t="str">
            <v>10819443    -    6 POL. GEH}USE RH06FB    -    0.189045</v>
          </cell>
        </row>
        <row r="4196">
          <cell r="D4196" t="str">
            <v>10819448    -    CAVITY PLUG    -    0.00827</v>
          </cell>
        </row>
        <row r="4197">
          <cell r="D4197" t="str">
            <v>10819448N    -    CAVITY PLUG,GREY    -    0.009048</v>
          </cell>
        </row>
        <row r="4198">
          <cell r="D4198" t="str">
            <v>10819450    -    ACC3, BUTYL STRIPE 17 POL    -    0.274054</v>
          </cell>
        </row>
        <row r="4199">
          <cell r="D4199" t="str">
            <v>10819455    -    CONN 3 F 090 GRA LT    -    0.098185</v>
          </cell>
        </row>
        <row r="4200">
          <cell r="D4200" t="str">
            <v>10819462    -    CONN 2F    -    0.059277</v>
          </cell>
        </row>
        <row r="4201">
          <cell r="D4201" t="str">
            <v>10819470    -    01.F11.02 CLIP 6MM FASTON    -    0.024019</v>
          </cell>
        </row>
        <row r="4202">
          <cell r="D4202" t="str">
            <v>10819488    -    18-POL.ABDECKKAPPE    -    0.331159</v>
          </cell>
        </row>
        <row r="4203">
          <cell r="D4203" t="str">
            <v>10819502    -    8-P GEH}USE YAZAKI/MITSU.    -    0.148181</v>
          </cell>
        </row>
        <row r="4204">
          <cell r="D4204" t="str">
            <v>10819503    -    12-P GEH}USE MITSUBISHI    -    0.154716</v>
          </cell>
        </row>
        <row r="4205">
          <cell r="D4205" t="str">
            <v>10819506    -    80-P STECKERL.    -    1.033294</v>
          </cell>
        </row>
        <row r="4206">
          <cell r="D4206" t="str">
            <v>10819507    -    20-P STECKERL.    -    0.131967</v>
          </cell>
        </row>
        <row r="4207">
          <cell r="D4207" t="str">
            <v>10819508    -    20-P STECKERL.    -    0.157335</v>
          </cell>
        </row>
        <row r="4208">
          <cell r="D4208" t="str">
            <v>10819520    -    ABDECKKAPPE ZF50-12 NEU!!    -    0.448445</v>
          </cell>
        </row>
        <row r="4209">
          <cell r="D4209" t="str">
            <v>10819548    -    CONN 3 WAY    -    0.0527</v>
          </cell>
        </row>
        <row r="4210">
          <cell r="D4210" t="str">
            <v>10819564    -    CONN 4 F RECEPTACLE MIXED NAT SEALED    -    1.204704</v>
          </cell>
        </row>
        <row r="4211">
          <cell r="D4211" t="str">
            <v>10819568    -    COV CONN BLK    -    0.06879</v>
          </cell>
        </row>
        <row r="4212">
          <cell r="D4212" t="str">
            <v>10819578    -    VERRIEGELUNG    -    0.082041</v>
          </cell>
        </row>
        <row r="4213">
          <cell r="D4213" t="str">
            <v>10819616    -    MOUN BRACKET    -    0.796119</v>
          </cell>
        </row>
        <row r="4214">
          <cell r="D4214" t="str">
            <v>10819633    -    CHAN CABLE BLK    -    0.526248</v>
          </cell>
        </row>
        <row r="4215">
          <cell r="D4215" t="str">
            <v>10819638    -    MOUN BRACKET    -    1.592239</v>
          </cell>
        </row>
        <row r="4216">
          <cell r="D4216" t="str">
            <v>10819708    -    CONN 6M    -    0.07072</v>
          </cell>
        </row>
        <row r="4217">
          <cell r="D4217" t="str">
            <v>10819806    -    CAVITY PLUG    -    0.03178</v>
          </cell>
        </row>
        <row r="4218">
          <cell r="D4218" t="str">
            <v>10819842    -    CONN 8F MQS    -    0.16023</v>
          </cell>
        </row>
        <row r="4219">
          <cell r="D4219" t="str">
            <v>10819843    -    CONN COVER MQS    -    0.03987</v>
          </cell>
        </row>
        <row r="4220">
          <cell r="D4220" t="str">
            <v>10819845    -    2-P GEH}USE    -    0.35623</v>
          </cell>
        </row>
        <row r="4221">
          <cell r="D4221" t="str">
            <v>10819846    -    2-P GEH}USE MTA    -    0.35623</v>
          </cell>
        </row>
        <row r="4222">
          <cell r="D4222" t="str">
            <v>10819852    -    CHAN CABLE BLK    -    1.565252</v>
          </cell>
        </row>
        <row r="4223">
          <cell r="D4223" t="str">
            <v>10819879    -    COVER    -    0.25179</v>
          </cell>
        </row>
        <row r="4224">
          <cell r="D4224" t="str">
            <v>10819909    -    LOCK CONN 58 RED    -    0.061531</v>
          </cell>
        </row>
        <row r="4225">
          <cell r="D4225" t="str">
            <v>10819913    -    LOCK CONN 58 RED    -    0.057779</v>
          </cell>
        </row>
        <row r="4226">
          <cell r="D4226" t="str">
            <v>10819925    -    STECKHLSENGEHUSE SLK 2.8-ELA 3-POL.    -    0.508437</v>
          </cell>
        </row>
        <row r="4227">
          <cell r="D4227" t="str">
            <v>10819935    -    CONNECTOR    -    0.062</v>
          </cell>
        </row>
        <row r="4228">
          <cell r="D4228" t="str">
            <v>10820029    -    CONN 24 F MULTILOCK 040 GRA    -    0.190219</v>
          </cell>
        </row>
        <row r="4229">
          <cell r="D4229" t="str">
            <v>10820035    -    LOCK RETAINER CONN 81 YEL    -    0.153395</v>
          </cell>
        </row>
        <row r="4230">
          <cell r="D4230" t="str">
            <v>10820066    -    CONN 12 M    -    0.158335</v>
          </cell>
        </row>
        <row r="4231">
          <cell r="D4231" t="str">
            <v>10820070    -    SEAL CONN CAVITY PLUG BLU LT    -    0.019257</v>
          </cell>
        </row>
        <row r="4232">
          <cell r="D4232" t="str">
            <v>10820072    -    CONN 20 M MULTILOCK 040 NAT    -    0.215937</v>
          </cell>
        </row>
        <row r="4233">
          <cell r="D4233" t="str">
            <v>10820077    -    COVER    -    0.2331</v>
          </cell>
        </row>
        <row r="4234">
          <cell r="D4234" t="str">
            <v>10820079    -    TPA    -    0.046148</v>
          </cell>
        </row>
        <row r="4235">
          <cell r="D4235" t="str">
            <v>10820081    -    SEAL CONN CAVITY PLUG BRN    -    0.015281</v>
          </cell>
        </row>
        <row r="4236">
          <cell r="D4236" t="str">
            <v>10820081N    -    CAVITY PLUG    -    0.015508</v>
          </cell>
        </row>
        <row r="4237">
          <cell r="D4237" t="str">
            <v>10820083    -    CONN 8 M GRA    -    0.086531</v>
          </cell>
        </row>
        <row r="4238">
          <cell r="D4238" t="str">
            <v>10820086    -    CONN 24 M MULTILOCK 040 BRN    -    0.228216</v>
          </cell>
        </row>
        <row r="4239">
          <cell r="D4239" t="str">
            <v>10820087    -    CONN 24 F MULTILOCK 040 BRN    -    0.190219</v>
          </cell>
        </row>
        <row r="4240">
          <cell r="D4240" t="str">
            <v>10820088    -    CONN 40 F RECEPTACLE MIXED SLD    -    2.648136</v>
          </cell>
        </row>
        <row r="4241">
          <cell r="D4241" t="str">
            <v>10820090    -    COV CONN HSG BLK    -    0.21529</v>
          </cell>
        </row>
        <row r="4242">
          <cell r="D4242" t="str">
            <v>10820091    -    CONNECTOR    -    0.099022</v>
          </cell>
        </row>
        <row r="4243">
          <cell r="D4243" t="str">
            <v>10820091N    -    CONN,F,8-W,NATURAL    -    0.103767</v>
          </cell>
        </row>
        <row r="4244">
          <cell r="D4244" t="str">
            <v>10820094    -    STECKHLSENGEH. 6POL. SLK2,8 ELA KOD. B    -    0.325195</v>
          </cell>
        </row>
        <row r="4245">
          <cell r="D4245" t="str">
            <v>10820097    -    CONN 12F BLK    -    0.514104</v>
          </cell>
        </row>
        <row r="4246">
          <cell r="D4246" t="str">
            <v>10820103    -    ASM CONN 12 F 040    -    0.412977</v>
          </cell>
        </row>
        <row r="4247">
          <cell r="D4247" t="str">
            <v>10820104    -    ASM CONN 12 F 040    -    0.412977</v>
          </cell>
        </row>
        <row r="4248">
          <cell r="D4248" t="str">
            <v>10820109    -    CONNECTOR 5 WAY FEMALE BLACK    -    0.132161</v>
          </cell>
        </row>
        <row r="4249">
          <cell r="D4249" t="str">
            <v>10820141    -    COV RLY BOX BLACK 24380 4M480    -    1.363375</v>
          </cell>
        </row>
        <row r="4250">
          <cell r="D4250" t="str">
            <v>10820142    -    RELAY BOX COVER WHITE    -    1.767918</v>
          </cell>
        </row>
        <row r="4251">
          <cell r="D4251" t="str">
            <v>10820154    -    CONN 6 F RECEPTACLE NAT    -    0.142946</v>
          </cell>
        </row>
        <row r="4252">
          <cell r="D4252" t="str">
            <v>10820191    -    CONN 2 F    -    0.066149</v>
          </cell>
        </row>
        <row r="4253">
          <cell r="D4253" t="str">
            <v>10820215    -    CONN    -    0.11441</v>
          </cell>
        </row>
        <row r="4254">
          <cell r="D4254" t="str">
            <v>10820219    -    CONNECTOR 1 WAY FEMALE BLACK    -    0.054419</v>
          </cell>
        </row>
        <row r="4255">
          <cell r="D4255" t="str">
            <v>10820231    -    GROM    -    0.400704</v>
          </cell>
        </row>
        <row r="4256">
          <cell r="D4256" t="str">
            <v>10820252    -    COV CONN    -    0.243383</v>
          </cell>
        </row>
        <row r="4257">
          <cell r="D4257" t="str">
            <v>10820253    -    BRACKET RELAY BOX COVER WHITE    -    0.349921</v>
          </cell>
        </row>
        <row r="4258">
          <cell r="D4258" t="str">
            <v>10820254    -    STECKHLSENGEHUSE MLK 1.296-POL    -    2.177832</v>
          </cell>
        </row>
        <row r="4259">
          <cell r="D4259" t="str">
            <v>10820261    -    CONN 2 M MISC GRA LT    -    0.107939</v>
          </cell>
        </row>
        <row r="4260">
          <cell r="D4260" t="str">
            <v>10820267    -    CONN 6 M    -    0.115308</v>
          </cell>
        </row>
        <row r="4261">
          <cell r="D4261" t="str">
            <v>10820268    -    CONNECTOR 3 WAY FEMALE GRAY    -    0.217511</v>
          </cell>
        </row>
        <row r="4262">
          <cell r="D4262" t="str">
            <v>10820270    -    CONN 16 M MULTILOCK 040 NAT    -    0.195603</v>
          </cell>
        </row>
        <row r="4263">
          <cell r="D4263" t="str">
            <v>10820271    -    CONN 16 F MULTILOCK 040 NAT    -    0.160614</v>
          </cell>
        </row>
        <row r="4264">
          <cell r="D4264" t="str">
            <v>10820272    -    CONN 20 F MULTILOCK 040 NAT    -    0.184187</v>
          </cell>
        </row>
        <row r="4265">
          <cell r="D4265" t="str">
            <v>10820278    -    STECKHLSENGEHUSE MLK1.2-ELA, 6-POL.    -    0.613673</v>
          </cell>
        </row>
        <row r="4266">
          <cell r="D4266" t="str">
            <v>10820282    -    CONNECTOR 6 WAY FEMALE BLUE    -    0.123214</v>
          </cell>
        </row>
        <row r="4267">
          <cell r="D4267" t="str">
            <v>10820283    -    LOCK RETAINER CONN 6    -    0.02654</v>
          </cell>
        </row>
        <row r="4268">
          <cell r="D4268" t="str">
            <v>10820285    -    2 WAY FEMALE CONNECTOR BLUE    -    0.261141</v>
          </cell>
        </row>
        <row r="4269">
          <cell r="D4269" t="str">
            <v>10820286    -    2 WAY FEMALE CONNECTOR GREEN    -    0.261141</v>
          </cell>
        </row>
        <row r="4270">
          <cell r="D4270" t="str">
            <v>10820293    -    CONN 6 F MISC NAT    -    0.074593</v>
          </cell>
        </row>
        <row r="4271">
          <cell r="D4271" t="str">
            <v>10820294    -    CONNECTOR 2 WAY FEMALE GRAY    -    0.124707</v>
          </cell>
        </row>
        <row r="4272">
          <cell r="D4272" t="str">
            <v>10820297    -    LOCK CONN LK NAT    -    0.015248</v>
          </cell>
        </row>
        <row r="4273">
          <cell r="D4273" t="str">
            <v>10820298    -    SECONDARY LOCK    -    0.070032</v>
          </cell>
        </row>
        <row r="4274">
          <cell r="D4274" t="str">
            <v>10820301    -    ASM CONN 0 F GRA SLD BASE 2    -    0.169896</v>
          </cell>
        </row>
        <row r="4275">
          <cell r="D4275" t="str">
            <v>10820302    -    CONNECTOR 2 WAY FEMALE BLACK    -    0.460144</v>
          </cell>
        </row>
        <row r="4276">
          <cell r="D4276" t="str">
            <v>10820303    -    ASM CONN 3 F 090 BLK SLD    -    0.224719</v>
          </cell>
        </row>
        <row r="4277">
          <cell r="D4277" t="str">
            <v>10820304    -    ASM CONN 8 F MISC BLK    -    0.16534</v>
          </cell>
        </row>
        <row r="4278">
          <cell r="D4278" t="str">
            <v>10820305    -    ASM CONN 0 F BLK SLD BASE 10    -    0.211041</v>
          </cell>
        </row>
        <row r="4279">
          <cell r="D4279" t="str">
            <v>10820306    -    CONNECTOR 2 WAY FEMALE GRAY    -    0.301662</v>
          </cell>
        </row>
        <row r="4280">
          <cell r="D4280" t="str">
            <v>10820307    -    CONN 2 M 091 BRN    -    0.069588</v>
          </cell>
        </row>
        <row r="4281">
          <cell r="D4281" t="str">
            <v>10820308    -    CONN 4 M 091 NAT    -    0.060934</v>
          </cell>
        </row>
        <row r="4282">
          <cell r="D4282" t="str">
            <v>10820309    -    CONN 12 M 091 NAT    -    0.120918</v>
          </cell>
        </row>
        <row r="4283">
          <cell r="D4283" t="str">
            <v>10820310    -    CONNECTOR    -    0.378804</v>
          </cell>
        </row>
        <row r="4284">
          <cell r="D4284" t="str">
            <v>10820312    -    CONNECTOR 1 WAY FEMALE WHITE    -    0.160101</v>
          </cell>
        </row>
        <row r="4285">
          <cell r="D4285" t="str">
            <v>10820314    -    CONN 12 F NAT    -    0.222071</v>
          </cell>
        </row>
        <row r="4286">
          <cell r="D4286" t="str">
            <v>10820373    -    2-POL.GEH}USE YAZAKI    -    0.107948</v>
          </cell>
        </row>
        <row r="4287">
          <cell r="D4287" t="str">
            <v>10820460    -    CONN    -    0.34047</v>
          </cell>
        </row>
        <row r="4288">
          <cell r="D4288" t="str">
            <v>10820465    -    CONN 10 F 064 NAT    -    0.361222</v>
          </cell>
        </row>
        <row r="4289">
          <cell r="D4289" t="str">
            <v>10820481    -    COV CONN BLK    -    0.431794</v>
          </cell>
        </row>
        <row r="4290">
          <cell r="D4290" t="str">
            <v>10820482    -    COV CONN BLK    -    0.431794</v>
          </cell>
        </row>
        <row r="4291">
          <cell r="D4291" t="str">
            <v>10820505    -    COB CONN    -    0.850094</v>
          </cell>
        </row>
        <row r="4292">
          <cell r="D4292" t="str">
            <v>10820516    -    CONN 2 F NAT    -    0.046688</v>
          </cell>
        </row>
        <row r="4293">
          <cell r="D4293" t="str">
            <v>10820520    -    ABDECKKAPPE TYCO COB.B    -    0.444302</v>
          </cell>
        </row>
        <row r="4294">
          <cell r="D4294" t="str">
            <v>10820521    -    ABDECKKAPPE TYCO COD.A    -    0.444302</v>
          </cell>
        </row>
        <row r="4295">
          <cell r="D4295" t="str">
            <v>10820522    -    CONN 27F    -    0.21985</v>
          </cell>
        </row>
        <row r="4296">
          <cell r="D4296" t="str">
            <v>10820531    -    LOCK TPA    -    0.043854</v>
          </cell>
        </row>
        <row r="4297">
          <cell r="D4297" t="str">
            <v>10820532    -    LOCK TPA    -    0.043854</v>
          </cell>
        </row>
        <row r="4298">
          <cell r="D4298" t="str">
            <v>10820533    -    LOCK TPA    -    0.043854</v>
          </cell>
        </row>
        <row r="4299">
          <cell r="D4299" t="str">
            <v>10820535    -    LOCK TPA    -    0.082311</v>
          </cell>
        </row>
        <row r="4300">
          <cell r="D4300" t="str">
            <v>10820537    -    CONN 2F    -    0.06754</v>
          </cell>
        </row>
        <row r="4301">
          <cell r="D4301" t="str">
            <v>10820538    -    CONN, 2F MQS NAT    -    0.099717</v>
          </cell>
        </row>
        <row r="4302">
          <cell r="D4302" t="str">
            <v>10820540    -    CONN    -    0.10022</v>
          </cell>
        </row>
        <row r="4303">
          <cell r="D4303" t="str">
            <v>10820547    -    CONN 18 F BLK    -    0.082176</v>
          </cell>
        </row>
        <row r="4304">
          <cell r="D4304" t="str">
            <v>10820548    -    18 POL. ABDECKKAPPE    -    0.257943</v>
          </cell>
        </row>
        <row r="4305">
          <cell r="D4305" t="str">
            <v>10846279    -    LOCK RETAINER CONN NAT    -    0.030762</v>
          </cell>
        </row>
        <row r="4306">
          <cell r="D4306" t="str">
            <v>10846304    -    MOUN BRACKET    -    0.593716</v>
          </cell>
        </row>
        <row r="4307">
          <cell r="D4307" t="str">
            <v>10846313    -    CONN, 6F MQS SLD BRN    -    0.509678</v>
          </cell>
        </row>
        <row r="4308">
          <cell r="D4308" t="str">
            <v>10846319    -    CONN 3 F RECEPTACLE GRA SEALED    -    0.143758</v>
          </cell>
        </row>
        <row r="4309">
          <cell r="D4309" t="str">
            <v>10846320    -    LOCK RETAINER CONN 2 WHT    -    0.025233</v>
          </cell>
        </row>
        <row r="4310">
          <cell r="D4310" t="str">
            <v>10846344    -    LOOSE GROMMET    -    0.372422</v>
          </cell>
        </row>
        <row r="4311">
          <cell r="D4311" t="str">
            <v>10846351    -    LOOSE GROMMET    -    0.666635</v>
          </cell>
        </row>
        <row r="4312">
          <cell r="D4312" t="str">
            <v>10846361    -    CONN 4 RECEPTACLE NAT    -    0.067184</v>
          </cell>
        </row>
        <row r="4313">
          <cell r="D4313" t="str">
            <v>10846421    -    COVER BLACK    -    0.082311</v>
          </cell>
        </row>
        <row r="4314">
          <cell r="D4314" t="str">
            <v>10846458    -    LOCK RETAINER SEAL VLT    -    0.134936</v>
          </cell>
        </row>
        <row r="4315">
          <cell r="D4315" t="str">
            <v>10846462    -    LOCK RETAINER SEAL VLT    -    0.141682</v>
          </cell>
        </row>
        <row r="4316">
          <cell r="D4316" t="str">
            <v>10846530    -    COVER BLACK    -    0.236137</v>
          </cell>
        </row>
        <row r="4317">
          <cell r="D4317" t="str">
            <v>10846565    -    CONN 16 F RECEPTACLE BRN    -    0.166478</v>
          </cell>
        </row>
        <row r="4318">
          <cell r="D4318" t="str">
            <v>10846566    -    CONNECTOR 2 WAY FEMALE GRAY    -    0.454898</v>
          </cell>
        </row>
        <row r="4319">
          <cell r="D4319" t="str">
            <v>10846567    -    CONN.1 WAY BLACK    -    0.103847</v>
          </cell>
        </row>
        <row r="4320">
          <cell r="D4320" t="str">
            <v>10846568    -    CONN.2 WAY BLACK    -    0.150896</v>
          </cell>
        </row>
        <row r="4321">
          <cell r="D4321" t="str">
            <v>10846569    -    3 WAY FEMALE CONNECTOR GRAY    -    0.139737</v>
          </cell>
        </row>
        <row r="4322">
          <cell r="D4322" t="str">
            <v>10846570    -    6 WAY CONNECTOR BLACK    -    0.165875</v>
          </cell>
        </row>
        <row r="4323">
          <cell r="D4323" t="str">
            <v>10846571    -    CONNECTOR 8 WAY FEMALE GRAY    -    0.251325</v>
          </cell>
        </row>
        <row r="4324">
          <cell r="D4324" t="str">
            <v>10846574    -    RETAI.FOR RS CONN.8 WAY(GREEN)    -    0.027143</v>
          </cell>
        </row>
        <row r="4325">
          <cell r="D4325" t="str">
            <v>10846575    -    CONNECTOR 6 WAY MALE BROWN    -    0.227801</v>
          </cell>
        </row>
        <row r="4326">
          <cell r="D4326" t="str">
            <v>10846576    -    CONN 10 F RECEPTACLE    -    0.108572</v>
          </cell>
        </row>
        <row r="4327">
          <cell r="D4327" t="str">
            <v>10846577    -    CONNECTOR 12 WAY FEMALE GRAY    -    0.15743</v>
          </cell>
        </row>
        <row r="4328">
          <cell r="D4328" t="str">
            <v>10846587    -    LOCK YEL    -    0.074215</v>
          </cell>
        </row>
        <row r="4329">
          <cell r="D4329" t="str">
            <v>10846588    -    LOCK YEL    -    0.044529</v>
          </cell>
        </row>
        <row r="4330">
          <cell r="D4330" t="str">
            <v>10846681    -    COVER BLACK    -    0.101067</v>
          </cell>
        </row>
        <row r="4331">
          <cell r="D4331" t="str">
            <v>10846708    -    STECKHLSENGEHUSE SLK 2.8ELA 6-POL    -    0.965882</v>
          </cell>
        </row>
        <row r="4332">
          <cell r="D4332" t="str">
            <v>10846721    -    COV CONN SLV    -    2.924727</v>
          </cell>
        </row>
        <row r="4333">
          <cell r="D4333" t="str">
            <v>10846722    -    CONN 5 F GRN    -    0.831742</v>
          </cell>
        </row>
        <row r="4334">
          <cell r="D4334" t="str">
            <v>10846723    -    CONN 5 M GRN    -    0.79558</v>
          </cell>
        </row>
        <row r="4335">
          <cell r="D4335" t="str">
            <v>10846794    -    CONNECTOR    -    0.08845</v>
          </cell>
        </row>
        <row r="4336">
          <cell r="D4336" t="str">
            <v>10846795    -    CONN 2 F 1.5 ORN    -    0.13051</v>
          </cell>
        </row>
        <row r="4337">
          <cell r="D4337" t="str">
            <v>10846797    -    CONN 2 F 1.5 YEL    -    0.13051</v>
          </cell>
        </row>
        <row r="4338">
          <cell r="D4338" t="str">
            <v>10846798    -    CONN 2 M 1.5 GRA    -    0.157969</v>
          </cell>
        </row>
        <row r="4339">
          <cell r="D4339" t="str">
            <v>10846799    -    CONN 2 M 1.5 ORN    -    0.157969</v>
          </cell>
        </row>
        <row r="4340">
          <cell r="D4340" t="str">
            <v>10846800    -    CONN 2 M 1.5 GRN    -    0.177332</v>
          </cell>
        </row>
        <row r="4341">
          <cell r="D4341" t="str">
            <v>15339058    -    CONN. 7F M/P 150    -    0.10789</v>
          </cell>
        </row>
        <row r="4342">
          <cell r="D4342" t="str">
            <v>10846802    -    CONN 8 F 1.5 GRA LT    -    0.1127</v>
          </cell>
        </row>
        <row r="4343">
          <cell r="D4343" t="str">
            <v>10846803    -    CONN 3 M 1.5 GRA LT    -    0.1211</v>
          </cell>
        </row>
        <row r="4344">
          <cell r="D4344" t="str">
            <v>10846804    -    CONN 6 M 1.5 GRA LT    -    0.1587</v>
          </cell>
        </row>
        <row r="4345">
          <cell r="D4345" t="str">
            <v>10846805    -    CONN 6F 1,5 GRA LT    -    0.09529</v>
          </cell>
        </row>
        <row r="4346">
          <cell r="D4346" t="str">
            <v>10846806    -    CONN 4 M 1.5 GRA    -    0.12457</v>
          </cell>
        </row>
        <row r="4347">
          <cell r="D4347" t="str">
            <v>10846810    -    CONN 12 M GRA LT    -    0.434371</v>
          </cell>
        </row>
        <row r="4348">
          <cell r="D4348" t="str">
            <v>12064862    -     CONN 8 F M/P 150    -    0.0451</v>
          </cell>
        </row>
        <row r="4349">
          <cell r="D4349" t="str">
            <v>12064863    -     TPA 8 F M/P 150    -    0.04</v>
          </cell>
        </row>
        <row r="4350">
          <cell r="D4350" t="str">
            <v>12047665    -    '04  TPA M/P 150    -     0.0162</v>
          </cell>
        </row>
        <row r="4351">
          <cell r="D4351" t="str">
            <v>10846812    -    CONN 2 M GRA    -    0.253881</v>
          </cell>
        </row>
        <row r="4352">
          <cell r="D4352" t="str">
            <v>10846813    -    4F UNSEALED CONN    -    0.1184</v>
          </cell>
        </row>
        <row r="4353">
          <cell r="D4353" t="str">
            <v>10846814    -    ASM CONN 12 F GRA LT    -    0.217</v>
          </cell>
        </row>
        <row r="4354">
          <cell r="D4354" t="str">
            <v>10846815    -    CONN 12 F GRN    -    0.220741</v>
          </cell>
        </row>
        <row r="4355">
          <cell r="D4355" t="str">
            <v>10846816    -    ASM CONN 2 F GRA LT    -    0.15</v>
          </cell>
        </row>
        <row r="4356">
          <cell r="D4356" t="str">
            <v>10846817    -    1.5 MALE SUB-ASSY    -    0.18512</v>
          </cell>
        </row>
        <row r="4357">
          <cell r="D4357" t="str">
            <v>10846819    -    CONNECTOR    -    0.10023</v>
          </cell>
        </row>
        <row r="4358">
          <cell r="D4358" t="str">
            <v>10846820    -    CONN 4 F 1.5 GRA    -    0.137499</v>
          </cell>
        </row>
        <row r="4359">
          <cell r="D4359" t="str">
            <v>10846821    -    CONN 4 F 1.5 ORN    -    0.137499</v>
          </cell>
        </row>
        <row r="4360">
          <cell r="D4360" t="str">
            <v>10846828    -    SPACER    -    0.195171</v>
          </cell>
        </row>
        <row r="4361">
          <cell r="D4361" t="str">
            <v>10846829    -    COVER TOP FOR 92GG14489NTA    -    0.075375</v>
          </cell>
        </row>
        <row r="4362">
          <cell r="D4362" t="str">
            <v>10846863    -    CONNECTOR    -    0.323845</v>
          </cell>
        </row>
        <row r="4363">
          <cell r="D4363" t="str">
            <v>10846868    -    ASM CONN 0 F GRA SLD BASE 2    -    0.143758</v>
          </cell>
        </row>
        <row r="4364">
          <cell r="D4364" t="str">
            <v>10846900    -    ASM CONN 14 M GRA LT    -    0.321551</v>
          </cell>
        </row>
        <row r="4365">
          <cell r="D4365" t="str">
            <v>10846916    -    CONNECTOR 3 WAY,WHITE FEMALE    -    0.318178</v>
          </cell>
        </row>
        <row r="4366">
          <cell r="D4366" t="str">
            <v>10846917    -    CONN 4 M MISC NAT    -    0.08153</v>
          </cell>
        </row>
        <row r="4367">
          <cell r="D4367" t="str">
            <v>10846919    -    CONNECTOR 4 WAY FEMALE WHITE    -    0.119013</v>
          </cell>
        </row>
        <row r="4368">
          <cell r="D4368" t="str">
            <v>10846923    -    CONNECTOR 1 WAY MALE WHITE    -    0.090812</v>
          </cell>
        </row>
        <row r="4369">
          <cell r="D4369" t="str">
            <v>10846925    -    CONN 2 F BLK    -    0.054889</v>
          </cell>
        </row>
        <row r="4370">
          <cell r="D4370" t="str">
            <v>10846932    -    CAP FOR TERMINAL STARTER    -    2.04569</v>
          </cell>
        </row>
        <row r="4371">
          <cell r="D4371" t="str">
            <v>10846943    -    3 POL. SLK2,8 ELA COD B    -    0.326031</v>
          </cell>
        </row>
        <row r="4372">
          <cell r="D4372" t="str">
            <v>10846950    -    ASM CONN 0 F 040 III SLD BASE 2    -    0.382818</v>
          </cell>
        </row>
        <row r="4373">
          <cell r="D4373" t="str">
            <v>10846954    -    CONN 12F    -    0.79897</v>
          </cell>
        </row>
        <row r="4374">
          <cell r="D4374" t="str">
            <v>10846970    -    ASM CONN 0 M BLK SLD BASE 2    -    0.291537</v>
          </cell>
        </row>
        <row r="4375">
          <cell r="D4375" t="str">
            <v>10846971    -    CONN 12 F NAT    -    0.124152</v>
          </cell>
        </row>
        <row r="4376">
          <cell r="D4376" t="str">
            <v>10846981    -    COVER FOR 2S7T 14A464 AA    -    0.453383</v>
          </cell>
        </row>
        <row r="4377">
          <cell r="D4377" t="str">
            <v>10846987    -    CONNECTOR    -    0.83079</v>
          </cell>
        </row>
        <row r="4378">
          <cell r="D4378" t="str">
            <v>10847007    -    ASS CONNECTOR 8F RECEPTACLE 1.5 2.8    -    0.17338</v>
          </cell>
        </row>
        <row r="4379">
          <cell r="D4379" t="str">
            <v>10847008    -    ASM CONN 3 F 1.5 GRA LT    -    0.108</v>
          </cell>
        </row>
        <row r="4380">
          <cell r="D4380" t="str">
            <v>10847009    -    CONN 4 M GRA LT    -    0.17449</v>
          </cell>
        </row>
        <row r="4381">
          <cell r="D4381" t="str">
            <v>10847010    -    CONN 4 F GRA LT    -    0.147889</v>
          </cell>
        </row>
        <row r="4382">
          <cell r="D4382" t="str">
            <v>10847011    -    CONN 8 F GRA LT    -    0.14168</v>
          </cell>
        </row>
        <row r="4383">
          <cell r="D4383" t="str">
            <v>10847013    -    1.5 MM 16P FEMALE S/A    -    0.2321</v>
          </cell>
        </row>
        <row r="4384">
          <cell r="D4384" t="str">
            <v>10847014    -    CONN 6 F GRA LT    -    0.166875</v>
          </cell>
        </row>
        <row r="4385">
          <cell r="D4385" t="str">
            <v>10847016    -    13 F MIXED CONN    -    0.18355</v>
          </cell>
        </row>
        <row r="4386">
          <cell r="D4386" t="str">
            <v>10847017    -    14F MIXED CONN    -    0.16083</v>
          </cell>
        </row>
        <row r="4387">
          <cell r="D4387" t="str">
            <v>10847018    -    1.5 CONN 10 P    -    0.17442</v>
          </cell>
        </row>
        <row r="4388">
          <cell r="D4388" t="str">
            <v>10847035    -    CONN 8 F 1.5 GRA LT    -    0.1715</v>
          </cell>
        </row>
        <row r="4389">
          <cell r="D4389" t="str">
            <v>10847058    -    GROMMET (RED)    -    0.715037</v>
          </cell>
        </row>
        <row r="4390">
          <cell r="D4390" t="str">
            <v>10847061    -    COVER FOR 10847060    -    1.507176</v>
          </cell>
        </row>
        <row r="4391">
          <cell r="D4391" t="str">
            <v>10847062    -    CONNECTOR 10W DARK GRAY    -    0.6075</v>
          </cell>
        </row>
        <row r="4392">
          <cell r="D4392" t="str">
            <v>10847063    -    CONNECTOR 3W BLACK    -    0.3</v>
          </cell>
        </row>
        <row r="4393">
          <cell r="D4393" t="str">
            <v>10847069    -    RETAINER    -    0.087654</v>
          </cell>
        </row>
        <row r="4394">
          <cell r="D4394" t="str">
            <v>10847092    -    COVER    -    0.118635</v>
          </cell>
        </row>
        <row r="4395">
          <cell r="D4395" t="str">
            <v>10847096    -    COVER FOR F8ZB 14A464 AA    -    0.2802</v>
          </cell>
        </row>
        <row r="4396">
          <cell r="D4396" t="str">
            <v>10847112    -    BRACKET FOR MAIN H CONN    -    0.831877</v>
          </cell>
        </row>
        <row r="4397">
          <cell r="D4397" t="str">
            <v>10847113    -    CAP    -    0.629744</v>
          </cell>
        </row>
        <row r="4398">
          <cell r="D4398" t="str">
            <v>10847114    -    MOUN CLIP CONN    -    0.074191</v>
          </cell>
        </row>
        <row r="4399">
          <cell r="D4399" t="str">
            <v>10847119    -    CLIP    -    0.054379</v>
          </cell>
        </row>
        <row r="4400">
          <cell r="D4400" t="str">
            <v>10847120    -    SURGU UST BK(COVER CAP ZFW94-1    -    0.377819</v>
          </cell>
        </row>
        <row r="4401">
          <cell r="D4401" t="str">
            <v>10847122    -    CLIP BLACK    -    0.672815</v>
          </cell>
        </row>
        <row r="4402">
          <cell r="D4402" t="str">
            <v>10847125    -    COVER FOR CONN M01FB-LC BLACK    -    0.276321</v>
          </cell>
        </row>
        <row r="4403">
          <cell r="D4403" t="str">
            <v>10847126    -    REAR COVER F/L HLDR DIESEL    -    1.495949</v>
          </cell>
        </row>
        <row r="4404">
          <cell r="D4404" t="str">
            <v>10847129    -    REAR COVER F/L HLDR PETROL    -    1.442461</v>
          </cell>
        </row>
        <row r="4405">
          <cell r="D4405" t="str">
            <v>10847130    -    FRONT COVER F/L HLDR PETROL    -    1.845499</v>
          </cell>
        </row>
        <row r="4406">
          <cell r="D4406" t="str">
            <v>10847131    -    FRONT COVER F/L HLDR DIESEL    -    1.898097</v>
          </cell>
        </row>
        <row r="4407">
          <cell r="D4407" t="str">
            <v>10847132    -    S02FW-TPA    -    0.031089</v>
          </cell>
        </row>
        <row r="4408">
          <cell r="D4408" t="str">
            <v>10847136    -    PROTECTOR FOR 24275 9E000    -    0.331402</v>
          </cell>
        </row>
        <row r="4409">
          <cell r="D4409" t="str">
            <v>10847138    -    PROTECTOR FOR 24275 9E005    -    0.358456</v>
          </cell>
        </row>
        <row r="4410">
          <cell r="D4410" t="str">
            <v>10847139    -    PROTECTOR 24270 4U100    -    1.084544</v>
          </cell>
        </row>
        <row r="4411">
          <cell r="D4411" t="str">
            <v>10847140    -    PROTECTOR WHITE    -    1.24899</v>
          </cell>
        </row>
        <row r="4412">
          <cell r="D4412" t="str">
            <v>10847141    -    PBT HOLDER    -    0.078398</v>
          </cell>
        </row>
        <row r="4413">
          <cell r="D4413" t="str">
            <v>10847142    -    PROTECTOR 24270-BV001    -    1.241083</v>
          </cell>
        </row>
        <row r="4414">
          <cell r="D4414" t="str">
            <v>10847147    -    F/L HLDR    -    7.85585</v>
          </cell>
        </row>
        <row r="4415">
          <cell r="D4415" t="str">
            <v>10847162    -    10847162 P-LANG 1,5 SICMA    -    0.371073</v>
          </cell>
        </row>
        <row r="4416">
          <cell r="D4416" t="str">
            <v>10847220    -    CONN 4F SLK    -    0.062205</v>
          </cell>
        </row>
        <row r="4417">
          <cell r="D4417" t="str">
            <v>10847234    -    COVER    -    0.12793</v>
          </cell>
        </row>
        <row r="4418">
          <cell r="D4418" t="str">
            <v>10847235    -    B+ COVER    -    0.18908</v>
          </cell>
        </row>
        <row r="4419">
          <cell r="D4419" t="str">
            <v>10847236    -    TOP COVER FOR 1C1T14A464NA    -    0.71522</v>
          </cell>
        </row>
        <row r="4420">
          <cell r="D4420" t="str">
            <v>10847245    -    8-POL.GEH}USE YAZAKI    -    0.235732</v>
          </cell>
        </row>
        <row r="4421">
          <cell r="D4421" t="str">
            <v>10847246    -    8-POL.GEH}USE YAZAKI    -    0.173932</v>
          </cell>
        </row>
        <row r="4422">
          <cell r="D4422" t="str">
            <v>10847258    -    SPACER    -    0.597683</v>
          </cell>
        </row>
        <row r="4423">
          <cell r="D4423" t="str">
            <v>10847293    -    JUMP POINT HOLDER BLACK    -    0.559045</v>
          </cell>
        </row>
        <row r="4424">
          <cell r="D4424" t="str">
            <v>10847294    -    COVER    -    0.190394</v>
          </cell>
        </row>
        <row r="4425">
          <cell r="D4425" t="str">
            <v>10847311    -    CONNECTOR 20W RELAY BOX    -    1.48472</v>
          </cell>
        </row>
        <row r="4426">
          <cell r="D4426" t="str">
            <v>10847312    -    COVER    -    0.26109</v>
          </cell>
        </row>
        <row r="4427">
          <cell r="D4427" t="str">
            <v>10847316    -    MAXI FUSE SPACER    -    0.53976</v>
          </cell>
        </row>
        <row r="4428">
          <cell r="D4428" t="str">
            <v>10847317    -    STECKHLSENGEHUSE SLK2.8, 12-POL.    -    1.029558</v>
          </cell>
        </row>
        <row r="4429">
          <cell r="D4429" t="str">
            <v>10847320    -    CONNECTOR 16W BLACK    -    0.28914</v>
          </cell>
        </row>
        <row r="4430">
          <cell r="D4430" t="str">
            <v>10847321    -    CONNECTOR 16W GRAY    -    0.28914</v>
          </cell>
        </row>
        <row r="4431">
          <cell r="D4431" t="str">
            <v>10847322    -    CONNECTOR 16W GRAY    -    0.20963</v>
          </cell>
        </row>
        <row r="4432">
          <cell r="D4432" t="str">
            <v>10847323    -    CONNECTOR 16W GRAY    -    0.20963</v>
          </cell>
        </row>
        <row r="4433">
          <cell r="D4433" t="str">
            <v>10847324    -    CONNECTOR 16W BLACK    -    0.20963</v>
          </cell>
        </row>
        <row r="4434">
          <cell r="D4434" t="str">
            <v>10847325    -    CONNECTOR 16W BLACK    -    0.20963</v>
          </cell>
        </row>
        <row r="4435">
          <cell r="D4435" t="str">
            <v>10847326    -    CONNECTOR 16W BLACK    -    0.20963</v>
          </cell>
        </row>
        <row r="4436">
          <cell r="D4436" t="str">
            <v>10847341    -    CONNECTOR 42W BLACK    -    1.15516</v>
          </cell>
        </row>
        <row r="4437">
          <cell r="D4437" t="str">
            <v>10847343    -    CONNECTOR 42W BLACK(097)    -    1.15516</v>
          </cell>
        </row>
        <row r="4438">
          <cell r="D4438" t="str">
            <v>10847344    -    CONNECTOR 42W BLACK(160)    -    1.15516</v>
          </cell>
        </row>
        <row r="4439">
          <cell r="D4439" t="str">
            <v>10847371    -    CHAN CABLE BLK    -    0.583191</v>
          </cell>
        </row>
        <row r="4440">
          <cell r="D4440" t="str">
            <v>10847375    -    16 WAY CONNECTOR BLACK    -    2.334384</v>
          </cell>
        </row>
        <row r="4441">
          <cell r="D4441" t="str">
            <v>10847397    -    CAP PLUG    -    0.06106</v>
          </cell>
        </row>
        <row r="4442">
          <cell r="D4442" t="str">
            <v>10847402    -    12 POL. ABDECKKAPPE    -    0.253018</v>
          </cell>
        </row>
        <row r="4443">
          <cell r="D4443" t="str">
            <v>10847405    -    COVER    -    0.15702</v>
          </cell>
        </row>
        <row r="4444">
          <cell r="D4444" t="str">
            <v>10847463    -    CONNECTOR 3W BLACK    -    0.03676</v>
          </cell>
        </row>
        <row r="4445">
          <cell r="D4445" t="str">
            <v>10847464    -    CONNECTOR 8W GRAY    -    0.07762</v>
          </cell>
        </row>
        <row r="4446">
          <cell r="D4446" t="str">
            <v>10847465    -    CONNECTOR 8W BLACK    -    0.19171</v>
          </cell>
        </row>
        <row r="4447">
          <cell r="D4447" t="str">
            <v>10847513    -    COVER    -    0.32739</v>
          </cell>
        </row>
        <row r="4448">
          <cell r="D4448" t="str">
            <v>10852369    -    GLOW PLUG CONN W/CLIP    -    1.047099</v>
          </cell>
        </row>
        <row r="4449">
          <cell r="D4449" t="str">
            <v>10852371    -    CONDENSER 2.2MF BROWN    -    1.32987</v>
          </cell>
        </row>
        <row r="4450">
          <cell r="D4450" t="str">
            <v>10863286    -    COVER BLACK    -    0.124815</v>
          </cell>
        </row>
        <row r="4451">
          <cell r="D4451" t="str">
            <v>10863287    -    COVER    -    0.138477</v>
          </cell>
        </row>
        <row r="4452">
          <cell r="D4452" t="str">
            <v>10863289    -    COV CONN MQS WHT    -    0.27987</v>
          </cell>
        </row>
        <row r="4453">
          <cell r="D4453" t="str">
            <v>10863329    -    COVER CAP BLACK ZFW94-1 REV.B1    -    0.523415</v>
          </cell>
        </row>
        <row r="4454">
          <cell r="D4454" t="str">
            <v>10863383    -    PLUG MLK 1.2, STRIP FORM    -    0.020605</v>
          </cell>
        </row>
        <row r="4455">
          <cell r="D4455" t="str">
            <v>10863408    -    CONN 20 F 090 GRA LT    -    0.352221</v>
          </cell>
        </row>
        <row r="4456">
          <cell r="D4456" t="str">
            <v>10863409    -    CONN 20 F 090 GRA LT    -    0.367486</v>
          </cell>
        </row>
        <row r="4457">
          <cell r="D4457" t="str">
            <v>10863480    -    CONN 2 F BLK    -    0.223939</v>
          </cell>
        </row>
        <row r="4458">
          <cell r="D4458" t="str">
            <v>10863546    -    CONN 14 F 090 BLU    -    0.141906</v>
          </cell>
        </row>
        <row r="4459">
          <cell r="D4459" t="str">
            <v>10863547    -    MOUN CLIP 7.00 CONN    -    0.040706</v>
          </cell>
        </row>
        <row r="4460">
          <cell r="D4460" t="str">
            <v>10863562    -    IKINCIL KILIT VIOLET    -    0.161126</v>
          </cell>
        </row>
        <row r="4461">
          <cell r="D4461" t="str">
            <v>10863564    -    COVER BLACK    -    0.126529</v>
          </cell>
        </row>
        <row r="4462">
          <cell r="D4462" t="str">
            <v>10863575    -    COVER HOUSING BLACK    -    0.042748</v>
          </cell>
        </row>
        <row r="4463">
          <cell r="D4463" t="str">
            <v>10863595    -    CONNECTOR 8 WAY    -    1.551758</v>
          </cell>
        </row>
        <row r="4464">
          <cell r="D4464" t="str">
            <v>10863596    -    CONNECTOR 8 WAY    -    1.551758</v>
          </cell>
        </row>
        <row r="4465">
          <cell r="D4465" t="str">
            <v>10863597    -    CONNECTOR 8 WAY    -    1.551758</v>
          </cell>
        </row>
        <row r="4466">
          <cell r="D4466" t="str">
            <v>10863598    -    CONNECTOR 8 WAY    -    1.551758</v>
          </cell>
        </row>
        <row r="4467">
          <cell r="D4467" t="str">
            <v>10863632    -    COVER 50P    -    0.305224</v>
          </cell>
        </row>
        <row r="4468">
          <cell r="D4468" t="str">
            <v>10863642    -    STECKHLSENGEH. 4-POL. SLK 2,8 ELA COD A VERR. 3    -    0.458781</v>
          </cell>
        </row>
        <row r="4469">
          <cell r="D4469" t="str">
            <v>10863689    -    COV VLT    -    0.101202</v>
          </cell>
        </row>
        <row r="4470">
          <cell r="D4470" t="str">
            <v>10863691    -    COVER HOUSING CE    -    0.699101</v>
          </cell>
        </row>
        <row r="4471">
          <cell r="D4471" t="str">
            <v>10863770    -    GROM    -    0.193542</v>
          </cell>
        </row>
        <row r="4472">
          <cell r="D4472" t="str">
            <v>10863771    -    CONN 44 F FUSE    -    2.895311</v>
          </cell>
        </row>
        <row r="4473">
          <cell r="D4473" t="str">
            <v>10863781    -    CONN 2 M MULTI SLD    -    0.23877</v>
          </cell>
        </row>
        <row r="4474">
          <cell r="D4474" t="str">
            <v>10863826    -    CONN 18 F GRA LT    -    0.322068</v>
          </cell>
        </row>
        <row r="4475">
          <cell r="D4475" t="str">
            <v>10863858    -    CONN 6 F 1.5 ORN    -    0.09529</v>
          </cell>
        </row>
        <row r="4476">
          <cell r="D4476" t="str">
            <v>10863890    -    GEHAEUSETRAEGER    -    0.110647</v>
          </cell>
        </row>
        <row r="4477">
          <cell r="D4477" t="str">
            <v>10863914    -    CONN 3 F SLEEVE    -    0.398734</v>
          </cell>
        </row>
        <row r="4478">
          <cell r="D4478" t="str">
            <v>10863929    -    CONN 18 F GRA LT SLD    -    1.620575</v>
          </cell>
        </row>
        <row r="4479">
          <cell r="D4479" t="str">
            <v>10863931    -    CONN 2 F 1.5 GRA DK SLD    -    0.151128</v>
          </cell>
        </row>
        <row r="4480">
          <cell r="D4480" t="str">
            <v>10863943    -    CONN 10F    -    0.26447</v>
          </cell>
        </row>
        <row r="4481">
          <cell r="D4481" t="str">
            <v>10863944    -    CONN 2 F RECEPTACLE    -    0.065336</v>
          </cell>
        </row>
        <row r="4482">
          <cell r="D4482" t="str">
            <v>10863983    -    COV CONN    -    4.263962</v>
          </cell>
        </row>
        <row r="4483">
          <cell r="D4483" t="str">
            <v>10863988    -    CONN 24 M GRN    -    3.399295</v>
          </cell>
        </row>
        <row r="4484">
          <cell r="D4484" t="str">
            <v>10864024    -    CONN    -    4.620192</v>
          </cell>
        </row>
        <row r="4485">
          <cell r="D4485" t="str">
            <v>10864026    -    CONN 24 F GRN    -    4.366648</v>
          </cell>
        </row>
        <row r="4486">
          <cell r="D4486" t="str">
            <v>10864031    -    CONN 10 F RECEPTACLE 1.5 YEL    -    0.1836</v>
          </cell>
        </row>
        <row r="4487">
          <cell r="D4487" t="str">
            <v>10864039    -    UNSEALED CONN    -    0.2293</v>
          </cell>
        </row>
        <row r="4488">
          <cell r="D4488" t="str">
            <v>10864051    -    STECKHLSENGEHUSE SLK 2.8 ELA    -    0.717479</v>
          </cell>
        </row>
        <row r="4489">
          <cell r="D4489" t="str">
            <v>10864058    -    CONN 14 F    -    0.21784</v>
          </cell>
        </row>
        <row r="4490">
          <cell r="D4490" t="str">
            <v>10864086    -    COV CONN HSG BRN    -    0.098773</v>
          </cell>
        </row>
        <row r="4491">
          <cell r="D4491" t="str">
            <v>10864108    -    CONN 16 F    -    1.929578</v>
          </cell>
        </row>
        <row r="4492">
          <cell r="D4492" t="str">
            <v>10864136    -    CONN 14 M BLU    -    0.3107</v>
          </cell>
        </row>
        <row r="4493">
          <cell r="D4493" t="str">
            <v>10864149    -    CONN 14 M GRN    -    0.3107</v>
          </cell>
        </row>
        <row r="4494">
          <cell r="D4494" t="str">
            <v>10864151    -    COV CONN HSG BRN    -    1.376383</v>
          </cell>
        </row>
        <row r="4495">
          <cell r="D4495" t="str">
            <v>10864183    -    CONN 2 WAY M 1.5 GY DK    -    0.32386</v>
          </cell>
        </row>
        <row r="4496">
          <cell r="D4496" t="str">
            <v>10864186    -    COV CONN BLK    -    0.100527</v>
          </cell>
        </row>
        <row r="4497">
          <cell r="D4497" t="str">
            <v>10864221    -    CONN 4F    -    0.419717</v>
          </cell>
        </row>
        <row r="4498">
          <cell r="D4498" t="str">
            <v>10864402    -    CONN    -    0.04801</v>
          </cell>
        </row>
        <row r="4499">
          <cell r="D4499" t="str">
            <v>10864430    -    CONN 2 F BRN    -    0.21838</v>
          </cell>
        </row>
        <row r="4500">
          <cell r="D4500" t="str">
            <v>10864437    -    COV CONN BRN    -    0.270789</v>
          </cell>
        </row>
        <row r="4501">
          <cell r="D4501" t="str">
            <v>10864464    -    CONN 7 F CONI 1 BLK    -    0.20104</v>
          </cell>
        </row>
        <row r="4502">
          <cell r="D4502" t="str">
            <v>10864465    -    CONN 4 F DFK 1 BLK    -    0.133451</v>
          </cell>
        </row>
        <row r="4503">
          <cell r="D4503" t="str">
            <v>10864471    -    CONN 2 F GRA LT    -    0.214588</v>
          </cell>
        </row>
        <row r="4504">
          <cell r="D4504" t="str">
            <v>10864475    -    COV CONN BLK    -    0.093915</v>
          </cell>
        </row>
        <row r="4505">
          <cell r="D4505" t="str">
            <v>10864481    -    CONN 2 F 050 SSD BLK SLD    -    0.43263</v>
          </cell>
        </row>
        <row r="4506">
          <cell r="D4506" t="str">
            <v>10864482    -    LOCK TPA 2 BRN    -    0.020024</v>
          </cell>
        </row>
        <row r="4507">
          <cell r="D4507" t="str">
            <v>10864573    -    CONN 2 M BLK    -    0.109392</v>
          </cell>
        </row>
        <row r="4508">
          <cell r="D4508" t="str">
            <v>10864574    -    CONN 2 F BLK    -    0.860106</v>
          </cell>
        </row>
        <row r="4509">
          <cell r="D4509" t="str">
            <v>10864582    -    CONN 6 M GRN    -    0.19</v>
          </cell>
        </row>
        <row r="4510">
          <cell r="D4510" t="str">
            <v>10864672    -    CONN. 3W YELLOW    -    0.13464</v>
          </cell>
        </row>
        <row r="4511">
          <cell r="D4511" t="str">
            <v>10864673    -    CON.42W BK 057    -    1.3063</v>
          </cell>
        </row>
        <row r="4512">
          <cell r="D4512" t="str">
            <v>10864699    -    CONNECTOR    -    0.1955</v>
          </cell>
        </row>
        <row r="4513">
          <cell r="D4513" t="str">
            <v>10864704    -    CONN 6 F NAT    -    0.184457</v>
          </cell>
        </row>
        <row r="4514">
          <cell r="D4514" t="str">
            <v>10864748    -    1-POL.GEH.L9,5    -    0.096695</v>
          </cell>
        </row>
        <row r="4515">
          <cell r="D4515" t="str">
            <v>10864785    -    CAP    -    0.333291</v>
          </cell>
        </row>
        <row r="4516">
          <cell r="D4516" t="str">
            <v>10864786    -    CAP    -    0.333291</v>
          </cell>
        </row>
        <row r="4517">
          <cell r="D4517" t="str">
            <v>10864827    -    COV CONN SLV    -    3.845662</v>
          </cell>
        </row>
        <row r="4518">
          <cell r="D4518" t="str">
            <v>10864906    -    MOUN    -    1.376342</v>
          </cell>
        </row>
        <row r="4519">
          <cell r="D4519" t="str">
            <v>10864915    -    CONN 3 F SOCKET GRN    -    0.264</v>
          </cell>
        </row>
        <row r="4520">
          <cell r="D4520" t="str">
            <v>10864958    -    GEHAEUSETRAEGER    -    0.269871</v>
          </cell>
        </row>
        <row r="4521">
          <cell r="D4521" t="str">
            <v>10864959    -    GEHAEUSETRAEGER    -    0.269871</v>
          </cell>
        </row>
        <row r="4522">
          <cell r="D4522" t="str">
            <v>10864977    -    CONN 12 F GRA SLD    -    0.5689</v>
          </cell>
        </row>
        <row r="4523">
          <cell r="D4523" t="str">
            <v>10865029    -    CONN 3M    -    0.133154</v>
          </cell>
        </row>
        <row r="4524">
          <cell r="D4524" t="str">
            <v>10865034    -    COV BLK    -    2.69871</v>
          </cell>
        </row>
        <row r="4525">
          <cell r="D4525" t="str">
            <v>10865629    -    CONN 1F MISC BLK    -    0.296858</v>
          </cell>
        </row>
        <row r="4526">
          <cell r="D4526" t="str">
            <v>10865631    -    CONN IF MISC NAT    -    0.296858</v>
          </cell>
        </row>
        <row r="4527">
          <cell r="D4527" t="str">
            <v>10866458    -    CONN    -    0.37611</v>
          </cell>
        </row>
        <row r="4528">
          <cell r="D4528" t="str">
            <v>10866709    -    CONNECTOR    -    0.114021</v>
          </cell>
        </row>
        <row r="4529">
          <cell r="D4529" t="str">
            <v>10866710    -    CONNECTOR    -    0.114021</v>
          </cell>
        </row>
        <row r="4530">
          <cell r="D4530" t="str">
            <v>10866711    -    CONNECTOR    -    0.114021</v>
          </cell>
        </row>
        <row r="4531">
          <cell r="D4531" t="str">
            <v>10866712    -    CONNECTOR    -    0.114021</v>
          </cell>
        </row>
        <row r="4532">
          <cell r="D4532" t="str">
            <v>10866827    -    CONN 8 F    -    0.09968</v>
          </cell>
        </row>
        <row r="4533">
          <cell r="D4533" t="str">
            <v>10866828    -    CONN 8 F    -    0.09968</v>
          </cell>
        </row>
        <row r="4534">
          <cell r="D4534" t="str">
            <v>111 953 631    -    CONNECTOR    -    0.16082</v>
          </cell>
        </row>
        <row r="4535">
          <cell r="D4535" t="str">
            <v>111 971 921B    -    CONNECTOR    -    0.007934</v>
          </cell>
        </row>
        <row r="4536">
          <cell r="D4536" t="str">
            <v>113 941 189    -    CONNECTOR    -    0.08279</v>
          </cell>
        </row>
        <row r="4537">
          <cell r="D4537" t="str">
            <v>1-1355134-1    -    CONNECTOR    -    0.041425</v>
          </cell>
        </row>
        <row r="4538">
          <cell r="D4538" t="str">
            <v>1-1355135-1    -    CONNECTOR    -    0.034543</v>
          </cell>
        </row>
        <row r="4539">
          <cell r="D4539" t="str">
            <v>1-1355524-3    -    CONNECTOR    -    0.144853</v>
          </cell>
        </row>
        <row r="4540">
          <cell r="D4540" t="str">
            <v>1-1355668-2S    -    CONN    -    0.389248</v>
          </cell>
        </row>
        <row r="4541">
          <cell r="D4541" t="str">
            <v>1-1534180-1    -    CONNECTOR    -    2.221578</v>
          </cell>
        </row>
        <row r="4542">
          <cell r="D4542" t="str">
            <v>1-174360-1    -    HOLDER    -    0.079132</v>
          </cell>
        </row>
        <row r="4543">
          <cell r="D4543" t="str">
            <v>1-178708-1    -    SLEEVE    -    0.044737</v>
          </cell>
        </row>
        <row r="4544">
          <cell r="D4544" t="str">
            <v>12004018    -    PACK ON 1 HD - 1M    -    0.02134</v>
          </cell>
        </row>
        <row r="4545">
          <cell r="D4545" t="str">
            <v>12004067    -    PACK ON 1 HD - 4F    -    0.057089</v>
          </cell>
        </row>
        <row r="4546">
          <cell r="D4546" t="str">
            <v>12004201    -    CONNECTOR - 56 SERIES    -    0.0409</v>
          </cell>
        </row>
        <row r="4547">
          <cell r="D4547" t="str">
            <v>12004208    -    12.354.66 CON AMP 180.900.5 P/CLAMP 4    -    0.089705</v>
          </cell>
        </row>
        <row r="4548">
          <cell r="D4548" t="str">
            <v>12004234    -    PLUG CONN #206837-1    -    1.61</v>
          </cell>
        </row>
        <row r="4549">
          <cell r="D4549" t="str">
            <v>12004239    -    RECEPT ASM 16 WAY    -    1.07</v>
          </cell>
        </row>
        <row r="4550">
          <cell r="D4550" t="str">
            <v>12004248    -    RECEPT ASM 16 WAY    -    1.18</v>
          </cell>
        </row>
        <row r="4551">
          <cell r="D4551" t="str">
            <v>12004327    -    56 SER - 5F    -    0.043553</v>
          </cell>
        </row>
        <row r="4552">
          <cell r="D4552" t="str">
            <v>12004449    -    CONDUIT FITTING    -    0.071479</v>
          </cell>
        </row>
        <row r="4553">
          <cell r="D4553" t="str">
            <v>12004697    -    CONN 5F    -    1.26</v>
          </cell>
        </row>
        <row r="4554">
          <cell r="D4554" t="str">
            <v>12004725    -    RETAINER    -    0.0776</v>
          </cell>
        </row>
        <row r="4555">
          <cell r="D4555" t="str">
            <v>12004885    -    PACK ON 1 HD - 1M    -    0.03347</v>
          </cell>
        </row>
        <row r="4556">
          <cell r="D4556" t="str">
            <v>12004990    -    CONDUIT FITTING    -    0.07063</v>
          </cell>
        </row>
        <row r="4557">
          <cell r="D4557" t="str">
            <v>12010000    -    P/ CONN - 8W    -    0.28993</v>
          </cell>
        </row>
        <row r="4558">
          <cell r="D4558" t="str">
            <v>12010105    -    PACK CON III - 2F    -    0.03575</v>
          </cell>
        </row>
        <row r="4559">
          <cell r="D4559" t="str">
            <v>12010108    -    CONN - PIN GRIP    -    0.07641</v>
          </cell>
        </row>
        <row r="4560">
          <cell r="D4560" t="str">
            <v>12010153    -    WEATHERPACK - 2F    -    0.07382</v>
          </cell>
        </row>
        <row r="4561">
          <cell r="D4561" t="str">
            <v>12010154    -    CONNECTOR    -    0.062151</v>
          </cell>
        </row>
        <row r="4562">
          <cell r="D4562" t="str">
            <v>12010290    -    CONDUIT FITTING    -    0.16587</v>
          </cell>
        </row>
        <row r="4563">
          <cell r="D4563" t="str">
            <v>12010300S    -    TAXI CAVITY PLUG M/P &amp; W/P    -    0.00801</v>
          </cell>
        </row>
        <row r="4564">
          <cell r="D4564" t="str">
            <v>12010309    -    CONNECTOR    -    0.02178</v>
          </cell>
        </row>
        <row r="4565">
          <cell r="D4565" t="str">
            <v>12010717    -    CONNECTOR - 3W - BLACK WP    -    0.05711</v>
          </cell>
        </row>
        <row r="4566">
          <cell r="D4566" t="str">
            <v>12010738    -    MOLDED PLASTIC    -    0.04417</v>
          </cell>
        </row>
        <row r="4567">
          <cell r="D4567" t="str">
            <v>12010791    -    CONNECTOR    -    0.101283</v>
          </cell>
        </row>
        <row r="4568">
          <cell r="D4568" t="str">
            <v>12010804    -    LAMP SOCKET - BLACK    -    0.083948</v>
          </cell>
        </row>
        <row r="4569">
          <cell r="D4569" t="str">
            <v>12010810    -    CONNECTOR - 2W WP - MALE    -    0.03046</v>
          </cell>
        </row>
        <row r="4570">
          <cell r="D4570" t="str">
            <v>12010812    -    56 SER - 5M LOCK    -    0.0414</v>
          </cell>
        </row>
        <row r="4571">
          <cell r="D4571" t="str">
            <v>12010832    -    CONNECTOR: SW BLACK    -    0.095</v>
          </cell>
        </row>
        <row r="4572">
          <cell r="D4572" t="str">
            <v>12010852    -    SECONDARY LOCK    -    0.0461</v>
          </cell>
        </row>
        <row r="4573">
          <cell r="D4573" t="str">
            <v>12010959    -    CONN BODY    -    0.03761</v>
          </cell>
        </row>
        <row r="4574">
          <cell r="D4574" t="str">
            <v>12010973    -    CONNECTOR - 2 W WP - BLACK    -    0.03241</v>
          </cell>
        </row>
        <row r="4575">
          <cell r="D4575" t="str">
            <v>12010973S    -    CONNECTOR    -    0.040005</v>
          </cell>
        </row>
        <row r="4576">
          <cell r="D4576" t="str">
            <v>12010974    -    CONNECTOR - 4 W WP - BLACK    -    0.05012</v>
          </cell>
        </row>
        <row r="4577">
          <cell r="D4577" t="str">
            <v>12010975    -    CONNECTOR - 6 W WP - BLACK    -    0.07158</v>
          </cell>
        </row>
        <row r="4578">
          <cell r="D4578" t="str">
            <v>12010992    -    CONDUIT FITTING    -    0.13308</v>
          </cell>
        </row>
        <row r="4579">
          <cell r="D4579" t="str">
            <v>12010994    -    CONNECTOR    -    0.03987</v>
          </cell>
        </row>
        <row r="4580">
          <cell r="D4580" t="str">
            <v>12015024    -    CONNECTOR - 4W WP - FEMALE    -    0.05143</v>
          </cell>
        </row>
        <row r="4581">
          <cell r="D4581" t="str">
            <v>12015030    -    280 MP - 4F P2S    -    0.025705</v>
          </cell>
        </row>
        <row r="4582">
          <cell r="D4582" t="str">
            <v>12015051    -    CONNECTOR - 4/1 WP - NATURAL    -    0.04326</v>
          </cell>
        </row>
        <row r="4583">
          <cell r="D4583" t="str">
            <v>12015092    -    WEATHERPACK - 3M    -    0.11128</v>
          </cell>
        </row>
        <row r="4584">
          <cell r="D4584" t="str">
            <v>12059800    -    CONNECTOR    -    0.0484</v>
          </cell>
        </row>
        <row r="4585">
          <cell r="D4585" t="str">
            <v>12015129    -    CONDUIT CLIP    -    0.01823</v>
          </cell>
        </row>
        <row r="4586">
          <cell r="D4586" t="str">
            <v>12015197    -    280 MP - 2F    -    0.03358</v>
          </cell>
        </row>
        <row r="4587">
          <cell r="D4587" t="str">
            <v>12015203    -    CONNECTOR - 280 M/P - 1F    -    0.032845</v>
          </cell>
        </row>
        <row r="4588">
          <cell r="D4588" t="str">
            <v>12015259    -    CONN 3F 110 SER    -    0.093</v>
          </cell>
        </row>
        <row r="4589">
          <cell r="D4589" t="str">
            <v>12015268    -    CONN 3F 110 SER    -    0.08854</v>
          </cell>
        </row>
        <row r="4590">
          <cell r="D4590" t="str">
            <v>12015306    -    56 SER - 1F    -    0.01624</v>
          </cell>
        </row>
        <row r="4591">
          <cell r="D4591" t="str">
            <v>12015321    -    CONN 2F 110 SER    -    0.27</v>
          </cell>
        </row>
        <row r="4592">
          <cell r="D4592" t="str">
            <v>12015395    -    CLIP - RIPCORD    -    0.03529</v>
          </cell>
        </row>
        <row r="4593">
          <cell r="D4593" t="str">
            <v>12015460    -    WEATHERPACK - 3M    -    0.07581</v>
          </cell>
        </row>
        <row r="4594">
          <cell r="D4594" t="str">
            <v>12015484    -    CONDUIT CLIP    -    0.01952</v>
          </cell>
        </row>
        <row r="4595">
          <cell r="D4595" t="str">
            <v>12015505    -    CONNECTOR BODY - BULKHEAD - 25 W MP    -    0.31287</v>
          </cell>
        </row>
        <row r="4596">
          <cell r="D4596" t="str">
            <v>12015510    -    SEC LOCK    -    0.02328</v>
          </cell>
        </row>
        <row r="4597">
          <cell r="D4597" t="str">
            <v>12015631    -    CLIP    -    0.045</v>
          </cell>
        </row>
        <row r="4598">
          <cell r="D4598" t="str">
            <v>12015654    -    LAMP SOCKET - TYPE C-2 BULB BASE    -    0.069867</v>
          </cell>
        </row>
        <row r="4599">
          <cell r="D4599" t="str">
            <v>12015718    -    CONN 2F 110 SER    -    0.10102</v>
          </cell>
        </row>
        <row r="4600">
          <cell r="D4600" t="str">
            <v>12015779    -    CONDUIT FITTING    -    0.1402</v>
          </cell>
        </row>
        <row r="4601">
          <cell r="D4601" t="str">
            <v>12015781    -    CONNECTOR - 1 W WP - BLACK    -    0.01615</v>
          </cell>
        </row>
        <row r="4602">
          <cell r="D4602" t="str">
            <v>12015782    -    CONNECTOR - 2 W WP - BLACK    -    0.0229</v>
          </cell>
        </row>
        <row r="4603">
          <cell r="D4603" t="str">
            <v>12015783    -    CONNECTOR - 3 M WP - BLACK    -    0.03198</v>
          </cell>
        </row>
        <row r="4604">
          <cell r="D4604" t="str">
            <v>12015785    -    CONN BODY - 3M    -    0.1067</v>
          </cell>
        </row>
        <row r="4605">
          <cell r="D4605" t="str">
            <v>12015786    -    CONNECTOR - W/P - 3 WAY    -    0.188885</v>
          </cell>
        </row>
        <row r="4606">
          <cell r="D4606" t="str">
            <v>12015788    -    CONNECTOR - 4 W WP - BLACK    -    0.04087</v>
          </cell>
        </row>
        <row r="4607">
          <cell r="D4607" t="str">
            <v>12015789    -    CONNECTOR - 6 W WP PANEL    -    0.04962</v>
          </cell>
        </row>
        <row r="4608">
          <cell r="D4608" t="str">
            <v>12015790    -    CONNECTOR - 3 W WP - BLUE    -    0.03743</v>
          </cell>
        </row>
        <row r="4609">
          <cell r="D4609" t="str">
            <v>12015792    -    CONNECTOR 2 W     -    0.0781</v>
          </cell>
        </row>
        <row r="4610">
          <cell r="D4610" t="str">
            <v>12015793    -    CONNECTOR 3 W     -    0.0974</v>
          </cell>
        </row>
        <row r="4611">
          <cell r="D4611" t="str">
            <v>12015923    -    WEATHERPACK - 22M    -    0.39019</v>
          </cell>
        </row>
        <row r="4612">
          <cell r="D4612" t="str">
            <v>12015965    -    CONNECTOR BODY - BULKHEAD    -    0.238145</v>
          </cell>
        </row>
        <row r="4613">
          <cell r="D4613" t="str">
            <v>12015966    -    MIX MP - 16M    -    0.19482</v>
          </cell>
        </row>
        <row r="4614">
          <cell r="D4614" t="str">
            <v>12015981    -    CONNECTOR - 4 W - PACK CON III    -    0.12358</v>
          </cell>
        </row>
        <row r="4615">
          <cell r="D4615" t="str">
            <v>12015983    -    CONDUIT CLIP    -    0.02867</v>
          </cell>
        </row>
        <row r="4616">
          <cell r="D4616" t="str">
            <v>12020014    -    CONN 4F M/P    -    0.0618</v>
          </cell>
        </row>
        <row r="4617">
          <cell r="D4617" t="str">
            <v>12020042    -    CONVOLUTED CONDUIT BREAKOUT TEE    -    0.11115</v>
          </cell>
        </row>
        <row r="4618">
          <cell r="D4618" t="str">
            <v>12020055    -    CONNECTOR - 2 W - NATURAL    -    0.03969</v>
          </cell>
        </row>
        <row r="4619">
          <cell r="D4619" t="str">
            <v>12020101    -    CONNECTOR BODY - BULKHEAD    -    0.271367</v>
          </cell>
        </row>
        <row r="4620">
          <cell r="D4620" t="str">
            <v>12020108    -    IHG - LOWER    -    0.071489</v>
          </cell>
        </row>
        <row r="4621">
          <cell r="D4621" t="str">
            <v>12020109    -    IHG - COMB    -    0.037636</v>
          </cell>
        </row>
        <row r="4622">
          <cell r="D4622" t="str">
            <v>12020194    -    WEATHERPACK - 3M    -    0.05997</v>
          </cell>
        </row>
        <row r="4623">
          <cell r="D4623" t="str">
            <v>12020214    -    CONDUIT FITTING    -    0.09187</v>
          </cell>
        </row>
        <row r="4624">
          <cell r="D4624" t="str">
            <v>12020227    -    CONNECTOR - 1 F - 56 SERIES    -    0.14315</v>
          </cell>
        </row>
        <row r="4625">
          <cell r="D4625" t="str">
            <v>12020274    -    CONN BODY    -    0.03492</v>
          </cell>
        </row>
        <row r="4626">
          <cell r="D4626" t="str">
            <v>12020308    -    CONDUIT FITTING    -    0.082295</v>
          </cell>
        </row>
        <row r="4627">
          <cell r="D4627" t="str">
            <v>12020345    -    CONN 3F 110 SER    -    0.14069</v>
          </cell>
        </row>
        <row r="4628">
          <cell r="D4628" t="str">
            <v>12020477    -    STECKSOCKEL    -    0.458781</v>
          </cell>
        </row>
        <row r="4629">
          <cell r="D4629" t="str">
            <v>12020491    -    CONNECTOR - 7 WAY - PACK CON    -    0.093605</v>
          </cell>
        </row>
        <row r="4630">
          <cell r="D4630" t="str">
            <v>12020579    -    RETAINER - 8 MM IGN. CABLE    -    0.04852</v>
          </cell>
        </row>
        <row r="4631">
          <cell r="D4631" t="str">
            <v>12020627    -    CONDUIT OUTLET    -    0.028507</v>
          </cell>
        </row>
        <row r="4632">
          <cell r="D4632" t="str">
            <v>12020630    -    CONNECTOR 1W WHITE    -    0.032115</v>
          </cell>
        </row>
        <row r="4633">
          <cell r="D4633" t="str">
            <v>12020647    -    SEC LOCK    -    0.040585</v>
          </cell>
        </row>
        <row r="4634">
          <cell r="D4634" t="str">
            <v>12020692    -    CLIP - TAPE ON    -    0.05523</v>
          </cell>
        </row>
        <row r="4635">
          <cell r="D4635" t="str">
            <v>12020704    -    CLIP - IGNITION    -    0.070548</v>
          </cell>
        </row>
        <row r="4636">
          <cell r="D4636" t="str">
            <v>12020731    -    CONNECTOR - 3 M WP - BROWN    -    0.03756</v>
          </cell>
        </row>
        <row r="4637">
          <cell r="D4637" t="str">
            <v>12020786    -    WEATHERPACK - 6M    -    0.18528</v>
          </cell>
        </row>
        <row r="4638">
          <cell r="D4638" t="str">
            <v>12020787    -    CONNECTOR - WP    -    0.14629</v>
          </cell>
        </row>
        <row r="4639">
          <cell r="D4639" t="str">
            <v>12020815    -    PACK CON I - 11F    -    0.07951</v>
          </cell>
        </row>
        <row r="4640">
          <cell r="D4640" t="str">
            <v>12020827    -    WEATHERPACK - 3M    -    0.07113</v>
          </cell>
        </row>
        <row r="4641">
          <cell r="D4641" t="str">
            <v>12020828    -    WEATHERPACK - 3F    -    0.07266</v>
          </cell>
        </row>
        <row r="4642">
          <cell r="D4642" t="str">
            <v>12020830    -    WEATHERPACK - 4M    -    0.21956</v>
          </cell>
        </row>
        <row r="4643">
          <cell r="D4643" t="str">
            <v>12020831    -    WEATHERPACK - 4F    -    0.15499</v>
          </cell>
        </row>
        <row r="4644">
          <cell r="D4644" t="str">
            <v>12020840    -    CLIP IGN 8MM    -    0.07385</v>
          </cell>
        </row>
        <row r="4645">
          <cell r="D4645" t="str">
            <v>12020894    -    CONDUIT CLIP    -    0.0308</v>
          </cell>
        </row>
        <row r="4646">
          <cell r="D4646" t="str">
            <v>12020902    -    CONNECTOR - BULKHEAD    -    0.311079</v>
          </cell>
        </row>
        <row r="4647">
          <cell r="D4647" t="str">
            <v>12020985    -    CONNECTOR - 22 W F WP - BLACK    -    0.398</v>
          </cell>
        </row>
        <row r="4648">
          <cell r="D4648" t="str">
            <v>12033603    -    CLIP - BLACK    -    0.01902</v>
          </cell>
        </row>
        <row r="4649">
          <cell r="D4649" t="str">
            <v>12033663    -    CONDUIT CLIP    -    0.025</v>
          </cell>
        </row>
        <row r="4650">
          <cell r="D4650" t="str">
            <v>12033699    -    MIX MP - 3F    -    0.07706</v>
          </cell>
        </row>
        <row r="4651">
          <cell r="D4651" t="str">
            <v>12033705    -    CONNECTOR    -    0.04158</v>
          </cell>
        </row>
        <row r="4652">
          <cell r="D4652" t="str">
            <v>12033706    -    CONNECTOR - 280 M/P 4 F    -    0.03871</v>
          </cell>
        </row>
        <row r="4653">
          <cell r="D4653" t="str">
            <v>12033706S    -    CONNECTOR    -    0.03865</v>
          </cell>
        </row>
        <row r="4654">
          <cell r="D4654" t="str">
            <v>12033709    -    280 MP - 2F    -    0.03492</v>
          </cell>
        </row>
        <row r="4655">
          <cell r="D4655" t="str">
            <v>12033711    -    480 MP - 2F    -    0.05636</v>
          </cell>
        </row>
        <row r="4656">
          <cell r="D4656" t="str">
            <v>12033713    -    CONNECTOR BODY - 280 MP    -    0.19405</v>
          </cell>
        </row>
        <row r="4657">
          <cell r="D4657" t="str">
            <v>12033722    -    GROMMET - HARDSHELL    -    0.172922</v>
          </cell>
        </row>
        <row r="4658">
          <cell r="D4658" t="str">
            <v>12033871    -    CONNECTOR 5-W F 630 SER METRI PACK    -    0.0958</v>
          </cell>
        </row>
        <row r="4659">
          <cell r="D4659" t="str">
            <v>12033934    -    CONNECTOR - 2W - 56 SERIES    -    0.02482</v>
          </cell>
        </row>
        <row r="4660">
          <cell r="D4660" t="str">
            <v>12033934S    -    CONNECTOR    -    0.02721</v>
          </cell>
        </row>
        <row r="4661">
          <cell r="D4661" t="str">
            <v>12033950    -    CONN 6W CHEV CORVETTE -    -    0.2013</v>
          </cell>
        </row>
        <row r="4662">
          <cell r="D4662" t="str">
            <v>12033964    -    CLIP - 22 MM CONV. CDT.    -    0.040273</v>
          </cell>
        </row>
        <row r="4663">
          <cell r="D4663" t="str">
            <v>12034074    -    CONNECTOR - 2M    -    0.12844</v>
          </cell>
        </row>
        <row r="4664">
          <cell r="D4664" t="str">
            <v>12034162    -    CONNECTOR - 14 F MP - BLACK    -    0.10339</v>
          </cell>
        </row>
        <row r="4665">
          <cell r="D4665" t="str">
            <v>12034199    -    CONNECTOR    -    0.06815</v>
          </cell>
        </row>
        <row r="4666">
          <cell r="D4666" t="str">
            <v>12034215    -    SECONDARY LOCK    -    0.019214</v>
          </cell>
        </row>
        <row r="4667">
          <cell r="D4667" t="str">
            <v>12034239    -    CONNECTOR - 56 W - MP BLACK    -    0.387</v>
          </cell>
        </row>
        <row r="4668">
          <cell r="D4668" t="str">
            <v>12034240    -    CONNECTOR - 56 W MP - GREEN    -    0.397</v>
          </cell>
        </row>
        <row r="4669">
          <cell r="D4669" t="str">
            <v>12034275    -    280 MP - 5F P2S    -    0.18766</v>
          </cell>
        </row>
        <row r="4670">
          <cell r="D4670" t="str">
            <v>12034281    -    CONDUIT CLIP    -    0.026103</v>
          </cell>
        </row>
        <row r="4671">
          <cell r="D4671" t="str">
            <v>12034289    -    CONNECTOR PLUG HSG NATL    -    0.10507</v>
          </cell>
        </row>
        <row r="4672">
          <cell r="D4672" t="str">
            <v>12034295    -    630 MP - 4M    -    0.06993</v>
          </cell>
        </row>
        <row r="4673">
          <cell r="D4673" t="str">
            <v>12034397    -    CONNECTOR - 30 W MP - BLACK    -    0.1183</v>
          </cell>
        </row>
        <row r="4674">
          <cell r="D4674" t="str">
            <v>12034399    -    CONNECTOR - 30 W MP - BLACK    -    0.1183</v>
          </cell>
        </row>
        <row r="4675">
          <cell r="D4675" t="str">
            <v>12034403    -    CONNECTOR - 30 W MP - NATURAL    -    0.126235</v>
          </cell>
        </row>
        <row r="4676">
          <cell r="D4676" t="str">
            <v>12034405    -    CONNECTOR - 30 F MP - NATURAL    -    0.126235</v>
          </cell>
        </row>
        <row r="4677">
          <cell r="D4677" t="str">
            <v>12034417    -    480 MP - 2F    -    0.05636</v>
          </cell>
        </row>
        <row r="4678">
          <cell r="D4678" t="str">
            <v>12034425    -    IGN CLIP - 7MM - 4W    -    0.13065</v>
          </cell>
        </row>
        <row r="4679">
          <cell r="D4679" t="str">
            <v>12034446    -    ACC1, TPA M/P 280    -    0.0344</v>
          </cell>
        </row>
        <row r="4680">
          <cell r="D4680" t="str">
            <v>12034473    -    CONNECTOR HEADER - 32M MP    -    0.2706</v>
          </cell>
        </row>
        <row r="4681">
          <cell r="D4681" t="str">
            <v>12034476    -    CLIP    -    0.0549</v>
          </cell>
        </row>
        <row r="4682">
          <cell r="D4682" t="str">
            <v>12034564    -    IGN CLIP - 7MM - 3W    -    0.10363</v>
          </cell>
        </row>
        <row r="4683">
          <cell r="D4683" t="str">
            <v>12034577    -    CONNECTOR    -    0.17315</v>
          </cell>
        </row>
        <row r="4684">
          <cell r="D4684" t="str">
            <v>12040683    -    CONDUIT CLIP    -    0.01778</v>
          </cell>
        </row>
        <row r="4685">
          <cell r="D4685" t="str">
            <v>12040748    -    COVER - ADL MODULE - BLACK    -    0.04864</v>
          </cell>
        </row>
        <row r="4686">
          <cell r="D4686" t="str">
            <v>12040748S    -    COVER CONN P/C    -    0.05307</v>
          </cell>
        </row>
        <row r="4687">
          <cell r="D4687" t="str">
            <v>12040903    -    INSULATOR - 4 W MP3    -    0.22829</v>
          </cell>
        </row>
        <row r="4688">
          <cell r="D4688" t="str">
            <v>12040904    -    INSULATOR - 4 W MP3    -    0.077154</v>
          </cell>
        </row>
        <row r="4689">
          <cell r="D4689" t="str">
            <v>12040920    -    CONNECTOR - 18 F MP - BLACK    -    0.27139</v>
          </cell>
        </row>
        <row r="4690">
          <cell r="D4690" t="str">
            <v>12040924    -    CONNECTOR - 18 F MP - NATURAL    -    0.6286</v>
          </cell>
        </row>
        <row r="4691">
          <cell r="D4691" t="str">
            <v>12040952    -    INSULATOR - 6 W MP3    -    0.17541</v>
          </cell>
        </row>
        <row r="4692">
          <cell r="D4692" t="str">
            <v>12040953    -    INSULATOR - 6 W MP3    -    0.04143</v>
          </cell>
        </row>
        <row r="4693">
          <cell r="D4693" t="str">
            <v>12040953S    -    CONNECTOR    -    0.043515</v>
          </cell>
        </row>
        <row r="4694">
          <cell r="D4694" t="str">
            <v>12041255    -    TAXI CONN 8M M/P 280    -    0.0887</v>
          </cell>
        </row>
        <row r="4695">
          <cell r="D4695" t="str">
            <v>12041265    -    HOUSING 2 POL    -    0.040008</v>
          </cell>
        </row>
        <row r="4696">
          <cell r="D4696" t="str">
            <v>12041414    -    CONDUIT CLIP    -    0.0873</v>
          </cell>
        </row>
        <row r="4697">
          <cell r="D4697" t="str">
            <v>12041431    -    CONNECTOR - 3F MP - BLACK    -    0.4855</v>
          </cell>
        </row>
        <row r="4698">
          <cell r="D4698" t="str">
            <v>12041432    -    SECONDARY LOCK - GRAY    -    0.08732</v>
          </cell>
        </row>
        <row r="4699">
          <cell r="D4699" t="str">
            <v>12041434    -    SECONDARY LOCK - GRAY    -    0.03742</v>
          </cell>
        </row>
        <row r="4700">
          <cell r="D4700" t="str">
            <v>12041434S    -    TPA M/P 280    -    0.044</v>
          </cell>
        </row>
        <row r="4701">
          <cell r="D4701" t="str">
            <v>12041476    -    CONNECTOR - 32 WAY - MP3    -    0.075882</v>
          </cell>
        </row>
        <row r="4702">
          <cell r="D4702" t="str">
            <v>12045023    -    CONN, 1F 250 CN A N NAT    -    0.062831</v>
          </cell>
        </row>
        <row r="4703">
          <cell r="D4703" t="str">
            <v>12045026    -    CONN, 2F NAT    -    0.071057</v>
          </cell>
        </row>
        <row r="4704">
          <cell r="D4704" t="str">
            <v>12045027    -    CONN, 2F BLK    -    0.071057</v>
          </cell>
        </row>
        <row r="4705">
          <cell r="D4705" t="str">
            <v>12045041    -    CONN 2F    -    0.090578</v>
          </cell>
        </row>
        <row r="4706">
          <cell r="D4706" t="str">
            <v>12045049    -    CONN 3F    -    0.082</v>
          </cell>
        </row>
        <row r="4707">
          <cell r="D4707" t="str">
            <v>12045050    -    CONN 10F    -    0.107064</v>
          </cell>
        </row>
        <row r="4708">
          <cell r="D4708" t="str">
            <v>12045055    -    CONN 1M    -    0.070974</v>
          </cell>
        </row>
        <row r="4709">
          <cell r="D4709" t="str">
            <v>12045056    -    CONN    -    0.075196</v>
          </cell>
        </row>
        <row r="4710">
          <cell r="D4710" t="str">
            <v>12045057    -    CONN 2F    -    0.0296</v>
          </cell>
        </row>
        <row r="4711">
          <cell r="D4711" t="str">
            <v>12045058    -    CONN 3F    -    0.113197</v>
          </cell>
        </row>
        <row r="4712">
          <cell r="D4712" t="str">
            <v>12045059    -    CONN 6F    -    0.057604</v>
          </cell>
        </row>
        <row r="4713">
          <cell r="D4713" t="str">
            <v>12045060    -    CONN 1M W/CL    -    0.096509</v>
          </cell>
        </row>
        <row r="4714">
          <cell r="D4714" t="str">
            <v>12045063    -    CONNECTOR 1F    -    0.04115</v>
          </cell>
        </row>
        <row r="4715">
          <cell r="D4715" t="str">
            <v>12045068-L    -    BC CONNECTOR[NATURAL]    -    0.148885</v>
          </cell>
        </row>
        <row r="4716">
          <cell r="D4716" t="str">
            <v>12045074    -    CONN 4F NAT    -    0.112141</v>
          </cell>
        </row>
        <row r="4717">
          <cell r="D4717" t="str">
            <v>12045078    -    CONN 9F    -    0.0529</v>
          </cell>
        </row>
        <row r="4718">
          <cell r="D4718" t="str">
            <v>12045079    -    CONN 13F    -    0.188393</v>
          </cell>
        </row>
        <row r="4719">
          <cell r="D4719" t="str">
            <v>12045081    -    CONN 2F    -    0.090286</v>
          </cell>
        </row>
        <row r="4720">
          <cell r="D4720" t="str">
            <v>12045131    -    CLIP HARNESS    -    0.02379</v>
          </cell>
        </row>
        <row r="4721">
          <cell r="D4721" t="str">
            <v>12045132    -    CLIP    -    0.04364</v>
          </cell>
        </row>
        <row r="4722">
          <cell r="D4722" t="str">
            <v>12045143    -    CLIP    -    0.03266</v>
          </cell>
        </row>
        <row r="4723">
          <cell r="D4723" t="str">
            <v>12045216    -    CONN 7F    -    0.0561</v>
          </cell>
        </row>
        <row r="4724">
          <cell r="D4724" t="str">
            <v>12045252    -    CLIP    -    0.0159</v>
          </cell>
        </row>
        <row r="4725">
          <cell r="D4725" t="str">
            <v>12045470    -    CONNECTOR - 32 WAY - MP3    -    0.075882</v>
          </cell>
        </row>
        <row r="4726">
          <cell r="D4726" t="str">
            <v>12045470S    -    CONNECTOR    -    0.080541</v>
          </cell>
        </row>
        <row r="4727">
          <cell r="D4727" t="str">
            <v>12045474    -    EYELET    -    0.167483</v>
          </cell>
        </row>
        <row r="4728">
          <cell r="D4728" t="str">
            <v>12045537    -    CONNECTOR - 32 WAY - MP3    -    0.077063</v>
          </cell>
        </row>
        <row r="4729">
          <cell r="D4729" t="str">
            <v>12045575    -    CONNECTOR - 32 WAY FEMALE - MP3    -    0.066322</v>
          </cell>
        </row>
        <row r="4730">
          <cell r="D4730" t="str">
            <v>12045621    -    CONN, 4F BLK    -    0.065</v>
          </cell>
        </row>
        <row r="4731">
          <cell r="D4731" t="str">
            <v>12045668    -    IGN CLIP - 8MM - 2W    -    0.02231</v>
          </cell>
        </row>
        <row r="4732">
          <cell r="D4732" t="str">
            <v>12045672    -    CLIP    -    0.078614</v>
          </cell>
        </row>
        <row r="4733">
          <cell r="D4733" t="str">
            <v>12045678    -    CONDUIT FITTING    -    0.115417</v>
          </cell>
        </row>
        <row r="4734">
          <cell r="D4734" t="str">
            <v>12045808    -    CONNECTOR 10 M 150 SER MP SEALED    -    0.1273</v>
          </cell>
        </row>
        <row r="4735">
          <cell r="D4735" t="str">
            <v>12045895    -    CONN 4F M/P    -    0.10363</v>
          </cell>
        </row>
        <row r="4736">
          <cell r="D4736" t="str">
            <v>12047518    -    CONN 2M    -    0.071075</v>
          </cell>
        </row>
        <row r="4737">
          <cell r="D4737" t="str">
            <v>12047641    -    CONN 3F    -    0.0389</v>
          </cell>
        </row>
        <row r="4738">
          <cell r="D4738" t="str">
            <v>12047662    -    CONNECTOR - 2 WAY - 150 - BLACK    -    0.00995</v>
          </cell>
        </row>
        <row r="4739">
          <cell r="D4739" t="str">
            <v>12047663    -    CONNECTOR - 2 WAY - 150 - BLACK    -    0.01231</v>
          </cell>
        </row>
        <row r="4740">
          <cell r="D4740" t="str">
            <v>12047663S    -    CONNECTOR    -    0.013355</v>
          </cell>
        </row>
        <row r="4741">
          <cell r="D4741" t="str">
            <v>12047682    -    CONNECTOR - 1 WAY - 150    -    0.01094</v>
          </cell>
        </row>
        <row r="4742">
          <cell r="D4742" t="str">
            <v>12047682S    -    CONNECTOR    -    0.01187</v>
          </cell>
        </row>
        <row r="4743">
          <cell r="D4743" t="str">
            <v>12047683    -    CONNECTOR - 1 WAY - 150    -    0.028885</v>
          </cell>
        </row>
        <row r="4744">
          <cell r="D4744" t="str">
            <v>12047699    -    CONNECTOR BODY - CIGAR LTR.    -    0.03754</v>
          </cell>
        </row>
        <row r="4745">
          <cell r="D4745" t="str">
            <v>12047699S    -    CONNECTOR    -    0.04117</v>
          </cell>
        </row>
        <row r="4746">
          <cell r="D4746" t="str">
            <v>12047751    -    SECONDARY LOCK    -    0.037257</v>
          </cell>
        </row>
        <row r="4747">
          <cell r="D4747" t="str">
            <v>12047781    -    CONNECTOR - MICRO PACK    -    0.012623</v>
          </cell>
        </row>
        <row r="4748">
          <cell r="D4748" t="str">
            <v>12047781S    -    CONNECTOR    -    0.013562</v>
          </cell>
        </row>
        <row r="4749">
          <cell r="D4749" t="str">
            <v>12047814    -    CONNECTOR - MP3    -    0.2136</v>
          </cell>
        </row>
        <row r="4750">
          <cell r="D4750" t="str">
            <v>12047840    -    CONNECTOR - 13 WAY - 280 MP    -    0.038133</v>
          </cell>
        </row>
        <row r="4751">
          <cell r="D4751" t="str">
            <v>12047846    -    PLASTIC PART    -    0.047</v>
          </cell>
        </row>
        <row r="4752">
          <cell r="D4752" t="str">
            <v>12047846S    -    TPA 13M M/P 150/280/630    -    0.0495</v>
          </cell>
        </row>
        <row r="4753">
          <cell r="D4753" t="str">
            <v>12047901S    -    TPA    -    0.01851</v>
          </cell>
        </row>
        <row r="4754">
          <cell r="D4754" t="str">
            <v>12047912    -    COVER - APPEARANCE    -    0.1505</v>
          </cell>
        </row>
        <row r="4755">
          <cell r="D4755" t="str">
            <v>12047946    -    CONNECTOR - 24 WAY - MP3    -    0.073382</v>
          </cell>
        </row>
        <row r="4756">
          <cell r="D4756" t="str">
            <v>12047948    -    ACC1, TPA 4P M/P 150 BLK    -    0.039</v>
          </cell>
        </row>
        <row r="4757">
          <cell r="D4757" t="str">
            <v>12047985    -    FASTENER - NYLON    -    0.036828</v>
          </cell>
        </row>
        <row r="4758">
          <cell r="D4758" t="str">
            <v>12048008    -    CONN 2F    -    0.0714</v>
          </cell>
        </row>
        <row r="4759">
          <cell r="D4759" t="str">
            <v>12048039    -    MINI-TIMER CONN    -    0.14136</v>
          </cell>
        </row>
        <row r="4760">
          <cell r="D4760" t="str">
            <v>12048105    -    CONNECTOR - 12 FEM - 280 METRI-PACK    -    0.098735</v>
          </cell>
        </row>
        <row r="4761">
          <cell r="D4761" t="str">
            <v>12048185    -    CLIP - TAPE ON    -    0.04947</v>
          </cell>
        </row>
        <row r="4762">
          <cell r="D4762" t="str">
            <v>12048210    -    BATT ACCESS BOX    -    0.15298</v>
          </cell>
        </row>
        <row r="4763">
          <cell r="D4763" t="str">
            <v>12048272    -    280 MP - 2F    -    0.038</v>
          </cell>
        </row>
        <row r="4764">
          <cell r="D4764" t="str">
            <v>12048323    -    SECONDARY LOCK    -    0.06209</v>
          </cell>
        </row>
        <row r="4765">
          <cell r="D4765" t="str">
            <v>12048323S    -    TPA    -    0.069</v>
          </cell>
        </row>
        <row r="4766">
          <cell r="D4766" t="str">
            <v>12048356    -    CONN 2F M/P 480    -    0.050753</v>
          </cell>
        </row>
        <row r="4767">
          <cell r="D4767" t="str">
            <v>12048415    -    480 MP - 4F    -    0.07739</v>
          </cell>
        </row>
        <row r="4768">
          <cell r="D4768" t="str">
            <v>12048449    -    CONDUIT CLIP    -    0.04428</v>
          </cell>
        </row>
        <row r="4769">
          <cell r="D4769" t="str">
            <v>12048454    -    CONNECTOR BODY - 150 SERIES MP    -    0.131655</v>
          </cell>
        </row>
        <row r="4770">
          <cell r="D4770" t="str">
            <v>12052018    -    CONN 1 F BLK    -    0.023452</v>
          </cell>
        </row>
        <row r="4771">
          <cell r="D4771" t="str">
            <v>12052037    -    CLIP - 3 W - HEI - 8MM    -    0.065865</v>
          </cell>
        </row>
        <row r="4772">
          <cell r="D4772" t="str">
            <v>12052054    -    150 MP - 4M    -    0.05878</v>
          </cell>
        </row>
        <row r="4773">
          <cell r="D4773" t="str">
            <v>12052055    -    SECONDARY LOCK    -    0.0171</v>
          </cell>
        </row>
        <row r="4774">
          <cell r="D4774" t="str">
            <v>12052107    -    CONNECTOR - 32WAY - MP3    -    0.075882</v>
          </cell>
        </row>
        <row r="4775">
          <cell r="D4775" t="str">
            <v>12052184    -    CONNECTOR - 280 SERIES - FEMALE MP    -    0.16682</v>
          </cell>
        </row>
        <row r="4776">
          <cell r="D4776" t="str">
            <v>12052189    -    CONNECTOR BODY - 10 W 150 MP    -    0.1326</v>
          </cell>
        </row>
        <row r="4777">
          <cell r="D4777" t="str">
            <v>12052282    -    CLIP    -    0.024881</v>
          </cell>
        </row>
        <row r="4778">
          <cell r="D4778" t="str">
            <v>12052288    -    CONNECTOR - 5 MIXED MP    -    0.113112</v>
          </cell>
        </row>
        <row r="4779">
          <cell r="D4779" t="str">
            <v>12052402    -    CLIP    -    0.10895</v>
          </cell>
        </row>
        <row r="4780">
          <cell r="D4780" t="str">
            <v>12052473    -    INSULATOR HEADER - MP 32 W    -    0.24615</v>
          </cell>
        </row>
        <row r="4781">
          <cell r="D4781" t="str">
            <v>12052490    -    T P A    -    0.0579</v>
          </cell>
        </row>
        <row r="4782">
          <cell r="D4782" t="str">
            <v>12052493    -    CONNECTOR - 14 W - MP 150    -    0.13251</v>
          </cell>
        </row>
        <row r="4783">
          <cell r="D4783" t="str">
            <v>12052618    -    OVAL CONDUIT CLIP    -    0.27926</v>
          </cell>
        </row>
        <row r="4784">
          <cell r="D4784" t="str">
            <v>12052619    -    CONDUIT CLIP    -    0.04656</v>
          </cell>
        </row>
        <row r="4785">
          <cell r="D4785" t="str">
            <v>12052623    -    630 MP - 4M    -    0.06616</v>
          </cell>
        </row>
        <row r="4786">
          <cell r="D4786" t="str">
            <v>12052642    -    ASM CONN 2 F M/P 150 GRN SLD    -    0.123248</v>
          </cell>
        </row>
        <row r="4787">
          <cell r="D4787" t="str">
            <v>12052643    -    ASM CONN 2 F M/P 150 RED SLD    -    0.084634</v>
          </cell>
        </row>
        <row r="4788">
          <cell r="D4788" t="str">
            <v>12052795    -    CONNECTOR - AK# 2050    -    0.804094</v>
          </cell>
        </row>
        <row r="4789">
          <cell r="D4789" t="str">
            <v>12052832    -    CONN 2 F M/P 150 BLK    -    0.083632</v>
          </cell>
        </row>
        <row r="4790">
          <cell r="D4790" t="str">
            <v>12052834    -    SEC LOCK - CPA    -    0.00563</v>
          </cell>
        </row>
        <row r="4791">
          <cell r="D4791" t="str">
            <v>12052845    -    BC CLIP-TPA    -    0.0357</v>
          </cell>
        </row>
        <row r="4792">
          <cell r="D4792" t="str">
            <v>12052848    -    CONN, 6F M/P 150 ASM    -    0.1882</v>
          </cell>
        </row>
        <row r="4793">
          <cell r="D4793" t="str">
            <v>12052850    -    ACC1, TPA M/P 150    -    0.0365</v>
          </cell>
        </row>
        <row r="4794">
          <cell r="D4794" t="str">
            <v>12052898    -    SECONDARY LOCK    -    0.054331</v>
          </cell>
        </row>
        <row r="4795">
          <cell r="D4795" t="str">
            <v>12052935    -    CONNECTOR - 4 WAY - WEATHER PACK    -    0.06536</v>
          </cell>
        </row>
        <row r="4796">
          <cell r="D4796" t="str">
            <v>12059028    -    25 WAY RECEPTACLE    -    0.79746</v>
          </cell>
        </row>
        <row r="4797">
          <cell r="D4797" t="str">
            <v>12059125    -    INSULATOR - MICRO PACK - 24F    -    0.076146</v>
          </cell>
        </row>
        <row r="4798">
          <cell r="D4798" t="str">
            <v>12059126    -    INSULATOR - MICRO PACK - 32F    -    0.075882</v>
          </cell>
        </row>
        <row r="4799">
          <cell r="D4799" t="str">
            <v>12059135    -    INSULATOR HEADER - 32 WAY - MP    -    0.19449</v>
          </cell>
        </row>
        <row r="4800">
          <cell r="D4800" t="str">
            <v>12059137    -    HEADER - 22 WAY - MP3    -    0.15982</v>
          </cell>
        </row>
        <row r="4801">
          <cell r="D4801" t="str">
            <v>12059160    -    SECONDARY LOCK - 4 WAY - MP    -    0.026911</v>
          </cell>
        </row>
        <row r="4802">
          <cell r="D4802" t="str">
            <v>12059161    -    HEADER - 4 WAY - MP3    -    0.0724</v>
          </cell>
        </row>
        <row r="4803">
          <cell r="D4803" t="str">
            <v>12059162    -    CONNECTOR - 4 WAY - MP    -    0.10325</v>
          </cell>
        </row>
        <row r="4804">
          <cell r="D4804" t="str">
            <v>12059168S    -    PLUG    -    0.00405</v>
          </cell>
        </row>
        <row r="4805">
          <cell r="D4805" t="str">
            <v>12059195    -    SECONDARY LOCK    -    0.0236</v>
          </cell>
        </row>
        <row r="4806">
          <cell r="D4806" t="str">
            <v>12059247    -    CONNECTOR - 2 WAY 150 - GRAY    -    0.02109</v>
          </cell>
        </row>
        <row r="4807">
          <cell r="D4807" t="str">
            <v>12059248    -    CONNECTOR - 2 WAY 150 - GRAY    -    0.01184</v>
          </cell>
        </row>
        <row r="4808">
          <cell r="D4808" t="str">
            <v>12059249    -    CONNECTOR - 2 WAY 150 - NATURAL    -    0.02109</v>
          </cell>
        </row>
        <row r="4809">
          <cell r="D4809" t="str">
            <v>12059250    -    CONNECTOR - 2 WAY 150 - NATURAL    -    0.01184</v>
          </cell>
        </row>
        <row r="4810">
          <cell r="D4810" t="str">
            <v>12059251    -    CONNECTOR - 2W - 150 SERIES    -    0.01628</v>
          </cell>
        </row>
        <row r="4811">
          <cell r="D4811" t="str">
            <v>12059252    -    CONNECTOR - 150 MP    -    0.02734</v>
          </cell>
        </row>
        <row r="4812">
          <cell r="D4812" t="str">
            <v>12059253    -    CONNECTOR - 2W - 150 SERIES    -    0.01631</v>
          </cell>
        </row>
        <row r="4813">
          <cell r="D4813" t="str">
            <v>12059254    -    CONNECTOR - 150 MP    -    0.02782</v>
          </cell>
        </row>
        <row r="4814">
          <cell r="D4814" t="str">
            <v>12059271    -    CONDUIT CLIP (30.0 MM)    -    0.045163</v>
          </cell>
        </row>
        <row r="4815">
          <cell r="D4815" t="str">
            <v>12059289    -    CONNECTOR - 6 WAY HEADER    -    0.04291</v>
          </cell>
        </row>
        <row r="4816">
          <cell r="D4816" t="str">
            <v>12059296    -    CONNECTOR    -    0.08381</v>
          </cell>
        </row>
        <row r="4817">
          <cell r="D4817" t="str">
            <v>12059426    -    DUAL FUSE COVER    -    0.31294</v>
          </cell>
        </row>
        <row r="4818">
          <cell r="D4818" t="str">
            <v>12059433    -    CONNECTOR - P C BOARD    -    0.27056</v>
          </cell>
        </row>
        <row r="4819">
          <cell r="D4819" t="str">
            <v>12059570    -    CLIP - HARNESS    -    0.07979</v>
          </cell>
        </row>
        <row r="4820">
          <cell r="D4820" t="str">
            <v>12059581    -    CONN.    -    0.02465</v>
          </cell>
        </row>
        <row r="4821">
          <cell r="D4821" t="str">
            <v>12059582    -    TPA    -    0.02465</v>
          </cell>
        </row>
        <row r="4822">
          <cell r="D4822" t="str">
            <v>12059583    -    150 MP - 3F    -    0.02465</v>
          </cell>
        </row>
        <row r="4823">
          <cell r="D4823" t="str">
            <v>12059584    -    TPA    -    0.02465</v>
          </cell>
        </row>
        <row r="4824">
          <cell r="D4824" t="str">
            <v>12059595    -    ASM CONN 3 F M/P 150 BLK SLD    -    0.081831</v>
          </cell>
        </row>
        <row r="4825">
          <cell r="D4825" t="str">
            <v>12059596    -    CONNECTOR    -    0.01834</v>
          </cell>
        </row>
        <row r="4826">
          <cell r="D4826" t="str">
            <v>12059636    -    TPA - DIODE HOUSING    -    0.18792</v>
          </cell>
        </row>
        <row r="4827">
          <cell r="D4827" t="str">
            <v>12059641    -    630 MP - 2F P2S    -    0.06866</v>
          </cell>
        </row>
        <row r="4828">
          <cell r="D4828" t="str">
            <v>12059649    -    CONNECTOR - 32 PIN MALE HEADER - BLUE    -    0.21546</v>
          </cell>
        </row>
        <row r="4829">
          <cell r="D4829" t="str">
            <v>12059657    -    HEADER CONNECTOR    -    0.15844</v>
          </cell>
        </row>
        <row r="4830">
          <cell r="D4830" t="str">
            <v>12059716    -    CONNECTOR - MP - 630    -    0.127249</v>
          </cell>
        </row>
        <row r="4831">
          <cell r="D4831" t="str">
            <v>12059717    -    CONN 2F M/P 630 SELF-LOCK    -    0.03768</v>
          </cell>
        </row>
        <row r="4832">
          <cell r="D4832" t="str">
            <v>12059718    -    CONN 2F M/P 630 CDT 25MM    -    0.06834</v>
          </cell>
        </row>
        <row r="4833">
          <cell r="D4833" t="str">
            <v>12059719    -    CONNECTOR - MP - 630    -    0.363082</v>
          </cell>
        </row>
        <row r="4834">
          <cell r="D4834" t="str">
            <v>12059766    -    CONNECTOR - AMP# 206060-1    -    0.98</v>
          </cell>
        </row>
        <row r="4835">
          <cell r="D4835" t="str">
            <v>12059801    -    SECONDARY LOCK    -    0.01134</v>
          </cell>
        </row>
        <row r="4836">
          <cell r="D4836" t="str">
            <v>12059969    -    SECONDARY LOCK - 7 WAY    -    0.02538</v>
          </cell>
        </row>
        <row r="4837">
          <cell r="D4837" t="str">
            <v>12064754    -    CONNECTOR - 280 SER - MP    -    0.035033</v>
          </cell>
        </row>
        <row r="4838">
          <cell r="D4838" t="str">
            <v>12064754S    -    CONN    -    0.035237</v>
          </cell>
        </row>
        <row r="4839">
          <cell r="D4839" t="str">
            <v>12064758    -    CONN 3 F M/P 150 BLK    -    0.055323</v>
          </cell>
        </row>
        <row r="4840">
          <cell r="D4840" t="str">
            <v>12064766    -    150 MP - 8F    -    0.0687</v>
          </cell>
        </row>
        <row r="4841">
          <cell r="D4841" t="str">
            <v>12064766S    -    CONNECTOR    -    0.05644</v>
          </cell>
        </row>
        <row r="4842">
          <cell r="D4842" t="str">
            <v>12064769    -    CONN 10 F M/P 150 NAT    -    0.0496</v>
          </cell>
        </row>
        <row r="4843">
          <cell r="D4843" t="str">
            <v>12064799    -    INSULATOR - MP 3MM SERIES    -    0.0375</v>
          </cell>
        </row>
        <row r="4844">
          <cell r="D4844" t="str">
            <v>12064799S    -    CONNECTOR    -    0.0406</v>
          </cell>
        </row>
        <row r="4845">
          <cell r="D4845" t="str">
            <v>12064831    -    MIX MP - 36M    -    0.42554</v>
          </cell>
        </row>
        <row r="4846">
          <cell r="D4846" t="str">
            <v>12064834    -    SEC LOCK    -    0.027975</v>
          </cell>
        </row>
        <row r="4847">
          <cell r="D4847" t="str">
            <v>12064852    -    COVER - JUMP START    -    0.05875</v>
          </cell>
        </row>
        <row r="4848">
          <cell r="D4848" t="str">
            <v>12064861    -    SECONDARY LOCK    -    0.01078</v>
          </cell>
        </row>
        <row r="4849">
          <cell r="D4849" t="str">
            <v>12064874    -    SEC LOCK    -    0.02377</v>
          </cell>
        </row>
        <row r="4850">
          <cell r="D4850" t="str">
            <v>12064890    -    CABLE CLIP    -    0.0169</v>
          </cell>
        </row>
        <row r="4851">
          <cell r="D4851" t="str">
            <v>12064959    -    ENVIRONMENTAL COVER    -    0.131467</v>
          </cell>
        </row>
        <row r="4852">
          <cell r="D4852" t="str">
            <v>12064978    -    CONNECTOR - 6 WAY - MP3    -    0.03318</v>
          </cell>
        </row>
        <row r="4853">
          <cell r="D4853" t="str">
            <v>12064978S    -    CONNECTOR    -    0.03635</v>
          </cell>
        </row>
        <row r="4854">
          <cell r="D4854" t="str">
            <v>12064982    -    CONNECTOR - 5 WAY - MP3    -    0.042248</v>
          </cell>
        </row>
        <row r="4855">
          <cell r="D4855" t="str">
            <v>12064983    -    CONNECTOR - 5 WAY - MP3    -    0.058183</v>
          </cell>
        </row>
        <row r="4856">
          <cell r="D4856" t="str">
            <v>12064987    -    TPA    -    0.01427</v>
          </cell>
        </row>
        <row r="4857">
          <cell r="D4857" t="str">
            <v>12064993    -    CONNECTOR - 6 WAY - MP    -    0.03051</v>
          </cell>
        </row>
        <row r="4858">
          <cell r="D4858" t="str">
            <v>12064993S    -    CONNECTOR    -    0.0348</v>
          </cell>
        </row>
        <row r="4859">
          <cell r="D4859" t="str">
            <v>12065095    -    CLIP    -    0.02316</v>
          </cell>
        </row>
        <row r="4860">
          <cell r="D4860" t="str">
            <v>12065158    -    WEATHERPACK - 5W    -    0.17258</v>
          </cell>
        </row>
        <row r="4861">
          <cell r="D4861" t="str">
            <v>12065244    -    TPA    -    0.0064</v>
          </cell>
        </row>
        <row r="4862">
          <cell r="D4862" t="str">
            <v>12065266    -    PLUG SEAL 1WAY M/P 150    -    0.002972</v>
          </cell>
        </row>
        <row r="4863">
          <cell r="D4863" t="str">
            <v>12065279    -    TPA - 2 WAY 280 SERIES    -    0.14009</v>
          </cell>
        </row>
        <row r="4864">
          <cell r="D4864" t="str">
            <v>12065286    -    CONNECTOR - 3 WAY - 150 MP    -    0.02166</v>
          </cell>
        </row>
        <row r="4865">
          <cell r="D4865" t="str">
            <v>12065304    -    CONN 3 NAT    -    0.107064</v>
          </cell>
        </row>
        <row r="4866">
          <cell r="D4866" t="str">
            <v>12065307    -    CONNECTOR    -    0.043731</v>
          </cell>
        </row>
        <row r="4867">
          <cell r="D4867" t="str">
            <v>12065334    -    CONN 6 NAT    -    0.0582</v>
          </cell>
        </row>
        <row r="4868">
          <cell r="D4868" t="str">
            <v>12065422    -    CONNECTOR - 3 WAY - METRI PACK    -    0.0135</v>
          </cell>
        </row>
        <row r="4869">
          <cell r="D4869" t="str">
            <v>12065422S    -    CONNECTOR    -    0.0145</v>
          </cell>
        </row>
        <row r="4870">
          <cell r="D4870" t="str">
            <v>12065425    -    CONN, 10F M/P150 SLD    -    0.1511</v>
          </cell>
        </row>
        <row r="4871">
          <cell r="D4871" t="str">
            <v>12065584    -    56 SER - 1F    -    0.01667</v>
          </cell>
        </row>
        <row r="4872">
          <cell r="D4872" t="str">
            <v>12065636    -    SECONDARY LOCK - 8 WAY    -    0.0641</v>
          </cell>
        </row>
        <row r="4873">
          <cell r="D4873" t="str">
            <v>12065716    -    T.P.A. - 16 WAY    -    0.05228</v>
          </cell>
        </row>
        <row r="4874">
          <cell r="D4874" t="str">
            <v>12065761    -    IGN CLIP - 8MM - 4W    -    0.045929</v>
          </cell>
        </row>
        <row r="4875">
          <cell r="D4875" t="str">
            <v>12065762    -    IGN CLIP - 8MM - 4W    -    0.046723</v>
          </cell>
        </row>
        <row r="4876">
          <cell r="D4876" t="str">
            <v>12065781    -    ASM CONN 6 M M/P 150 GRA    -    0.218986</v>
          </cell>
        </row>
        <row r="4877">
          <cell r="D4877" t="str">
            <v>12065785    -    CONNECTOR - 10 WAY - MP    -    0.052704</v>
          </cell>
        </row>
        <row r="4878">
          <cell r="D4878" t="str">
            <v>12065803    -    CONNECTOR 34 WAY - MP    -    0.09811</v>
          </cell>
        </row>
        <row r="4879">
          <cell r="D4879" t="str">
            <v>12065804    -    CONNECTOR - 22 WAY - MP    -    0.147069</v>
          </cell>
        </row>
        <row r="4880">
          <cell r="D4880" t="str">
            <v>12065826    -    SECONDARY LOCK    -    0.011308</v>
          </cell>
        </row>
        <row r="4881">
          <cell r="D4881" t="str">
            <v>12065827    -    SECONDARY LOCK    -    0.010519</v>
          </cell>
        </row>
        <row r="4882">
          <cell r="D4882" t="str">
            <v>12065848    -    SECONDARY LOCK    -    0.014464</v>
          </cell>
        </row>
        <row r="4883">
          <cell r="D4883" t="str">
            <v>12065850    -    30 WAY FEMALE CONNECTOR ASSEMBLY    -    1.21287</v>
          </cell>
        </row>
        <row r="4884">
          <cell r="D4884" t="str">
            <v>12065871    -    INSULATOR HEADER - MICRO PACK 3    -    0.156575</v>
          </cell>
        </row>
        <row r="4885">
          <cell r="D4885" t="str">
            <v>12065872    -    CONNECTOR 7 WAY    -    0.10745</v>
          </cell>
        </row>
        <row r="4886">
          <cell r="D4886" t="str">
            <v>12065873    -    CONNECTOR 7 WAY    -    0.116092</v>
          </cell>
        </row>
        <row r="4887">
          <cell r="D4887" t="str">
            <v>12065874    -    INSULATOR    -    0.13598</v>
          </cell>
        </row>
        <row r="4888">
          <cell r="D4888" t="str">
            <v>12065882    -    CONNECTOR - 2 WAY - PORT FUEL INJECTOR    -    0.21625</v>
          </cell>
        </row>
        <row r="4889">
          <cell r="D4889" t="str">
            <v>12065943    -    SECONDARY LOCK    -    0.0145</v>
          </cell>
        </row>
        <row r="4890">
          <cell r="D4890" t="str">
            <v>12065943S    -    TPA    -    0.0156</v>
          </cell>
        </row>
        <row r="4891">
          <cell r="D4891" t="str">
            <v>12065978    -    CONN MIX MP 5F 480/630    -    0.060048</v>
          </cell>
        </row>
        <row r="4892">
          <cell r="D4892" t="str">
            <v>12066018    -    CONN 2M M/P 150INS MLD    -    0.2412</v>
          </cell>
        </row>
        <row r="4893">
          <cell r="D4893" t="str">
            <v>12066050    -    SECONDARY LOCK    -    0.014815</v>
          </cell>
        </row>
        <row r="4894">
          <cell r="D4894" t="str">
            <v>12066156    -    280 MP - 4F SP    -    0.03007</v>
          </cell>
        </row>
        <row r="4895">
          <cell r="D4895" t="str">
            <v>12066157    -    SECONDARY LOCK    -    0.0198</v>
          </cell>
        </row>
        <row r="4896">
          <cell r="D4896" t="str">
            <v>12066158    -    COVER    -    0.015937</v>
          </cell>
        </row>
        <row r="4897">
          <cell r="D4897" t="str">
            <v>12066159    -    280 MP - 7F SP    -    0.04713</v>
          </cell>
        </row>
        <row r="4898">
          <cell r="D4898" t="str">
            <v>12066160    -    TPA    -    0.0214</v>
          </cell>
        </row>
        <row r="4899">
          <cell r="D4899" t="str">
            <v>12066161    -    COVER    -    0.02001</v>
          </cell>
        </row>
        <row r="4900">
          <cell r="D4900" t="str">
            <v>12066164    -    COVER    -    0.02415</v>
          </cell>
        </row>
        <row r="4901">
          <cell r="D4901" t="str">
            <v>12066189    -    CONNECTOR - 3 MM MICRO PACK    -    0.041591</v>
          </cell>
        </row>
        <row r="4902">
          <cell r="D4902" t="str">
            <v>12066383    -    MYLAR - RETAINER FILM MIC/P 100 3.0CL    -    0.04364</v>
          </cell>
        </row>
        <row r="4903">
          <cell r="D4903" t="str">
            <v>12066386    -    CONNECTOR 8 WAY PIN-GRIP    -    0.091169</v>
          </cell>
        </row>
        <row r="4904">
          <cell r="D4904" t="str">
            <v>12066430    -    CONN, 2F 090 Y BLU    -    0.222071</v>
          </cell>
        </row>
        <row r="4905">
          <cell r="D4905" t="str">
            <v>12066537    -    CONNECTOR - 34 W MP    -    0.12566</v>
          </cell>
        </row>
        <row r="4906">
          <cell r="D4906" t="str">
            <v>12066571    -    CONNECTOR - 4F M/P 480    -    0.067444</v>
          </cell>
        </row>
        <row r="4907">
          <cell r="D4907" t="str">
            <v>12066572    -    TPA - 4 WAY - M/P 480    -    0.08257</v>
          </cell>
        </row>
        <row r="4908">
          <cell r="D4908" t="str">
            <v>12066609    -    CONNECTOR - 150 M/P 2 WAY MALE    -    0.080977</v>
          </cell>
        </row>
        <row r="4909">
          <cell r="D4909" t="str">
            <v>12066670    -    CONNECTOR 2M M/P 150 P2S    -    0.05267</v>
          </cell>
        </row>
        <row r="4910">
          <cell r="D4910" t="str">
            <v>12077327    -    CONTACT    -    0.02634</v>
          </cell>
        </row>
        <row r="4911">
          <cell r="D4911" t="str">
            <v>12077328    -    18-14 GA JUNIOR POWER    -    0.02635</v>
          </cell>
        </row>
        <row r="4912">
          <cell r="D4912" t="str">
            <v>12077377    -    WEATHERPACK - 22M    -    0.39202</v>
          </cell>
        </row>
        <row r="4913">
          <cell r="D4913" t="str">
            <v>12077384    -    CONN-3F 56 SER    -    0.06774</v>
          </cell>
        </row>
        <row r="4914">
          <cell r="D4914" t="str">
            <v>12077449    -    CONN 1 WAY BLACK    -    0.04138</v>
          </cell>
        </row>
        <row r="4915">
          <cell r="D4915" t="str">
            <v>12077457    -    CONN 4 WAY NAT/WHITE    -    0.198547</v>
          </cell>
        </row>
        <row r="4916">
          <cell r="D4916" t="str">
            <v>12077466    -    CONN 13-WAY NAT    -    0.097213</v>
          </cell>
        </row>
        <row r="4917">
          <cell r="D4917" t="str">
            <v>12077482    -    CLIP ROSE BUD    -    0.09866</v>
          </cell>
        </row>
        <row r="4918">
          <cell r="D4918" t="str">
            <v>12077494    -    CLIP    -    0.0169</v>
          </cell>
        </row>
        <row r="4919">
          <cell r="D4919" t="str">
            <v>12077530    -    CONNECTOR    -    0.0575</v>
          </cell>
        </row>
        <row r="4920">
          <cell r="D4920" t="str">
            <v>12077572    -    SECONDARY LOCK    -    0.021828</v>
          </cell>
        </row>
        <row r="4921">
          <cell r="D4921" t="str">
            <v>12066170    -     TPA 6F    -    0.0166</v>
          </cell>
        </row>
        <row r="4922">
          <cell r="D4922" t="str">
            <v>15304841     -     TPA    -    0.0449</v>
          </cell>
        </row>
        <row r="4923">
          <cell r="D4923" t="str">
            <v>12077590    -    CONNECTOR - 5 WAY - 150 MP    -    0.0315</v>
          </cell>
        </row>
        <row r="4924">
          <cell r="D4924" t="str">
            <v>12077635    -    CONN, 2F GRAY    -    0.228706</v>
          </cell>
        </row>
        <row r="4925">
          <cell r="D4925" t="str">
            <v>12077661    -    CONN, ASM 2F    -    0.257859</v>
          </cell>
        </row>
        <row r="4926">
          <cell r="D4926" t="str">
            <v>12077667    -    CONNECTOR - 13F NAT    -    0.09098</v>
          </cell>
        </row>
        <row r="4927">
          <cell r="D4927" t="str">
            <v>12077677    -    CONN 1F NAT    -    0.072382</v>
          </cell>
        </row>
        <row r="4928">
          <cell r="D4928" t="str">
            <v>12077887    -    CONNECTOR - 2 WAY    -    0.024</v>
          </cell>
        </row>
        <row r="4929">
          <cell r="D4929" t="str">
            <v>12077919    -    CONNECTOR - 280 - F2    -    0.02509</v>
          </cell>
        </row>
        <row r="4930">
          <cell r="D4930" t="str">
            <v>12077924    -    TPA    -    0.0292</v>
          </cell>
        </row>
        <row r="4931">
          <cell r="D4931" t="str">
            <v>12077988    -    CONN/SEAL ASSEMBLY    -    0.12442</v>
          </cell>
        </row>
        <row r="4932">
          <cell r="D4932" t="str">
            <v>12078038    -    CLIP - TAPE ON    -    0.055048</v>
          </cell>
        </row>
        <row r="4933">
          <cell r="D4933" t="str">
            <v>12078131    -    CONN,F,2-W,NATURAL,LOSE 090S    -    0.092488</v>
          </cell>
        </row>
        <row r="4934">
          <cell r="D4934" t="str">
            <v>12078167    -    CONN,2-W,M,090RTS,CLAMP    -    0.200055</v>
          </cell>
        </row>
        <row r="4935">
          <cell r="D4935" t="str">
            <v>12078198    -    SOFT TAPE 30 X 5    -    0.022318</v>
          </cell>
        </row>
        <row r="4936">
          <cell r="D4936" t="str">
            <v>12078199    -    ASSEMBLY CONNECTOR-REMOTE ACCESS    -    1.01846</v>
          </cell>
        </row>
        <row r="4937">
          <cell r="D4937" t="str">
            <v>12084134    -    CONNECTOR - MICRO PACK - 11F    -    0.63</v>
          </cell>
        </row>
        <row r="4938">
          <cell r="D4938" t="str">
            <v>12084166    -    CONNECTOR - MP 280    -    0.185514</v>
          </cell>
        </row>
        <row r="4939">
          <cell r="D4939" t="str">
            <v>12084167    -    CONNECTOR - MP 280    -    0.184044</v>
          </cell>
        </row>
        <row r="4940">
          <cell r="D4940" t="str">
            <v>12084180    -    CONNECTOR - 280 - M2    -    0.0648</v>
          </cell>
        </row>
        <row r="4941">
          <cell r="D4941" t="str">
            <v>12084325    -    CONN 3M M/P 280    -    0.06835</v>
          </cell>
        </row>
        <row r="4942">
          <cell r="D4942" t="str">
            <v>12084331    -    CONN 3F M/P 280    -    0.05138</v>
          </cell>
        </row>
        <row r="4943">
          <cell r="D4943" t="str">
            <v>12084387    -    COVER    -    0.012</v>
          </cell>
        </row>
        <row r="4944">
          <cell r="D4944" t="str">
            <v>12084526    -    CONNECTOR COVER    -    0.357309</v>
          </cell>
        </row>
        <row r="4945">
          <cell r="D4945" t="str">
            <v>12084585    -    BATT ACCESS BOX    -    0.15298</v>
          </cell>
        </row>
        <row r="4946">
          <cell r="D4946" t="str">
            <v>12084604    -    MOLDED PLASTIC    -    0.0209</v>
          </cell>
        </row>
        <row r="4947">
          <cell r="D4947" t="str">
            <v>12084605    -    FASTENER    -    0.025988</v>
          </cell>
        </row>
        <row r="4948">
          <cell r="D4948" t="str">
            <v>12084623    -    IGN CLIP - 8MM - 3W    -    0.072</v>
          </cell>
        </row>
        <row r="4949">
          <cell r="D4949" t="str">
            <v>12084629    -    IGN CLIP - 8MM - 1W    -    0.0291</v>
          </cell>
        </row>
        <row r="4950">
          <cell r="D4950" t="str">
            <v>12084644    -    SHORT STIFFENER MEMBER    -    0.181271</v>
          </cell>
        </row>
        <row r="4951">
          <cell r="D4951" t="str">
            <v>12084645    -    LONG STIFFENER MEMBER    -    0.225098</v>
          </cell>
        </row>
        <row r="4952">
          <cell r="D4952" t="str">
            <v>12084646    -    BOOT SUPPORTER    -    0.083459</v>
          </cell>
        </row>
        <row r="4953">
          <cell r="D4953" t="str">
            <v>12084649    -    CLIP - IGNITION CABLE 8MM - BLACK    -    0.034</v>
          </cell>
        </row>
        <row r="4954">
          <cell r="D4954" t="str">
            <v>12084683    -    COVER    -    0.19517</v>
          </cell>
        </row>
        <row r="4955">
          <cell r="D4955" t="str">
            <v>12084698    -    CONVENIENCE CENTER    -    0.883847</v>
          </cell>
        </row>
        <row r="4956">
          <cell r="D4956" t="str">
            <v>12084699    -    CONN 6 F M/P 280 BLU    -    0.0966</v>
          </cell>
        </row>
        <row r="4957">
          <cell r="D4957" t="str">
            <v>12084709    -    SATURN COVER    -    0.06067</v>
          </cell>
        </row>
        <row r="4958">
          <cell r="D4958" t="str">
            <v>12084791    -    FUSE PULLER    -    0.0218</v>
          </cell>
        </row>
        <row r="4959">
          <cell r="D4959" t="str">
            <v>12084798    -    TPA    -    0.023</v>
          </cell>
        </row>
        <row r="4960">
          <cell r="D4960" t="str">
            <v>12084801    -    CONDUIT FITTING    -    0.11446</v>
          </cell>
        </row>
        <row r="4961">
          <cell r="D4961" t="str">
            <v>12084835    -    COMB CONNECTOR CENTER    -    0.089799</v>
          </cell>
        </row>
        <row r="4962">
          <cell r="D4962" t="str">
            <v>12084920    -    CONVENIENCE CENTER    -    2.60612</v>
          </cell>
        </row>
        <row r="4963">
          <cell r="D4963" t="str">
            <v>12084921    -    SECONDARY LOCK    -    0.235</v>
          </cell>
        </row>
        <row r="4964">
          <cell r="D4964" t="str">
            <v>12084942    -    CONN 16 M MIC/P    -    0.093623</v>
          </cell>
        </row>
        <row r="4965">
          <cell r="D4965" t="str">
            <v>12084948    -    CONN 16-WAY PED HDR UPAK    -    0.4678</v>
          </cell>
        </row>
        <row r="4966">
          <cell r="D4966" t="str">
            <v>12084958    -    TPA    -    0.01399</v>
          </cell>
        </row>
        <row r="4967">
          <cell r="D4967" t="str">
            <v>12084990    -    TPA    -    0.0164</v>
          </cell>
        </row>
        <row r="4968">
          <cell r="D4968" t="str">
            <v>12084991    -    CONN 3M M/P 280    -    0.097</v>
          </cell>
        </row>
        <row r="4969">
          <cell r="D4969" t="str">
            <v>12085013    -    CONN 8F P/G SER    -    0.151388</v>
          </cell>
        </row>
        <row r="4970">
          <cell r="D4970" t="str">
            <v>12085014    -    COVER - CONN P/G SER.    -    0.1</v>
          </cell>
        </row>
        <row r="4971">
          <cell r="D4971" t="str">
            <v>12088036    -    CONN POS LOCK 187 SER MARK II    -    0.11041</v>
          </cell>
        </row>
        <row r="4972">
          <cell r="D4972" t="str">
            <v>12088046    -    CONN 3F    -    0.755885</v>
          </cell>
        </row>
        <row r="4973">
          <cell r="D4973" t="str">
            <v>12088062    -    CONN, 3F 070 Y BLK    -    0.615765</v>
          </cell>
        </row>
        <row r="4974">
          <cell r="D4974" t="str">
            <v>12088065    -    CONN,F,1-W,NATU,250S    -    0.020525</v>
          </cell>
        </row>
        <row r="4975">
          <cell r="D4975" t="str">
            <v>12088068    -    CONN 2F    -    0.026741</v>
          </cell>
        </row>
        <row r="4976">
          <cell r="D4976" t="str">
            <v>12088069    -    CONN 2F    -    0.026741</v>
          </cell>
        </row>
        <row r="4977">
          <cell r="D4977" t="str">
            <v>12088071    -    CONN    -    0.026741</v>
          </cell>
        </row>
        <row r="4978">
          <cell r="D4978" t="str">
            <v>12088072    -    CONN    -    0.031164</v>
          </cell>
        </row>
        <row r="4979">
          <cell r="D4979" t="str">
            <v>12088075    -    CONN 4F    -    0.038805</v>
          </cell>
        </row>
        <row r="4980">
          <cell r="D4980" t="str">
            <v>12088076    -    CONN 4F    -    0.048154</v>
          </cell>
        </row>
        <row r="4981">
          <cell r="D4981" t="str">
            <v>12088078    -    CONN 6F    -    0.05127</v>
          </cell>
        </row>
        <row r="4982">
          <cell r="D4982" t="str">
            <v>12088080    -    CONN 2F    -    0.0144</v>
          </cell>
        </row>
        <row r="4983">
          <cell r="D4983" t="str">
            <v>12088085    -    CONN 4F    -    0.0629</v>
          </cell>
        </row>
        <row r="4984">
          <cell r="D4984" t="str">
            <v>12088089    -    CONN 2M    -    0.169896</v>
          </cell>
        </row>
        <row r="4985">
          <cell r="D4985" t="str">
            <v>12088091    -    CONN ASM 3M    -    0.19925</v>
          </cell>
        </row>
        <row r="4986">
          <cell r="D4986" t="str">
            <v>12088094    -    ASM CONN 4M    -    0.337781</v>
          </cell>
        </row>
        <row r="4987">
          <cell r="D4987" t="str">
            <v>12088097    -    CONN 6F    -    0.09098</v>
          </cell>
        </row>
        <row r="4988">
          <cell r="D4988" t="str">
            <v>12088099    -    HSG    -    0.088466</v>
          </cell>
        </row>
        <row r="4989">
          <cell r="D4989" t="str">
            <v>12088100    -    CONN,16-W,F,090S,NAT    -    0.18815</v>
          </cell>
        </row>
        <row r="4990">
          <cell r="D4990" t="str">
            <v>12088102    -    CONN,F,6-W,BLUE,LOSE 090S    -    0.041</v>
          </cell>
        </row>
        <row r="4991">
          <cell r="D4991" t="str">
            <v>12088105    -    CONN 12-W NAT    -    0.103</v>
          </cell>
        </row>
        <row r="4992">
          <cell r="D4992" t="str">
            <v>12088148    -    CONN 12F    -    0.126668</v>
          </cell>
        </row>
        <row r="4993">
          <cell r="D4993" t="str">
            <v>12088149    -    CLAMP    -    0.077006</v>
          </cell>
        </row>
        <row r="4994">
          <cell r="D4994" t="str">
            <v>12088151    -    PROTECTOR    -    0.215737</v>
          </cell>
        </row>
        <row r="4995">
          <cell r="D4995" t="str">
            <v>12088153-L    -    BC CONNECTOR[NATURAL]    -    0.200557</v>
          </cell>
        </row>
        <row r="4996">
          <cell r="D4996" t="str">
            <v>12088182    -    TAPE SPONGE 30 X 7    -    0.035286</v>
          </cell>
        </row>
        <row r="4997">
          <cell r="D4997" t="str">
            <v>12088188S    -    ASM CLIP HARN    -    0.172255</v>
          </cell>
        </row>
        <row r="4998">
          <cell r="D4998" t="str">
            <v>12089069    -    CONN CAP    -    0.315966</v>
          </cell>
        </row>
        <row r="4999">
          <cell r="D4999" t="str">
            <v>12089076    -    CONNECTOR 22 M/F W/P TWR    -    0.408</v>
          </cell>
        </row>
        <row r="5000">
          <cell r="D5000" t="str">
            <v>12089092    -    CONN, ASM 2F 090 SLD    -    0.229611</v>
          </cell>
        </row>
        <row r="5001">
          <cell r="D5001" t="str">
            <v>12089106    -    CONN,F,2-W,GREY,090S    -    0.076172</v>
          </cell>
        </row>
        <row r="5002">
          <cell r="D5002" t="str">
            <v>12089109    -    CONN F-2-W, GREY 090S,ASS    -    0.107</v>
          </cell>
        </row>
        <row r="5003">
          <cell r="D5003" t="str">
            <v>12089114    -    CONN 1F    -    0.037196</v>
          </cell>
        </row>
        <row r="5004">
          <cell r="D5004" t="str">
            <v>12089151    -    CONN 10M    -    0.11561</v>
          </cell>
        </row>
        <row r="5005">
          <cell r="D5005" t="str">
            <v>12089203    -    CONN 10F    -    0.338183</v>
          </cell>
        </row>
        <row r="5006">
          <cell r="D5006" t="str">
            <v>12089241    -    CLIP    -    0.084847</v>
          </cell>
        </row>
        <row r="5007">
          <cell r="D5007" t="str">
            <v>12089251    -    CONN,M,1-W,NATURAL,250S    -    0.017105</v>
          </cell>
        </row>
        <row r="5008">
          <cell r="D5008" t="str">
            <v>12089254    -    CONN    -    0.08716</v>
          </cell>
        </row>
        <row r="5009">
          <cell r="D5009" t="str">
            <v>12089256    -    CONN 1M    -    0.028651</v>
          </cell>
        </row>
        <row r="5010">
          <cell r="D5010" t="str">
            <v>12089257    -    CONN 1F    -    0.0327</v>
          </cell>
        </row>
        <row r="5011">
          <cell r="D5011" t="str">
            <v>12089310    -    LOCK 3 VLT    -    0.034638</v>
          </cell>
        </row>
        <row r="5012">
          <cell r="D5012" t="str">
            <v>12089320    -    COVER    -    0.129684</v>
          </cell>
        </row>
        <row r="5013">
          <cell r="D5013" t="str">
            <v>12089338    -    CONNECTOR    -    0.261</v>
          </cell>
        </row>
        <row r="5014">
          <cell r="D5014" t="str">
            <v>12089339    -    SPACER TPA    -    0.0532</v>
          </cell>
        </row>
        <row r="5015">
          <cell r="D5015" t="str">
            <v>12089347    -    LAMP SOCKET    -    0.065746</v>
          </cell>
        </row>
        <row r="5016">
          <cell r="D5016" t="str">
            <v>12089348    -    LAMP SOCKET    -    0.065692</v>
          </cell>
        </row>
        <row r="5017">
          <cell r="D5017" t="str">
            <v>12089403    -    CONNECTOR    -    0.166277</v>
          </cell>
        </row>
        <row r="5018">
          <cell r="D5018" t="str">
            <v>12089405    -    CONN 10F    -    0.113361</v>
          </cell>
        </row>
        <row r="5019">
          <cell r="D5019" t="str">
            <v>12089407    -    CONN 15F    -    0.16458</v>
          </cell>
        </row>
        <row r="5020">
          <cell r="D5020" t="str">
            <v>12089438    -    CLIP    -    0.046847</v>
          </cell>
        </row>
        <row r="5021">
          <cell r="D5021" t="str">
            <v>12089470    -    CONN GREY    -    0.436602</v>
          </cell>
        </row>
        <row r="5022">
          <cell r="D5022" t="str">
            <v>12089471    -    CONN GREY    -    0.305008</v>
          </cell>
        </row>
        <row r="5023">
          <cell r="D5023" t="str">
            <v>12089504    -    CONN    -    0.117218</v>
          </cell>
        </row>
        <row r="5024">
          <cell r="D5024" t="str">
            <v>12089523    -    CONNECTOR 12F    -    0.71251</v>
          </cell>
        </row>
        <row r="5025">
          <cell r="D5025" t="str">
            <v>12089541    -    DECKEL    -    0.052517</v>
          </cell>
        </row>
        <row r="5026">
          <cell r="D5026" t="str">
            <v>12089542    -    CONNECTOR - U-WAY LOWER PRT    -    1.250015</v>
          </cell>
        </row>
        <row r="5027">
          <cell r="D5027" t="str">
            <v>12089640    -    CONNECTOR 1W    -    0.00818</v>
          </cell>
        </row>
        <row r="5028">
          <cell r="D5028" t="str">
            <v>12089715    -    STECKERUNTERTEIL    -    0.222752</v>
          </cell>
        </row>
        <row r="5029">
          <cell r="D5029" t="str">
            <v>12089719    -    CONNECTOR    -    0.052301</v>
          </cell>
        </row>
        <row r="5030">
          <cell r="D5030" t="str">
            <v>12089725    -    CONNECTOR 2F    -    0.053097</v>
          </cell>
        </row>
        <row r="5031">
          <cell r="D5031" t="str">
            <v>12089745    -    CONN - 6M M/P 280    -    0.06408</v>
          </cell>
        </row>
        <row r="5032">
          <cell r="D5032" t="str">
            <v>12089748    -    FASTENER NAIL    -    0.027898</v>
          </cell>
        </row>
        <row r="5033">
          <cell r="D5033" t="str">
            <v>12089841    -    CLIP    -    0.02541</v>
          </cell>
        </row>
        <row r="5034">
          <cell r="D5034" t="str">
            <v>12089864    -    CLIP    -    0.035889</v>
          </cell>
        </row>
        <row r="5035">
          <cell r="D5035" t="str">
            <v>12092001    -    280 MP - 2F P2S    -    0.024735</v>
          </cell>
        </row>
        <row r="5036">
          <cell r="D5036" t="str">
            <v>12092002    -    280 MP - 2F P2S    -    0.024735</v>
          </cell>
        </row>
        <row r="5037">
          <cell r="D5037" t="str">
            <v>12092036    -    280 MP - 4F P2S    -    0.298624</v>
          </cell>
        </row>
        <row r="5038">
          <cell r="D5038" t="str">
            <v>12092052    -    COVER - CONN    -    0.0994</v>
          </cell>
        </row>
        <row r="5039">
          <cell r="D5039" t="str">
            <v>12092245    -    COVER - CONN.    -    0.268408</v>
          </cell>
        </row>
        <row r="5040">
          <cell r="D5040" t="str">
            <v>12092284    -    CONN 46F M/P MXD    -    0.2522</v>
          </cell>
        </row>
        <row r="5041">
          <cell r="D5041" t="str">
            <v>12092324    -    CLIP    -    0.043803</v>
          </cell>
        </row>
        <row r="5042">
          <cell r="D5042" t="str">
            <v>12092332    -    STUD COVER - MAXIFUSE    -    1.22496</v>
          </cell>
        </row>
        <row r="5043">
          <cell r="D5043" t="str">
            <v>12092360    -    CPA M/P    -    0.06338</v>
          </cell>
        </row>
        <row r="5044">
          <cell r="D5044" t="str">
            <v>12092378    -    WEDGE BASE LAMP SOCKET    -    0.10872</v>
          </cell>
        </row>
        <row r="5045">
          <cell r="D5045" t="str">
            <v>12092401    -    TPA    -    0.01697</v>
          </cell>
        </row>
        <row r="5046">
          <cell r="D5046" t="str">
            <v>12092401S    -    TPA *    -    0.019385</v>
          </cell>
        </row>
        <row r="5047">
          <cell r="D5047" t="str">
            <v>12092407    -    TPA/COVER    -    0.04357</v>
          </cell>
        </row>
        <row r="5048">
          <cell r="D5048" t="str">
            <v>12092463    -    HOUSING MODULE    -    0.139163</v>
          </cell>
        </row>
        <row r="5049">
          <cell r="D5049" t="str">
            <v>12092582    -    CONNECTOR .250 POSITIVE - LOCK    -    0.02742</v>
          </cell>
        </row>
        <row r="5050">
          <cell r="D5050" t="str">
            <v>12092600    -    TPA - M/P 150    -    0.04851</v>
          </cell>
        </row>
        <row r="5051">
          <cell r="D5051" t="str">
            <v>12092618    -    COVER    -    0.16164</v>
          </cell>
        </row>
        <row r="5052">
          <cell r="D5052" t="str">
            <v>12092709    -    COVER, WIRE DRESS    -    0.4307</v>
          </cell>
        </row>
        <row r="5053">
          <cell r="D5053" t="str">
            <v>12092711    -    HARNESS CLIP    -    0.03873</v>
          </cell>
        </row>
        <row r="5054">
          <cell r="D5054" t="str">
            <v>12092741    -    BASE 3 MODULES    -    0.618365</v>
          </cell>
        </row>
        <row r="5055">
          <cell r="D5055" t="str">
            <v>12092794    -    TPA    -    0.01853</v>
          </cell>
        </row>
        <row r="5056">
          <cell r="D5056" t="str">
            <v>12092851    -    CONN, 2M M/P 280    -    0.1804</v>
          </cell>
        </row>
        <row r="5057">
          <cell r="D5057" t="str">
            <v>12092941    -    CLIP - IGNITION    -    0.0889</v>
          </cell>
        </row>
        <row r="5058">
          <cell r="D5058" t="str">
            <v>12103044    -    ASM. CONN. 2 M/P 280    -    0.2708</v>
          </cell>
        </row>
        <row r="5059">
          <cell r="D5059" t="str">
            <v>12103051    -    SLEEVE (BLACK)    -    0.01416</v>
          </cell>
        </row>
        <row r="5060">
          <cell r="D5060" t="str">
            <v>12103107    -    CONNECTOR    -    0.02</v>
          </cell>
        </row>
        <row r="5061">
          <cell r="D5061" t="str">
            <v>12103418    -    CONNECTOR    -    0.04057</v>
          </cell>
        </row>
        <row r="5062">
          <cell r="D5062" t="str">
            <v>12103523    -    CONN 12 F    -    0.44</v>
          </cell>
        </row>
        <row r="5063">
          <cell r="D5063" t="str">
            <v>12103568    -    KLEMMSCHELLE    -    0.117799</v>
          </cell>
        </row>
        <row r="5064">
          <cell r="D5064" t="str">
            <v>12059110     -    2F CONN M/P 150   -    0.0371</v>
          </cell>
        </row>
        <row r="5065">
          <cell r="D5065" t="str">
            <v>12103574    -    CONNECTOR 2F    -    0.017</v>
          </cell>
        </row>
        <row r="5066">
          <cell r="D5066" t="str">
            <v>12103583    -    CONNECTOR - 2M W/P - BROWN    -    0.0287</v>
          </cell>
        </row>
        <row r="5067">
          <cell r="D5067" t="str">
            <v>12103642    -    CONN, 3F MINI TIMER    -    0.269331</v>
          </cell>
        </row>
        <row r="5068">
          <cell r="D5068" t="str">
            <v>12103643    -    ACC2, BOOT CONN 3F MINI TIMER    -    0.141682</v>
          </cell>
        </row>
        <row r="5069">
          <cell r="D5069" t="str">
            <v>12103654    -    CONN,F,2-W,BLACK,LOSE    -    0.023641</v>
          </cell>
        </row>
        <row r="5070">
          <cell r="D5070" t="str">
            <v>12103782    -    CONN 2 W WP-MALE    -    0.03435</v>
          </cell>
        </row>
        <row r="5071">
          <cell r="D5071" t="str">
            <v>12103798    -    28M CONN ENG    -    1.83</v>
          </cell>
        </row>
        <row r="5072">
          <cell r="D5072" t="str">
            <v>12103799    -    28M CONN CHAS    -    1.83</v>
          </cell>
        </row>
        <row r="5073">
          <cell r="D5073" t="str">
            <v>12103802    -    CONN 28F CAB CHAS    -    2.38</v>
          </cell>
        </row>
        <row r="5074">
          <cell r="D5074" t="str">
            <v>12103805    -    CONN 28F CAB ENG    -    2.38</v>
          </cell>
        </row>
        <row r="5075">
          <cell r="D5075" t="str">
            <v>12103810    -    CONN    -    0.245</v>
          </cell>
        </row>
        <row r="5076">
          <cell r="D5076" t="str">
            <v>12103814    -    4F MATE-N-LOCK CONN    -    0.07905</v>
          </cell>
        </row>
        <row r="5077">
          <cell r="D5077" t="str">
            <v>12103815    -    5F MATE-N-L0CK CONN    -    0.10649</v>
          </cell>
        </row>
        <row r="5078">
          <cell r="D5078" t="str">
            <v>12103816    -    6F FAST ON CONN    -    0.32319</v>
          </cell>
        </row>
        <row r="5079">
          <cell r="D5079" t="str">
            <v>12103826    -    CONN 10 WAY    -    0.47</v>
          </cell>
        </row>
        <row r="5080">
          <cell r="D5080" t="str">
            <v>12103827    -    CONN 2 WAY    -    0.23</v>
          </cell>
        </row>
        <row r="5081">
          <cell r="D5081" t="str">
            <v>12103829    -    CONN 5F    -    0.38</v>
          </cell>
        </row>
        <row r="5082">
          <cell r="D5082" t="str">
            <v>12103845    -    SIZE 24 PANEL NUT, METAL    -    0.61</v>
          </cell>
        </row>
        <row r="5083">
          <cell r="D5083" t="str">
            <v>12103846    -    MOUN WASHER    -    0.32</v>
          </cell>
        </row>
        <row r="5084">
          <cell r="D5084" t="str">
            <v>12103998    -    CONNECTOR 3F    -    0.144</v>
          </cell>
        </row>
        <row r="5085">
          <cell r="D5085" t="str">
            <v>12104094    -    LOCKING COMB. RD    -    0.037809</v>
          </cell>
        </row>
        <row r="5086">
          <cell r="D5086" t="str">
            <v>12104118    -    CONNECTOR 12F    -    0.37445</v>
          </cell>
        </row>
        <row r="5087">
          <cell r="D5087" t="str">
            <v>12104215    -    HOUSING NAT    -    0.18864</v>
          </cell>
        </row>
        <row r="5088">
          <cell r="D5088" t="str">
            <v>12104224    -    CONN 1F    -    0.01927</v>
          </cell>
        </row>
        <row r="5089">
          <cell r="D5089" t="str">
            <v>12104489    -    1-P. SF-GEHAEUSE    -    0.007961</v>
          </cell>
        </row>
        <row r="5090">
          <cell r="D5090" t="str">
            <v>12104673    -    LOCK TPA    -    0.03262</v>
          </cell>
        </row>
        <row r="5091">
          <cell r="D5091" t="str">
            <v>12105056    -    CONN 4W F    -    0.0476</v>
          </cell>
        </row>
        <row r="5092">
          <cell r="D5092" t="str">
            <v>12105064    -    CONN, 9F MIC MARK I    -    0.0442</v>
          </cell>
        </row>
        <row r="5093">
          <cell r="D5093" t="str">
            <v>12105101    -    CLIP    -    0.07667</v>
          </cell>
        </row>
        <row r="5094">
          <cell r="D5094" t="str">
            <v>12105103    -    CLIP    -    0.0616</v>
          </cell>
        </row>
        <row r="5095">
          <cell r="D5095" t="str">
            <v>12105119    -    CLIP    -    0.02049</v>
          </cell>
        </row>
        <row r="5096">
          <cell r="D5096" t="str">
            <v>12105126    -    CLIP    -    0.05318</v>
          </cell>
        </row>
        <row r="5097">
          <cell r="D5097" t="str">
            <v>12105168    -    CONN 12F    -    0.321696</v>
          </cell>
        </row>
        <row r="5098">
          <cell r="D5098" t="str">
            <v>12105202    -    CONN 16M    -    0.25085</v>
          </cell>
        </row>
        <row r="5099">
          <cell r="D5099" t="str">
            <v>12105203    -    CONN 16F    -    0.18184</v>
          </cell>
        </row>
        <row r="5100">
          <cell r="D5100" t="str">
            <v>12105208    -    CONN 4F MXD    -    0.13963</v>
          </cell>
        </row>
        <row r="5101">
          <cell r="D5101" t="str">
            <v>12105218    -    CONN 6F MXD    -    0.2846</v>
          </cell>
        </row>
        <row r="5102">
          <cell r="D5102" t="str">
            <v>12105239    -    SEALED CONNECTOR SUB-ASSEMBLY    -    0.192</v>
          </cell>
        </row>
        <row r="5103">
          <cell r="D5103" t="str">
            <v>12105275    -    CONN 10F    -    0.156623</v>
          </cell>
        </row>
        <row r="5104">
          <cell r="D5104" t="str">
            <v>12105282    -    CONNECTOR 4W    -    0.068</v>
          </cell>
        </row>
        <row r="5105">
          <cell r="D5105" t="str">
            <v>12105289    -    CONN, 2F 090    -    0.0168</v>
          </cell>
        </row>
        <row r="5106">
          <cell r="D5106" t="str">
            <v>12105302    -    CONN - 2W    -    0.076653</v>
          </cell>
        </row>
        <row r="5107">
          <cell r="D5107" t="str">
            <v>12105312    -    CONNECTOR - 2M    -    0.36436</v>
          </cell>
        </row>
        <row r="5108">
          <cell r="D5108" t="str">
            <v>12105314    -    CONN 2F    -    0.210309</v>
          </cell>
        </row>
        <row r="5109">
          <cell r="D5109" t="str">
            <v>12105319    -    CONN 7F    -    0.369749</v>
          </cell>
        </row>
        <row r="5110">
          <cell r="D5110" t="str">
            <v>12105321    -    CONN    -    0.110467</v>
          </cell>
        </row>
        <row r="5111">
          <cell r="D5111" t="str">
            <v>12105324    -    CONN 10F    -    0.154606</v>
          </cell>
        </row>
        <row r="5112">
          <cell r="D5112" t="str">
            <v>12105325    -    CONN 6F    -    0.132741</v>
          </cell>
        </row>
        <row r="5113">
          <cell r="D5113" t="str">
            <v>12105331    -    CONN 12F    -    0.155017</v>
          </cell>
        </row>
        <row r="5114">
          <cell r="D5114" t="str">
            <v>12105333    -    CONN 2F-BR    -    0.318077</v>
          </cell>
        </row>
        <row r="5115">
          <cell r="D5115" t="str">
            <v>12105334    -    CONN 2F-L    -    0.277</v>
          </cell>
        </row>
        <row r="5116">
          <cell r="D5116" t="str">
            <v>12105337    -    CONN 8F    -    0.218854</v>
          </cell>
        </row>
        <row r="5117">
          <cell r="D5117" t="str">
            <v>12105359    -    CONN    -    0.111281</v>
          </cell>
        </row>
        <row r="5118">
          <cell r="D5118" t="str">
            <v>12105362    -    CONN 2F    -    0.372592</v>
          </cell>
        </row>
        <row r="5119">
          <cell r="D5119" t="str">
            <v>12105364    -    CONN 2F    -    0.287795</v>
          </cell>
        </row>
        <row r="5120">
          <cell r="D5120" t="str">
            <v>12105366    -    CONN 18M    -    0.166076</v>
          </cell>
        </row>
        <row r="5121">
          <cell r="D5121" t="str">
            <v>12105369    -    CONNECTOR    -    0.082535</v>
          </cell>
        </row>
        <row r="5122">
          <cell r="D5122" t="str">
            <v>12105370    -    4X50X60 GRA    -    0.049059</v>
          </cell>
        </row>
        <row r="5123">
          <cell r="D5123" t="str">
            <v>12105373    -    CONN 4F    -    0.126213</v>
          </cell>
        </row>
        <row r="5124">
          <cell r="D5124" t="str">
            <v>12105375    -    CONN 1F    -    0.387443</v>
          </cell>
        </row>
        <row r="5125">
          <cell r="D5125" t="str">
            <v>12105380    -    CLIP TAPE - ON    -    0.05159</v>
          </cell>
        </row>
        <row r="5126">
          <cell r="D5126" t="str">
            <v>12105393    -    SPACER    -    0.05637</v>
          </cell>
        </row>
        <row r="5127">
          <cell r="D5127" t="str">
            <v>12105395    -    CLIP    -    0.09172</v>
          </cell>
        </row>
        <row r="5128">
          <cell r="D5128" t="str">
            <v>12105396    -    CLIP CONNECTOR    -    0.06316</v>
          </cell>
        </row>
        <row r="5129">
          <cell r="D5129" t="str">
            <v>12105397    -    CLIP    -    0.0509</v>
          </cell>
        </row>
        <row r="5130">
          <cell r="D5130" t="str">
            <v>12105400    -    CLIP    -    0.05126</v>
          </cell>
        </row>
        <row r="5131">
          <cell r="D5131" t="str">
            <v>12105402    -    CLAMP    -    0.02519</v>
          </cell>
        </row>
        <row r="5132">
          <cell r="D5132" t="str">
            <v>12105403    -    CLAMP    -    0.024529</v>
          </cell>
        </row>
        <row r="5133">
          <cell r="D5133" t="str">
            <v>12105418    -    CONN 14M    -    0.19925</v>
          </cell>
        </row>
        <row r="5134">
          <cell r="D5134" t="str">
            <v>12105419    -    CONN 14F    -    0.148885</v>
          </cell>
        </row>
        <row r="5135">
          <cell r="D5135" t="str">
            <v>12105420    -    CONN - 13W    -    0.17564</v>
          </cell>
        </row>
        <row r="5136">
          <cell r="D5136" t="str">
            <v>12105421    -    CONN 14F    -    0.189993</v>
          </cell>
        </row>
        <row r="5137">
          <cell r="D5137" t="str">
            <v>12105427    -    CONN 4F    -    0.120837</v>
          </cell>
        </row>
        <row r="5138">
          <cell r="D5138" t="str">
            <v>12105430    -    CONN 12F    -    0.237251</v>
          </cell>
        </row>
        <row r="5139">
          <cell r="D5139" t="str">
            <v>12105435    -    CONN    -    0.211035</v>
          </cell>
        </row>
        <row r="5140">
          <cell r="D5140" t="str">
            <v>12105438    -    CONN 6F    -    0.1264</v>
          </cell>
        </row>
        <row r="5141">
          <cell r="D5141" t="str">
            <v>12105439    -    CONN 6F    -    0.11709</v>
          </cell>
        </row>
        <row r="5142">
          <cell r="D5142" t="str">
            <v>12105440    -    CONNECTOR    -    0.16325</v>
          </cell>
        </row>
        <row r="5143">
          <cell r="D5143" t="str">
            <v>12105444    -    CONN 2F    -    0.10255</v>
          </cell>
        </row>
        <row r="5144">
          <cell r="D5144" t="str">
            <v>12105445    -    CONN 2W    -    0.11149</v>
          </cell>
        </row>
        <row r="5145">
          <cell r="D5145" t="str">
            <v>12105446    -    CONN 10F    -    0.320691</v>
          </cell>
        </row>
        <row r="5146">
          <cell r="D5146" t="str">
            <v>12105447    -    CONN 4F    -    0.143977</v>
          </cell>
        </row>
        <row r="5147">
          <cell r="D5147" t="str">
            <v>12105448    -    CONN 10F    -    0.153911</v>
          </cell>
        </row>
        <row r="5148">
          <cell r="D5148" t="str">
            <v>12105451    -    CONNECTOR 8F BLK    -    0.30059</v>
          </cell>
        </row>
        <row r="5149">
          <cell r="D5149" t="str">
            <v>12105452    -    CONNECTOR 2F    -    0.31073</v>
          </cell>
        </row>
        <row r="5150">
          <cell r="D5150" t="str">
            <v>12105454    -    CONNECTOR 2W    -    0.0919</v>
          </cell>
        </row>
        <row r="5151">
          <cell r="D5151" t="str">
            <v>12105455    -    CONN 2F    -    0.099178</v>
          </cell>
        </row>
        <row r="5152">
          <cell r="D5152" t="str">
            <v>12105458    -    CONN 4M    -    0.305678</v>
          </cell>
        </row>
        <row r="5153">
          <cell r="D5153" t="str">
            <v>12105459    -    CONN 4F    -    0.233029</v>
          </cell>
        </row>
        <row r="5154">
          <cell r="D5154" t="str">
            <v>12105460    -    CONN 2F-GR    -    0.247</v>
          </cell>
        </row>
        <row r="5155">
          <cell r="D5155" t="str">
            <v>12105461    -    CONN 6F    -    0.325013</v>
          </cell>
        </row>
        <row r="5156">
          <cell r="D5156" t="str">
            <v>12105462    -    CONN 8M    -    0.153885</v>
          </cell>
        </row>
        <row r="5157">
          <cell r="D5157" t="str">
            <v>12105465    -    CONN 8F    -    0.126396</v>
          </cell>
        </row>
        <row r="5158">
          <cell r="D5158" t="str">
            <v>12105466    -    CONN 20F    -    0.149279</v>
          </cell>
        </row>
        <row r="5159">
          <cell r="D5159" t="str">
            <v>12105467    -    CONN 8F    -    0.112594</v>
          </cell>
        </row>
        <row r="5160">
          <cell r="D5160" t="str">
            <v>12105469    -    CONN 6F    -    0.111739</v>
          </cell>
        </row>
        <row r="5161">
          <cell r="D5161" t="str">
            <v>12105470    -    CONN 2F-GR    -    0.094</v>
          </cell>
        </row>
        <row r="5162">
          <cell r="D5162" t="str">
            <v>12105471    -    CONN 2F-NA    -    0.094</v>
          </cell>
        </row>
        <row r="5163">
          <cell r="D5163" t="str">
            <v>12105473    -    CONN 1F    -    0.092287</v>
          </cell>
        </row>
        <row r="5164">
          <cell r="D5164" t="str">
            <v>12105475    -    CONNECTOR    -    0.12327</v>
          </cell>
        </row>
        <row r="5165">
          <cell r="D5165" t="str">
            <v>12105481    -    CONN 1F    -    0.136922</v>
          </cell>
        </row>
        <row r="5166">
          <cell r="D5166" t="str">
            <v>12105488    -    CONN 2M    -    0.113773</v>
          </cell>
        </row>
        <row r="5167">
          <cell r="D5167" t="str">
            <v>12105489    -    CONN 5F    -    0.524757</v>
          </cell>
        </row>
        <row r="5168">
          <cell r="D5168" t="str">
            <v>12105490    -    CONNECTOR    -    0.326521</v>
          </cell>
        </row>
        <row r="5169">
          <cell r="D5169" t="str">
            <v>12105491    -    CONN 2F    -    0.384</v>
          </cell>
        </row>
        <row r="5170">
          <cell r="D5170" t="str">
            <v>12105492    -    CONN 2F    -    0.36169</v>
          </cell>
        </row>
        <row r="5171">
          <cell r="D5171" t="str">
            <v>12105493    -    CONN 2F    -    0.144596</v>
          </cell>
        </row>
        <row r="5172">
          <cell r="D5172" t="str">
            <v>12105497    -    CONN 13W    -    0.153385</v>
          </cell>
        </row>
        <row r="5173">
          <cell r="D5173" t="str">
            <v>12105499    -    CONN 3F    -    0.102239</v>
          </cell>
        </row>
        <row r="5174">
          <cell r="D5174" t="str">
            <v>12105512    -    CONN 5F    -    0.131163</v>
          </cell>
        </row>
        <row r="5175">
          <cell r="D5175" t="str">
            <v>12105513    -    CONN 2F    -    0.111756</v>
          </cell>
        </row>
        <row r="5176">
          <cell r="D5176" t="str">
            <v>12105514    -    CONN 2M    -    0.129081</v>
          </cell>
        </row>
        <row r="5177">
          <cell r="D5177" t="str">
            <v>12105515    -    CONN    -    0.353866</v>
          </cell>
        </row>
        <row r="5178">
          <cell r="D5178" t="str">
            <v>12105516    -    CONN 16F    -    0.381009</v>
          </cell>
        </row>
        <row r="5179">
          <cell r="D5179" t="str">
            <v>12105517    -    CLIP    -    0.02553</v>
          </cell>
        </row>
        <row r="5180">
          <cell r="D5180" t="str">
            <v>12105518    -    CLIP    -    0.090477</v>
          </cell>
        </row>
        <row r="5181">
          <cell r="D5181" t="str">
            <v>12105519    -    CLIP    -    0.03776</v>
          </cell>
        </row>
        <row r="5182">
          <cell r="D5182" t="str">
            <v>12105522    -    BOOT    -    0.160345</v>
          </cell>
        </row>
        <row r="5183">
          <cell r="D5183" t="str">
            <v>12105526    -    CLAMP    -    0.08344</v>
          </cell>
        </row>
        <row r="5184">
          <cell r="D5184" t="str">
            <v>12176800S   -   CONNECTOR   -   0.1489</v>
          </cell>
        </row>
        <row r="5185">
          <cell r="D5185" t="str">
            <v>1-1355928-3   -   CONNECTOR   -   0.284648</v>
          </cell>
        </row>
        <row r="5186">
          <cell r="D5186" t="str">
            <v>1-1355035-1   -   CONNECTOR   -   0.170755</v>
          </cell>
        </row>
        <row r="5187">
          <cell r="D5187" t="str">
            <v>1-1355034-1   -   CONNECTOR   -   0.009674</v>
          </cell>
        </row>
        <row r="5188">
          <cell r="D5188" t="str">
            <v>15955072   -   CLIP   -   0.0176</v>
          </cell>
        </row>
        <row r="5189">
          <cell r="D5189" t="str">
            <v>15698444   -   CLIP   -   0.0691</v>
          </cell>
        </row>
        <row r="5190">
          <cell r="D5190" t="str">
            <v>15480781   -   COVER CONN 090II   -   0.06896</v>
          </cell>
        </row>
        <row r="5191">
          <cell r="D5191" t="str">
            <v>15479344   -   CLIP TAPE   -   0.09448</v>
          </cell>
        </row>
        <row r="5192">
          <cell r="D5192" t="str">
            <v>15477027   -   CONN 12F MICRO HVT   -   0.0566</v>
          </cell>
        </row>
        <row r="5193">
          <cell r="D5193" t="str">
            <v>15475763   -   ASM COVER ELEC CTR   -   2.89314</v>
          </cell>
        </row>
        <row r="5194">
          <cell r="D5194" t="str">
            <v>15475702   -   MOUN CLIP   -   0.04</v>
          </cell>
        </row>
        <row r="5195">
          <cell r="D5195" t="str">
            <v>15475400   -   ROOF KEYCAP CASHMERE   -   2.97</v>
          </cell>
        </row>
        <row r="5196">
          <cell r="D5196" t="str">
            <v>15475399   -   VENT KEYCAP CASHMERE   -   2.97</v>
          </cell>
        </row>
        <row r="5197">
          <cell r="D5197" t="str">
            <v>15475294   -   CONN 2M M/P 480   -   0.153</v>
          </cell>
        </row>
        <row r="5198">
          <cell r="D5198" t="str">
            <v>15473047   -   MOUNT CLIP 6.35 CONN   -   0.0421</v>
          </cell>
        </row>
        <row r="5199">
          <cell r="D5199" t="str">
            <v>15472840   -   CONNECTOR   -   0.37</v>
          </cell>
        </row>
        <row r="5200">
          <cell r="D5200" t="str">
            <v>15468047   -   CONNECTOR 76 WAY   -   2.22482</v>
          </cell>
        </row>
        <row r="5201">
          <cell r="D5201" t="str">
            <v>15467546   -   16 WAY MALE CONNECTOR, CAV 2,3,6,7,13   -   0.41</v>
          </cell>
        </row>
        <row r="5202">
          <cell r="D5202" t="str">
            <v>15467545   -   16 WAY MALE CONNECTOR, CAV 7 AND   -   0.41</v>
          </cell>
        </row>
        <row r="5203">
          <cell r="D5203" t="str">
            <v>15467544   -   16 WAY MALE CONNECTOR, CAV 3,6,7,13   -   0.41</v>
          </cell>
        </row>
        <row r="5204">
          <cell r="D5204" t="str">
            <v>15466804   -   MOUN CLAMP HARNESS   -   0.13877</v>
          </cell>
        </row>
        <row r="5205">
          <cell r="D5205" t="str">
            <v>15466194   -   HARNESS CLAMP   -   0.0981</v>
          </cell>
        </row>
        <row r="5206">
          <cell r="D5206" t="str">
            <v>15465975   -   CONN 16M, BLA, SEALED, HYBRID   -   0.41</v>
          </cell>
        </row>
        <row r="5207">
          <cell r="D5207" t="str">
            <v>15465072   -   CONN   -   0.0395</v>
          </cell>
        </row>
        <row r="5208">
          <cell r="D5208" t="str">
            <v>15464349   -   CONN HOLDER   -   0.1033</v>
          </cell>
        </row>
        <row r="5209">
          <cell r="D5209" t="str">
            <v>15463883   -   CLIP HARN SLD   -   0.0615</v>
          </cell>
        </row>
        <row r="5210">
          <cell r="D5210" t="str">
            <v>15463219   -   ASM COVER ELEC CTR   -   2.8931</v>
          </cell>
        </row>
        <row r="5211">
          <cell r="D5211" t="str">
            <v>15462681   -   2 WAY CONNECTOR   -   0.0216</v>
          </cell>
        </row>
        <row r="5212">
          <cell r="D5212" t="str">
            <v>15460260   -   9 WAY 1.25 WIRE CONNECTOR   -   0.1201</v>
          </cell>
        </row>
        <row r="5213">
          <cell r="D5213" t="str">
            <v>15460232   -   ASM COVER ELEC CTR   -   1.628</v>
          </cell>
        </row>
        <row r="5214">
          <cell r="D5214" t="str">
            <v>15460227   -   CONN 73F GT 280 MICRO 64   -   0.19</v>
          </cell>
        </row>
        <row r="5215">
          <cell r="D5215" t="str">
            <v>15460226   -   CONN 73F GT 280 MICRO 64   -   0.19</v>
          </cell>
        </row>
        <row r="5216">
          <cell r="D5216" t="str">
            <v>15460103   -   LOCK PLR GRAY MED   -   0.055</v>
          </cell>
        </row>
        <row r="5217">
          <cell r="D5217" t="str">
            <v>15459950   -   CONN 10 M GT 150 UNSLD   -   0</v>
          </cell>
        </row>
        <row r="5218">
          <cell r="D5218" t="str">
            <v>15459949   -   CONN 10 M GT 150 UNSLD   -   0</v>
          </cell>
        </row>
        <row r="5219">
          <cell r="D5219" t="str">
            <v>15459879   -   CONNECTOR   -   0.290835</v>
          </cell>
        </row>
        <row r="5220">
          <cell r="D5220" t="str">
            <v>15459878   -   CONNECTOR   -   0.290835</v>
          </cell>
        </row>
        <row r="5221">
          <cell r="D5221" t="str">
            <v>15459877   -   CONNECTOR   -   0.440557</v>
          </cell>
        </row>
        <row r="5222">
          <cell r="D5222" t="str">
            <v>15459862   -   CONN 2W   -   0.113881</v>
          </cell>
        </row>
        <row r="5223">
          <cell r="D5223" t="str">
            <v>15459835   -   CONNECTOR   -   0.322779</v>
          </cell>
        </row>
        <row r="5224">
          <cell r="D5224" t="str">
            <v>15459537   -   480 MP - 2F   -   0.03046</v>
          </cell>
        </row>
        <row r="5225">
          <cell r="D5225" t="str">
            <v>15456976   -   16 WAY INLINE CONNECTOR   -   0.505</v>
          </cell>
        </row>
        <row r="5226">
          <cell r="D5226" t="str">
            <v>15456960   -   INLINE 16 WAY HIBRID   -   0.505</v>
          </cell>
        </row>
        <row r="5227">
          <cell r="D5227" t="str">
            <v>15456294   -   CONNECTOR 16M   -   0.41</v>
          </cell>
        </row>
        <row r="5228">
          <cell r="D5228" t="str">
            <v>15456293   -   CONNECTOR 16M   -   0.41</v>
          </cell>
        </row>
        <row r="5229">
          <cell r="D5229" t="str">
            <v>15456292   -   CONNECTOR 16M   -   0.41</v>
          </cell>
        </row>
        <row r="5230">
          <cell r="D5230" t="str">
            <v>15456291   -   CONNECTOR 16M   -   0.41</v>
          </cell>
        </row>
        <row r="5231">
          <cell r="D5231" t="str">
            <v>15456241   -   CONN 64M MICRO64 ST HDR   -   0.268</v>
          </cell>
        </row>
        <row r="5232">
          <cell r="D5232" t="str">
            <v>15456240   -   CONN 64M MICRO64 RA HDR   -   0.268</v>
          </cell>
        </row>
        <row r="5233">
          <cell r="D5233" t="str">
            <v>15455675   -   SLIDE CONN   -   0.478</v>
          </cell>
        </row>
        <row r="5234">
          <cell r="D5234" t="str">
            <v>15455674   -   SLIDE CONN   -   0.192</v>
          </cell>
        </row>
        <row r="5235">
          <cell r="D5235" t="str">
            <v>15455673   -   SLIDE CONN   -   0.192</v>
          </cell>
        </row>
        <row r="5236">
          <cell r="D5236" t="str">
            <v>15455455   -   CONN   -   0.097</v>
          </cell>
        </row>
        <row r="5237">
          <cell r="D5237" t="str">
            <v>15454869   -   ASM CONN   -   0.02186</v>
          </cell>
        </row>
        <row r="5238">
          <cell r="D5238" t="str">
            <v>15454494   -   CONNECTOR   -   0.1443</v>
          </cell>
        </row>
        <row r="5239">
          <cell r="D5239" t="str">
            <v>15454390   -   CONN 7 WAY   -   0.312945</v>
          </cell>
        </row>
        <row r="5240">
          <cell r="D5240" t="str">
            <v>15454369   -   CONNECTOR 11W   -   0.775</v>
          </cell>
        </row>
        <row r="5241">
          <cell r="D5241" t="str">
            <v>15454354   -   LOCK PLR GRAY MED   -   0.02</v>
          </cell>
        </row>
        <row r="5242">
          <cell r="D5242" t="str">
            <v>15454353   -   LOCK PLR GRAY MED   -   0.017</v>
          </cell>
        </row>
        <row r="5243">
          <cell r="D5243" t="str">
            <v>15454027   -   CONN 10W   -   0.168</v>
          </cell>
        </row>
        <row r="5244">
          <cell r="D5244" t="str">
            <v>15454025   -   CONN 15W   -   0.197</v>
          </cell>
        </row>
        <row r="5245">
          <cell r="D5245" t="str">
            <v>15453940   -   TAXI CONN   -   0.18</v>
          </cell>
        </row>
        <row r="5246">
          <cell r="D5246" t="str">
            <v>15453821   -   ASM COVER ELEC CTR   -   1.628</v>
          </cell>
        </row>
        <row r="5247">
          <cell r="D5247" t="str">
            <v>15453819   -   ASM COVER ELEC CTR   -   1.628</v>
          </cell>
        </row>
        <row r="5248">
          <cell r="D5248" t="str">
            <v>15453738   -   CONNECTOR   -   1.039819</v>
          </cell>
        </row>
        <row r="5249">
          <cell r="D5249" t="str">
            <v>15453733   -   CONNECTOR   -   0.365742</v>
          </cell>
        </row>
        <row r="5250">
          <cell r="D5250" t="str">
            <v>15453710   -   32 WAY GRAY CONN   -   2.74</v>
          </cell>
        </row>
        <row r="5251">
          <cell r="D5251" t="str">
            <v>15453709   -   32 WAY BLACK CONN   -   2.74</v>
          </cell>
        </row>
        <row r="5252">
          <cell r="D5252" t="str">
            <v>15452513   -   TAXI MOUNT STABILIZER   -   0.0256</v>
          </cell>
        </row>
        <row r="5253">
          <cell r="D5253" t="str">
            <v>15452311   -   CONN,F   -   0.4092</v>
          </cell>
        </row>
        <row r="5254">
          <cell r="D5254" t="str">
            <v>15452047   -   CONN 3 WAY   -   0.0425</v>
          </cell>
        </row>
        <row r="5255">
          <cell r="D5255" t="str">
            <v>15451859   -   CONNECTOR   -   1.3063</v>
          </cell>
        </row>
        <row r="5256">
          <cell r="D5256" t="str">
            <v>15451521   -   SINGLE FILAMENT GREEN CONN.   -   0.2761</v>
          </cell>
        </row>
        <row r="5257">
          <cell r="D5257" t="str">
            <v>15451402   -   CONNECTOR   -   0.3</v>
          </cell>
        </row>
        <row r="5258">
          <cell r="D5258" t="str">
            <v>15451320   -   CONN 76 WAY M   -   1.77548</v>
          </cell>
        </row>
        <row r="5259">
          <cell r="D5259" t="str">
            <v>15451072   -   CONNECTOR RELAY   -   1.29975</v>
          </cell>
        </row>
        <row r="5260">
          <cell r="D5260" t="str">
            <v>15450814   -   CONN 2   -   0.0241</v>
          </cell>
        </row>
        <row r="5261">
          <cell r="D5261" t="str">
            <v>15450805   -   CONN 2   -   0.0392</v>
          </cell>
        </row>
        <row r="5262">
          <cell r="D5262" t="str">
            <v>15450804   -   CONN 2   -   0.0392</v>
          </cell>
        </row>
        <row r="5263">
          <cell r="D5263" t="str">
            <v>15450792   -   COVER   -   0.04845</v>
          </cell>
        </row>
        <row r="5264">
          <cell r="D5264" t="str">
            <v>15450781   -   CONN 3 WAY   -   0.2022</v>
          </cell>
        </row>
        <row r="5265">
          <cell r="D5265" t="str">
            <v>15450718   -   CONN 1 WAY BLK   -   0.088</v>
          </cell>
        </row>
        <row r="5266">
          <cell r="D5266" t="str">
            <v>15450666   -   CONNECTO 3F BLK   -   0.3705</v>
          </cell>
        </row>
        <row r="5267">
          <cell r="D5267" t="str">
            <v>15448389   -   HD CONN 56M MICRO 64   -   0.196</v>
          </cell>
        </row>
        <row r="5268">
          <cell r="D5268" t="str">
            <v>15448388   -   HD CONN 56M MICRO 64   -   0.196</v>
          </cell>
        </row>
        <row r="5269">
          <cell r="D5269" t="str">
            <v>15448387   -   HD CONN 56M MICRO 64   -   0.196</v>
          </cell>
        </row>
        <row r="5270">
          <cell r="D5270" t="str">
            <v>15448386   -   HD CONN 56M MICRO 64   -   0.196</v>
          </cell>
        </row>
        <row r="5271">
          <cell r="D5271" t="str">
            <v>15448385   -   HD CONN 56M MICRO 64   -   0.196</v>
          </cell>
        </row>
        <row r="5272">
          <cell r="D5272" t="str">
            <v>15448384   -   HD CONN 56M MICRO 64   -   0.196</v>
          </cell>
        </row>
        <row r="5273">
          <cell r="D5273" t="str">
            <v>15448383   -   HD CONN   -   0.196</v>
          </cell>
        </row>
        <row r="5274">
          <cell r="D5274" t="str">
            <v>15448382   -   HD CONN 56M MICRO 64   -   0.196</v>
          </cell>
        </row>
        <row r="5275">
          <cell r="D5275" t="str">
            <v>15448381   -   HD CONN 56M MICRO 64   -   0.1862</v>
          </cell>
        </row>
        <row r="5276">
          <cell r="D5276" t="str">
            <v>15445883   -   CONN 12F   -   0.206019</v>
          </cell>
        </row>
        <row r="5277">
          <cell r="D5277" t="str">
            <v>15445836   -   CONN 2F   -   0.288149</v>
          </cell>
        </row>
        <row r="5278">
          <cell r="D5278" t="str">
            <v>15445812   -   CONNECTOR   -   0.292131</v>
          </cell>
        </row>
        <row r="5279">
          <cell r="D5279" t="str">
            <v>15445805   -   ASM CONN F   -   0.350002</v>
          </cell>
        </row>
        <row r="5280">
          <cell r="D5280" t="str">
            <v>15445234   -   STRAIN RELIEF   -   0.10635</v>
          </cell>
        </row>
        <row r="5281">
          <cell r="D5281" t="str">
            <v>15445233   -   PLR   -   0.107</v>
          </cell>
        </row>
        <row r="5282">
          <cell r="D5282" t="str">
            <v>15445232   -   18M CONN MIC/P 100W   -   0.155</v>
          </cell>
        </row>
        <row r="5283">
          <cell r="D5283" t="str">
            <v>15445024   -   CONN   -   0.125</v>
          </cell>
        </row>
        <row r="5284">
          <cell r="D5284" t="str">
            <v>15444645   -   4+6 NEGATIVE TERMINAL   -   1.11</v>
          </cell>
        </row>
        <row r="5285">
          <cell r="D5285" t="str">
            <v>15444217   -   CONN 49F 64 GT 280 SEALED   -   0.143</v>
          </cell>
        </row>
        <row r="5286">
          <cell r="D5286" t="str">
            <v>15444216   -   CONN 49F 64 GT 280 SEALED   -   0.143</v>
          </cell>
        </row>
        <row r="5287">
          <cell r="D5287" t="str">
            <v>15443824   -   CONN   -   0.38062</v>
          </cell>
        </row>
        <row r="5288">
          <cell r="D5288" t="str">
            <v>15443823   -   CONN   -   0.33275</v>
          </cell>
        </row>
        <row r="5289">
          <cell r="D5289" t="str">
            <v>15443643   -   LABEL COVER ASSEMBLY   -   1.63469</v>
          </cell>
        </row>
        <row r="5290">
          <cell r="D5290" t="str">
            <v>15443195   -   ASM CONN   -   0.14389</v>
          </cell>
        </row>
        <row r="5291">
          <cell r="D5291" t="str">
            <v>15443169   -   CONN FEMALE 76 POS   -   2.224</v>
          </cell>
        </row>
        <row r="5292">
          <cell r="D5292" t="str">
            <v>15443149   -   ASM CONNECTOR   -   0.109908</v>
          </cell>
        </row>
        <row r="5293">
          <cell r="D5293" t="str">
            <v>15443117   -   CONNECTOR   -   0.172223</v>
          </cell>
        </row>
        <row r="5294">
          <cell r="D5294" t="str">
            <v>15443112   -   CONNECTOR   -   0.061111</v>
          </cell>
        </row>
        <row r="5295">
          <cell r="D5295" t="str">
            <v>15443083   -   WIRE DRESS-78 WAY CONN   -   0.1776</v>
          </cell>
        </row>
        <row r="5296">
          <cell r="D5296" t="str">
            <v>15443082   -   WIREDRESS 78W BULKHEAD   -   0.1713</v>
          </cell>
        </row>
        <row r="5297">
          <cell r="D5297" t="str">
            <v>15443046   -   COVER BLK   -   1.186881</v>
          </cell>
        </row>
        <row r="5298">
          <cell r="D5298" t="str">
            <v>15437402   -   CONN 14F   -   0.1389</v>
          </cell>
        </row>
        <row r="5299">
          <cell r="D5299" t="str">
            <v>15437401   -   CONN   -   0.153</v>
          </cell>
        </row>
        <row r="5300">
          <cell r="D5300" t="str">
            <v>15437373   -   CONN 40M PT   -   0.18</v>
          </cell>
        </row>
        <row r="5301">
          <cell r="D5301" t="str">
            <v>15437372   -   CONN 40M PT   -   0.213</v>
          </cell>
        </row>
        <row r="5302">
          <cell r="D5302" t="str">
            <v>15435887   -   MOUNTING CLIP   -   0.1</v>
          </cell>
        </row>
        <row r="5303">
          <cell r="D5303" t="str">
            <v>15435303   -   CONNECTOR   -   0.020926</v>
          </cell>
        </row>
        <row r="5304">
          <cell r="D5304" t="str">
            <v>15434720   -   COMB   -   0.0479</v>
          </cell>
        </row>
        <row r="5305">
          <cell r="D5305" t="str">
            <v>15434303   -   CONN 32F SLD   -   2.74</v>
          </cell>
        </row>
        <row r="5306">
          <cell r="D5306" t="str">
            <v>15434302   -   COVER CONN 48 POSITION   -   0.27</v>
          </cell>
        </row>
        <row r="5307">
          <cell r="D5307" t="str">
            <v>15434301   -   48 WAY RED CONN   -   2.82</v>
          </cell>
        </row>
        <row r="5308">
          <cell r="D5308" t="str">
            <v>15434300   -   COVER CONN 32 POSITION   -   0.23</v>
          </cell>
        </row>
        <row r="5309">
          <cell r="D5309" t="str">
            <v>15434299   -   CONN 32F SLD   -   2.74</v>
          </cell>
        </row>
        <row r="5310">
          <cell r="D5310" t="str">
            <v>15433787   -   CONN 2F M/P 150   -   0.05</v>
          </cell>
        </row>
        <row r="5311">
          <cell r="D5311" t="str">
            <v>15433702   -   MOUNT CLIP   -   0.0537</v>
          </cell>
        </row>
        <row r="5312">
          <cell r="D5312" t="str">
            <v>15432198   -   CONN 64F MIC/P 064   -   0.1744</v>
          </cell>
        </row>
        <row r="5313">
          <cell r="D5313" t="str">
            <v>15432189   -   CONN   -   0.084</v>
          </cell>
        </row>
        <row r="5314">
          <cell r="D5314" t="str">
            <v>15432188   -   CONN   -   0.084</v>
          </cell>
        </row>
        <row r="5315">
          <cell r="D5315" t="str">
            <v>15431058   -   CONNECTOR   -   0.0709</v>
          </cell>
        </row>
        <row r="5316">
          <cell r="D5316" t="str">
            <v>15431041   -   CONNECTOR 3W   -   0.2003</v>
          </cell>
        </row>
        <row r="5317">
          <cell r="D5317" t="str">
            <v>15431040   -   CONNECTOR 2W   -   0.2003</v>
          </cell>
        </row>
        <row r="5318">
          <cell r="D5318" t="str">
            <v>15430484   -   MOUNT STABILIZER   -   0.055</v>
          </cell>
        </row>
        <row r="5319">
          <cell r="D5319" t="str">
            <v>15428909   -   PFL ASSEMBLY   -   6.2509</v>
          </cell>
        </row>
        <row r="5320">
          <cell r="D5320" t="str">
            <v>15428678   -   STRAP - U/H (A009)   -   0.05508</v>
          </cell>
        </row>
        <row r="5321">
          <cell r="D5321" t="str">
            <v>15428068   -   CONN   -   0.084</v>
          </cell>
        </row>
        <row r="5322">
          <cell r="D5322" t="str">
            <v>15428067   -   CONN   -   0.084</v>
          </cell>
        </row>
        <row r="5323">
          <cell r="D5323" t="str">
            <v>15427746   -   CONN 129M MICRO64, M/P 280 SLD   -   1.4615</v>
          </cell>
        </row>
        <row r="5324">
          <cell r="D5324" t="str">
            <v>15425649   -   CONNECTOR   -   0.539725</v>
          </cell>
        </row>
        <row r="5325">
          <cell r="D5325" t="str">
            <v>15425640   -   CONNECTOR   -   0.244538</v>
          </cell>
        </row>
        <row r="5326">
          <cell r="D5326" t="str">
            <v>15425620   -   CONNECTOR   -   0.342594</v>
          </cell>
        </row>
        <row r="5327">
          <cell r="D5327" t="str">
            <v>15425596   -   CONNECTOR   -   0.462687</v>
          </cell>
        </row>
        <row r="5328">
          <cell r="D5328" t="str">
            <v>15423839   -   CONNECTOR   -   0.237</v>
          </cell>
        </row>
        <row r="5329">
          <cell r="D5329" t="str">
            <v>15423677   -   48M CONN MICRO64 HDR   -   0.211</v>
          </cell>
        </row>
        <row r="5330">
          <cell r="D5330" t="str">
            <v>15423592   -   CONN F GT 150 SLD   -   0.0582</v>
          </cell>
        </row>
        <row r="5331">
          <cell r="D5331" t="str">
            <v>15423499   -   HGS 52F MICRO64   -   0.34726</v>
          </cell>
        </row>
        <row r="5332">
          <cell r="D5332" t="str">
            <v>15423498   -   HGS 52F MICRO64   -   0.34726</v>
          </cell>
        </row>
        <row r="5333">
          <cell r="D5333" t="str">
            <v>15423446   -   CONNECTOR RETAINER   -   2.8332</v>
          </cell>
        </row>
        <row r="5334">
          <cell r="D5334" t="str">
            <v>15423004   -   CLIP ANTI-ROTATION   -   0.079</v>
          </cell>
        </row>
        <row r="5335">
          <cell r="D5335" t="str">
            <v>15422746   -   CONNECTOR   -   0.302964</v>
          </cell>
        </row>
        <row r="5336">
          <cell r="D5336" t="str">
            <v>15422702   -   CONNECTOR   -   0.244538</v>
          </cell>
        </row>
        <row r="5337">
          <cell r="D5337" t="str">
            <v>15422692   -   BRACKET - MTG, SIDE   -   0.704</v>
          </cell>
        </row>
        <row r="5338">
          <cell r="D5338" t="str">
            <v>15422679   -   CONNECTOR   -   0.511113</v>
          </cell>
        </row>
        <row r="5339">
          <cell r="D5339" t="str">
            <v>15422678   -   CONNECTOR   -   0.910189</v>
          </cell>
        </row>
        <row r="5340">
          <cell r="D5340" t="str">
            <v>15422583   -   CONNECTOR   -   0.214293</v>
          </cell>
        </row>
        <row r="5341">
          <cell r="D5341" t="str">
            <v>15421858   -   CONN 64F MIC/P 064   -   0.1744</v>
          </cell>
        </row>
        <row r="5342">
          <cell r="D5342" t="str">
            <v>15421857   -   CONN 64F MIC/P 064   -   0.1744</v>
          </cell>
        </row>
        <row r="5343">
          <cell r="D5343" t="str">
            <v>15421856   -   CONN 64F MIC/P 064   -   0.1744</v>
          </cell>
        </row>
        <row r="5344">
          <cell r="D5344" t="str">
            <v>15421760   -   16M CONN MICRO64   -   0.285</v>
          </cell>
        </row>
        <row r="5345">
          <cell r="D5345" t="str">
            <v>15421759   -   CONN 16M MICRO64 ST HDR   -   0.127</v>
          </cell>
        </row>
        <row r="5346">
          <cell r="D5346" t="str">
            <v>15421687   -   CONN HD 52M MICRO 64   -   0.196</v>
          </cell>
        </row>
        <row r="5347">
          <cell r="D5347" t="str">
            <v>15421685   -   CONN HD 52M MICRO 64   -   0.196</v>
          </cell>
        </row>
        <row r="5348">
          <cell r="D5348" t="str">
            <v>15420530   -   TERMINAL   -   0.0778</v>
          </cell>
        </row>
        <row r="5349">
          <cell r="D5349" t="str">
            <v>15420529   -   TERMINAL   -   0.0778</v>
          </cell>
        </row>
        <row r="5350">
          <cell r="D5350" t="str">
            <v>15420008   -   CONNECTOR 4F   -   0.114538</v>
          </cell>
        </row>
        <row r="5351">
          <cell r="D5351" t="str">
            <v>15419974   -   CONNECTOR   -   0.9</v>
          </cell>
        </row>
        <row r="5352">
          <cell r="D5352" t="str">
            <v>15419954   -   CONNECTOR 1WAY   -   0.78</v>
          </cell>
        </row>
        <row r="5353">
          <cell r="D5353" t="str">
            <v>15419953   -   CONNECTOR 1WAY   -   3.7</v>
          </cell>
        </row>
        <row r="5354">
          <cell r="D5354" t="str">
            <v>15419862   -   TOWING CONN 4W   -   3.441682</v>
          </cell>
        </row>
        <row r="5355">
          <cell r="D5355" t="str">
            <v>15419856   -   CONNECTOR MOLD 1 WAY 180SRS   -   2.91</v>
          </cell>
        </row>
        <row r="5356">
          <cell r="D5356" t="str">
            <v>15419734   -   CONN 2F BLK   -   0.111204</v>
          </cell>
        </row>
        <row r="5357">
          <cell r="D5357" t="str">
            <v>15419729   -   CONN 4F BLK   -   0.327687</v>
          </cell>
        </row>
        <row r="5358">
          <cell r="D5358" t="str">
            <v>15419379   -   CONNECTOR   -   0.04018</v>
          </cell>
        </row>
        <row r="5359">
          <cell r="D5359" t="str">
            <v>15419372   -   48M CONN MICRO64 HDR   -   0.211</v>
          </cell>
        </row>
        <row r="5360">
          <cell r="D5360" t="str">
            <v>15419370   -   CONN 42M MICRO64 RA HDR   -   0.2068</v>
          </cell>
        </row>
        <row r="5361">
          <cell r="D5361" t="str">
            <v>15419336   -   CONNECTOR 6F   -   0.15</v>
          </cell>
        </row>
        <row r="5362">
          <cell r="D5362" t="str">
            <v>15418119   -   COVER TERM BATT. AUX POS.   -   0.09242</v>
          </cell>
        </row>
        <row r="5363">
          <cell r="D5363" t="str">
            <v>15418027   -   ASM COV. ELEC CTR   -   1.02582</v>
          </cell>
        </row>
        <row r="5364">
          <cell r="D5364" t="str">
            <v>15418025   -   ASM COV. ELEC CTR   -   1.02582</v>
          </cell>
        </row>
        <row r="5365">
          <cell r="D5365" t="str">
            <v>15418001   -   FUSEBLOCK   -   1.1834</v>
          </cell>
        </row>
        <row r="5366">
          <cell r="D5366" t="str">
            <v>15417949   -   BATTERY TERMINAL FLAG NEGATIVE   -   2.4675</v>
          </cell>
        </row>
        <row r="5367">
          <cell r="D5367" t="str">
            <v>15417939   -   CONN 16M MICRO64 RA   -   0.225</v>
          </cell>
        </row>
        <row r="5368">
          <cell r="D5368" t="str">
            <v>15417938   -   CONN 16M MICRO64 RA   -   0.22</v>
          </cell>
        </row>
        <row r="5369">
          <cell r="D5369" t="str">
            <v>15417937   -   HD CONN 16M MICRO 64 RT ANG   -   0.23</v>
          </cell>
        </row>
        <row r="5370">
          <cell r="D5370" t="str">
            <v>15417924   -   CONN 10M MICRO64 RA HDR   -   0.1073</v>
          </cell>
        </row>
        <row r="5371">
          <cell r="D5371" t="str">
            <v>15417635   -   ASM COV. ELEC CTR   -   1.02582</v>
          </cell>
        </row>
        <row r="5372">
          <cell r="D5372" t="str">
            <v>15417633   -   ASM COV. ELEC CTR   -   1.02582</v>
          </cell>
        </row>
        <row r="5373">
          <cell r="D5373" t="str">
            <v>15417565   -   CPA   -   0.08682</v>
          </cell>
        </row>
        <row r="5374">
          <cell r="D5374" t="str">
            <v>15416866   -   RETAINER MBS 7M GT MXD   -   0.101</v>
          </cell>
        </row>
        <row r="5375">
          <cell r="D5375" t="str">
            <v>15416863   -   RETAINER MBS 7M GT MXD   -   0.124</v>
          </cell>
        </row>
        <row r="5376">
          <cell r="D5376" t="str">
            <v>15416862   -   CONN 7F GT 280/150 SID   -   0.208</v>
          </cell>
        </row>
        <row r="5377">
          <cell r="D5377" t="str">
            <v>15416861   -   RETAINER 7F GT 280/150   -   0.099</v>
          </cell>
        </row>
        <row r="5378">
          <cell r="D5378" t="str">
            <v>15416859   -   RETAINER 7F GT 280/150   -   0.115</v>
          </cell>
        </row>
        <row r="5379">
          <cell r="D5379" t="str">
            <v>15416857   -   CONN 7F GT 280/150 SID   -   0.201</v>
          </cell>
        </row>
        <row r="5380">
          <cell r="D5380" t="str">
            <v>15416793   -   CPA AXAIL 42V RTANLGE SLD   -   0.05238</v>
          </cell>
        </row>
        <row r="5381">
          <cell r="D5381" t="str">
            <v>15416792   -   CONN 2F 42F RTANGLE SLD   -   0.6693</v>
          </cell>
        </row>
        <row r="5382">
          <cell r="D5382" t="str">
            <v>15416791   -   CONN 2F 42F RTANGLE SLD   -   0.6693</v>
          </cell>
        </row>
        <row r="5383">
          <cell r="D5383" t="str">
            <v>15416790   -   CONN 2F 42F RTANGLE SLD   -   0.6693</v>
          </cell>
        </row>
        <row r="5384">
          <cell r="D5384" t="str">
            <v>15416789   -   CONN 2F 42F RTANGLE SLD   -   0.6693</v>
          </cell>
        </row>
        <row r="5385">
          <cell r="D5385" t="str">
            <v>15416342   -   CONNECTOR   -   0.29257</v>
          </cell>
        </row>
        <row r="5386">
          <cell r="D5386" t="str">
            <v>15416277   -   CONNECTOR   -   0.2596</v>
          </cell>
        </row>
        <row r="5387">
          <cell r="D5387" t="str">
            <v>15413099   -   CONNECTOR 2F   -   0.302964</v>
          </cell>
        </row>
        <row r="5388">
          <cell r="D5388" t="str">
            <v>15413068   -   CONN HOLDER   -   0.12</v>
          </cell>
        </row>
        <row r="5389">
          <cell r="D5389" t="str">
            <v>15412983   -   FUSE BOX 36-W BLACK   -   2.11</v>
          </cell>
        </row>
        <row r="5390">
          <cell r="D5390" t="str">
            <v>15412948   -   CONNECTOR 2F   -   0.67741</v>
          </cell>
        </row>
        <row r="5391">
          <cell r="D5391" t="str">
            <v>15412928   -   CONNECTOR   -   0.4996</v>
          </cell>
        </row>
        <row r="5392">
          <cell r="D5392" t="str">
            <v>15412875   -   SPLICE CONN 13F NAT   -   0.148427</v>
          </cell>
        </row>
        <row r="5393">
          <cell r="D5393" t="str">
            <v>15412872   -   CONN 4F   -   0.373335</v>
          </cell>
        </row>
        <row r="5394">
          <cell r="D5394" t="str">
            <v>15412870   -   CONNECTOR   -   0.244538</v>
          </cell>
        </row>
        <row r="5395">
          <cell r="D5395" t="str">
            <v>15412833   -   CONNECTOR   -   0.139908</v>
          </cell>
        </row>
        <row r="5396">
          <cell r="D5396" t="str">
            <v>15412832   -   CONNECTOR 2M   -   0.115649</v>
          </cell>
        </row>
        <row r="5397">
          <cell r="D5397" t="str">
            <v>15412825   -   RLY CONN 4F   -   0.912967</v>
          </cell>
        </row>
        <row r="5398">
          <cell r="D5398" t="str">
            <v>15411744   -   COVER   -   0.1805</v>
          </cell>
        </row>
        <row r="5399">
          <cell r="D5399" t="str">
            <v>15411630   -   CONNECTOR   -   0.0679</v>
          </cell>
        </row>
        <row r="5400">
          <cell r="D5400" t="str">
            <v>15411568   -   6.3MM RECEPTACLE HOUSING   -   0.010331</v>
          </cell>
        </row>
        <row r="5401">
          <cell r="D5401" t="str">
            <v>15411124   -   CLIP-ANTI-ROTATION   -   0.034125</v>
          </cell>
        </row>
        <row r="5402">
          <cell r="D5402" t="str">
            <v>15411033   -   ASM COVER   -   1.02582</v>
          </cell>
        </row>
        <row r="5403">
          <cell r="D5403" t="str">
            <v>15410970   -   COVER CONNECTOR   -   0.24</v>
          </cell>
        </row>
        <row r="5404">
          <cell r="D5404" t="str">
            <v>15410491   -   CKT LAYER ELEC CTR PFL   -   8.1522</v>
          </cell>
        </row>
        <row r="5405">
          <cell r="D5405" t="str">
            <v>15410404   -   CONN 4F   -   0.290742</v>
          </cell>
        </row>
        <row r="5406">
          <cell r="D5406" t="str">
            <v>15410231   -   ASM COVER   -   1.02582</v>
          </cell>
        </row>
        <row r="5407">
          <cell r="D5407" t="str">
            <v>15410229   -   ASM COVER   -   1.02582</v>
          </cell>
        </row>
        <row r="5408">
          <cell r="D5408" t="str">
            <v>15409794   -   CONN HOUSING   -   0.591669</v>
          </cell>
        </row>
        <row r="5409">
          <cell r="D5409" t="str">
            <v>15409752   -   CONNECTOR 4M SEALED   -   0.22564</v>
          </cell>
        </row>
        <row r="5410">
          <cell r="D5410" t="str">
            <v>15409441   -   POWER PASS THRU ASSEMBLY   -   1.79149</v>
          </cell>
        </row>
        <row r="5411">
          <cell r="D5411" t="str">
            <v>15409340   -   CONNECTOR 2F   -   0.223797</v>
          </cell>
        </row>
        <row r="5412">
          <cell r="D5412" t="str">
            <v>15409216   -   CONNECTOR   -   0.047472</v>
          </cell>
        </row>
        <row r="5413">
          <cell r="D5413" t="str">
            <v>15405766   -   CONN,DUAL FIL SOCKET,BRN W/CAP   -   0.37</v>
          </cell>
        </row>
        <row r="5414">
          <cell r="D5414" t="str">
            <v>15405694   -   CONECTOR ALPHABET 8 VIAS NEGRO   -   14</v>
          </cell>
        </row>
        <row r="5415">
          <cell r="D5415" t="str">
            <v>15405664   -   CONN 30+4 F   -   1.120375</v>
          </cell>
        </row>
        <row r="5416">
          <cell r="D5416" t="str">
            <v>15405615   -   3-WAY MOLD   -   12.8</v>
          </cell>
        </row>
        <row r="5417">
          <cell r="D5417" t="str">
            <v>15405106   -   CONN HSG   -   0.34726</v>
          </cell>
        </row>
        <row r="5418">
          <cell r="D5418" t="str">
            <v>15405093   -   CONNECTOR   -   0.196</v>
          </cell>
        </row>
        <row r="5419">
          <cell r="D5419" t="str">
            <v>15405091   -   CONNECTOR   -   0.196</v>
          </cell>
        </row>
        <row r="5420">
          <cell r="D5420" t="str">
            <v>15404996   -   LOCK CONN LK HANDLE   -   0.1127</v>
          </cell>
        </row>
        <row r="5421">
          <cell r="D5421" t="str">
            <v>15404890   -   SPADE TERMINAL   -   0.1585</v>
          </cell>
        </row>
        <row r="5422">
          <cell r="D5422" t="str">
            <v>15404572   -   HOLDER   -   1.2787</v>
          </cell>
        </row>
        <row r="5423">
          <cell r="D5423" t="str">
            <v>15404518   -   CONNECTOR   -   0.28</v>
          </cell>
        </row>
        <row r="5424">
          <cell r="D5424" t="str">
            <v>15404471   -   PIG TAIL CONNECTOR CABLE ASSY   -   0.628</v>
          </cell>
        </row>
        <row r="5425">
          <cell r="D5425" t="str">
            <v>15401696   -   CONNECTOR W/MOLDED BOOT   -   0.01595</v>
          </cell>
        </row>
        <row r="5426">
          <cell r="D5426" t="str">
            <v>15401665   -   CONNECTOR   -   0.391205</v>
          </cell>
        </row>
        <row r="5427">
          <cell r="D5427" t="str">
            <v>15401661   -   CONN 4F 090II   -   0.294446</v>
          </cell>
        </row>
        <row r="5428">
          <cell r="D5428" t="str">
            <v>15401620   -   CAVITY PLUG   -   0.135</v>
          </cell>
        </row>
        <row r="5429">
          <cell r="D5429" t="str">
            <v>15401488   -   MECHANICAL ASSIST LEVER   -   0.085946</v>
          </cell>
        </row>
        <row r="5430">
          <cell r="D5430" t="str">
            <v>15401414S   -   CONNECTOR   -   0.191853</v>
          </cell>
        </row>
        <row r="5431">
          <cell r="D5431" t="str">
            <v>15401364   -   CONNECTOR   -   0.15463</v>
          </cell>
        </row>
        <row r="5432">
          <cell r="D5432" t="str">
            <v>15401361   -   CONNECTOR   -   0.116297</v>
          </cell>
        </row>
        <row r="5433">
          <cell r="D5433" t="str">
            <v>15400219   -   SENSOR SHELL   -   0.24783</v>
          </cell>
        </row>
        <row r="5434">
          <cell r="D5434" t="str">
            <v>15400215   -   COVER BEC   -   0.1935</v>
          </cell>
        </row>
        <row r="5435">
          <cell r="D5435" t="str">
            <v>15398934   -   CONNECTOR   -   0.19875</v>
          </cell>
        </row>
        <row r="5436">
          <cell r="D5436" t="str">
            <v>15398810   -   CONNECTOR   -   0.21</v>
          </cell>
        </row>
        <row r="5437">
          <cell r="D5437" t="str">
            <v>15397609   -   CONN   -   0.17233</v>
          </cell>
        </row>
        <row r="5438">
          <cell r="D5438" t="str">
            <v>15396396   -   CONN   -   0.189246</v>
          </cell>
        </row>
        <row r="5439">
          <cell r="D5439" t="str">
            <v>15394614   -   CAVITY PLUG   -   0.07407</v>
          </cell>
        </row>
        <row r="5440">
          <cell r="D5440" t="str">
            <v>15394560   -   STRAIN RELIEF   -   0.149</v>
          </cell>
        </row>
        <row r="5441">
          <cell r="D5441" t="str">
            <v>15394185   -   TERMINAL F   -   0.0846</v>
          </cell>
        </row>
        <row r="5442">
          <cell r="D5442" t="str">
            <v>15394107   -   ASS CONN   -   0.175001</v>
          </cell>
        </row>
        <row r="5443">
          <cell r="D5443" t="str">
            <v>15394102   -   CONNECTOR   -   0.1862</v>
          </cell>
        </row>
        <row r="5444">
          <cell r="D5444" t="str">
            <v>15393854   -   CONN   -   0.084</v>
          </cell>
        </row>
        <row r="5445">
          <cell r="D5445" t="str">
            <v>15393823   -   CONN   -   0.137</v>
          </cell>
        </row>
        <row r="5446">
          <cell r="D5446" t="str">
            <v>15393407   -   CONN   -   0.147</v>
          </cell>
        </row>
        <row r="5447">
          <cell r="D5447" t="str">
            <v>15393243   -   ASM CONN 2FM/P 280   -   1.12</v>
          </cell>
        </row>
        <row r="5448">
          <cell r="D5448" t="str">
            <v>15385812   -   CONN, 2F 090 II TYPE 7P+187   -   1.095375</v>
          </cell>
        </row>
        <row r="5449">
          <cell r="D5449" t="str">
            <v>15385809   -   CONN, 23II 10P   -   0.7963</v>
          </cell>
        </row>
        <row r="5450">
          <cell r="D5450" t="str">
            <v>15383390   -   CONNECTOR   -   1.06186</v>
          </cell>
        </row>
        <row r="5451">
          <cell r="D5451" t="str">
            <v>15383336   -   CONNECTOR ASSY DOUBLE FILAMENT   -   0.27</v>
          </cell>
        </row>
        <row r="5452">
          <cell r="D5452" t="str">
            <v>15383335   -   3 WAY FM BROWN SLD   -   0.274</v>
          </cell>
        </row>
        <row r="5453">
          <cell r="D5453" t="str">
            <v>15383334   -   3 WAY FM BLACK SLD   -   0.2003</v>
          </cell>
        </row>
        <row r="5454">
          <cell r="D5454" t="str">
            <v>15383333   -   3 WAY FM GRAY SLD   -   0.2003</v>
          </cell>
        </row>
        <row r="5455">
          <cell r="D5455" t="str">
            <v>15383275   -   42W,SHIELD   -   0.05629</v>
          </cell>
        </row>
        <row r="5456">
          <cell r="D5456" t="str">
            <v>15383274   -   CONNECTOR 16 UM   -   0.28553</v>
          </cell>
        </row>
        <row r="5457">
          <cell r="D5457" t="str">
            <v>15383236   -   2 W, CONNECTOR   -   0.0382</v>
          </cell>
        </row>
        <row r="5458">
          <cell r="D5458" t="str">
            <v>15383174   -   2W, FM, BLK, SLD   -   0.445</v>
          </cell>
        </row>
        <row r="5459">
          <cell r="D5459" t="str">
            <v>15380992   -   CONN 040III FU 8   -   0.217038</v>
          </cell>
        </row>
        <row r="5460">
          <cell r="D5460" t="str">
            <v>15380975   -   CONNECTOR   -   0.551669</v>
          </cell>
        </row>
        <row r="5461">
          <cell r="D5461" t="str">
            <v>15380881   -   CONN Y-SPLICE 3X4   -   1.91</v>
          </cell>
        </row>
        <row r="5462">
          <cell r="D5462" t="str">
            <v>15380877   -   CX 2 VIAS PR YPIECE10060   -   0.057386</v>
          </cell>
        </row>
        <row r="5463">
          <cell r="D5463" t="str">
            <v>15380868   -   CONNECTOR 3M NA SEALED   -   0.68</v>
          </cell>
        </row>
        <row r="5464">
          <cell r="D5464" t="str">
            <v>15380832   -   CONNECTOR   -   0.151575</v>
          </cell>
        </row>
        <row r="5465">
          <cell r="D5465" t="str">
            <v>15380689   -   MOUNTING BASE   -   0.75</v>
          </cell>
        </row>
        <row r="5466">
          <cell r="D5466" t="str">
            <v>15380680   -   CONNECTOR   -   0.191482</v>
          </cell>
        </row>
        <row r="5467">
          <cell r="D5467" t="str">
            <v>15380550   -   BLACK CONN 4 WAY RECEP.   -   1.45</v>
          </cell>
        </row>
        <row r="5468">
          <cell r="D5468" t="str">
            <v>15380549   -   BLACK CONN 4 WAY PLUG   -   1.35</v>
          </cell>
        </row>
        <row r="5469">
          <cell r="D5469" t="str">
            <v>15380547   -   CONNECTOR 4W   -   1.35</v>
          </cell>
        </row>
        <row r="5470">
          <cell r="D5470" t="str">
            <v>15380538   -   CONN 43F(RG58)   -   2.51</v>
          </cell>
        </row>
        <row r="5471">
          <cell r="D5471" t="str">
            <v>15380500   -   CONN 5 WAY   -   0.636511</v>
          </cell>
        </row>
        <row r="5472">
          <cell r="D5472" t="str">
            <v>15380480   -   FUSE HOLDER   -   0.9295</v>
          </cell>
        </row>
        <row r="5473">
          <cell r="D5473" t="str">
            <v>15380386   -   CONN 6F   -   0.190556</v>
          </cell>
        </row>
        <row r="5474">
          <cell r="D5474" t="str">
            <v>15380158   -   2 POSITION RECEPTACLE   -   0.48</v>
          </cell>
        </row>
        <row r="5475">
          <cell r="D5475" t="str">
            <v>15373522   -   CONN 12M GT 150,280 SPL   -   0.26481</v>
          </cell>
        </row>
        <row r="5476">
          <cell r="D5476" t="str">
            <v>15369467   -   PLUG 8F PIN,MP 280   -   0.45</v>
          </cell>
        </row>
        <row r="5477">
          <cell r="D5477" t="str">
            <v>15369466   -   PLUG 8F PIN,MP 281   -   0.45</v>
          </cell>
        </row>
        <row r="5478">
          <cell r="D5478" t="str">
            <v>15368976   -   CONN   -   0.250472</v>
          </cell>
        </row>
        <row r="5479">
          <cell r="D5479" t="str">
            <v>15368952   -   CONN 4F   -   0.059423</v>
          </cell>
        </row>
        <row r="5480">
          <cell r="D5480" t="str">
            <v>15368951   -   CONN 3F   -   0.047189</v>
          </cell>
        </row>
        <row r="5481">
          <cell r="D5481" t="str">
            <v>15368814   -   CONN 4F   -   0.056573</v>
          </cell>
        </row>
        <row r="5482">
          <cell r="D5482" t="str">
            <v>15368805S   -   CONN   -   0.07103</v>
          </cell>
        </row>
        <row r="5483">
          <cell r="D5483" t="str">
            <v>15368661S   -   CONNECTOR   -   0.401112</v>
          </cell>
        </row>
        <row r="5484">
          <cell r="D5484" t="str">
            <v>15368462   -   4 WAY FEMALE CONNECTOR BK   -   0.307468</v>
          </cell>
        </row>
        <row r="5485">
          <cell r="D5485" t="str">
            <v>15366685   -   SLIDE LOCK ASSIST 12F GT   -   0.09411</v>
          </cell>
        </row>
        <row r="5486">
          <cell r="D5486" t="str">
            <v>15366681   -   CONN 10F GT 150,280 SLD   -   0.290769</v>
          </cell>
        </row>
        <row r="5487">
          <cell r="D5487" t="str">
            <v>15366675   -   SLIDE LOCK ASSIST 20F GT   -   0.08651</v>
          </cell>
        </row>
        <row r="5488">
          <cell r="D5488" t="str">
            <v>15366639   -   BRACKET MOUNTING   -   0.737</v>
          </cell>
        </row>
        <row r="5489">
          <cell r="D5489" t="str">
            <v>15366099   -   CONN 24F GT 150 280 SLD 4.0 5.8   -   0.4154</v>
          </cell>
        </row>
        <row r="5490">
          <cell r="D5490" t="str">
            <v>15366073   -   FUSE BOX,28-W, BLACK   -   0.532187</v>
          </cell>
        </row>
        <row r="5491">
          <cell r="D5491" t="str">
            <v>15366051   -   COVER (A121)   -   0.16482</v>
          </cell>
        </row>
        <row r="5492">
          <cell r="D5492" t="str">
            <v>15366040   -   CONN 4F GT SLD   -   0.0582</v>
          </cell>
        </row>
        <row r="5493">
          <cell r="D5493" t="str">
            <v>15365860   -   CONN 3F   -   0.04512</v>
          </cell>
        </row>
        <row r="5494">
          <cell r="D5494" t="str">
            <v>15365702   -   CONN 23F   -   0.200464</v>
          </cell>
        </row>
        <row r="5495">
          <cell r="D5495" t="str">
            <v>15365691   -   4 WAY HOUSING CONNECTOR   -   0.473593</v>
          </cell>
        </row>
        <row r="5496">
          <cell r="D5496" t="str">
            <v>15365689   -   PLUG CAVIT   -   0.039519</v>
          </cell>
        </row>
        <row r="5497">
          <cell r="D5497" t="str">
            <v>15365682   -   COVER SPLICE   -   1.41</v>
          </cell>
        </row>
        <row r="5498">
          <cell r="D5498" t="str">
            <v>15365648   -   CONN 24F   -   0.473984</v>
          </cell>
        </row>
        <row r="5499">
          <cell r="D5499" t="str">
            <v>15364320   -   CX P/LPM4ETC 2V NR 9615531380   -   0.083157</v>
          </cell>
        </row>
        <row r="5500">
          <cell r="D5500" t="str">
            <v>15364038   -   CON.15W GREEN   -   0.350505</v>
          </cell>
        </row>
        <row r="5501">
          <cell r="D5501" t="str">
            <v>15364030   -   CON.18W BLUE FEMALE   -   0.287464</v>
          </cell>
        </row>
        <row r="5502">
          <cell r="D5502" t="str">
            <v>15364029   -   CON.18W RED FEMALE   -   0.287464</v>
          </cell>
        </row>
        <row r="5503">
          <cell r="D5503" t="str">
            <v>15364028   -   CON.18W WHITE FEMALE   -   0.287464</v>
          </cell>
        </row>
        <row r="5504">
          <cell r="D5504" t="str">
            <v>15364006   -   CON.3W BLACK   -   0.05595</v>
          </cell>
        </row>
        <row r="5505">
          <cell r="D5505" t="str">
            <v>15363671   -   633089 CNCN F 35 BK 5 *   -   0.256149</v>
          </cell>
        </row>
        <row r="5506">
          <cell r="D5506" t="str">
            <v>15359419   -   CLIP CONVLT CDT 6MM, 13MM   -   0.17493</v>
          </cell>
        </row>
        <row r="5507">
          <cell r="D5507" t="str">
            <v>15359413   -   STRAIN RELIEF 16F   -   0.30748</v>
          </cell>
        </row>
        <row r="5508">
          <cell r="D5508" t="str">
            <v>15359290   -   CONDUIT CLIP   -   0.01744</v>
          </cell>
        </row>
        <row r="5509">
          <cell r="D5509" t="str">
            <v>15358996   -   CONNECTOR   -   0.16548</v>
          </cell>
        </row>
        <row r="5510">
          <cell r="D5510" t="str">
            <v>15358995   -   CONNECTOR   -   0.165482</v>
          </cell>
        </row>
        <row r="5511">
          <cell r="D5511" t="str">
            <v>15358994   -   CONNECTOR   -   0.165482</v>
          </cell>
        </row>
        <row r="5512">
          <cell r="D5512" t="str">
            <v>15358988   -   CONN   -   0.1575</v>
          </cell>
        </row>
        <row r="5513">
          <cell r="D5513" t="str">
            <v>15358987   -   CONN   -   0.1575</v>
          </cell>
        </row>
        <row r="5514">
          <cell r="D5514" t="str">
            <v>15358986   -   CONN   -   0.1466</v>
          </cell>
        </row>
        <row r="5515">
          <cell r="D5515" t="str">
            <v>15358977   -   CONN   -   0.03632</v>
          </cell>
        </row>
        <row r="5516">
          <cell r="D5516" t="str">
            <v>15358944   -   CLIP CNVLT CDT   -   0.07056</v>
          </cell>
        </row>
        <row r="5517">
          <cell r="D5517" t="str">
            <v>15358782   -   CHANNEL   -   0.15956</v>
          </cell>
        </row>
        <row r="5518">
          <cell r="D5518" t="str">
            <v>15358680   -   CLIP HARNESS   -   0.052577</v>
          </cell>
        </row>
        <row r="5519">
          <cell r="D5519" t="str">
            <v>15357114   -   SEC LOCK - CPA   -   0.09347</v>
          </cell>
        </row>
        <row r="5520">
          <cell r="D5520" t="str">
            <v>15357037S   -   CONNECTOR   -   0.1716</v>
          </cell>
        </row>
        <row r="5521">
          <cell r="D5521" t="str">
            <v>15356994   -   STRAIN RELIEF - 18W MIC/P 100W 2.54 CL   -   0.11969</v>
          </cell>
        </row>
        <row r="5522">
          <cell r="D5522" t="str">
            <v>15356806   -   CONN 64F MIC/P 064   -   0.07919</v>
          </cell>
        </row>
        <row r="5523">
          <cell r="D5523" t="str">
            <v>15356714   -   COVER CONN - MIC/P 100W WIRE DRESS   -   0.21325</v>
          </cell>
        </row>
        <row r="5524">
          <cell r="D5524" t="str">
            <v>15356666   -   CONNECTOR   -   0.321148</v>
          </cell>
        </row>
        <row r="5525">
          <cell r="D5525" t="str">
            <v>15356641   -   STRAIN RLF   -   0.1784</v>
          </cell>
        </row>
        <row r="5526">
          <cell r="D5526" t="str">
            <v>15355574   -   CLIP HARNESS   -   0.023434</v>
          </cell>
        </row>
        <row r="5527">
          <cell r="D5527" t="str">
            <v>15355515   -   PLASTIC INSERT   -   0.173</v>
          </cell>
        </row>
        <row r="5528">
          <cell r="D5528" t="str">
            <v>15355423   -   RETAINER F/O GLS   -   0.197589</v>
          </cell>
        </row>
        <row r="5529">
          <cell r="D5529" t="str">
            <v>15355422   -   FPA F.O 28W GLS   -   0.159953</v>
          </cell>
        </row>
        <row r="5530">
          <cell r="D5530" t="str">
            <v>15355348   -   CLIP CNVLT CDT 22,25   -   0.1336</v>
          </cell>
        </row>
        <row r="5531">
          <cell r="D5531" t="str">
            <v>15355293   -   PRINTED FUSEBLOCK   -   0.719</v>
          </cell>
        </row>
        <row r="5532">
          <cell r="D5532" t="str">
            <v>15355290   -   ASM BRACKET   -   0.83447</v>
          </cell>
        </row>
        <row r="5533">
          <cell r="D5533" t="str">
            <v>15355288   -   BRACKET   -   0.77451</v>
          </cell>
        </row>
        <row r="5534">
          <cell r="D5534" t="str">
            <v>15355262   -   PLR F/O 12M   -   0.164658</v>
          </cell>
        </row>
        <row r="5535">
          <cell r="D5535" t="str">
            <v>15355224   -   COVER HOUSING   -   0.31</v>
          </cell>
        </row>
        <row r="5536">
          <cell r="D5536" t="str">
            <v>15355222   -   COVER HOUSING   -   0.287</v>
          </cell>
        </row>
        <row r="5537">
          <cell r="D5537" t="str">
            <v>15355221   -   BASE HOUSING   -   0.45904</v>
          </cell>
        </row>
        <row r="5538">
          <cell r="D5538" t="str">
            <v>15355215   -   BASE HOUSING   -   0.16993</v>
          </cell>
        </row>
        <row r="5539">
          <cell r="D5539" t="str">
            <v>15355193   -   CPA   -   0.1214</v>
          </cell>
        </row>
        <row r="5540">
          <cell r="D5540" t="str">
            <v>15355161   -   CPA   -   0.04769</v>
          </cell>
        </row>
        <row r="5541">
          <cell r="D5541" t="str">
            <v>15355115   -   CONVENIENCE CENTER (A019)   -   0.3573</v>
          </cell>
        </row>
        <row r="5542">
          <cell r="D5542" t="str">
            <v>15355083   -   CLIP CNVLT   -   0.044276</v>
          </cell>
        </row>
        <row r="5543">
          <cell r="D5543" t="str">
            <v>15355082   -   CLIP HARNESS   -   0.03836</v>
          </cell>
        </row>
        <row r="5544">
          <cell r="D5544" t="str">
            <v>15355066S   -   CONN SLD   -   0.1361</v>
          </cell>
        </row>
        <row r="5545">
          <cell r="D5545" t="str">
            <v>15354862   -   LAMP SOCKET   -   0.0338</v>
          </cell>
        </row>
        <row r="5546">
          <cell r="D5546" t="str">
            <v>15354732   -   ASM UPR/LWR HOUSING   -   0.966012</v>
          </cell>
        </row>
        <row r="5547">
          <cell r="D5547" t="str">
            <v>15354610   -   COMB FUSBLK   -   0.10225</v>
          </cell>
        </row>
        <row r="5548">
          <cell r="D5548" t="str">
            <v>15354609   -   COVER ELEC CTR   -   0.266</v>
          </cell>
        </row>
        <row r="5549">
          <cell r="D5549" t="str">
            <v>15354607   -   ELECT CTR   -   0.372</v>
          </cell>
        </row>
        <row r="5550">
          <cell r="D5550" t="str">
            <v>15343167   -   CONNECTOR 2W   -   0.198</v>
          </cell>
        </row>
        <row r="5551">
          <cell r="D5551" t="str">
            <v>15342598   -   CONNECTOR   -   0.04704</v>
          </cell>
        </row>
        <row r="5552">
          <cell r="D5552" t="str">
            <v>15342323   -   14.662.96 SEG. 4V AMP 174396-2 FIAT 1/22   -   0.071869</v>
          </cell>
        </row>
        <row r="5553">
          <cell r="D5553" t="str">
            <v>15342321   -   16.A79.96 CON 172494-2 AMP 1/22673/87   -   0.193197</v>
          </cell>
        </row>
        <row r="5554">
          <cell r="D5554" t="str">
            <v>15342093   -   ZASUVKA 18.P. BI   -   0.660244</v>
          </cell>
        </row>
        <row r="5555">
          <cell r="D5555" t="str">
            <v>15341293   -   CONN 3WF   -   0.27482</v>
          </cell>
        </row>
        <row r="5556">
          <cell r="D5556" t="str">
            <v>15341292   -   CONN 3F   -   0.27038</v>
          </cell>
        </row>
        <row r="5557">
          <cell r="D5557" t="str">
            <v>15341032   -   CONN,F,7-W,WHITE WITH BROWN SEC.LOCK   -   0.199</v>
          </cell>
        </row>
        <row r="5558">
          <cell r="D5558" t="str">
            <v>15340501   -   COVER   -   0.319157</v>
          </cell>
        </row>
        <row r="5559">
          <cell r="D5559" t="str">
            <v>15340500   -   COVER   -   0.22921</v>
          </cell>
        </row>
        <row r="5560">
          <cell r="D5560" t="str">
            <v>15340499   -   COVER   -   0.170221</v>
          </cell>
        </row>
        <row r="5561">
          <cell r="D5561" t="str">
            <v>15340364   -   CONN,F,2-W   -   0.198352</v>
          </cell>
        </row>
        <row r="5562">
          <cell r="D5562" t="str">
            <v>15340095   -   CONN, 4M FW C B   -   0.453335</v>
          </cell>
        </row>
        <row r="5563">
          <cell r="D5563" t="str">
            <v>15339999   -   12 WAY CONN.   -   1.695696</v>
          </cell>
        </row>
        <row r="5564">
          <cell r="D5564" t="str">
            <v>15339903   -   CONN 6 WAY   -   1.36</v>
          </cell>
        </row>
        <row r="5565">
          <cell r="D5565" t="str">
            <v>15339848   -   CONN 22W   -   1.71</v>
          </cell>
        </row>
        <row r="5566">
          <cell r="D5566" t="str">
            <v>15339704   -   CONNECTOR 8 GNR   -   0.52</v>
          </cell>
        </row>
        <row r="5567">
          <cell r="D5567" t="str">
            <v>15339703   -   CONNECTOR 8 W BL   -   0.52</v>
          </cell>
        </row>
        <row r="5568">
          <cell r="D5568" t="str">
            <v>15339699   -   CONN, 8W   -   0.308335</v>
          </cell>
        </row>
        <row r="5569">
          <cell r="D5569" t="str">
            <v>15339498   -   CONNECTOR 8 BLK   -   0.92</v>
          </cell>
        </row>
        <row r="5570">
          <cell r="D5570" t="str">
            <v>15339497   -   CONN 8 WAY GRY   -   0.92</v>
          </cell>
        </row>
        <row r="5571">
          <cell r="D5571" t="str">
            <v>15339340   -   CONN 4-WAY   -   2.45</v>
          </cell>
        </row>
        <row r="5572">
          <cell r="D5572" t="str">
            <v>15339335   -   CONNECTOR   -   0.84</v>
          </cell>
        </row>
        <row r="5573">
          <cell r="D5573" t="str">
            <v>15339252   -   CONN, 17F 040 III,NAT   -   0.4124</v>
          </cell>
        </row>
        <row r="5574">
          <cell r="D5574" t="str">
            <v>15339189   -   KONNEKTÖR SIYAH 6V   -   0.101603</v>
          </cell>
        </row>
        <row r="5575">
          <cell r="D5575" t="str">
            <v>15339116   -   VERROU SECONDAIRE PL 6V   -   0.06441</v>
          </cell>
        </row>
        <row r="5576">
          <cell r="D5576" t="str">
            <v>15339032   -   ASM COVER   -   1.05754</v>
          </cell>
        </row>
        <row r="5577">
          <cell r="D5577" t="str">
            <v>15338655   -   CX POS.2352 21 VIAS PR 210 545   -   0.546408</v>
          </cell>
        </row>
        <row r="5578">
          <cell r="D5578" t="str">
            <v>15338615   -   KUPPLUNG2-FACH   -   0.043805</v>
          </cell>
        </row>
        <row r="5579">
          <cell r="D5579" t="str">
            <v>15338583   -   CX POS-2544 12 VIAS AZ   -   0.076834</v>
          </cell>
        </row>
        <row r="5580">
          <cell r="D5580" t="str">
            <v>15338556   -   CX POS.2254 2 VIAS PR 210 545   -   0.086519</v>
          </cell>
        </row>
        <row r="5581">
          <cell r="D5581" t="str">
            <v>15338471   -   COVER   -   0.073472</v>
          </cell>
        </row>
        <row r="5582">
          <cell r="D5582" t="str">
            <v>15338438   -   CONN BLK   -   0.328842</v>
          </cell>
        </row>
        <row r="5583">
          <cell r="D5583" t="str">
            <v>15338377   -   CONN M&amp;F   -   2.875976</v>
          </cell>
        </row>
        <row r="5584">
          <cell r="D5584" t="str">
            <v>15338341   -   RELAY CONNECTOR   -   0.354346</v>
          </cell>
        </row>
        <row r="5585">
          <cell r="D5585" t="str">
            <v>15338215   -   CONN   -   2.565602</v>
          </cell>
        </row>
        <row r="5586">
          <cell r="D5586" t="str">
            <v>15337814   -   CONN, 6F 090 SLD GRN   -   0.580836</v>
          </cell>
        </row>
        <row r="5587">
          <cell r="D5587" t="str">
            <v>15337759S   -   CONNECTOR   -   0.439117</v>
          </cell>
        </row>
        <row r="5588">
          <cell r="D5588" t="str">
            <v>15336865   -   PLASTIC CONN   -   0.054419</v>
          </cell>
        </row>
        <row r="5589">
          <cell r="D5589" t="str">
            <v>15336860   -   CLIP HARNESS   -   0.024902</v>
          </cell>
        </row>
        <row r="5590">
          <cell r="D5590" t="str">
            <v>15336857   -   CPA CAM LEVER   -   0.11564</v>
          </cell>
        </row>
        <row r="5591">
          <cell r="D5591" t="str">
            <v>15336849   -   PLASTIC CONN   -   0.054419</v>
          </cell>
        </row>
        <row r="5592">
          <cell r="D5592" t="str">
            <v>15336813   -   CONN 6F GT 280 SPL   -   0.274</v>
          </cell>
        </row>
        <row r="5593">
          <cell r="D5593" t="str">
            <v>15336802   -   CONNECTOR - 3 WAY - 150 MP   -   0.0728</v>
          </cell>
        </row>
        <row r="5594">
          <cell r="D5594" t="str">
            <v>15336797   -   HOUSING 80F MIC/P 100W   -   0.333</v>
          </cell>
        </row>
        <row r="5595">
          <cell r="D5595" t="str">
            <v>15336787   -   CPA AXIAL MIC/P 100W   -   0.0519</v>
          </cell>
        </row>
        <row r="5596">
          <cell r="D5596" t="str">
            <v>15336749   -   CPA/COVER   -   0.111</v>
          </cell>
        </row>
        <row r="5597">
          <cell r="D5597" t="str">
            <v>15336739   -   CPA   -   0.019982</v>
          </cell>
        </row>
        <row r="5598">
          <cell r="D5598" t="str">
            <v>15336661   -   CLIP CNVLT CDT 6MM   -   0.098</v>
          </cell>
        </row>
        <row r="5599">
          <cell r="D5599" t="str">
            <v>15336598   -   HOLDER   -   0.099</v>
          </cell>
        </row>
        <row r="5600">
          <cell r="D5600" t="str">
            <v>15336549S   -   CONN 37F GT 280 MIC/P 100W SLD 5.8 *   -   0.364</v>
          </cell>
        </row>
        <row r="5601">
          <cell r="D5601" t="str">
            <v>15336468   -   CONN 18M GT 150 280   -   0.1972</v>
          </cell>
        </row>
        <row r="5602">
          <cell r="D5602" t="str">
            <v>15336409   -   BRACKET CLIP ASSEMBLY   -   0.97</v>
          </cell>
        </row>
        <row r="5603">
          <cell r="D5603" t="str">
            <v>15336402   -   HSG LID SEALED   -   0.35</v>
          </cell>
        </row>
        <row r="5604">
          <cell r="D5604" t="str">
            <v>15336400   -   HSG FAN CONTROL UNIT   -   0.58709</v>
          </cell>
        </row>
        <row r="5605">
          <cell r="D5605" t="str">
            <v>15336224   -   ASM CONN 16M GT MXD   -   0.2851</v>
          </cell>
        </row>
        <row r="5606">
          <cell r="D5606" t="str">
            <v>15336074   -   CABLE CLIP   -   0.23</v>
          </cell>
        </row>
        <row r="5607">
          <cell r="D5607" t="str">
            <v>15336041   -   CONN 14M GT 280 MXD SLD   -   0.146189</v>
          </cell>
        </row>
        <row r="5608">
          <cell r="D5608" t="str">
            <v>15336003   -   LOCK TERM   -   0.025</v>
          </cell>
        </row>
        <row r="5609">
          <cell r="D5609" t="str">
            <v>15332194   -   COVER ASM   -   1.02582</v>
          </cell>
        </row>
        <row r="5610">
          <cell r="D5610" t="str">
            <v>15332193   -   COVER ASM   -   1.02582</v>
          </cell>
        </row>
        <row r="5611">
          <cell r="D5611" t="str">
            <v>15332118   -   CONN 5F GT 150   -   0.100595</v>
          </cell>
        </row>
        <row r="5612">
          <cell r="D5612" t="str">
            <v>15329036   -   STR RLF   -   0.1784</v>
          </cell>
        </row>
        <row r="5613">
          <cell r="D5613" t="str">
            <v>15328959   -   BRACKET   -   0.1617</v>
          </cell>
        </row>
        <row r="5614">
          <cell r="D5614" t="str">
            <v>15328754   -   WIREDRESS 68 WAY   -   0.189</v>
          </cell>
        </row>
        <row r="5615">
          <cell r="D5615" t="str">
            <v>15328753   -   WIREDRESS 68 WAY   -   0.189</v>
          </cell>
        </row>
        <row r="5616">
          <cell r="D5616" t="str">
            <v>15328752   -   WIREDRESS 68 WAY   -   0.189</v>
          </cell>
        </row>
        <row r="5617">
          <cell r="D5617" t="str">
            <v>15328732   -   COVER WIRE DRESS   -   0.1535</v>
          </cell>
        </row>
        <row r="5618">
          <cell r="D5618" t="str">
            <v>15328719S   -   CONNECTOR   -   0.7355</v>
          </cell>
        </row>
        <row r="5619">
          <cell r="D5619" t="str">
            <v>15327831   -   CONN 6M   -   0.11008</v>
          </cell>
        </row>
        <row r="5620">
          <cell r="D5620" t="str">
            <v>15327450   -   CX POS 3822 38 VIAS PR 168 545   -   1.679065</v>
          </cell>
        </row>
        <row r="5621">
          <cell r="D5621" t="str">
            <v>15327446   -   CX POS 2752 15 VIAS PR 032 545   -   1.223729</v>
          </cell>
        </row>
        <row r="5622">
          <cell r="D5622" t="str">
            <v>15327258   -   CX DB 891 5 VIAS PR 002 545   -   0.09243</v>
          </cell>
        </row>
        <row r="5623">
          <cell r="D5623" t="str">
            <v>15327234   -   CONN 6F   -   0.05911</v>
          </cell>
        </row>
        <row r="5624">
          <cell r="D5624" t="str">
            <v>15326854S   -   CONNECTOR   -   0.2093</v>
          </cell>
        </row>
        <row r="5625">
          <cell r="D5625" t="str">
            <v>15326842   -   CONN   -   0.2229</v>
          </cell>
        </row>
        <row r="5626">
          <cell r="D5626" t="str">
            <v>15326762   -   CONN 30M GT 150 280   -   0.2178</v>
          </cell>
        </row>
        <row r="5627">
          <cell r="D5627" t="str">
            <v>15326714S   -   CONNECTOR   -   0.3795</v>
          </cell>
        </row>
        <row r="5628">
          <cell r="D5628" t="str">
            <v>15326626   -   BRACKET CONN   -   0.24798</v>
          </cell>
        </row>
        <row r="5629">
          <cell r="D5629" t="str">
            <v>15326597   -   CONN 3F   -   0.317265</v>
          </cell>
        </row>
        <row r="5630">
          <cell r="D5630" t="str">
            <v>15326541   -   CONNECTOR 56M   -   0.35</v>
          </cell>
        </row>
        <row r="5631">
          <cell r="D5631" t="str">
            <v>15326423S   -   CONN 4M M/P 150 SLD   -   0.0739</v>
          </cell>
        </row>
        <row r="5632">
          <cell r="D5632" t="str">
            <v>15326413   -   CLIP CONNECTOR FRONT INTER CONN   -   0.042</v>
          </cell>
        </row>
        <row r="5633">
          <cell r="D5633" t="str">
            <v>15326406   -   CONN 16M MIC/P   -   0.2579</v>
          </cell>
        </row>
        <row r="5634">
          <cell r="D5634" t="str">
            <v>15326399   -   CLIP-ROSEBUD   -   0.0973</v>
          </cell>
        </row>
        <row r="5635">
          <cell r="D5635" t="str">
            <v>15326389S   -   CONNECTOR   -   0.1915</v>
          </cell>
        </row>
        <row r="5636">
          <cell r="D5636" t="str">
            <v>15326287   -   GROMMET   -   0.13119</v>
          </cell>
        </row>
        <row r="5637">
          <cell r="D5637" t="str">
            <v>15326254   -   STRAIN RELIEF   -   0.2594</v>
          </cell>
        </row>
        <row r="5638">
          <cell r="D5638" t="str">
            <v>15326070   -   CHANNEL-HVAC (A013)   -   0.0534</v>
          </cell>
        </row>
        <row r="5639">
          <cell r="D5639" t="str">
            <v>15326055   -   CONN, 8F M/P 15   -   0.3997</v>
          </cell>
        </row>
        <row r="5640">
          <cell r="D5640" t="str">
            <v>15326027   -   CERAMIC STRAIN RELIEF (A003)   -   0.1</v>
          </cell>
        </row>
        <row r="5641">
          <cell r="D5641" t="str">
            <v>15324864   -   630 MP - 2M   -   0.107998</v>
          </cell>
        </row>
        <row r="5642">
          <cell r="D5642" t="str">
            <v>15324787   -   CONNECTOR   -   0.38</v>
          </cell>
        </row>
        <row r="5643">
          <cell r="D5643" t="str">
            <v>15324757   -   CONNECTOR 4W MALE   -   0.4394</v>
          </cell>
        </row>
        <row r="5644">
          <cell r="D5644" t="str">
            <v>15324710   -   CONN. 116M M/P 150, 280   -   0.34183</v>
          </cell>
        </row>
        <row r="5645">
          <cell r="D5645" t="str">
            <v>15324689   -   2 WAY CONN F   -   0.0392</v>
          </cell>
        </row>
        <row r="5646">
          <cell r="D5646" t="str">
            <v>15324688   -   2W FEMALE CONNECTOR   -   0.0392</v>
          </cell>
        </row>
        <row r="5647">
          <cell r="D5647" t="str">
            <v>15324668   -   CONN 4F M/P 150.2 P2S   -   0.0761</v>
          </cell>
        </row>
        <row r="5648">
          <cell r="D5648" t="str">
            <v>15324667   -   CONN, 4F M/P ASM   -   0.1664</v>
          </cell>
        </row>
        <row r="5649">
          <cell r="D5649" t="str">
            <v>15324666   -   150.2 MP - 4F P2S   -   0.034257</v>
          </cell>
        </row>
        <row r="5650">
          <cell r="D5650" t="str">
            <v>15324665   -   CONN, 4F M/P ASM   -   0.1384</v>
          </cell>
        </row>
        <row r="5651">
          <cell r="D5651" t="str">
            <v>15324590   -   CONN 4F M/P 150   -   0.1287</v>
          </cell>
        </row>
        <row r="5652">
          <cell r="D5652" t="str">
            <v>15324540   -   CONNECTOR - 5 WAY - 150 MP   -   0.0432</v>
          </cell>
        </row>
        <row r="5653">
          <cell r="D5653" t="str">
            <v>15324477   -   150.2 MP - 2F P2S   -   0.03839</v>
          </cell>
        </row>
        <row r="5654">
          <cell r="D5654" t="str">
            <v>15324315   -   LAMP SOCKET CONN   -   0.062451</v>
          </cell>
        </row>
        <row r="5655">
          <cell r="D5655" t="str">
            <v>15324268   -   CONNECTOR   -   0.2901</v>
          </cell>
        </row>
        <row r="5656">
          <cell r="D5656" t="str">
            <v>15324242   -   150 MP - 2F   -   0.03771</v>
          </cell>
        </row>
        <row r="5657">
          <cell r="D5657" t="str">
            <v>15324085   -   WEDGE BASE LAMP SOCKET   -   0.0771</v>
          </cell>
        </row>
        <row r="5658">
          <cell r="D5658" t="str">
            <v>15324051   -   CONN 2F M/P 280   -   0.119072</v>
          </cell>
        </row>
        <row r="5659">
          <cell r="D5659" t="str">
            <v>15324036   -   CONNECTOR NYLON 46   -   0.03871</v>
          </cell>
        </row>
        <row r="5660">
          <cell r="D5660" t="str">
            <v>15324011   -   CONN 4M   -   0.2251</v>
          </cell>
        </row>
        <row r="5661">
          <cell r="D5661" t="str">
            <v>15319658   -   SPLASH SHEILD Y-CAR   -   1.62</v>
          </cell>
        </row>
        <row r="5662">
          <cell r="D5662" t="str">
            <v>15319593   -   BODY BEC BRACKET   -   0.45612</v>
          </cell>
        </row>
        <row r="5663">
          <cell r="D5663" t="str">
            <v>15319556   -   SPLASH-SHIELD   -   0.57702</v>
          </cell>
        </row>
        <row r="5664">
          <cell r="D5664" t="str">
            <v>15319486   -   COVER ELEC CTR U/H   -   1.1208</v>
          </cell>
        </row>
        <row r="5665">
          <cell r="D5665" t="str">
            <v>15318194   -   BOLT SHROUD (A006)   -   0.0245</v>
          </cell>
        </row>
        <row r="5666">
          <cell r="D5666" t="str">
            <v>15318164   -   PLUG SEAL   -   0.00587</v>
          </cell>
        </row>
        <row r="5667">
          <cell r="D5667" t="str">
            <v>15318140   -   STRAIN RELIEF MIC/P   -   0.1784</v>
          </cell>
        </row>
        <row r="5668">
          <cell r="D5668" t="str">
            <v>15318061   -   SPLICE CONN IDC-2   -   0.02032</v>
          </cell>
        </row>
        <row r="5669">
          <cell r="D5669" t="str">
            <v>15318052   -   SEC LK   -   0.0821</v>
          </cell>
        </row>
        <row r="5670">
          <cell r="D5670" t="str">
            <v>15317991   -   CAP AXIAL   -   0.036435</v>
          </cell>
        </row>
        <row r="5671">
          <cell r="D5671" t="str">
            <v>15317986   -   CAPILLARY ACTION PREVENTER (CAP) (A007)   -   0.1638</v>
          </cell>
        </row>
        <row r="5672">
          <cell r="D5672" t="str">
            <v>15317935S   -   CONNECTOR   -   0.4998</v>
          </cell>
        </row>
        <row r="5673">
          <cell r="D5673" t="str">
            <v>15317857   -   CONNECTOR   -   0.46574</v>
          </cell>
        </row>
        <row r="5674">
          <cell r="D5674" t="str">
            <v>15317832   -   ACC1, CPA GT   -   0.0679</v>
          </cell>
        </row>
        <row r="5675">
          <cell r="D5675" t="str">
            <v>15317783   -   STRAP (A001)   -   0.1859</v>
          </cell>
        </row>
        <row r="5676">
          <cell r="D5676" t="str">
            <v>15317782   -   HSG - MODULE   -   0.20153</v>
          </cell>
        </row>
        <row r="5677">
          <cell r="D5677" t="str">
            <v>15317746S   -   CONNECTOR   -   0.3233</v>
          </cell>
        </row>
        <row r="5678">
          <cell r="D5678" t="str">
            <v>15317735   -   CONN 30M GT 150,280   -   0.2589</v>
          </cell>
        </row>
        <row r="5679">
          <cell r="D5679" t="str">
            <v>15317670   -   STRAIN RELIEF   -   0.16764</v>
          </cell>
        </row>
        <row r="5680">
          <cell r="D5680" t="str">
            <v>15317628   -   CONN   -   0.036897</v>
          </cell>
        </row>
        <row r="5681">
          <cell r="D5681" t="str">
            <v>15317627   -   CONN   -   0.16858</v>
          </cell>
        </row>
        <row r="5682">
          <cell r="D5682" t="str">
            <v>15317611S   -   CONNECTOR   -   0.3127</v>
          </cell>
        </row>
        <row r="5683">
          <cell r="D5683" t="str">
            <v>15317604   -   CPA   -   0.06345</v>
          </cell>
        </row>
        <row r="5684">
          <cell r="D5684" t="str">
            <v>15317573   -   CONN   -   0.19925</v>
          </cell>
        </row>
        <row r="5685">
          <cell r="D5685" t="str">
            <v>15317518   -   SLIDE   -   0.0884</v>
          </cell>
        </row>
        <row r="5686">
          <cell r="D5686" t="str">
            <v>15317510S   -   CONNECTOR   -   0.0684</v>
          </cell>
        </row>
        <row r="5687">
          <cell r="D5687" t="str">
            <v>15317377   -   HEADER FLO 2W SENSOR (067)   -   0.4951</v>
          </cell>
        </row>
        <row r="5688">
          <cell r="D5688" t="str">
            <v>15317374   -   FERRULE FI/OP (061)   -   0.092036</v>
          </cell>
        </row>
        <row r="5689">
          <cell r="D5689" t="str">
            <v>15317373   -   FERRULE FI/OP (065)   -   0.091159</v>
          </cell>
        </row>
        <row r="5690">
          <cell r="D5690" t="str">
            <v>15317369   -   FERRULE FI/OP (064)   -   0.090283</v>
          </cell>
        </row>
        <row r="5691">
          <cell r="D5691" t="str">
            <v>15317362   -   PLR 6F GT 150   -   0.033174</v>
          </cell>
        </row>
        <row r="5692">
          <cell r="D5692" t="str">
            <v>15317322   -   CONN 22M GT 150 280   -   0.2193</v>
          </cell>
        </row>
        <row r="5693">
          <cell r="D5693" t="str">
            <v>15317321   -   HANDLE CONN LK CAM LEVER   -   0.0791</v>
          </cell>
        </row>
        <row r="5694">
          <cell r="D5694" t="str">
            <v>15317319   -   CPA   -   0.020521</v>
          </cell>
        </row>
        <row r="5695">
          <cell r="D5695" t="str">
            <v>15317267   -   CONN   -   0.295</v>
          </cell>
        </row>
        <row r="5696">
          <cell r="D5696" t="str">
            <v>15317253   -   CONNECTOR   -   0.04699</v>
          </cell>
        </row>
        <row r="5697">
          <cell r="D5697" t="str">
            <v>15317177   -   CONNECTOR 12 W   -   17.16</v>
          </cell>
        </row>
        <row r="5698">
          <cell r="D5698" t="str">
            <v>15317068   -   CONN   -   2.65</v>
          </cell>
        </row>
        <row r="5699">
          <cell r="D5699" t="str">
            <v>15317017   -   CONN 4F RED   -   0.093</v>
          </cell>
        </row>
        <row r="5700">
          <cell r="D5700" t="str">
            <v>15316772   -   CONN 20M 090II BLUE   -   0.284816</v>
          </cell>
        </row>
        <row r="5701">
          <cell r="D5701" t="str">
            <v>15316580   -   CONNECTOR   -   0.653151</v>
          </cell>
        </row>
        <row r="5702">
          <cell r="D5702" t="str">
            <v>15316571   -   CONN 2F 090II SLD   -   0.453428</v>
          </cell>
        </row>
        <row r="5703">
          <cell r="D5703" t="str">
            <v>15316369   -   CONN   -   0.14213</v>
          </cell>
        </row>
        <row r="5704">
          <cell r="D5704" t="str">
            <v>15316352   -   CONN   -   0.629632</v>
          </cell>
        </row>
        <row r="5705">
          <cell r="D5705" t="str">
            <v>15305536   -   COAXIAL CONN HOLDER (A002)   -   0.0523</v>
          </cell>
        </row>
        <row r="5706">
          <cell r="D5706" t="str">
            <v>15305535   -   COAXIAL CONN HOLDER (A002)   -   0.05132</v>
          </cell>
        </row>
        <row r="5707">
          <cell r="D5707" t="str">
            <v>15305525   -   (A103) BRACKET   -   0.61535</v>
          </cell>
        </row>
        <row r="5708">
          <cell r="D5708" t="str">
            <v>15305466   -   (A119) FUSEBLOCK 4W PAC/ON III   -   0.719</v>
          </cell>
        </row>
        <row r="5709">
          <cell r="D5709" t="str">
            <v>15305447   -   (A036) CONN 3F 630 M/P   -   0.0948</v>
          </cell>
        </row>
        <row r="5710">
          <cell r="D5710" t="str">
            <v>15305446   -   (A036) CONN 3F 630 M/P   -   0.0948</v>
          </cell>
        </row>
        <row r="5711">
          <cell r="D5711" t="str">
            <v>15305434   -   (A035) CONN 1F M/P 630   -   0.0871</v>
          </cell>
        </row>
        <row r="5712">
          <cell r="D5712" t="str">
            <v>15305428   -   (A070) COVER   -   0.10936</v>
          </cell>
        </row>
        <row r="5713">
          <cell r="D5713" t="str">
            <v>15305416   -   CLIP CNLT CDT 19MM   -   0.06939</v>
          </cell>
        </row>
        <row r="5714">
          <cell r="D5714" t="str">
            <v>15305384   -   (A092) ASM GROM HARDSHELL LWR   -   1.0825</v>
          </cell>
        </row>
        <row r="5715">
          <cell r="D5715" t="str">
            <v>15305383   -   (A091) ASM GROM HARDSHELL UPR   -   0.676</v>
          </cell>
        </row>
        <row r="5716">
          <cell r="D5716" t="str">
            <v>15305382   -   (A093) CLIP CBL GROM HARDSHELL   -   0.086</v>
          </cell>
        </row>
        <row r="5717">
          <cell r="D5717" t="str">
            <v>15305363   -   PLR GT 150   -   0.0297</v>
          </cell>
        </row>
        <row r="5718">
          <cell r="D5718" t="str">
            <v>15305362   -   CONN 4F 150GT2   -   0.06279</v>
          </cell>
        </row>
        <row r="5719">
          <cell r="D5719" t="str">
            <v>15305344   -   (AO90) HARNESS CLIP   -   0.0395</v>
          </cell>
        </row>
        <row r="5720">
          <cell r="D5720" t="str">
            <v>15305302   -   (A054) CONN 4F MXD   -   0.134</v>
          </cell>
        </row>
        <row r="5721">
          <cell r="D5721" t="str">
            <v>15305301   -   (A054) CONN 4F MXD   -   0.1287</v>
          </cell>
        </row>
        <row r="5722">
          <cell r="D5722" t="str">
            <v>15305205   -   STRAIN RELIEF   -   0.235</v>
          </cell>
        </row>
        <row r="5723">
          <cell r="D5723" t="str">
            <v>15305189   -   CPA ON A ROPE   -   0.039376</v>
          </cell>
        </row>
        <row r="5724">
          <cell r="D5724" t="str">
            <v>15305188   -   CLIP - CONVOLUTED CONDUIT - 40MM   -   0.06171</v>
          </cell>
        </row>
        <row r="5725">
          <cell r="D5725" t="str">
            <v>15305168S   -   CONNECTOR   -   0.1053</v>
          </cell>
        </row>
        <row r="5726">
          <cell r="D5726" t="str">
            <v>15305152   -   FUSEBLOCK COVER   -   0.169716</v>
          </cell>
        </row>
        <row r="5727">
          <cell r="D5727" t="str">
            <v>15305149   -   BULB HOUSING, O/H CONSOLE   -   0.64408</v>
          </cell>
        </row>
        <row r="5728">
          <cell r="D5728" t="str">
            <v>15305148   -   TOLERANCE CLIP   -   0.0295</v>
          </cell>
        </row>
        <row r="5729">
          <cell r="D5729" t="str">
            <v>15305136   -   MALE BLADE STABILIZER 16M GT 150/280   -   0.02992</v>
          </cell>
        </row>
        <row r="5730">
          <cell r="D5730" t="str">
            <v>15305088   -   IHG - UPPER   -   0.197642</v>
          </cell>
        </row>
        <row r="5731">
          <cell r="D5731" t="str">
            <v>15305087   -   IHG - UPPER   -   0.21539</v>
          </cell>
        </row>
        <row r="5732">
          <cell r="D5732" t="str">
            <v>15305085   -   (A054) CONN 4F MXD   -   0.12969</v>
          </cell>
        </row>
        <row r="5733">
          <cell r="D5733" t="str">
            <v>15305075   -   RELAY RESISTOR HOUSING   -   0.19894</v>
          </cell>
        </row>
        <row r="5734">
          <cell r="D5734" t="str">
            <v>15305019   -   (A038) CONN 16F 150 M/P   -   0.1295</v>
          </cell>
        </row>
        <row r="5735">
          <cell r="D5735" t="str">
            <v>15305006   -   COVER (A121)   -   0.11983</v>
          </cell>
        </row>
        <row r="5736">
          <cell r="D5736" t="str">
            <v>15304997   -   (A037) COVER   -   0.140228</v>
          </cell>
        </row>
        <row r="5737">
          <cell r="D5737" t="str">
            <v>15304983   -   STRAP - U/H (A009)   -   0.05839</v>
          </cell>
        </row>
        <row r="5738">
          <cell r="D5738" t="str">
            <v>15304908   -   CONN 30F GT 150 280   -   0.1578</v>
          </cell>
        </row>
        <row r="5739">
          <cell r="D5739" t="str">
            <v>15304889   -   (A024)COVER DRESS   -   0.0996</v>
          </cell>
        </row>
        <row r="5740">
          <cell r="D5740" t="str">
            <v>15304886   -   (A026) ASM CONN 28M MXD   -   0.70449</v>
          </cell>
        </row>
        <row r="5741">
          <cell r="D5741" t="str">
            <v>15304885   -   (A027) SLIDE 28M MXD   -   0.21557</v>
          </cell>
        </row>
        <row r="5742">
          <cell r="D5742" t="str">
            <v>15304845   -   BRACKET-MOUNTING   -   0.12233</v>
          </cell>
        </row>
        <row r="5743">
          <cell r="D5743" t="str">
            <v>15304747S   -   CONNECTOR   -   0.2937</v>
          </cell>
        </row>
        <row r="5744">
          <cell r="D5744" t="str">
            <v>15304692   -   CONN 18F GT 150 280   -   0.1445</v>
          </cell>
        </row>
        <row r="5745">
          <cell r="D5745" t="str">
            <v>15304624   -   CPA - TETHERED   -   0.1</v>
          </cell>
        </row>
        <row r="5746">
          <cell r="D5746" t="str">
            <v>15304617S   -   CONN 10F GT 150 280   -   0.0656</v>
          </cell>
        </row>
        <row r="5747">
          <cell r="D5747" t="str">
            <v>15304607   -   CONN 4F MIC/P 0.64   -   0.03514</v>
          </cell>
        </row>
        <row r="5748">
          <cell r="D5748" t="str">
            <v>15303513S   -   CONNECTOR   -   0.7103</v>
          </cell>
        </row>
        <row r="5749">
          <cell r="D5749" t="str">
            <v>15303512S   -   CONNECTOR   -   0.7333</v>
          </cell>
        </row>
        <row r="5750">
          <cell r="D5750" t="str">
            <v>15300008S   -   CONN 2 F M/P 280 BLK SEALED   -   0.1116</v>
          </cell>
        </row>
        <row r="5751">
          <cell r="D5751" t="str">
            <v>15300003   -   CONN, 3M M/P 280   -   0.177</v>
          </cell>
        </row>
        <row r="5752">
          <cell r="D5752" t="str">
            <v>12948702   -   CABLE RIBBON 6X1 2MM CL 1.258"L   -   0</v>
          </cell>
        </row>
        <row r="5753">
          <cell r="D5753" t="str">
            <v>12472487   -   CONN,F,6-W,BLACK   -   0.036847</v>
          </cell>
        </row>
        <row r="5754">
          <cell r="D5754" t="str">
            <v>12458380   -   CONN,F,4-W,WHITE   -   0.046532</v>
          </cell>
        </row>
        <row r="5755">
          <cell r="D5755" t="str">
            <v>12452987   -   CONN,F,6-W,BLACK   -   0.251663</v>
          </cell>
        </row>
        <row r="5756">
          <cell r="D5756" t="str">
            <v>12198911   -   HOUSING-TOP (BASE)   -   1.797</v>
          </cell>
        </row>
        <row r="5757">
          <cell r="D5757" t="str">
            <v>12198910   -   SW CTR HSE 6W SEAT   -   1.659</v>
          </cell>
        </row>
        <row r="5758">
          <cell r="D5758" t="str">
            <v>12198714   -   CONN HD 14M .64MM SEAT   -   0.16373</v>
          </cell>
        </row>
        <row r="5759">
          <cell r="D5759" t="str">
            <v>12197427   -   CONN 6-W F BLACK   -   1.32</v>
          </cell>
        </row>
        <row r="5760">
          <cell r="D5760" t="str">
            <v>12196886   -   LOCK CONN LK 2 BLK   -   0.52</v>
          </cell>
        </row>
        <row r="5761">
          <cell r="D5761" t="str">
            <v>12196882   -   CONN 2   -   2.08</v>
          </cell>
        </row>
        <row r="5762">
          <cell r="D5762" t="str">
            <v>12194017   -   SPACER I/P LEFT-BACK   -   0.04318</v>
          </cell>
        </row>
        <row r="5763">
          <cell r="D5763" t="str">
            <v>12194015   -   STAND OFF PLATE   -   0.0568</v>
          </cell>
        </row>
        <row r="5764">
          <cell r="D5764" t="str">
            <v>12193831   -   (A004) COVER (RETAINER STUD)   -   0.4135</v>
          </cell>
        </row>
        <row r="5765">
          <cell r="D5765" t="str">
            <v>12193777   -   UNDER HOOD SPLASH SHIELD   -   1.83</v>
          </cell>
        </row>
        <row r="5766">
          <cell r="D5766" t="str">
            <v>12193584   -   COVER CONNECTOR   -   0.193</v>
          </cell>
        </row>
        <row r="5767">
          <cell r="D5767" t="str">
            <v>12193570   -   CONN: HEADER 3-WAY,METRI   -   0.311</v>
          </cell>
        </row>
        <row r="5768">
          <cell r="D5768" t="str">
            <v>12193501   -   MIX MP - 30FF   -   0.21</v>
          </cell>
        </row>
        <row r="5769">
          <cell r="D5769" t="str">
            <v>12191964   -   (A059)CONN 14 F M/P 280   -   0.07389</v>
          </cell>
        </row>
        <row r="5770">
          <cell r="D5770" t="str">
            <v>12191963   -   (A059)CONN 14 F M/P 280   -   0.07389</v>
          </cell>
        </row>
        <row r="5771">
          <cell r="D5771" t="str">
            <v>12191956   -   (A059)CONN 14 F M/P 280   -   0.07389</v>
          </cell>
        </row>
        <row r="5772">
          <cell r="D5772" t="str">
            <v>12191942   -   (A058)CONN 4F M/P 280   -   0.05505</v>
          </cell>
        </row>
        <row r="5773">
          <cell r="D5773" t="str">
            <v>12191918   -   CAP 280 SINGLE 6W   -   0.0504</v>
          </cell>
        </row>
        <row r="5774">
          <cell r="D5774" t="str">
            <v>12191849   -   COMB M/P MXD   -   0.09784</v>
          </cell>
        </row>
        <row r="5775">
          <cell r="D5775" t="str">
            <v>12191847   -   FUSEBLOCK MXD MINI   -   0.42749</v>
          </cell>
        </row>
        <row r="5776">
          <cell r="D5776" t="str">
            <v>12191757S   -   CONNECTOR   -   0.3247</v>
          </cell>
        </row>
        <row r="5777">
          <cell r="D5777" t="str">
            <v>12191741   -   ASM GROMMET   -   1.00711</v>
          </cell>
        </row>
        <row r="5778">
          <cell r="D5778" t="str">
            <v>12191725   -   CONN 28F   -   0.38814</v>
          </cell>
        </row>
        <row r="5779">
          <cell r="D5779" t="str">
            <v>12191697   -   BRACKET - STEERING COLUMN   -   0.21315</v>
          </cell>
        </row>
        <row r="5780">
          <cell r="D5780" t="str">
            <v>12191557   -   BRACKET   -   0.245453</v>
          </cell>
        </row>
        <row r="5781">
          <cell r="D5781" t="str">
            <v>12191511S   -   CONN   -   0.4789</v>
          </cell>
        </row>
        <row r="5782">
          <cell r="D5782" t="str">
            <v>12191371S   -   CONNECTOR   -   0.0558</v>
          </cell>
        </row>
        <row r="5783">
          <cell r="D5783" t="str">
            <v>12191370S   -   CONNECTOR   -   0.0446</v>
          </cell>
        </row>
        <row r="5784">
          <cell r="D5784" t="str">
            <v>12191332   -   CONN 2F   -   0.30534</v>
          </cell>
        </row>
        <row r="5785">
          <cell r="D5785" t="str">
            <v>12191313   -   CLIP   -   0.02447</v>
          </cell>
        </row>
        <row r="5786">
          <cell r="D5786" t="str">
            <v>12191309   -   CONN, 32M P/C   -   0.32</v>
          </cell>
        </row>
        <row r="5787">
          <cell r="D5787" t="str">
            <v>12191277   -   CPA   -   0.036435</v>
          </cell>
        </row>
        <row r="5788">
          <cell r="D5788" t="str">
            <v>12191216S   -   CONNECTOR   -   0.1269</v>
          </cell>
        </row>
        <row r="5789">
          <cell r="D5789" t="str">
            <v>12191198   -   CONN   -   0.1066</v>
          </cell>
        </row>
        <row r="5790">
          <cell r="D5790" t="str">
            <v>12191191   -   CONN - 32 WAY   -   0.18495</v>
          </cell>
        </row>
        <row r="5791">
          <cell r="D5791" t="str">
            <v>12191180   -   KIT CANNON CONN 32-3   -   52.06</v>
          </cell>
        </row>
        <row r="5792">
          <cell r="D5792" t="str">
            <v>12191174   -   CONN F-SEC LOCK   -   0.0932</v>
          </cell>
        </row>
        <row r="5793">
          <cell r="D5793" t="str">
            <v>12191164   -   GROMMET   -   0.12346</v>
          </cell>
        </row>
        <row r="5794">
          <cell r="D5794" t="str">
            <v>12191125   -   (A096) CPA AXIAL M/P   -   0.0463</v>
          </cell>
        </row>
        <row r="5795">
          <cell r="D5795" t="str">
            <v>12191070   -   SEC LOCK   -   0.0295</v>
          </cell>
        </row>
        <row r="5796">
          <cell r="D5796" t="str">
            <v>12191058   -   CPA   -   0.01625</v>
          </cell>
        </row>
        <row r="5797">
          <cell r="D5797" t="str">
            <v>12191018   -   STRAIN RELIEF   -   0.2342</v>
          </cell>
        </row>
        <row r="5798">
          <cell r="D5798" t="str">
            <v>12187482   -   ASM-I/P TRUNK   -   12.5957</v>
          </cell>
        </row>
        <row r="5799">
          <cell r="D5799" t="str">
            <v>12186882   -   150 MP - 10M   -   0.1367</v>
          </cell>
        </row>
        <row r="5800">
          <cell r="D5800" t="str">
            <v>12186870   -   CONN 6M M/P 280   -   0.085</v>
          </cell>
        </row>
        <row r="5801">
          <cell r="D5801" t="str">
            <v>12186852   -   CONN HDR 4-WAY UPAK   -   0.296</v>
          </cell>
        </row>
        <row r="5802">
          <cell r="D5802" t="str">
            <v>12186775   -   CONN 3 FEMALE   -   0.40825</v>
          </cell>
        </row>
        <row r="5803">
          <cell r="D5803" t="str">
            <v>12186730S   -   CONNECTOR   -   0.457</v>
          </cell>
        </row>
        <row r="5804">
          <cell r="D5804" t="str">
            <v>12186618   -   (A055) STRAP   -   0.07</v>
          </cell>
        </row>
        <row r="5805">
          <cell r="D5805" t="str">
            <v>12186547   -   CONNECTOR   -   0.946445</v>
          </cell>
        </row>
        <row r="5806">
          <cell r="D5806" t="str">
            <v>12186511   -   CONN 2W   -   0.055939</v>
          </cell>
        </row>
        <row r="5807">
          <cell r="D5807" t="str">
            <v>12186431   -   LP SOC INSERT   -   0.03516</v>
          </cell>
        </row>
        <row r="5808">
          <cell r="D5808" t="str">
            <v>12186406   -   CONNECTOR COVER   -   0.5025</v>
          </cell>
        </row>
        <row r="5809">
          <cell r="D5809" t="str">
            <v>12186400   -   CONN,M,5-W,GREY   -   0.2055</v>
          </cell>
        </row>
        <row r="5810">
          <cell r="D5810" t="str">
            <v>12186395   -   CON   -   0.4207</v>
          </cell>
        </row>
        <row r="5811">
          <cell r="D5811" t="str">
            <v>12186394   -   CON   -   0.4241</v>
          </cell>
        </row>
        <row r="5812">
          <cell r="D5812" t="str">
            <v>12186283   -   CONDUIT SPLINT   -   0.18</v>
          </cell>
        </row>
        <row r="5813">
          <cell r="D5813" t="str">
            <v>12186244   -   COMB M/P MXD   -   0.05061</v>
          </cell>
        </row>
        <row r="5814">
          <cell r="D5814" t="str">
            <v>12186216S   -   CONNECTOR   -   0.2938</v>
          </cell>
        </row>
        <row r="5815">
          <cell r="D5815" t="str">
            <v>12186140   -   CONN, 5F M/P   -   0.2781</v>
          </cell>
        </row>
        <row r="5816">
          <cell r="D5816" t="str">
            <v>12186139S   -   CONNECTOR   -   0.2448</v>
          </cell>
        </row>
        <row r="5817">
          <cell r="D5817" t="str">
            <v>12186091   -   CONN   -   0.1178</v>
          </cell>
        </row>
        <row r="5818">
          <cell r="D5818" t="str">
            <v>12177256   -   SHIPPING CAP   -   0.0369</v>
          </cell>
        </row>
        <row r="5819">
          <cell r="D5819" t="str">
            <v>12177199   -   (0020) COVER CONN   -   0.193</v>
          </cell>
        </row>
        <row r="5820">
          <cell r="D5820" t="str">
            <v>12177180   -   COMB   -   0.073927</v>
          </cell>
        </row>
        <row r="5821">
          <cell r="D5821" t="str">
            <v>12177179   -   FUSEBLOCK   -   0.9556</v>
          </cell>
        </row>
        <row r="5822">
          <cell r="D5822" t="str">
            <v>12177145   -   BASE FUSBLK MINI 56F   -   0.5852</v>
          </cell>
        </row>
        <row r="5823">
          <cell r="D5823" t="str">
            <v>12177019   -   CONN 22F TIMER   -   0.52318</v>
          </cell>
        </row>
        <row r="5824">
          <cell r="D5824" t="str">
            <v>12177003   -   (A011)ASM CONN 20M TIMER MXD   -   0.26463</v>
          </cell>
        </row>
        <row r="5825">
          <cell r="D5825" t="str">
            <v>12177002   -   (A053) SEC LK 20F TIMER MXD   -   0.02661</v>
          </cell>
        </row>
        <row r="5826">
          <cell r="D5826" t="str">
            <v>12177000   -   (A010)ASM CONN 20F TIMER MXD   -   0.22224</v>
          </cell>
        </row>
        <row r="5827">
          <cell r="D5827" t="str">
            <v>12176896S   -   CONN 4F M/P 150 SLD   -   0.068</v>
          </cell>
        </row>
        <row r="5828">
          <cell r="D5828" t="str">
            <v>12176688   -   ASM CONN 78M   -   1.0806</v>
          </cell>
        </row>
        <row r="5829">
          <cell r="D5829" t="str">
            <v>12176684   -   PLASTIC INSERT   -   0.017934</v>
          </cell>
        </row>
        <row r="5830">
          <cell r="D5830" t="str">
            <v>12176678   -   COVER   -   0.07468</v>
          </cell>
        </row>
        <row r="5831">
          <cell r="D5831" t="str">
            <v>12176649   -   CONN   -   0.04828</v>
          </cell>
        </row>
        <row r="5832">
          <cell r="D5832" t="str">
            <v>12176641   -   CLIP   -   0.090355</v>
          </cell>
        </row>
        <row r="5833">
          <cell r="D5833" t="str">
            <v>12176566S   -   CONNECTOR   -   0.2212</v>
          </cell>
        </row>
        <row r="5834">
          <cell r="D5834" t="str">
            <v>12176495   -   CAP M/P 280 SPLICE SAVER   -   0.033</v>
          </cell>
        </row>
        <row r="5835">
          <cell r="D5835" t="str">
            <v>12176448   -   CHANNEL - CLIP   -   0.02375</v>
          </cell>
        </row>
        <row r="5836">
          <cell r="D5836" t="str">
            <v>12176446   -   CONN 3F M/P 280 FLXLK   -   0.057</v>
          </cell>
        </row>
        <row r="5837">
          <cell r="D5837" t="str">
            <v>12176445S   -   CONNECTOR   -   0.0582</v>
          </cell>
        </row>
        <row r="5838">
          <cell r="D5838" t="str">
            <v>12162958S   -   CONNECTOR   -   0.166202</v>
          </cell>
        </row>
        <row r="5839">
          <cell r="D5839" t="str">
            <v>12162938   -   BATT ACCESS BOX   -   0.15771</v>
          </cell>
        </row>
        <row r="5840">
          <cell r="D5840" t="str">
            <v>12162722   -   CONN   -   0.13309</v>
          </cell>
        </row>
        <row r="5841">
          <cell r="D5841" t="str">
            <v>12162696   -   CONNECTOR ASM / GMT 360 SAB   -   0.429</v>
          </cell>
        </row>
        <row r="5842">
          <cell r="D5842" t="str">
            <v>12162466   -   CLIP   -   0.06059</v>
          </cell>
        </row>
        <row r="5843">
          <cell r="D5843" t="str">
            <v>12162465   -   CLIP CBL HARDSHELL GROM   -   0.05925</v>
          </cell>
        </row>
        <row r="5844">
          <cell r="D5844" t="str">
            <v>12162455S   -   CONNECTOR   -   0.0423</v>
          </cell>
        </row>
        <row r="5845">
          <cell r="D5845" t="str">
            <v>12162444   -   CONN, ASM 2F M/P 150 P2S SLD BLK   -   0.1336</v>
          </cell>
        </row>
        <row r="5846">
          <cell r="D5846" t="str">
            <v>12162443   -   CONN, ASM 2F M/P 150 P2S SLD BLK   -   0.1248</v>
          </cell>
        </row>
        <row r="5847">
          <cell r="D5847" t="str">
            <v>12162440S   -   CONNECTOR ASM   -   0.122</v>
          </cell>
        </row>
        <row r="5848">
          <cell r="D5848" t="str">
            <v>12162438S   -   CONN P2S   -   0.1181</v>
          </cell>
        </row>
        <row r="5849">
          <cell r="D5849" t="str">
            <v>12162261S   -   CONNECTOR   -   0.1958</v>
          </cell>
        </row>
        <row r="5850">
          <cell r="D5850" t="str">
            <v>12162260S   -   CONNECTOR   -   0.1823</v>
          </cell>
        </row>
        <row r="5851">
          <cell r="D5851" t="str">
            <v>12162225   -   CONNECTOR   -   0.03307</v>
          </cell>
        </row>
        <row r="5852">
          <cell r="D5852" t="str">
            <v>12162215   -   CONNECTOR   -   0.4868</v>
          </cell>
        </row>
        <row r="5853">
          <cell r="D5853" t="str">
            <v>12162206   -   CONN, ASM 2F M/P 150.2 P2S   -   0.4872</v>
          </cell>
        </row>
        <row r="5854">
          <cell r="D5854" t="str">
            <v>12162203   -   CONNECTOR   -   0.0268</v>
          </cell>
        </row>
        <row r="5855">
          <cell r="D5855" t="str">
            <v>12162202S   -   CONNECTOR   -   0.0443</v>
          </cell>
        </row>
        <row r="5856">
          <cell r="D5856" t="str">
            <v>12162201S   -   CONNECTOR   -   0.0479</v>
          </cell>
        </row>
        <row r="5857">
          <cell r="D5857" t="str">
            <v>12162196   -   CONN 2F M/P 150.2 P2S   -   0.0307</v>
          </cell>
        </row>
        <row r="5858">
          <cell r="D5858" t="str">
            <v>12162192   -   CONN 2F M/P 150.2 P2S   -   0.0283</v>
          </cell>
        </row>
        <row r="5859">
          <cell r="D5859" t="str">
            <v>12162184S   -   CONNECTOR   -   0.1143</v>
          </cell>
        </row>
        <row r="5860">
          <cell r="D5860" t="str">
            <v>12162156   -   CONN, 1M M/P 480 ASM   -   0.324</v>
          </cell>
        </row>
        <row r="5861">
          <cell r="D5861" t="str">
            <v>12161181   -   COVER   -   0.05904</v>
          </cell>
        </row>
        <row r="5862">
          <cell r="D5862" t="str">
            <v>12161179   -   COVER   -   0.02415</v>
          </cell>
        </row>
        <row r="5863">
          <cell r="D5863" t="str">
            <v>12161139   -   CPA   -   0.187098</v>
          </cell>
        </row>
        <row r="5864">
          <cell r="D5864" t="str">
            <v>12161114   -   FUSE BLOCK   -   1.24222</v>
          </cell>
        </row>
        <row r="5865">
          <cell r="D5865" t="str">
            <v>12161019   -   BATTERY TERMINAL COVER   -   0.10088</v>
          </cell>
        </row>
        <row r="5866">
          <cell r="D5866" t="str">
            <v>12160959   -   CONN 30M M/P 280 480 SLD   -   0.9706</v>
          </cell>
        </row>
        <row r="5867">
          <cell r="D5867" t="str">
            <v>12160949   -   HOUSING   -   0.655318</v>
          </cell>
        </row>
        <row r="5868">
          <cell r="D5868" t="str">
            <v>12160888   -   CONN 32F &amp; 6F   -   0.3805</v>
          </cell>
        </row>
        <row r="5869">
          <cell r="D5869" t="str">
            <v>12160887   -   COVER WIRE   -   0.262851</v>
          </cell>
        </row>
        <row r="5870">
          <cell r="D5870" t="str">
            <v>12160853   -   CONN COVER   -   0.162395</v>
          </cell>
        </row>
        <row r="5871">
          <cell r="D5871" t="str">
            <v>12160825S   -   CONN 4M M/P 150 SLD   -   0.088</v>
          </cell>
        </row>
        <row r="5872">
          <cell r="D5872" t="str">
            <v>12160804   -   COVER   -   0.83</v>
          </cell>
        </row>
        <row r="5873">
          <cell r="D5873" t="str">
            <v>12160771   -   GROMMET HARDSHELL   -   0.3459</v>
          </cell>
        </row>
        <row r="5874">
          <cell r="D5874" t="str">
            <v>12160768   -   MOUNTING BRACKET ASSY.   -   0.50601</v>
          </cell>
        </row>
        <row r="5875">
          <cell r="D5875" t="str">
            <v>12160767   -   BRACKET   -   0.32464</v>
          </cell>
        </row>
        <row r="5876">
          <cell r="D5876" t="str">
            <v>12160709   -   SLEEVE   -   0.02088</v>
          </cell>
        </row>
        <row r="5877">
          <cell r="D5877" t="str">
            <v>12160672   -   CONV. CENTER   -   0.14488</v>
          </cell>
        </row>
        <row r="5878">
          <cell r="D5878" t="str">
            <v>12160606S   -   CONNECTOR   -   0.0946</v>
          </cell>
        </row>
        <row r="5879">
          <cell r="D5879" t="str">
            <v>12160605S   -   CONNECTOR   -   0.1108</v>
          </cell>
        </row>
        <row r="5880">
          <cell r="D5880" t="str">
            <v>12160574   -   GROMMET   -   0.13119</v>
          </cell>
        </row>
        <row r="5881">
          <cell r="D5881" t="str">
            <v>12160542S   -   CONNECTOR   -   0.2003</v>
          </cell>
        </row>
        <row r="5882">
          <cell r="D5882" t="str">
            <v>12160450   -   CONNECTOR ASM.   -   0.119816</v>
          </cell>
        </row>
        <row r="5883">
          <cell r="D5883" t="str">
            <v>12160445   -   CONN 10M M/P 150   -   0.04632</v>
          </cell>
        </row>
        <row r="5884">
          <cell r="D5884" t="str">
            <v>12160384   -   BRACKET   -   0.39824</v>
          </cell>
        </row>
        <row r="5885">
          <cell r="D5885" t="str">
            <v>12160312   -   CONNECTOR   -   0.057857</v>
          </cell>
        </row>
        <row r="5886">
          <cell r="D5886" t="str">
            <v>12160252   -   480 MP - 3F   -   0.077006</v>
          </cell>
        </row>
        <row r="5887">
          <cell r="D5887" t="str">
            <v>12157998S   -   CONN   -   0.20612</v>
          </cell>
        </row>
        <row r="5888">
          <cell r="D5888" t="str">
            <v>12157647S   -   CONN 1W   -   0.01868</v>
          </cell>
        </row>
        <row r="5889">
          <cell r="D5889" t="str">
            <v>12147065S   -   CONNECTOR   -   0.3208</v>
          </cell>
        </row>
        <row r="5890">
          <cell r="D5890" t="str">
            <v>12146962   -   32-WAY STRAIN RLF   -   0.21499</v>
          </cell>
        </row>
        <row r="5891">
          <cell r="D5891" t="str">
            <v>12146948   -   GROM   -   0.12346</v>
          </cell>
        </row>
        <row r="5892">
          <cell r="D5892" t="str">
            <v>12146933   -   COVER   -   0.2</v>
          </cell>
        </row>
        <row r="5893">
          <cell r="D5893" t="str">
            <v>12146903   -   GROMMET ASSEMBLY   -   1.16051</v>
          </cell>
        </row>
        <row r="5894">
          <cell r="D5894" t="str">
            <v>12146827   -   PLUNGER HOUSING   -   0.2096</v>
          </cell>
        </row>
        <row r="5895">
          <cell r="D5895" t="str">
            <v>12146824   -   280 MP - 8F SP   -   0.047704</v>
          </cell>
        </row>
        <row r="5896">
          <cell r="D5896" t="str">
            <v>12146813   -   COVER   -   0.09743</v>
          </cell>
        </row>
        <row r="5897">
          <cell r="D5897" t="str">
            <v>12146794   -   INSUL. PLT - LAYER #2   -   0.50933</v>
          </cell>
        </row>
        <row r="5898">
          <cell r="D5898" t="str">
            <v>12146793   -   INSUL. PLT - LAYER #1   -   0.50933</v>
          </cell>
        </row>
        <row r="5899">
          <cell r="D5899" t="str">
            <v>12146741   -   CONN, ASM 5F M/P 280   -   0.8433</v>
          </cell>
        </row>
        <row r="5900">
          <cell r="D5900" t="str">
            <v>12146735   -   HDW HEADER   -   0.49322</v>
          </cell>
        </row>
        <row r="5901">
          <cell r="D5901" t="str">
            <v>12146727   -   ASM CONN 2F M/P 280   -   0.162</v>
          </cell>
        </row>
        <row r="5902">
          <cell r="D5902" t="str">
            <v>12146726   -   CONNECTOR   -   0.0795</v>
          </cell>
        </row>
        <row r="5903">
          <cell r="D5903" t="str">
            <v>12146725   -   CONNECTOR   -   0.049091</v>
          </cell>
        </row>
        <row r="5904">
          <cell r="D5904" t="str">
            <v>12146595   -   LP SOC WGE BSE W2   -   0.0655</v>
          </cell>
        </row>
        <row r="5905">
          <cell r="D5905" t="str">
            <v>12146439S   -   CONNECTOR   -   0.1874</v>
          </cell>
        </row>
        <row r="5906">
          <cell r="D5906" t="str">
            <v>12146424S   -   CONVENIENCE CTR   -   0.5041</v>
          </cell>
        </row>
        <row r="5907">
          <cell r="D5907" t="str">
            <v>12146296   -   ASM CONN 3F M/P 280   -   0.1508</v>
          </cell>
        </row>
        <row r="5908">
          <cell r="D5908" t="str">
            <v>12146293   -   ASM CONN 2F M/P 280   -   0.124744</v>
          </cell>
        </row>
        <row r="5909">
          <cell r="D5909" t="str">
            <v>12146291   -   CONNECTOR   -   0.060236</v>
          </cell>
        </row>
        <row r="5910">
          <cell r="D5910" t="str">
            <v>12146270   -   PLATE STAND-OFF   -   0.10246</v>
          </cell>
        </row>
        <row r="5911">
          <cell r="D5911" t="str">
            <v>12146253   -   HSG ELECT CENTER UPPER U/N   -   1.148</v>
          </cell>
        </row>
        <row r="5912">
          <cell r="D5912" t="str">
            <v>12146245   -   BUSS PLATE U/H &amp; I/P   -   0.4545</v>
          </cell>
        </row>
        <row r="5913">
          <cell r="D5913" t="str">
            <v>12146184   -   BUSS BAR COVER   -   0.106701</v>
          </cell>
        </row>
        <row r="5914">
          <cell r="D5914" t="str">
            <v>12146183   -   COVER - JUMP START   -   0.06057</v>
          </cell>
        </row>
        <row r="5915">
          <cell r="D5915" t="str">
            <v>12146136   -   CONNECTOR   -   0.30076</v>
          </cell>
        </row>
        <row r="5916">
          <cell r="D5916" t="str">
            <v>12146121S   -   CONN   -   0.1579</v>
          </cell>
        </row>
        <row r="5917">
          <cell r="D5917" t="str">
            <v>12146103   -   CONN   -   0.03576</v>
          </cell>
        </row>
        <row r="5918">
          <cell r="D5918" t="str">
            <v>12146095S   -   CONNECTOR   -   0.0759</v>
          </cell>
        </row>
        <row r="5919">
          <cell r="D5919" t="str">
            <v>12146094S   -   CONNECTOR   -   0.0801</v>
          </cell>
        </row>
        <row r="5920">
          <cell r="D5920" t="str">
            <v>12146084   -   CIRCUIT BOARD   -   0.4274</v>
          </cell>
        </row>
        <row r="5921">
          <cell r="D5921" t="str">
            <v>12146079   -   ASM CONN 3F M/P 280   -   0.1641</v>
          </cell>
        </row>
        <row r="5922">
          <cell r="D5922" t="str">
            <v>12146078   -   CONNECTOR 2F M/P 280   -   0.1365</v>
          </cell>
        </row>
        <row r="5923">
          <cell r="D5923" t="str">
            <v>12146077   -   ASM CONN 2F M/P 280   -   0.2305</v>
          </cell>
        </row>
        <row r="5924">
          <cell r="D5924" t="str">
            <v>12146076   -   CONNECTOR   -   0.0795</v>
          </cell>
        </row>
        <row r="5925">
          <cell r="D5925" t="str">
            <v>12146038S   -   CONNECTOR   -   0.0924</v>
          </cell>
        </row>
        <row r="5926">
          <cell r="D5926" t="str">
            <v>12146037S   -   CONNECTOR   -   0.1002</v>
          </cell>
        </row>
        <row r="5927">
          <cell r="D5927" t="str">
            <v>12146029   -   C P A   -   0.01472</v>
          </cell>
        </row>
        <row r="5928">
          <cell r="D5928" t="str">
            <v>12146021   -   STRAIN RLF.   -   0.277511</v>
          </cell>
        </row>
        <row r="5929">
          <cell r="D5929" t="str">
            <v>12146020   -   STRAIN RLF.   -   0.277511</v>
          </cell>
        </row>
        <row r="5930">
          <cell r="D5930" t="str">
            <v>12138233   -   SPLASH SHIELD   -   0.73</v>
          </cell>
        </row>
        <row r="5931">
          <cell r="D5931" t="str">
            <v>12129997   -   COVER   -   0.27654</v>
          </cell>
        </row>
        <row r="5932">
          <cell r="D5932" t="str">
            <v>12129892   -   CLIP HARNESS   -   0.048493</v>
          </cell>
        </row>
        <row r="5933">
          <cell r="D5933" t="str">
            <v>12129840S   -   CONNECTOR   -   0.0666</v>
          </cell>
        </row>
        <row r="5934">
          <cell r="D5934" t="str">
            <v>12129716   -   CONN, 4F 280 FLXLK ASM   -   0.226</v>
          </cell>
        </row>
        <row r="5935">
          <cell r="D5935" t="str">
            <v>12129715S   -   CONNECTOR   -   0.1015</v>
          </cell>
        </row>
        <row r="5936">
          <cell r="D5936" t="str">
            <v>12129696   -   480 MP - 4F   -   0.079113</v>
          </cell>
        </row>
        <row r="5937">
          <cell r="D5937" t="str">
            <v>12129691S   -   CONNECTOR   -   0.7797</v>
          </cell>
        </row>
        <row r="5938">
          <cell r="D5938" t="str">
            <v>12129684   -   STRAIN RELIEF   -   0.19005</v>
          </cell>
        </row>
        <row r="5939">
          <cell r="D5939" t="str">
            <v>12129679   -   COMB M/P 280   -   0.052</v>
          </cell>
        </row>
        <row r="5940">
          <cell r="D5940" t="str">
            <v>12129617   -   HARNESS CLIP   -   0.02099</v>
          </cell>
        </row>
        <row r="5941">
          <cell r="D5941" t="str">
            <v>12129614   -   CONN, 7M M/P 280 SLD   -   0.2447</v>
          </cell>
        </row>
        <row r="5942">
          <cell r="D5942" t="str">
            <v>12129613   -   CONN, 7F M/P 280 FLXLK ASM   -   0.5427</v>
          </cell>
        </row>
        <row r="5943">
          <cell r="D5943" t="str">
            <v>12129605   -   SHROUD   -   0.37527</v>
          </cell>
        </row>
        <row r="5944">
          <cell r="D5944" t="str">
            <v>12129601   -   CONNECTOR   -   0.421</v>
          </cell>
        </row>
        <row r="5945">
          <cell r="D5945" t="str">
            <v>12129572   -   CONN ASSY   -   0.1813</v>
          </cell>
        </row>
        <row r="5946">
          <cell r="D5946" t="str">
            <v>12129571   -   CONN 3F   -   0.1365</v>
          </cell>
        </row>
        <row r="5947">
          <cell r="D5947" t="str">
            <v>12129570   -   CONN 3M MP 280   -   0.1394</v>
          </cell>
        </row>
        <row r="5948">
          <cell r="D5948" t="str">
            <v>12129566S   -   CONNECTOR   -   0.0731</v>
          </cell>
        </row>
        <row r="5949">
          <cell r="D5949" t="str">
            <v>12129519   -   CONNECTOR   -   0.10739</v>
          </cell>
        </row>
        <row r="5950">
          <cell r="D5950" t="str">
            <v>12129508   -   CONN, 7F M/P 15   -   0.3792</v>
          </cell>
        </row>
        <row r="5951">
          <cell r="D5951" t="str">
            <v>12129486   -   CONN 2F M/P 280 FL   -   0.0533</v>
          </cell>
        </row>
        <row r="5952">
          <cell r="D5952" t="str">
            <v>12129450   -   COMB FUSEBLOCK   -   0.04198</v>
          </cell>
        </row>
        <row r="5953">
          <cell r="D5953" t="str">
            <v>12129430S   -   CONN 16F ACT 280   -   0.158</v>
          </cell>
        </row>
        <row r="5954">
          <cell r="D5954" t="str">
            <v>12129429S   -   CONNECTOR   -   0.2017</v>
          </cell>
        </row>
        <row r="5955">
          <cell r="D5955" t="str">
            <v>12129427S   -   CONNECTOR   -   0.1957</v>
          </cell>
        </row>
        <row r="5956">
          <cell r="D5956" t="str">
            <v>12129407   -   CPA   -   0.039843</v>
          </cell>
        </row>
        <row r="5957">
          <cell r="D5957" t="str">
            <v>12129359   -   BRACKET MOUNT   -   0.13158</v>
          </cell>
        </row>
        <row r="5958">
          <cell r="D5958" t="str">
            <v>12129322   -   HARDSHELL GROM CABLE CLIP   -   0.043375</v>
          </cell>
        </row>
        <row r="5959">
          <cell r="D5959" t="str">
            <v>12129290   -   CABLE CLIP   -   0.05998</v>
          </cell>
        </row>
        <row r="5960">
          <cell r="D5960" t="str">
            <v>12129271   -   CLIP CONN   -   0.046</v>
          </cell>
        </row>
        <row r="5961">
          <cell r="D5961" t="str">
            <v>12129225   -   CONN 24F MIC/P 100W   -   0.1908</v>
          </cell>
        </row>
        <row r="5962">
          <cell r="D5962" t="str">
            <v>12129210   -   SLIDING SHROUD   -   0.37245</v>
          </cell>
        </row>
        <row r="5963">
          <cell r="D5963" t="str">
            <v>12129201   -   PLUNGER HOUSING - 2   -   0.2096</v>
          </cell>
        </row>
        <row r="5964">
          <cell r="D5964" t="str">
            <v>12129195   -   SLEEVE   -   0.0319</v>
          </cell>
        </row>
        <row r="5965">
          <cell r="D5965" t="str">
            <v>12129155   -   CONN 2M M/P 280   -   0.0412</v>
          </cell>
        </row>
        <row r="5966">
          <cell r="D5966" t="str">
            <v>12129149   -   CON CLIP   -   0.05111</v>
          </cell>
        </row>
        <row r="5967">
          <cell r="D5967" t="str">
            <v>12129148   -   CON CLIP   -   0.05111</v>
          </cell>
        </row>
        <row r="5968">
          <cell r="D5968" t="str">
            <v>15326059   -   TPA 16W GT 150,280   -   0.0396</v>
          </cell>
        </row>
        <row r="5969">
          <cell r="D5969" t="str">
            <v>12129147   -   CON CLIP   -   0.05111</v>
          </cell>
        </row>
        <row r="5970">
          <cell r="D5970" t="str">
            <v>12129146   -   CON CLIP   -   0.05111</v>
          </cell>
        </row>
        <row r="5971">
          <cell r="D5971" t="str">
            <v>12129144   -   CPA - PERP/WIRE DRESS   -   0.315</v>
          </cell>
        </row>
        <row r="5972">
          <cell r="D5972" t="str">
            <v>12129142   -   CONNECTOR   -   0.1461</v>
          </cell>
        </row>
        <row r="5973">
          <cell r="D5973" t="str">
            <v>12129140   -   CONN, ASM 2F M/P 280.1 P2S SLD BLK   -   0.1508</v>
          </cell>
        </row>
        <row r="5974">
          <cell r="D5974" t="str">
            <v>12129131   -   MODULE HOUSING   -   0.50411</v>
          </cell>
        </row>
        <row r="5975">
          <cell r="D5975" t="str">
            <v>12129128   -   CLIP, HARASHELL CABLE   -   0.1162</v>
          </cell>
        </row>
        <row r="5976">
          <cell r="D5976" t="str">
            <v>12129126S   -   CONNECTOR   -   0.3728</v>
          </cell>
        </row>
        <row r="5977">
          <cell r="D5977" t="str">
            <v>12129096   -   HARDSHELL GROMMET - LOWER   -   0.3304</v>
          </cell>
        </row>
        <row r="5978">
          <cell r="D5978" t="str">
            <v>12129088   -   CONN 8F M/P 280 FLXLK   -   0.1089</v>
          </cell>
        </row>
        <row r="5979">
          <cell r="D5979" t="str">
            <v>12129081   -   CONN 2F M/P 280 FLXLK   -   0.046232</v>
          </cell>
        </row>
        <row r="5980">
          <cell r="D5980" t="str">
            <v>12129066   -   COMB FUS BLK   -   0.049968</v>
          </cell>
        </row>
        <row r="5981">
          <cell r="D5981" t="str">
            <v>12129025   -   CONN, 32F MIC/P 100W NAT   -   0.1674</v>
          </cell>
        </row>
        <row r="5982">
          <cell r="D5982" t="str">
            <v>12124898   -   CONN, 4F M/P MXD   -   0.114</v>
          </cell>
        </row>
        <row r="5983">
          <cell r="D5983" t="str">
            <v>12124773   -   CLIP   -   0.05878</v>
          </cell>
        </row>
        <row r="5984">
          <cell r="D5984" t="str">
            <v>12124722   -   CONN, LP SOC WEDGE BASE   -   0.0669</v>
          </cell>
        </row>
        <row r="5985">
          <cell r="D5985" t="str">
            <v>12124662S   -   CONNECTOR   -   0.0932</v>
          </cell>
        </row>
        <row r="5986">
          <cell r="D5986" t="str">
            <v>12124583S   -   CONN 4M M/P 150   -   0.2</v>
          </cell>
        </row>
        <row r="5987">
          <cell r="D5987" t="str">
            <v>12124567   -   PLUNGER   -   0.02302</v>
          </cell>
        </row>
        <row r="5988">
          <cell r="D5988" t="str">
            <v>12124490   -   LENS (PAINTED ONLY) BAILMENT   -   0.2671</v>
          </cell>
        </row>
        <row r="5989">
          <cell r="D5989" t="str">
            <v>12124430   -   SECONDARY LOCK   -   0.06793</v>
          </cell>
        </row>
        <row r="5990">
          <cell r="D5990" t="str">
            <v>12124286   -   280 MP - 2F P2S   -   0.068</v>
          </cell>
        </row>
        <row r="5991">
          <cell r="D5991" t="str">
            <v>12124243   -   COVER - GLOVEBOX LAMPSWITCH   -   0.04836</v>
          </cell>
        </row>
        <row r="5992">
          <cell r="D5992" t="str">
            <v>12124185   -   CONN 5 WAY 56 SERIES   -   0.09177</v>
          </cell>
        </row>
        <row r="5993">
          <cell r="D5993" t="str">
            <v>12124184   -   CONN. 5 WAY 56 SERIES   -   0.0448</v>
          </cell>
        </row>
        <row r="5994">
          <cell r="D5994" t="str">
            <v>12124169S   -   CONN 4F FASTIN-ON (375 / 2, 250 / 2)   -   0.187</v>
          </cell>
        </row>
        <row r="5995">
          <cell r="D5995" t="str">
            <v>12124097   -   CONNECTOR (F/L)   -   5.8</v>
          </cell>
        </row>
        <row r="5996">
          <cell r="D5996" t="str">
            <v>12110940   -   IGN CHANNEL   -   0.118957</v>
          </cell>
        </row>
        <row r="5997">
          <cell r="D5997" t="str">
            <v>12110818   -   FACE PLATE, HSG   -   0.55107</v>
          </cell>
        </row>
        <row r="5998">
          <cell r="D5998" t="str">
            <v>12110817   -   COVER - HSG   -   0.60414</v>
          </cell>
        </row>
        <row r="5999">
          <cell r="D5999" t="str">
            <v>12110799   -   SECONDARY LOCK   -   0.02793</v>
          </cell>
        </row>
        <row r="6000">
          <cell r="D6000" t="str">
            <v>12110757   -   ACC3, COMB CONV CTR   -   0.385</v>
          </cell>
        </row>
        <row r="6001">
          <cell r="D6001" t="str">
            <v>12110756   -   CONN, CONVENIENCE CTR   -   0.99</v>
          </cell>
        </row>
        <row r="6002">
          <cell r="D6002" t="str">
            <v>12110753   -   PORTE LANGUETTE 7 VOIES   -   0.1607</v>
          </cell>
        </row>
        <row r="6003">
          <cell r="D6003" t="str">
            <v>12110738   -   SECONDARY LOCK   -   0.18991</v>
          </cell>
        </row>
        <row r="6004">
          <cell r="D6004" t="str">
            <v>12110737   -   JUNCTION BLOCK   -   0.88538</v>
          </cell>
        </row>
        <row r="6005">
          <cell r="D6005" t="str">
            <v>12110703   -   3-WAY MALE 280 M/P CONN   -   0.097</v>
          </cell>
        </row>
        <row r="6006">
          <cell r="D6006" t="str">
            <v>12110698S   -   CONN 6 M M/P 800 SPL BLK   -   0.1895</v>
          </cell>
        </row>
        <row r="6007">
          <cell r="D6007" t="str">
            <v>12110640   -   CLIP CNVLT CDT 10/13 MM   -   0.14276</v>
          </cell>
        </row>
        <row r="6008">
          <cell r="D6008" t="str">
            <v>12110639   -   CLIP CONVLT CDT 6MM   -   0.1379</v>
          </cell>
        </row>
        <row r="6009">
          <cell r="D6009" t="str">
            <v>12110633   -   RETAINER   -   0.2891</v>
          </cell>
        </row>
        <row r="6010">
          <cell r="D6010" t="str">
            <v>12110632   -   RETAINER   -   0.2891</v>
          </cell>
        </row>
        <row r="6011">
          <cell r="D6011" t="str">
            <v>12110631   -   PAINTED LENS L/H FRONT   -   0.4227</v>
          </cell>
        </row>
        <row r="6012">
          <cell r="D6012" t="str">
            <v>12110629   -   PAINTED LENS R/H FRONT   -   0.4196</v>
          </cell>
        </row>
        <row r="6013">
          <cell r="D6013" t="str">
            <v>12110626   -   CONN 8F M/P 280 FLXLK   -   0.1078</v>
          </cell>
        </row>
        <row r="6014">
          <cell r="D6014" t="str">
            <v>12110571   -   CLIP CABLE HRDSHELL   -   0.061592</v>
          </cell>
        </row>
        <row r="6015">
          <cell r="D6015" t="str">
            <v>12110517   -   CLIP   -   0.0659</v>
          </cell>
        </row>
        <row r="6016">
          <cell r="D6016" t="str">
            <v>12110516   -   COVER   -   0.104647</v>
          </cell>
        </row>
        <row r="6017">
          <cell r="D6017" t="str">
            <v>12110509   -   COVER/SEAL ASSM.   -   0.28576</v>
          </cell>
        </row>
        <row r="6018">
          <cell r="D6018" t="str">
            <v>12110505S   -   CONNECTOR   -   0.0799</v>
          </cell>
        </row>
        <row r="6019">
          <cell r="D6019" t="str">
            <v>12110487   -   CONN 36F MIC/P 100W   -   0.1316</v>
          </cell>
        </row>
        <row r="6020">
          <cell r="D6020" t="str">
            <v>12110440   -   CONN HEADER 4 PIN   -   0.4654</v>
          </cell>
        </row>
        <row r="6021">
          <cell r="D6021" t="str">
            <v>12110397   -   CLIP   -   0.09622</v>
          </cell>
        </row>
        <row r="6022">
          <cell r="D6022" t="str">
            <v>12110381   -   CLIP - WIRE DRESS   -   0.04097</v>
          </cell>
        </row>
        <row r="6023">
          <cell r="D6023" t="str">
            <v>12110367   -   COVER IDC SPLICE   -   0.02365</v>
          </cell>
        </row>
        <row r="6024">
          <cell r="D6024" t="str">
            <v>12110365   -   COMB   -   0.018822</v>
          </cell>
        </row>
        <row r="6025">
          <cell r="D6025" t="str">
            <v>12110356   -   RETAINER   -   0.08012</v>
          </cell>
        </row>
        <row r="6026">
          <cell r="D6026" t="str">
            <v>12110343   -   CONN   -   0.17483</v>
          </cell>
        </row>
        <row r="6027">
          <cell r="D6027" t="str">
            <v>12110317   -   COVER   -   0.129</v>
          </cell>
        </row>
        <row r="6028">
          <cell r="D6028" t="str">
            <v>12110312   -   CONVENIENCE CENTER   -   1.029</v>
          </cell>
        </row>
        <row r="6029">
          <cell r="D6029" t="str">
            <v>12110310   -   COMB   -   0.043</v>
          </cell>
        </row>
        <row r="6030">
          <cell r="D6030" t="str">
            <v>12110309   -   COMB   -   0.078</v>
          </cell>
        </row>
        <row r="6031">
          <cell r="D6031" t="str">
            <v>12110294   -   CONN 3 F M/P 150 BLK SEALED   -   0.0462</v>
          </cell>
        </row>
        <row r="6032">
          <cell r="D6032" t="str">
            <v>12110292   -   CPA   -   0.019163</v>
          </cell>
        </row>
        <row r="6033">
          <cell r="D6033" t="str">
            <v>12110286   -   HARDSHELL GROMMET   -   0.180483</v>
          </cell>
        </row>
        <row r="6034">
          <cell r="D6034" t="str">
            <v>12110285   -   HARDSHELL GROMMET   -   0.189948</v>
          </cell>
        </row>
        <row r="6035">
          <cell r="D6035" t="str">
            <v>12110252   -   CONN 16M M/P 150   -   0.1653</v>
          </cell>
        </row>
        <row r="6036">
          <cell r="D6036" t="str">
            <v>12110245S   -   CONNECTOR   -   0.1315</v>
          </cell>
        </row>
        <row r="6037">
          <cell r="D6037" t="str">
            <v>12110244S   -   CONNECTOR   -   0.1293</v>
          </cell>
        </row>
        <row r="6038">
          <cell r="D6038" t="str">
            <v>12110218   -   GROMMET ASSEMBLY   -   0.34386</v>
          </cell>
        </row>
        <row r="6039">
          <cell r="D6039" t="str">
            <v>12110196S   -   CONN SLD   -   0.4035</v>
          </cell>
        </row>
        <row r="6040">
          <cell r="D6040" t="str">
            <v>12110193   -   CLIP, HARNESS   -   0.02042</v>
          </cell>
        </row>
        <row r="6041">
          <cell r="D6041" t="str">
            <v>12110155   -   STRAIN RELIEF   -   0.203861</v>
          </cell>
        </row>
        <row r="6042">
          <cell r="D6042" t="str">
            <v>12110147   -   CONN, DIODE ASM   -   1.1771</v>
          </cell>
        </row>
        <row r="6043">
          <cell r="D6043" t="str">
            <v>12110144   -   COVER CONN M/P   -   0.041961</v>
          </cell>
        </row>
        <row r="6044">
          <cell r="D6044" t="str">
            <v>12110134   -   CLIP - ROSEBUD   -   0.057576</v>
          </cell>
        </row>
        <row r="6045">
          <cell r="D6045" t="str">
            <v>12110115S   -   CONNECTOR   -   0.1319</v>
          </cell>
        </row>
        <row r="6046">
          <cell r="D6046" t="str">
            <v>12110082   -   CLIP   -   0.05333</v>
          </cell>
        </row>
        <row r="6047">
          <cell r="D6047" t="str">
            <v>12110079   -   FACEPLATE, MODULE   -   0.1692</v>
          </cell>
        </row>
        <row r="6048">
          <cell r="D6048" t="str">
            <v>12110047   -   CONN 6 F M/P MIXED BLK   -   0.1711</v>
          </cell>
        </row>
        <row r="6049">
          <cell r="D6049" t="str">
            <v>12110021   -   CLIP   -   0.07525</v>
          </cell>
        </row>
        <row r="6050">
          <cell r="D6050" t="str">
            <v>12105857   -   HOLDER - CONNECTOR   -   0.17463</v>
          </cell>
        </row>
        <row r="6051">
          <cell r="D6051" t="str">
            <v>12105856   -   HOLDER - CONNECTOR   -   0.201853</v>
          </cell>
        </row>
        <row r="6052">
          <cell r="D6052" t="str">
            <v>12105855   -   HOLDER - CONNECTOR   -   0.201853</v>
          </cell>
        </row>
        <row r="6053">
          <cell r="D6053" t="str">
            <v>12105853   -   CONN 090-2 2P S F S/A   -   0.10176</v>
          </cell>
        </row>
        <row r="6054">
          <cell r="D6054" t="str">
            <v>12105775   -   CONNECTOR   -   0.23176</v>
          </cell>
        </row>
        <row r="6055">
          <cell r="D6055" t="str">
            <v>12105758   -   CONN 8F   -   0.199353</v>
          </cell>
        </row>
        <row r="6056">
          <cell r="D6056" t="str">
            <v>12105756   -   CONN 10F   -   0.24139</v>
          </cell>
        </row>
        <row r="6057">
          <cell r="D6057" t="str">
            <v>12105750   -   CONN 6F   -   0.342594</v>
          </cell>
        </row>
        <row r="6058">
          <cell r="D6058" t="str">
            <v>12105712   -   CONN 3F   -   0.109908</v>
          </cell>
        </row>
        <row r="6059">
          <cell r="D6059" t="str">
            <v>12105688   -   CONN 3F   -   0.317964</v>
          </cell>
        </row>
        <row r="6060">
          <cell r="D6060" t="str">
            <v>12105663   -   CONN   -   0.24139</v>
          </cell>
        </row>
        <row r="6061">
          <cell r="D6061" t="str">
            <v>12105561   -   CONN 2F   -   0.380557</v>
          </cell>
        </row>
        <row r="6062">
          <cell r="D6062" t="str">
            <v>12105495   -   CONN   -   0.046389</v>
          </cell>
        </row>
        <row r="6063">
          <cell r="D6063" t="str">
            <v>12105486   -   CONN 3M   -   0.412965</v>
          </cell>
        </row>
        <row r="6064">
          <cell r="D6064" t="str">
            <v>12105485   -   CONN 4M   -   0.465558</v>
          </cell>
        </row>
        <row r="6065">
          <cell r="D6065" t="str">
            <v>12105483   -   CONN 3F   -   0.094167</v>
          </cell>
        </row>
        <row r="6066">
          <cell r="D6066" t="str">
            <v>12105482   -   CONN 12M   -   0.25926</v>
          </cell>
        </row>
        <row r="6067">
          <cell r="D6067" t="str">
            <v>12105480   -   CONN 3M-B   -   0.137038</v>
          </cell>
        </row>
        <row r="6068">
          <cell r="D6068" t="str">
            <v>12105479   -   CONN 22M   -   0.310187</v>
          </cell>
        </row>
        <row r="6069">
          <cell r="D6069" t="str">
            <v>12105478   -   CONN 16F   -   0.337039</v>
          </cell>
        </row>
        <row r="6070">
          <cell r="D6070" t="str">
            <v>12105477   -   CONN 3F   -   0.094167</v>
          </cell>
        </row>
        <row r="6071">
          <cell r="D6071" t="str">
            <v>12105474   -   CONN 18F   -   0.187501</v>
          </cell>
        </row>
        <row r="6072">
          <cell r="D6072" t="str">
            <v>12105472   -   CONN 6W   -   0.206575</v>
          </cell>
        </row>
        <row r="6073">
          <cell r="D6073" t="str">
            <v>12105457   -   CONNECTOR 2W   -   0.206575</v>
          </cell>
        </row>
        <row r="6074">
          <cell r="D6074" t="str">
            <v>12105453   -   CONN 10F   -   0.153149</v>
          </cell>
        </row>
        <row r="6075">
          <cell r="D6075" t="str">
            <v>12105437   -   CONN 18F   -   0.187501</v>
          </cell>
        </row>
        <row r="6076">
          <cell r="D6076" t="str">
            <v>12105426   -   CONN 15F   -   0.168149</v>
          </cell>
        </row>
        <row r="6077">
          <cell r="D6077" t="str">
            <v>12105425   -   CONN 11F   -   0.149075</v>
          </cell>
        </row>
        <row r="6078">
          <cell r="D6078" t="str">
            <v>12105335   -   CONNECTOR   -   0.298612</v>
          </cell>
        </row>
        <row r="6079">
          <cell r="D6079" t="str">
            <v>12105330   -   CONN 14M   -   0.250001</v>
          </cell>
        </row>
        <row r="6080">
          <cell r="D6080" t="str">
            <v>12105327   -   CONN 8F MXD   -   0.223057</v>
          </cell>
        </row>
        <row r="6081">
          <cell r="D6081" t="str">
            <v>12105256   -   CONN   -   0.139815</v>
          </cell>
        </row>
        <row r="6082">
          <cell r="D6082" t="str">
            <v>12105199   -   CONN 20F   -   0.157593</v>
          </cell>
        </row>
        <row r="6083">
          <cell r="D6083" t="str">
            <v>12105198   -   CONN 20M   -   0.251853</v>
          </cell>
        </row>
        <row r="6084">
          <cell r="D6084" t="str">
            <v>12105149   -   CONN 6F   -   0.123982</v>
          </cell>
        </row>
        <row r="6085">
          <cell r="D6085" t="str">
            <v>12105146   -   CONN   -   0.334076</v>
          </cell>
        </row>
        <row r="6086">
          <cell r="D6086" t="str">
            <v>12103842   -   CONN 31F   -   0.00715</v>
          </cell>
        </row>
        <row r="6087">
          <cell r="D6087" t="str">
            <v>12103770   -   CONNECTOR 3M M/P WHT NYL   -   0.19353</v>
          </cell>
        </row>
        <row r="6088">
          <cell r="D6088" t="str">
            <v>12103721   -   CONN, ASM 2M M/P 150 BLK   -   0.3132</v>
          </cell>
        </row>
        <row r="6089">
          <cell r="D6089" t="str">
            <v>12103619   -   SECONDARY LOCK   -   0.0236</v>
          </cell>
        </row>
        <row r="6090">
          <cell r="D6090" t="str">
            <v>12103616   -   CONNECTOR - 2F   -   0.083519</v>
          </cell>
        </row>
        <row r="6091">
          <cell r="D6091" t="str">
            <v>12103615   -   CONNECTOR - 4F   -   0.049445</v>
          </cell>
        </row>
        <row r="6092">
          <cell r="D6092" t="str">
            <v>12103612   -   LAMPSOCKET &amp; GASKET ASM   -   0.195312</v>
          </cell>
        </row>
        <row r="6093">
          <cell r="D6093" t="str">
            <v>12103611   -   LAMPSOCKET &amp; GASKET ASM   -   0.17175</v>
          </cell>
        </row>
        <row r="6094">
          <cell r="D6094" t="str">
            <v>12103597   -   SECONDARY LOCK   -   0.0295</v>
          </cell>
        </row>
        <row r="6095">
          <cell r="D6095" t="str">
            <v>12103584   -   CONN, ASM 2M W/P TWR BRN   -   0.0896</v>
          </cell>
        </row>
        <row r="6096">
          <cell r="D6096" t="str">
            <v>12103490   -   KUPPLUNG3-FACH   -   0.052287</v>
          </cell>
        </row>
        <row r="6097">
          <cell r="D6097" t="str">
            <v>12103449   -   WEATHERPACK - 3M   -   0.059626</v>
          </cell>
        </row>
        <row r="6098">
          <cell r="D6098" t="str">
            <v>12103409   -   CLIP   -   0.045194</v>
          </cell>
        </row>
        <row r="6099">
          <cell r="D6099" t="str">
            <v>12103395   -   WEATHERPACK - 4M   -   0.16504</v>
          </cell>
        </row>
        <row r="6100">
          <cell r="D6100" t="str">
            <v>12103343   -   WEATHERPACK - 3F   -   0.15</v>
          </cell>
        </row>
        <row r="6101">
          <cell r="D6101" t="str">
            <v>12103315   -   SECONDARY LOCK   -   0.02318</v>
          </cell>
        </row>
        <row r="6102">
          <cell r="D6102" t="str">
            <v>12103180   -   GROMMET ASSEMBLY - 8 WAY SEAL   -   0.24792</v>
          </cell>
        </row>
        <row r="6103">
          <cell r="D6103" t="str">
            <v>12098970   -   COVER   -   0.24682</v>
          </cell>
        </row>
        <row r="6104">
          <cell r="D6104" t="str">
            <v>12098969   -   HOUSING   -   0.54704</v>
          </cell>
        </row>
        <row r="6105">
          <cell r="D6105" t="str">
            <v>12092962   -   CLIP - IGNITION   -   0.12123</v>
          </cell>
        </row>
        <row r="6106">
          <cell r="D6106" t="str">
            <v>12092912   -   COVER   -   0.040748</v>
          </cell>
        </row>
        <row r="6107">
          <cell r="D6107" t="str">
            <v>12092809   -   CONVENIENCE CENTER   -   0.14488</v>
          </cell>
        </row>
        <row r="6108">
          <cell r="D6108" t="str">
            <v>12092808   -   CONVENIENCE CENTER   -   0.14488</v>
          </cell>
        </row>
        <row r="6109">
          <cell r="D6109" t="str">
            <v>12092763   -   COVER - CONNECTOR   -   0.27367</v>
          </cell>
        </row>
        <row r="6110">
          <cell r="D6110" t="str">
            <v>12092749   -   GROMMET - HARDSHELL (LOWER)   -   0.366951</v>
          </cell>
        </row>
        <row r="6111">
          <cell r="D6111" t="str">
            <v>12092669   -   STUD COVER - MIXIFUSE   -   0.89652</v>
          </cell>
        </row>
        <row r="6112">
          <cell r="D6112" t="str">
            <v>12092633   -   CONNECTOR - 16 W MIC P 100   -   0.135076</v>
          </cell>
        </row>
        <row r="6113">
          <cell r="D6113" t="str">
            <v>12092630   -   CONN - 16 M - MIC P   -   0.135076</v>
          </cell>
        </row>
        <row r="6114">
          <cell r="D6114" t="str">
            <v>12092485   -   56 WAY BODY CONNECTOR   -   1.96883</v>
          </cell>
        </row>
        <row r="6115">
          <cell r="D6115" t="str">
            <v>12092464   -   FACE PLATE   -   0.1615</v>
          </cell>
        </row>
        <row r="6116">
          <cell r="D6116" t="str">
            <v>12092394   -   CONN - 4M M/P MXD   -   0.15678</v>
          </cell>
        </row>
        <row r="6117">
          <cell r="D6117" t="str">
            <v>12092379   -   LP SOC WGE BSE W3   -   0.1216</v>
          </cell>
        </row>
        <row r="6118">
          <cell r="D6118" t="str">
            <v>12092376   -   CPA   -   0.018046</v>
          </cell>
        </row>
        <row r="6119">
          <cell r="D6119" t="str">
            <v>12092363   -   COVER   -   0.299792</v>
          </cell>
        </row>
        <row r="6120">
          <cell r="D6120" t="str">
            <v>12092358   -   FACEPLATE   -   0.3836</v>
          </cell>
        </row>
        <row r="6121">
          <cell r="D6121" t="str">
            <v>12092357   -   HOUSING   -   0.6398</v>
          </cell>
        </row>
        <row r="6122">
          <cell r="D6122" t="str">
            <v>12092273   -   COVER ELEC CTR BATT - U/H   -   0.06636</v>
          </cell>
        </row>
        <row r="6123">
          <cell r="D6123" t="str">
            <v>12092206   -   PLASTIC PART   -   0.04457</v>
          </cell>
        </row>
        <row r="6124">
          <cell r="D6124" t="str">
            <v>12092184   -   COVER - RETAINER   -   0.2201</v>
          </cell>
        </row>
        <row r="6125">
          <cell r="D6125" t="str">
            <v>12092163S   -   CONN 4 M M/P 150 BLK   -   0.1001</v>
          </cell>
        </row>
        <row r="6126">
          <cell r="D6126" t="str">
            <v>12092133S   -   CONNECTOR   -   0.0518</v>
          </cell>
        </row>
        <row r="6127">
          <cell r="D6127" t="str">
            <v>12092091   -   CLIP   -   0.0255</v>
          </cell>
        </row>
        <row r="6128">
          <cell r="D6128" t="str">
            <v>12092035   -   280 MP - 4F P2S   -   0.30695</v>
          </cell>
        </row>
        <row r="6129">
          <cell r="D6129" t="str">
            <v>12092018   -   SECONDARY LOCK   -   0.0388</v>
          </cell>
        </row>
        <row r="6130">
          <cell r="D6130" t="str">
            <v>12092000   -   280 MP - 2F P2S   -   0.30482</v>
          </cell>
        </row>
        <row r="6131">
          <cell r="D6131" t="str">
            <v>12089637   -   CONNECTOR 11F   -   0.140741</v>
          </cell>
        </row>
        <row r="6132">
          <cell r="D6132" t="str">
            <v>12089631   -   CLIP HARNESS ASSY   -   0.345</v>
          </cell>
        </row>
        <row r="6133">
          <cell r="D6133" t="str">
            <v>12089595   -   COVER - LAMP SOCKET   -   0.152</v>
          </cell>
        </row>
        <row r="6134">
          <cell r="D6134" t="str">
            <v>12089456   -   CONNECTOR 3F   -   0.422409</v>
          </cell>
        </row>
        <row r="6135">
          <cell r="D6135" t="str">
            <v>12089325   -   COVER   -   0.141112</v>
          </cell>
        </row>
        <row r="6136">
          <cell r="D6136" t="str">
            <v>12089248S   -   CONN 4F M/P 150   -   0.0541</v>
          </cell>
        </row>
        <row r="6137">
          <cell r="D6137" t="str">
            <v>12089247S   -   CONN 4M M/P 150   -   0.0467</v>
          </cell>
        </row>
        <row r="6138">
          <cell r="D6138" t="str">
            <v>12089180   -   CONN,F,20-W,NATURAL   -   0.195243</v>
          </cell>
        </row>
        <row r="6139">
          <cell r="D6139" t="str">
            <v>12089140   -   CONN,M,20-W   -   0.307056</v>
          </cell>
        </row>
        <row r="6140">
          <cell r="D6140" t="str">
            <v>12089120   -   ASSEMBLY OF 12059254 CONNECTOR AND   -   0.14497</v>
          </cell>
        </row>
        <row r="6141">
          <cell r="D6141" t="str">
            <v>12089116   -   CONN 3WAY   -   0.179816</v>
          </cell>
        </row>
        <row r="6142">
          <cell r="D6142" t="str">
            <v>12089115   -   CONNECTOR CAP   -   0.361668</v>
          </cell>
        </row>
        <row r="6143">
          <cell r="D6143" t="str">
            <v>12089072   -   CONN 4F   -   0.075</v>
          </cell>
        </row>
        <row r="6144">
          <cell r="D6144" t="str">
            <v>12089039   -   ASSEMBLY CONSISTING OF:   -   0.2424</v>
          </cell>
        </row>
        <row r="6145">
          <cell r="D6145" t="str">
            <v>12089019   -   CONNECTOR - 56 WAY - MP   -   0.21905</v>
          </cell>
        </row>
        <row r="6146">
          <cell r="D6146" t="str">
            <v>12089018   -   CONNECTOR - 56 WAY - MP - BROWN   -   0.24384</v>
          </cell>
        </row>
        <row r="6147">
          <cell r="D6147" t="str">
            <v>12089017   -   CONNECTOR - 56 WAY - MP - PURPLE   -   0.25769</v>
          </cell>
        </row>
        <row r="6148">
          <cell r="D6148" t="str">
            <v>12088141   -   RUBBER COVER   -   0.166667</v>
          </cell>
        </row>
        <row r="6149">
          <cell r="D6149" t="str">
            <v>12088108   -   CONN 6F   -   0.079815</v>
          </cell>
        </row>
        <row r="6150">
          <cell r="D6150" t="str">
            <v>12088084   -   CONN 2F   -   0.085</v>
          </cell>
        </row>
        <row r="6151">
          <cell r="D6151" t="str">
            <v>12088083   -   CONN 3F   -   0.046297</v>
          </cell>
        </row>
        <row r="6152">
          <cell r="D6152" t="str">
            <v>12088077   -   CONN 4WAY BLUE   -   0.045741</v>
          </cell>
        </row>
        <row r="6153">
          <cell r="D6153" t="str">
            <v>12088070   -   CONN 2F   -   0.047519</v>
          </cell>
        </row>
        <row r="6154">
          <cell r="D6154" t="str">
            <v>12088067   -   CONN 2M   -   0.03213</v>
          </cell>
        </row>
        <row r="6155">
          <cell r="D6155" t="str">
            <v>12088050   -   CONN 4F   -   0.100926</v>
          </cell>
        </row>
        <row r="6156">
          <cell r="D6156" t="str">
            <v>12088005   -   CONN F M/P 280   -   0.040614</v>
          </cell>
        </row>
        <row r="6157">
          <cell r="D6157" t="str">
            <v>12085030S   -   CONNECTOR   -   0.145</v>
          </cell>
        </row>
        <row r="6158">
          <cell r="D6158" t="str">
            <v>12084993   -   ASM CONN 3F MIC/P 280   -   0.1561</v>
          </cell>
        </row>
        <row r="6159">
          <cell r="D6159" t="str">
            <v>12084992   -   CONN 3F M/P 280   -   0.0887</v>
          </cell>
        </row>
        <row r="6160">
          <cell r="D6160" t="str">
            <v>12084957   -   CONN 2 F M/P 280 BLK   -   0.116</v>
          </cell>
        </row>
        <row r="6161">
          <cell r="D6161" t="str">
            <v>12084944S   -   CONN 16F MIC/P 100 *   -   0.1096</v>
          </cell>
        </row>
        <row r="6162">
          <cell r="D6162" t="str">
            <v>12084932   -   ASSEMBLY CLIP HARNESS USING   -   0.43153</v>
          </cell>
        </row>
        <row r="6163">
          <cell r="D6163" t="str">
            <v>12084834   -   COMB CONNECTOR CENTER   -   0.21712</v>
          </cell>
        </row>
        <row r="6164">
          <cell r="D6164" t="str">
            <v>12084745   -   CONN 3F M/P 280   -   0.0597</v>
          </cell>
        </row>
        <row r="6165">
          <cell r="D6165" t="str">
            <v>12084744   -   CONN 3M M/P 280   -   0.0819</v>
          </cell>
        </row>
        <row r="6166">
          <cell r="D6166" t="str">
            <v>12084739   -   CONN 3F M/P 280   -   0.0597</v>
          </cell>
        </row>
        <row r="6167">
          <cell r="D6167" t="str">
            <v>12084738   -   CONN 3M M/P 280   -   0.0819</v>
          </cell>
        </row>
        <row r="6168">
          <cell r="D6168" t="str">
            <v>12084736   -   CONN 3F M/P 280   -   0.0675</v>
          </cell>
        </row>
        <row r="6169">
          <cell r="D6169" t="str">
            <v>12084700   -   CONNECTOR - 12W - P/C BOW   -   0.14336</v>
          </cell>
        </row>
        <row r="6170">
          <cell r="D6170" t="str">
            <v>12084617S   -   CONN   -   0.0812</v>
          </cell>
        </row>
        <row r="6171">
          <cell r="D6171" t="str">
            <v>12084603S   -   CONN   -   0.1333</v>
          </cell>
        </row>
        <row r="6172">
          <cell r="D6172" t="str">
            <v>12084512   -   CONNECTOR 12M PAC/ON   -   0.15463</v>
          </cell>
        </row>
        <row r="6173">
          <cell r="D6173" t="str">
            <v>12084479   -   CONN 14F   -   0.323613</v>
          </cell>
        </row>
        <row r="6174">
          <cell r="D6174" t="str">
            <v>12084478   -   CONN 20F   -   0.276946</v>
          </cell>
        </row>
        <row r="6175">
          <cell r="D6175" t="str">
            <v>12084345   -   CLIP CABLE HARDSHELL GROM   -   0.01906</v>
          </cell>
        </row>
        <row r="6176">
          <cell r="D6176" t="str">
            <v>12084336   -   CONN 3F M/P 280   -   0.0597</v>
          </cell>
        </row>
        <row r="6177">
          <cell r="D6177" t="str">
            <v>12084335   -   CONN 3F M/P 280   -   0.0597</v>
          </cell>
        </row>
        <row r="6178">
          <cell r="D6178" t="str">
            <v>12084332   -   CONN 3F M/P 280   -   0.0597</v>
          </cell>
        </row>
        <row r="6179">
          <cell r="D6179" t="str">
            <v>12084330   -   CONN 3M M/P 280   -   0.0819</v>
          </cell>
        </row>
        <row r="6180">
          <cell r="D6180" t="str">
            <v>12084329   -   CONN 3M M/P 280   -   0.0819</v>
          </cell>
        </row>
        <row r="6181">
          <cell r="D6181" t="str">
            <v>12084326   -   CONN 3M M/P 280   -   0.0819</v>
          </cell>
        </row>
        <row r="6182">
          <cell r="D6182" t="str">
            <v>12084322   -   CONN 2F M/P 280   -   0.04828</v>
          </cell>
        </row>
        <row r="6183">
          <cell r="D6183" t="str">
            <v>12084321   -   CONNECTOR &amp; SEAL ASSEMBLY   -   0.118852</v>
          </cell>
        </row>
        <row r="6184">
          <cell r="D6184" t="str">
            <v>12084319   -   CONN 2M M/P 280   -   0.0777</v>
          </cell>
        </row>
        <row r="6185">
          <cell r="D6185" t="str">
            <v>12084318   -   CONN 2F M/P 280   -   0.04828</v>
          </cell>
        </row>
        <row r="6186">
          <cell r="D6186" t="str">
            <v>12084317   -   CONNECTOR &amp; SEAL ASSEMBLY   -   0.12374</v>
          </cell>
        </row>
        <row r="6187">
          <cell r="D6187" t="str">
            <v>12084311   -   CONN 2M M/P 280   -   0.0777</v>
          </cell>
        </row>
        <row r="6188">
          <cell r="D6188" t="str">
            <v>12084309   -   CONNECTOR &amp; SEAL ASSEMBLY   -   0.1701</v>
          </cell>
        </row>
        <row r="6189">
          <cell r="D6189" t="str">
            <v>12084307   -   CONN 2M M/P 280   -   0.0777</v>
          </cell>
        </row>
        <row r="6190">
          <cell r="D6190" t="str">
            <v>12084305   -   CONNECTOR &amp; SEAL ASSEMBLY   -   0.1813</v>
          </cell>
        </row>
        <row r="6191">
          <cell r="D6191" t="str">
            <v>12084303   -   CONN 2M M/P 280   -   0.038326</v>
          </cell>
        </row>
        <row r="6192">
          <cell r="D6192" t="str">
            <v>12084302   -   CONN 2F M/P 280   -   0.04828</v>
          </cell>
        </row>
        <row r="6193">
          <cell r="D6193" t="str">
            <v>12084301   -   CONNECTOR &amp; SEAL ASSEMBLY   -   0.113102</v>
          </cell>
        </row>
        <row r="6194">
          <cell r="D6194" t="str">
            <v>12084220   -   CONDUIT FASTENER   -   0.014919</v>
          </cell>
        </row>
        <row r="6195">
          <cell r="D6195" t="str">
            <v>12084175   -   CONN 2F M/P 280   -   0.04828</v>
          </cell>
        </row>
        <row r="6196">
          <cell r="D6196" t="str">
            <v>12084174   -   CONNECTOR &amp; SEAL ASSEMBLY   -   0.118852</v>
          </cell>
        </row>
        <row r="6197">
          <cell r="D6197" t="str">
            <v>12084141   -   CONNECTOR - PACK CON   -   0.02417</v>
          </cell>
        </row>
        <row r="6198">
          <cell r="D6198" t="str">
            <v>12084118   -   CONNECTOR - 6F - 280 MP   -   0.1795</v>
          </cell>
        </row>
        <row r="6199">
          <cell r="D6199" t="str">
            <v>12084108   -   CONNECTOR - 6M - 280 MP   -   0.0881</v>
          </cell>
        </row>
        <row r="6200">
          <cell r="D6200" t="str">
            <v>12078169S   -   CONN 1OM M/P 150   -   0.2979</v>
          </cell>
        </row>
        <row r="6201">
          <cell r="D6201" t="str">
            <v>12078090   -   CONN, 3F M/P 150 P2S ASM   -   0.1252</v>
          </cell>
        </row>
        <row r="6202">
          <cell r="D6202" t="str">
            <v>12077934S   -   CONNECTOR   -   0.6812</v>
          </cell>
        </row>
        <row r="6203">
          <cell r="D6203" t="str">
            <v>12077899   -   CPA STRAP   -   0.01645</v>
          </cell>
        </row>
        <row r="6204">
          <cell r="D6204" t="str">
            <v>12077886   -   WASHER TUBE   -   0.036</v>
          </cell>
        </row>
        <row r="6205">
          <cell r="D6205" t="str">
            <v>12077757   -   SECONDARY LOCK   -   0.02305</v>
          </cell>
        </row>
        <row r="6206">
          <cell r="D6206" t="str">
            <v>12077660   -   CONN   -   0.157408</v>
          </cell>
        </row>
        <row r="6207">
          <cell r="D6207" t="str">
            <v>12077651   -   CONN 250 3F RELAY F   -   0.094815</v>
          </cell>
        </row>
        <row r="6208">
          <cell r="D6208" t="str">
            <v>12077603   -   CONNECTOR BODY - WEATHER PACK - 6 WAY   -   0.055</v>
          </cell>
        </row>
        <row r="6209">
          <cell r="D6209" t="str">
            <v>12077571   -   CONVENIENCE CTR M/P 480 SPL   -   0.4737</v>
          </cell>
        </row>
        <row r="6210">
          <cell r="D6210" t="str">
            <v>12077527   -   COVER BOTTOM (CONVENIENCE CENTER)   -   0.5884</v>
          </cell>
        </row>
        <row r="6211">
          <cell r="D6211" t="str">
            <v>12077526   -   COVER TOP (CONVENIENCE CENTER)   -   0.2908</v>
          </cell>
        </row>
        <row r="6212">
          <cell r="D6212" t="str">
            <v>12077503   -   CONNECTOR - 16 WAY - MP 3   -   0.21109</v>
          </cell>
        </row>
        <row r="6213">
          <cell r="D6213" t="str">
            <v>12077459   -   CONN   -   0.312594</v>
          </cell>
        </row>
        <row r="6214">
          <cell r="D6214" t="str">
            <v>12077428S   -   CONN 56M M/P 280/480/630   -   0.7238</v>
          </cell>
        </row>
        <row r="6215">
          <cell r="D6215" t="str">
            <v>12066647   -   SECONDARY LOCK   -   0.025371</v>
          </cell>
        </row>
        <row r="6216">
          <cell r="D6216" t="str">
            <v>12066627   -   SECONDARY LOCK 7F-MXD-M/P   -   0.09409</v>
          </cell>
        </row>
        <row r="6217">
          <cell r="D6217" t="str">
            <v>12066618   -   GROMMET - HARDSHELL (UPPER)   -   0.194766</v>
          </cell>
        </row>
        <row r="6218">
          <cell r="D6218" t="str">
            <v>12066617   -   CLIP - HARDSHELL GROMMET   -   0.045187</v>
          </cell>
        </row>
        <row r="6219">
          <cell r="D6219" t="str">
            <v>12066613   -   280 MP - 5F P2S   -   0.095885</v>
          </cell>
        </row>
        <row r="6220">
          <cell r="D6220" t="str">
            <v>12066605   -   CONV CENTER   -   0.56</v>
          </cell>
        </row>
        <row r="6221">
          <cell r="D6221" t="str">
            <v>12066558   -   CLIP   -   0.04657</v>
          </cell>
        </row>
        <row r="6222">
          <cell r="D6222" t="str">
            <v>12066528   -   CONNECTOR   -   0.1173</v>
          </cell>
        </row>
        <row r="6223">
          <cell r="D6223" t="str">
            <v>12066423   -   CONNECTOR &amp; NUT ASSEMBLY   -   0.526</v>
          </cell>
        </row>
        <row r="6224">
          <cell r="D6224" t="str">
            <v>12066380   -   CONNECTOR 6M 280 M/P   -   0.0689</v>
          </cell>
        </row>
        <row r="6225">
          <cell r="D6225" t="str">
            <v>12066354   -   ASSEMBLY - CONSISTS OF:   -   0.20944</v>
          </cell>
        </row>
        <row r="6226">
          <cell r="D6226" t="str">
            <v>12066351S   -   CONNECTOR   -   0.3181</v>
          </cell>
        </row>
        <row r="6227">
          <cell r="D6227" t="str">
            <v>12066277   -   CONN - 56M M/P MXD 280/460/630   -   0.6294</v>
          </cell>
        </row>
        <row r="6228">
          <cell r="D6228" t="str">
            <v>12066172   -   INSULATOR - MICRO PACK 3   -   0.13594</v>
          </cell>
        </row>
        <row r="6229">
          <cell r="D6229" t="str">
            <v>12066056   -   COVER/SECONDARY LOCK   -   0.1948</v>
          </cell>
        </row>
        <row r="6230">
          <cell r="D6230" t="str">
            <v>12066021   -   GROMMET - PORTSIDE   -   0.41498</v>
          </cell>
        </row>
        <row r="6231">
          <cell r="D6231" t="str">
            <v>12065863   -   CONN, 2M M/P 480 CLIP SLOT BLK   -   0.173</v>
          </cell>
        </row>
        <row r="6232">
          <cell r="D6232" t="str">
            <v>12065854   -   CONN - 6 WAY PIN GRIP   -   0.2388</v>
          </cell>
        </row>
        <row r="6233">
          <cell r="D6233" t="str">
            <v>12065846   -   MIX MP - 30FF   -   0.21</v>
          </cell>
        </row>
        <row r="6234">
          <cell r="D6234" t="str">
            <v>12065825   -   BRACKET   -   0.1169</v>
          </cell>
        </row>
        <row r="6235">
          <cell r="D6235" t="str">
            <v>12065823   -   SECONDARY LOCK   -   0.02439</v>
          </cell>
        </row>
        <row r="6236">
          <cell r="D6236" t="str">
            <v>12065822   -   SECONDARY LOCK   -   0.042896</v>
          </cell>
        </row>
        <row r="6237">
          <cell r="D6237" t="str">
            <v>12065789   -   T.P.A - 8 WAY - 3 MM SERIES   -   0.0593</v>
          </cell>
        </row>
        <row r="6238">
          <cell r="D6238" t="str">
            <v>12065740   -   CLIP   -   0.016048</v>
          </cell>
        </row>
        <row r="6239">
          <cell r="D6239" t="str">
            <v>12065651S   -   CONNECTOR   -   0.28</v>
          </cell>
        </row>
        <row r="6240">
          <cell r="D6240" t="str">
            <v>12065645   -   HEADER - MP 3 MM SERIES - 10 WAY   -   0.1634</v>
          </cell>
        </row>
        <row r="6241">
          <cell r="D6241" t="str">
            <v>12065633   -   CONNECTOR - MIXED M/P   -   0.06546</v>
          </cell>
        </row>
        <row r="6242">
          <cell r="D6242" t="str">
            <v>12065630   -   SECONDARY LOCK   -   0.0293</v>
          </cell>
        </row>
        <row r="6243">
          <cell r="D6243" t="str">
            <v>12065622   -   T.P.A.   -   0.04597</v>
          </cell>
        </row>
        <row r="6244">
          <cell r="D6244" t="str">
            <v>12065586   -   56 SER - 1F   -   0.01719</v>
          </cell>
        </row>
        <row r="6245">
          <cell r="D6245" t="str">
            <v>12065585   -   56 SER - 1F   -   0.01674</v>
          </cell>
        </row>
        <row r="6246">
          <cell r="D6246" t="str">
            <v>12065423   -   CONN, 3M M/P 150 ASM   -   0.0465</v>
          </cell>
        </row>
        <row r="6247">
          <cell r="D6247" t="str">
            <v>12065394   -   WEATHERPACK - 4F   -   0.17292</v>
          </cell>
        </row>
        <row r="6248">
          <cell r="D6248" t="str">
            <v>12065309   -   CONN 1 NAT   -   0.046204</v>
          </cell>
        </row>
        <row r="6249">
          <cell r="D6249" t="str">
            <v>12065287   -   CONN, 3F M/P 150 P2S   -   0.1259</v>
          </cell>
        </row>
        <row r="6250">
          <cell r="D6250" t="str">
            <v>12065277   -   CLIP   -   0.14792</v>
          </cell>
        </row>
        <row r="6251">
          <cell r="D6251" t="str">
            <v>12065271   -   HARDSHELL GROMMET HALF - LOWER   -   0.56406</v>
          </cell>
        </row>
        <row r="6252">
          <cell r="D6252" t="str">
            <v>12065270   -   GROMMET - HARDSHELL - UPPER   -   0.23639</v>
          </cell>
        </row>
        <row r="6253">
          <cell r="D6253" t="str">
            <v>12065171   -   CONN 1M M/P 280 SLD   -   0.1175</v>
          </cell>
        </row>
        <row r="6254">
          <cell r="D6254" t="str">
            <v>12064990   -   CPA AXIAL MIC/P   -   0.0137</v>
          </cell>
        </row>
        <row r="6255">
          <cell r="D6255" t="str">
            <v>12064980S   -   CONNECTOR   -   0.1117</v>
          </cell>
        </row>
        <row r="6256">
          <cell r="D6256" t="str">
            <v>12064911   -   CONNECTOR 2F METRIPACK 630   -   0.081392</v>
          </cell>
        </row>
        <row r="6257">
          <cell r="D6257" t="str">
            <v>12064891   -   CLIP - CONDUIT - HARSHELL GROMMET   -   0.01931</v>
          </cell>
        </row>
        <row r="6258">
          <cell r="D6258" t="str">
            <v>12064882   -   SECONDARY LOCK   -   0.012321</v>
          </cell>
        </row>
        <row r="6259">
          <cell r="D6259" t="str">
            <v>12064881   -   COVER - CONV. CENTER   -   0.51223</v>
          </cell>
        </row>
        <row r="6260">
          <cell r="D6260" t="str">
            <v>12064869S   -   CONNECTOR   -   0.0409</v>
          </cell>
        </row>
        <row r="6261">
          <cell r="D6261" t="str">
            <v>12064860S   -   CONN 6F M/P 150   -   0.045</v>
          </cell>
        </row>
        <row r="6262">
          <cell r="D6262" t="str">
            <v>12064856   -   SECONDARY LOCK   -   0.016337</v>
          </cell>
        </row>
        <row r="6263">
          <cell r="D6263" t="str">
            <v>12064835   -   SEC LOCK   -   0.02643</v>
          </cell>
        </row>
        <row r="6264">
          <cell r="D6264" t="str">
            <v>12064829   -   CONN 2F M/P 480   -   0.0768</v>
          </cell>
        </row>
        <row r="6265">
          <cell r="D6265" t="str">
            <v>12064824   -   LAMP RELAY CENTER   -   0.94032</v>
          </cell>
        </row>
        <row r="6266">
          <cell r="D6266" t="str">
            <v>12064793   -   PLASTIC PART   -   0.0142</v>
          </cell>
        </row>
        <row r="6267">
          <cell r="D6267" t="str">
            <v>12064777   -   RETAINER   -   0.05079</v>
          </cell>
        </row>
        <row r="6268">
          <cell r="D6268" t="str">
            <v>12064763S   -   CONN 6M M/P 150   -   0.0807</v>
          </cell>
        </row>
        <row r="6269">
          <cell r="D6269" t="str">
            <v>12064762S   -   CONNECTOR   -   0.0502</v>
          </cell>
        </row>
        <row r="6270">
          <cell r="D6270" t="str">
            <v>12064760   -   CONN 4F M/P 150   -   0.0889</v>
          </cell>
        </row>
        <row r="6271">
          <cell r="D6271" t="str">
            <v>12064757   -   INSULATOR COVER   -   0.615</v>
          </cell>
        </row>
        <row r="6272">
          <cell r="D6272" t="str">
            <v>12064726   -   CLIP   -   0.01712</v>
          </cell>
        </row>
        <row r="6273">
          <cell r="D6273" t="str">
            <v>12059993S   -   CONNECTOR   -   0.138</v>
          </cell>
        </row>
        <row r="6274">
          <cell r="D6274" t="str">
            <v>12059977   -   SECONDARY LOCK   -   0.015955</v>
          </cell>
        </row>
        <row r="6275">
          <cell r="D6275" t="str">
            <v>12059968   -   CONNECTOR - 7 WAY - 150 MP   -   0.15827</v>
          </cell>
        </row>
        <row r="6276">
          <cell r="D6276" t="str">
            <v>12059967   -   CONNECTOR - 7 WAY - 150 MP   -   0.15827</v>
          </cell>
        </row>
        <row r="6277">
          <cell r="D6277" t="str">
            <v>12059965   -   METRI-PACK CONNECTOR 13 WAY - FEMALE   -   0.1058</v>
          </cell>
        </row>
        <row r="6278">
          <cell r="D6278" t="str">
            <v>12059924   -   PLASTIC PART   -   0.01973</v>
          </cell>
        </row>
        <row r="6279">
          <cell r="D6279" t="str">
            <v>12059884   -   CONN, 1F M/P 480   -   0.0923</v>
          </cell>
        </row>
        <row r="6280">
          <cell r="D6280" t="str">
            <v>12059882   -   COVER - RIGHT ANGLE DRESS   -   0.08303</v>
          </cell>
        </row>
        <row r="6281">
          <cell r="D6281" t="str">
            <v>12059871   -   PIN GRIP - 5F   -   0.073451</v>
          </cell>
        </row>
        <row r="6282">
          <cell r="D6282" t="str">
            <v>12059655   -   CONNECTOR - 32 PIN MALE HEADER - NAT'L   -   0.75</v>
          </cell>
        </row>
        <row r="6283">
          <cell r="D6283" t="str">
            <v>12059653   -   CONNECTOR - 32 PIN MALE HEADER - GREEN   -   0.334456</v>
          </cell>
        </row>
        <row r="6284">
          <cell r="D6284" t="str">
            <v>12059651   -   HEADER CONNECTOR   -   0.75</v>
          </cell>
        </row>
        <row r="6285">
          <cell r="D6285" t="str">
            <v>12059541   -   CLIP ASSEMBLY   -   0.70407</v>
          </cell>
        </row>
        <row r="6286">
          <cell r="D6286" t="str">
            <v>12059514   -   COVER - CLIP   -   0.04183</v>
          </cell>
        </row>
        <row r="6287">
          <cell r="D6287" t="str">
            <v>12059480   -   CONNECTOR - SHROUD   -   0.17912</v>
          </cell>
        </row>
        <row r="6288">
          <cell r="D6288" t="str">
            <v>12059477   -   CONNECTOR - 2 WAY - PULL-TO-SEAT   -   0.14874</v>
          </cell>
        </row>
        <row r="6289">
          <cell r="D6289" t="str">
            <v>12059470   -   SECONDARY LOCK - MP3   -   0.0515</v>
          </cell>
        </row>
        <row r="6290">
          <cell r="D6290" t="str">
            <v>12059464   -   CONNECTOR - 3 WAY - MP   -   0.07249</v>
          </cell>
        </row>
        <row r="6291">
          <cell r="D6291" t="str">
            <v>12059425   -   COVER   -   0.031506</v>
          </cell>
        </row>
        <row r="6292">
          <cell r="D6292" t="str">
            <v>12059423   -   MOLDED PLASTIC   -   0.074063</v>
          </cell>
        </row>
        <row r="6293">
          <cell r="D6293" t="str">
            <v>12059421   -   PIN GRIP - 5F   -   0.076508</v>
          </cell>
        </row>
        <row r="6294">
          <cell r="D6294" t="str">
            <v>12059405   -   CONN 2F M/P 480   -   0.052323</v>
          </cell>
        </row>
        <row r="6295">
          <cell r="D6295" t="str">
            <v>12059297   -   SECONDARY LOCK   -   0.0328</v>
          </cell>
        </row>
        <row r="6296">
          <cell r="D6296" t="str">
            <v>12059272   -   CONNECTOR - 12 WAY - 150 SERIES   -   0.1185</v>
          </cell>
        </row>
        <row r="6297">
          <cell r="D6297" t="str">
            <v>12059268   -   CLIP &amp; STRAP ASSEMBLY   -   1.12212</v>
          </cell>
        </row>
        <row r="6298">
          <cell r="D6298" t="str">
            <v>12059231   -   SECONDARY LOCK   -   0.032017</v>
          </cell>
        </row>
        <row r="6299">
          <cell r="D6299" t="str">
            <v>12059210   -   HOUSING TOP - FOR TEMP. SENSOR   -   0.20022</v>
          </cell>
        </row>
        <row r="6300">
          <cell r="D6300" t="str">
            <v>12059144   -   T.P.A. - 16 WAY   -   0.05389</v>
          </cell>
        </row>
        <row r="6301">
          <cell r="D6301" t="str">
            <v>12059133   -   CONNECTOR - 9F REINSHAGEN - MODU IV   -   0.04301</v>
          </cell>
        </row>
        <row r="6302">
          <cell r="D6302" t="str">
            <v>12059018   -   PACK ON II - 1M   -   0.083</v>
          </cell>
        </row>
        <row r="6303">
          <cell r="D6303" t="str">
            <v>12052852   -   MOLDED PLASTIC   -   0.025</v>
          </cell>
        </row>
        <row r="6304">
          <cell r="D6304" t="str">
            <v>12052664   -   CONNECTOR BODY - 5 WAY - 280 MP   -   0.0964</v>
          </cell>
        </row>
        <row r="6305">
          <cell r="D6305" t="str">
            <v>12052638   -   CONN 2F M/P 150 SLD *   -   0.0636</v>
          </cell>
        </row>
        <row r="6306">
          <cell r="D6306" t="str">
            <v>12052637   -   CONN 2F M/P 150 SLD *   -   0.0529</v>
          </cell>
        </row>
        <row r="6307">
          <cell r="D6307" t="str">
            <v>12052635   -   CONN 2F M/P 150 SLD *   -   0.0493</v>
          </cell>
        </row>
        <row r="6308">
          <cell r="D6308" t="str">
            <v>12052613   -   CONN, ASM 2F M/P 480 BLK   -   0.4081</v>
          </cell>
        </row>
        <row r="6309">
          <cell r="D6309" t="str">
            <v>12052428   -   CONNECTOR - 2 WAY 280 MP PULL-TO-SEAT   -   0.05854</v>
          </cell>
        </row>
        <row r="6310">
          <cell r="D6310" t="str">
            <v>12052427   -   CONNECTOR - 2 WAY 280 MP PULL-TO-SEAT   -   0.05847</v>
          </cell>
        </row>
        <row r="6311">
          <cell r="D6311" t="str">
            <v>12052177   -   CONNECTOR - 32 WAY - MP3   -   0.08484</v>
          </cell>
        </row>
        <row r="6312">
          <cell r="D6312" t="str">
            <v>12052051   -   FUSEBLOCK COVER   -   0.36907</v>
          </cell>
        </row>
        <row r="6313">
          <cell r="D6313" t="str">
            <v>12052041   -   CN CLIP 8MM-3   -   0.03094</v>
          </cell>
        </row>
        <row r="6314">
          <cell r="D6314" t="str">
            <v>12052039   -   CLIP - 1W HEI - 8MM   -   0.0522</v>
          </cell>
        </row>
        <row r="6315">
          <cell r="D6315" t="str">
            <v>12052019   -   CONNECTOR - VW# 176-971-990B   -   0.012145</v>
          </cell>
        </row>
        <row r="6316">
          <cell r="D6316" t="str">
            <v>12048414   -   480 MP - 3F   -   0.07908</v>
          </cell>
        </row>
        <row r="6317">
          <cell r="D6317" t="str">
            <v>12048372   -   WIRE DRESS COVER FOR FUSEBLOCK   -   0.3894</v>
          </cell>
        </row>
        <row r="6318">
          <cell r="D6318" t="str">
            <v>12048347   -   CONNECTOR - 16 WAY - MP3   -   0.2327</v>
          </cell>
        </row>
        <row r="6319">
          <cell r="D6319" t="str">
            <v>12048346   -   CONNECTOR - 16 WAY - MP3   -   0.21079</v>
          </cell>
        </row>
        <row r="6320">
          <cell r="D6320" t="str">
            <v>12048258   -   CONNECTOR BODY - MP 150 SERIES   -   0.481082</v>
          </cell>
        </row>
        <row r="6321">
          <cell r="D6321" t="str">
            <v>12048245   -   SECONDARY LOCK - 32 W   -   0.0742</v>
          </cell>
        </row>
        <row r="6322">
          <cell r="D6322" t="str">
            <v>12048244   -   SECONDARY LOCK - 24 W   -   0.08025</v>
          </cell>
        </row>
        <row r="6323">
          <cell r="D6323" t="str">
            <v>12048202   -   CABLE CLIP   -   0.12794</v>
          </cell>
        </row>
        <row r="6324">
          <cell r="D6324" t="str">
            <v>12048149   -   CLIP - BATT CABLE   -   0.0343</v>
          </cell>
        </row>
        <row r="6325">
          <cell r="D6325" t="str">
            <v>12048138   -   PLASTIC PART   -   0.01475</v>
          </cell>
        </row>
        <row r="6326">
          <cell r="D6326" t="str">
            <v>12048121   -   BATT ACCESS BOX   -   0.15771</v>
          </cell>
        </row>
        <row r="6327">
          <cell r="D6327" t="str">
            <v>12048120   -   HOT FOIL STAMP - BATTERY (+)   -   3.6625</v>
          </cell>
        </row>
        <row r="6328">
          <cell r="D6328" t="str">
            <v>12048091   -   COVER   -   0.14671</v>
          </cell>
        </row>
        <row r="6329">
          <cell r="D6329" t="str">
            <v>12048052   -   COVER - IN LINE CIRCUIT BREAKER   -   0.11</v>
          </cell>
        </row>
        <row r="6330">
          <cell r="D6330" t="str">
            <v>12048001   -   FASTENER - NAIL TYPE   -   0.0148</v>
          </cell>
        </row>
        <row r="6331">
          <cell r="D6331" t="str">
            <v>12047956   -   COMB   -   0.011216</v>
          </cell>
        </row>
        <row r="6332">
          <cell r="D6332" t="str">
            <v>12047954   -   PLASTIC PART   -   0.01713</v>
          </cell>
        </row>
        <row r="6333">
          <cell r="D6333" t="str">
            <v>12047940   -   CONN, 8M M/P 280 ASM   -   0.3614</v>
          </cell>
        </row>
        <row r="6334">
          <cell r="D6334" t="str">
            <v>12047938   -   CONN, 7F M/P   -   0.174</v>
          </cell>
        </row>
        <row r="6335">
          <cell r="D6335" t="str">
            <v>12047931   -   CONN 8M M/P 150 SLD   -   0.1507</v>
          </cell>
        </row>
        <row r="6336">
          <cell r="D6336" t="str">
            <v>12047899   -   CONNECTOR - 8 WAY - MP3   -   0.1411</v>
          </cell>
        </row>
        <row r="6337">
          <cell r="D6337" t="str">
            <v>12047898   -   CONNECTOR - 8 WAY - MP3   -   0.0936</v>
          </cell>
        </row>
        <row r="6338">
          <cell r="D6338" t="str">
            <v>12047887S   -   CONNECTOR   -   1.2817</v>
          </cell>
        </row>
        <row r="6339">
          <cell r="D6339" t="str">
            <v>12047838   -   ACC3, COMB M/P 280,630   -   0.0173</v>
          </cell>
        </row>
        <row r="6340">
          <cell r="D6340" t="str">
            <v>12047761   -   SECONDARY LOCK   -   0.022606</v>
          </cell>
        </row>
        <row r="6341">
          <cell r="D6341" t="str">
            <v>12047738   -   CONNECTOR - 12 WAY - 150   -   0.1017</v>
          </cell>
        </row>
        <row r="6342">
          <cell r="D6342" t="str">
            <v>12047720   -   CONNECTOR - 22 WAY - MP3   -   0.21342</v>
          </cell>
        </row>
        <row r="6343">
          <cell r="D6343" t="str">
            <v>12047537   -   CONNECTOR - 20 WAY - MP3   -   0.09651</v>
          </cell>
        </row>
        <row r="6344">
          <cell r="D6344" t="str">
            <v>12047515   -   CONNECTOR   -   0.124538</v>
          </cell>
        </row>
        <row r="6345">
          <cell r="D6345" t="str">
            <v>12045897   -   SEC LOCK   -   0.012294</v>
          </cell>
        </row>
        <row r="6346">
          <cell r="D6346" t="str">
            <v>12045880   -   BATTERY JUNCTION BLOCK - COVER   -   0.12559</v>
          </cell>
        </row>
        <row r="6347">
          <cell r="D6347" t="str">
            <v>12045815   -   CONN, ASM 5M M/P 280 BLK   -   0.3233</v>
          </cell>
        </row>
        <row r="6348">
          <cell r="D6348" t="str">
            <v>12045813S   -   CONN 4F M/P 150 *   -   0.0435</v>
          </cell>
        </row>
        <row r="6349">
          <cell r="D6349" t="str">
            <v>12045802   -   CONN, 8M M/P 280 CLIP SLOT BLK   -   0.2237</v>
          </cell>
        </row>
        <row r="6350">
          <cell r="D6350" t="str">
            <v>12045801   -   CONN, 13F M/P 280 BLK   -   0.1422</v>
          </cell>
        </row>
        <row r="6351">
          <cell r="D6351" t="str">
            <v>12045784   -   280 MP - 2F P2S   -   0.109</v>
          </cell>
        </row>
        <row r="6352">
          <cell r="D6352" t="str">
            <v>12045688S   -   CONNECTOR   -   0.0554</v>
          </cell>
        </row>
        <row r="6353">
          <cell r="D6353" t="str">
            <v>12045565   -   IHG - COMB   -   0.06</v>
          </cell>
        </row>
        <row r="6354">
          <cell r="D6354" t="str">
            <v>12045550   -   CONNECTOR - 10F REINSHAGEN MODU IV   -   0.0307</v>
          </cell>
        </row>
        <row r="6355">
          <cell r="D6355" t="str">
            <v>12045549   -   CONNECTOR - 22F REINSHAGEN - MODU IV   -   0.06177</v>
          </cell>
        </row>
        <row r="6356">
          <cell r="D6356" t="str">
            <v>12045471   -   CONNECTOR - ADAPTIVE RIDE - 32W MP3   -   0.081319</v>
          </cell>
        </row>
        <row r="6357">
          <cell r="D6357" t="str">
            <v>12045220   -   HYB 6F CONN   -   0.156297</v>
          </cell>
        </row>
        <row r="6358">
          <cell r="D6358" t="str">
            <v>12045095   -   CONN,F,2-W,BLACK   -   0.619487</v>
          </cell>
        </row>
        <row r="6359">
          <cell r="D6359" t="str">
            <v>12045068   -   CONN 1F   -   0.076389</v>
          </cell>
        </row>
        <row r="6360">
          <cell r="D6360" t="str">
            <v>12045009   -   CONN   -   0.29102</v>
          </cell>
        </row>
        <row r="6361">
          <cell r="D6361" t="str">
            <v>12045008   -   CONN   -   0.334076</v>
          </cell>
        </row>
        <row r="6362">
          <cell r="D6362" t="str">
            <v>12041433S   -   CONN 2F M/P 280 *   -   0.069</v>
          </cell>
        </row>
        <row r="6363">
          <cell r="D6363" t="str">
            <v>12041326   -   CONNECTOR - W/P - 3 W   -   0.20276</v>
          </cell>
        </row>
        <row r="6364">
          <cell r="D6364" t="str">
            <v>12041301S   -   CONNECTOR   -   0.0427</v>
          </cell>
        </row>
        <row r="6365">
          <cell r="D6365" t="str">
            <v>12041219   -   CONNECTOR - 19F REINSHAGEN - MODU IV   -   0.04764</v>
          </cell>
        </row>
        <row r="6366">
          <cell r="D6366" t="str">
            <v>12041218   -   CONNECTOR - 16 F REINSHAGEN - MODU IV   -   0.11088</v>
          </cell>
        </row>
        <row r="6367">
          <cell r="D6367" t="str">
            <v>12041216   -   CONNECTOR - 7F REINSHAGEN - MODU IV   -   0.02761</v>
          </cell>
        </row>
        <row r="6368">
          <cell r="D6368" t="str">
            <v>12041214   -   CONNECTOR - 5 F REINSHAGEN - MODU IV   -   0.02697</v>
          </cell>
        </row>
        <row r="6369">
          <cell r="D6369" t="str">
            <v>12040992   -   WEATHERPACK - 3F   -   0.0801</v>
          </cell>
        </row>
        <row r="6370">
          <cell r="D6370" t="str">
            <v>12040950   -   56 SER - 3M   -   0.35098</v>
          </cell>
        </row>
        <row r="6371">
          <cell r="D6371" t="str">
            <v>12040949   -   56 SER - 3F   -   0.29996</v>
          </cell>
        </row>
        <row r="6372">
          <cell r="D6372" t="str">
            <v>12040747S   -   CONN   -   0.2178</v>
          </cell>
        </row>
        <row r="6373">
          <cell r="D6373" t="str">
            <v>12040717   -   CONNECTOR - 2 F MP - BLACK   -   0.216407</v>
          </cell>
        </row>
        <row r="6374">
          <cell r="D6374" t="str">
            <v>12040688   -   WEATHERPACK - 3F   -   0.07698</v>
          </cell>
        </row>
        <row r="6375">
          <cell r="D6375" t="str">
            <v>12040647   -   CONNECTOR - 16 W MP - GRAY   -   0.234</v>
          </cell>
        </row>
        <row r="6376">
          <cell r="D6376" t="str">
            <v>12040551S   -   CONN 6F M/P 480   -   0.1249</v>
          </cell>
        </row>
        <row r="6377">
          <cell r="D6377" t="str">
            <v>12034561   -   IGN CLIP - 7MM - 4W   -   0.03545</v>
          </cell>
        </row>
        <row r="6378">
          <cell r="D6378" t="str">
            <v>12034482S   -   CONN 6F M/P 280   -   0.0387</v>
          </cell>
        </row>
        <row r="6379">
          <cell r="D6379" t="str">
            <v>12034481S   -   CONN   -   0.0746</v>
          </cell>
        </row>
        <row r="6380">
          <cell r="D6380" t="str">
            <v>12034475   -   CONNECTOR - 32 F MP - BLACK   -   0.19041</v>
          </cell>
        </row>
        <row r="6381">
          <cell r="D6381" t="str">
            <v>12034455   -   CONNECTOR   -   0.0335</v>
          </cell>
        </row>
        <row r="6382">
          <cell r="D6382" t="str">
            <v>12034389   -   CONNECTOR - 16 W MP - NATURAL   -   0.17455</v>
          </cell>
        </row>
        <row r="6383">
          <cell r="D6383" t="str">
            <v>12034381   -   CONNECTOR - 16 W MP - GRAY   -   0.17611</v>
          </cell>
        </row>
        <row r="6384">
          <cell r="D6384" t="str">
            <v>12034352   -   GROMMET - FIBER OPTIC - BLACK   -   0.39204</v>
          </cell>
        </row>
        <row r="6385">
          <cell r="D6385" t="str">
            <v>12034350   -   WEATHERPACK - 3M   -   0.07586</v>
          </cell>
        </row>
        <row r="6386">
          <cell r="D6386" t="str">
            <v>12034349   -   WEATHERPACK - 3F   -   0.07698</v>
          </cell>
        </row>
        <row r="6387">
          <cell r="D6387" t="str">
            <v>12034269S   -   CONN 2M M/P 630   -   0.1345</v>
          </cell>
        </row>
        <row r="6388">
          <cell r="D6388" t="str">
            <v>12034263   -   SECONDARY LOCK - WHITE   -   0.0295</v>
          </cell>
        </row>
        <row r="6389">
          <cell r="D6389" t="str">
            <v>12034257S   -   CONNECTOR (REPLACED BY 15324773S)   -   0.7355</v>
          </cell>
        </row>
        <row r="6390">
          <cell r="D6390" t="str">
            <v>12034244   -   CONNECTOR - 56 W MP - BLUE   -   0.397</v>
          </cell>
        </row>
        <row r="6391">
          <cell r="D6391" t="str">
            <v>12034243   -   CONNECTOR - 56 W MP - GRAY   -   0.397</v>
          </cell>
        </row>
        <row r="6392">
          <cell r="D6392" t="str">
            <v>12034242   -   CONNECTOR - 56 W MP - YELLOW   -   0.397</v>
          </cell>
        </row>
        <row r="6393">
          <cell r="D6393" t="str">
            <v>12034241   -   CONNECTOR - 56 W MP - RED   -   0.397</v>
          </cell>
        </row>
        <row r="6394">
          <cell r="D6394" t="str">
            <v>12034152   -   RETAINER - BLACK   -   0.1231</v>
          </cell>
        </row>
        <row r="6395">
          <cell r="D6395" t="str">
            <v>12034129   -   CONN BODY   -   0.071655</v>
          </cell>
        </row>
        <row r="6396">
          <cell r="D6396" t="str">
            <v>12034128   -   CONN BODY   -   0.065495</v>
          </cell>
        </row>
        <row r="6397">
          <cell r="D6397" t="str">
            <v>12034077   -   COVER   -   0.074867</v>
          </cell>
        </row>
        <row r="6398">
          <cell r="D6398" t="str">
            <v>12034061S   -   CONN   -   0.1417</v>
          </cell>
        </row>
        <row r="6399">
          <cell r="D6399" t="str">
            <v>12034060S   -   CONN   -   0.1074</v>
          </cell>
        </row>
        <row r="6400">
          <cell r="D6400" t="str">
            <v>12033973   -   ACRYLIC LENS   -   0.0931</v>
          </cell>
        </row>
        <row r="6401">
          <cell r="D6401" t="str">
            <v>12033911S   -   CONN   -   0.0374</v>
          </cell>
        </row>
        <row r="6402">
          <cell r="D6402" t="str">
            <v>12033701S   -   CONNECTOR   -   0.0275</v>
          </cell>
        </row>
        <row r="6403">
          <cell r="D6403" t="str">
            <v>12033698   -   CONNECTOR   -   0.0486</v>
          </cell>
        </row>
        <row r="6404">
          <cell r="D6404" t="str">
            <v>12033650   -   GROMMET - HARDSHELL   -   0.12381</v>
          </cell>
        </row>
        <row r="6405">
          <cell r="D6405" t="str">
            <v>12020947   -   IGN CLIP - 7MM - 4W   -   0.097</v>
          </cell>
        </row>
        <row r="6406">
          <cell r="D6406" t="str">
            <v>12020743   -   GREASE COVER - FRONT-REAR   -   0.0334</v>
          </cell>
        </row>
        <row r="6407">
          <cell r="D6407" t="str">
            <v>12020711   -   CONNECTOR - 1 F - 56 SERIES   -   0.02055</v>
          </cell>
        </row>
        <row r="6408">
          <cell r="D6408" t="str">
            <v>12020663   -   CLIP   -   0.2</v>
          </cell>
        </row>
        <row r="6409">
          <cell r="D6409" t="str">
            <v>12020626   -   CONDUIT OUTLET   -   0.02275</v>
          </cell>
        </row>
        <row r="6410">
          <cell r="D6410" t="str">
            <v>12020604   -   280 MP - 2F P2S   -   0.068</v>
          </cell>
        </row>
        <row r="6411">
          <cell r="D6411" t="str">
            <v>12020592   -   SECONDARY LOCK EXTENSION - GRAY   -   0.08271</v>
          </cell>
        </row>
        <row r="6412">
          <cell r="D6412" t="str">
            <v>12020556   -   CONN 2F M/P 480   -   0.0392</v>
          </cell>
        </row>
        <row r="6413">
          <cell r="D6413" t="str">
            <v>12020341   -   CONN 2F M/P 630 P2S *   -   0.0422</v>
          </cell>
        </row>
        <row r="6414">
          <cell r="D6414" t="str">
            <v>12020296   -   FIXED MOUNT FOR FUSEBLOCK   -   0.0697</v>
          </cell>
        </row>
        <row r="6415">
          <cell r="D6415" t="str">
            <v>12020221   -   CONNECTOR - 4W WP - GREEN   -   0.04982</v>
          </cell>
        </row>
        <row r="6416">
          <cell r="D6416" t="str">
            <v>12020213   -   280 MP - 2F P2S   -   0.109</v>
          </cell>
        </row>
        <row r="6417">
          <cell r="D6417" t="str">
            <v>12020167   -   CLIP RETAINER   -   0.05441</v>
          </cell>
        </row>
        <row r="6418">
          <cell r="D6418" t="str">
            <v>12020154   -   FIXED MOUNT FOR FUSEBLOCK - BLACK   -   0.05487</v>
          </cell>
        </row>
        <row r="6419">
          <cell r="D6419" t="str">
            <v>12020094   -   CONNECTOR - 2 W WP - MALE   -   0.09613</v>
          </cell>
        </row>
        <row r="6420">
          <cell r="D6420" t="str">
            <v>12020091   -   CONNECTOR - 1 F - 56 SERIES   -   0.0219</v>
          </cell>
        </row>
        <row r="6421">
          <cell r="D6421" t="str">
            <v>12020090   -   CONNECTOR - 6 W WP - GRAY   -   0.05462</v>
          </cell>
        </row>
        <row r="6422">
          <cell r="D6422" t="str">
            <v>12020017   -   CONNECTOR - 6 W MP - WHITE   -   0.05456</v>
          </cell>
        </row>
        <row r="6423">
          <cell r="D6423" t="str">
            <v>12020013   -   MIX MP - 3F   -   0.056</v>
          </cell>
        </row>
        <row r="6424">
          <cell r="D6424" t="str">
            <v>12015982   -   CONN,F,5-W,BLAC,ASSLY   -   0.0624</v>
          </cell>
        </row>
        <row r="6425">
          <cell r="D6425" t="str">
            <v>12015978   -   CONN BODY   -   0.129</v>
          </cell>
        </row>
        <row r="6426">
          <cell r="D6426" t="str">
            <v>12015969   -   56 SER - 5M LOCK   -   0.02567</v>
          </cell>
        </row>
        <row r="6427">
          <cell r="D6427" t="str">
            <v>12015968   -   56 SER - 5M LOCK   -   0.02591</v>
          </cell>
        </row>
        <row r="6428">
          <cell r="D6428" t="str">
            <v>12015890   -   CONNECTOR - 1 W - BLUE   -   0.0542</v>
          </cell>
        </row>
        <row r="6429">
          <cell r="D6429" t="str">
            <v>12015889   -   CONNECTOR - 1 W - BLACK   -   0.0542</v>
          </cell>
        </row>
        <row r="6430">
          <cell r="D6430" t="str">
            <v>12015888   -   CONNECTOR - 1 W - NATURAL   -   0.05413</v>
          </cell>
        </row>
        <row r="6431">
          <cell r="D6431" t="str">
            <v>12015887   -   CONNECTOR - 1 W - ORANGE   -   0.05441</v>
          </cell>
        </row>
        <row r="6432">
          <cell r="D6432" t="str">
            <v>12015784   -   CONN 3W W/P   -   0.065</v>
          </cell>
        </row>
        <row r="6433">
          <cell r="D6433" t="str">
            <v>12015763   -   PACK ON 1 HD - 4F   -   0.058785</v>
          </cell>
        </row>
        <row r="6434">
          <cell r="D6434" t="str">
            <v>12015684   -   56 SER - 2F LOCK   -   0.04258</v>
          </cell>
        </row>
        <row r="6435">
          <cell r="D6435" t="str">
            <v>12015681   -   PIN GRIP - 3F   -   0.0337</v>
          </cell>
        </row>
        <row r="6436">
          <cell r="D6436" t="str">
            <v>12015551   -   280 MP - 4F P2S   -   0.30706</v>
          </cell>
        </row>
        <row r="6437">
          <cell r="D6437" t="str">
            <v>12015550   -   280 MP - 4F P2S   -   0.30642</v>
          </cell>
        </row>
        <row r="6438">
          <cell r="D6438" t="str">
            <v>12015423   -   CLIP - CONN   -   0.0173</v>
          </cell>
        </row>
        <row r="6439">
          <cell r="D6439" t="str">
            <v>12015409   -   COVER - JCT BLOCK   -   0.15958</v>
          </cell>
        </row>
        <row r="6440">
          <cell r="D6440" t="str">
            <v>12015344S   -   CONN   -   0.0578</v>
          </cell>
        </row>
        <row r="6441">
          <cell r="D6441" t="str">
            <v>12015308   -   CONN 8F P/C EDGBD-STD   -   0.1237</v>
          </cell>
        </row>
        <row r="6442">
          <cell r="D6442" t="str">
            <v>12015307   -   CONNECTOR - M/P 6 MIXED F   -   0.13663</v>
          </cell>
        </row>
        <row r="6443">
          <cell r="D6443" t="str">
            <v>12015271S   -   CONNECTOR   -   0.0699</v>
          </cell>
        </row>
        <row r="6444">
          <cell r="D6444" t="str">
            <v>12015266   -   CONNECTOR - 4 W - STACKED   -   0.03885</v>
          </cell>
        </row>
        <row r="6445">
          <cell r="D6445" t="str">
            <v>12015256   -   56 SER - 1M   -   0.02803</v>
          </cell>
        </row>
        <row r="6446">
          <cell r="D6446" t="str">
            <v>12015199S   -   CONNECTOR   -   0.0313</v>
          </cell>
        </row>
        <row r="6447">
          <cell r="D6447" t="str">
            <v>12015172   -   CONNECTOR INSERT - RED   -   0.16724</v>
          </cell>
        </row>
        <row r="6448">
          <cell r="D6448" t="str">
            <v>12015162   -   CONNECTOR - 5 WAY - 56 SERIES   -   0.05622</v>
          </cell>
        </row>
        <row r="6449">
          <cell r="D6449" t="str">
            <v>12015128   -   CONDUIT FITTING   -   0.03131</v>
          </cell>
        </row>
        <row r="6450">
          <cell r="D6450" t="str">
            <v>12015039   -   CONDUIT FITTING   -   0.063</v>
          </cell>
        </row>
        <row r="6451">
          <cell r="D6451" t="str">
            <v>12010893   -   56 SER - 2F   -   0.097</v>
          </cell>
        </row>
        <row r="6452">
          <cell r="D6452" t="str">
            <v>12010889   -   CONNECTOR BODY - WEATHER PACK SERIES   -   0.16236</v>
          </cell>
        </row>
        <row r="6453">
          <cell r="D6453" t="str">
            <v>12010785   -   PACK ON II - 1M   -   0.052</v>
          </cell>
        </row>
        <row r="6454">
          <cell r="D6454" t="str">
            <v>12010776   -   CONNECTOR   -   0.0499</v>
          </cell>
        </row>
        <row r="6455">
          <cell r="D6455" t="str">
            <v>12010752   -   PACK ON II - 1M   -   0.052</v>
          </cell>
        </row>
        <row r="6456">
          <cell r="D6456" t="str">
            <v>12010739   -   CONNECTORS   -   0.04435</v>
          </cell>
        </row>
        <row r="6457">
          <cell r="D6457" t="str">
            <v>12010722   -   CONN-P.C EDGEBOARD 18W   -   0.14253</v>
          </cell>
        </row>
        <row r="6458">
          <cell r="D6458" t="str">
            <v>12010720   -   CONN-P.C EDGEBOARD 22W   -   0.138</v>
          </cell>
        </row>
        <row r="6459">
          <cell r="D6459" t="str">
            <v>12010501   -   CONN   -   0.1093</v>
          </cell>
        </row>
        <row r="6460">
          <cell r="D6460" t="str">
            <v>12010427   -   CONNECTOR   -   0.03327</v>
          </cell>
        </row>
        <row r="6461">
          <cell r="D6461" t="str">
            <v>12010318   -   56 SER - 4F   -   0.314</v>
          </cell>
        </row>
        <row r="6462">
          <cell r="D6462" t="str">
            <v>12010267   -   CLIP - SECONDARY LOCK   -   0.0259</v>
          </cell>
        </row>
        <row r="6463">
          <cell r="D6463" t="str">
            <v>12010259   -   CONDUIT FITTING   -   0.07573</v>
          </cell>
        </row>
        <row r="6464">
          <cell r="D6464" t="str">
            <v>12010231   -   CONN BODY   -   0.1259</v>
          </cell>
        </row>
        <row r="6465">
          <cell r="D6465" t="str">
            <v>12010175   -   CONN BODY   -   0.19206</v>
          </cell>
        </row>
        <row r="6466">
          <cell r="D6466" t="str">
            <v>12010137   -   CONN BODY   -   0.1199</v>
          </cell>
        </row>
        <row r="6467">
          <cell r="D6467" t="str">
            <v>12010136   -   CONN BODY   -   0.108</v>
          </cell>
        </row>
        <row r="6468">
          <cell r="D6468" t="str">
            <v>12010134   -   CONN BODY   -   0.0396</v>
          </cell>
        </row>
        <row r="6469">
          <cell r="D6469" t="str">
            <v>12010131   -   CONN BODY   -   0.0815</v>
          </cell>
        </row>
        <row r="6470">
          <cell r="D6470" t="str">
            <v>12010128   -   CONN BODY   -   0.0593</v>
          </cell>
        </row>
        <row r="6471">
          <cell r="D6471" t="str">
            <v>12010103   -   LAMP SOCKET   -   0.0882</v>
          </cell>
        </row>
        <row r="6472">
          <cell r="D6472" t="str">
            <v>12010031   -   CONNECTOR - PACK CON   -   0.1536</v>
          </cell>
        </row>
        <row r="6473">
          <cell r="D6473" t="str">
            <v>12004896   -   56 SER - 4M   -   0.0711</v>
          </cell>
        </row>
        <row r="6474">
          <cell r="D6474" t="str">
            <v>12004888   -   PACK ON 1 HD - 1M   -   0.031</v>
          </cell>
        </row>
        <row r="6475">
          <cell r="D6475" t="str">
            <v>12004887   -   PACK ON 1 HD - 1M   -   0.0231</v>
          </cell>
        </row>
        <row r="6476">
          <cell r="D6476" t="str">
            <v>12004886   -   PACK ON 1 HD - 1M   -   0.023</v>
          </cell>
        </row>
        <row r="6477">
          <cell r="D6477" t="str">
            <v>12004884   -   PACK ON 1 HD - 1M   -   0.023</v>
          </cell>
        </row>
        <row r="6478">
          <cell r="D6478" t="str">
            <v>12004832   -   P/ CONN - 10W   -   0.08725</v>
          </cell>
        </row>
        <row r="6479">
          <cell r="D6479" t="str">
            <v>12004830   -   CONN BODY   -   0.1896</v>
          </cell>
        </row>
        <row r="6480">
          <cell r="D6480" t="str">
            <v>12004740   -   PACK ON II - 1M   -   0.046</v>
          </cell>
        </row>
        <row r="6481">
          <cell r="D6481" t="str">
            <v>12004714   -   CONN BODY   -   0.3145</v>
          </cell>
        </row>
        <row r="6482">
          <cell r="D6482" t="str">
            <v>12004700   -   CONNECTOR   -   0.11207</v>
          </cell>
        </row>
        <row r="6483">
          <cell r="D6483" t="str">
            <v>12004629   -   CONNECTOR - 5 F - MIXED   -   0.093149</v>
          </cell>
        </row>
        <row r="6484">
          <cell r="D6484" t="str">
            <v>12004545   -   RADIO - 4F   -   0.046</v>
          </cell>
        </row>
        <row r="6485">
          <cell r="D6485" t="str">
            <v>12004374   -   CONNECTOR - 8 F - 56 SERIES   -   0.1963</v>
          </cell>
        </row>
        <row r="6486">
          <cell r="D6486" t="str">
            <v>12004338   -   CONNECTOR - 4 F - 56 SERIES   -   0.0473</v>
          </cell>
        </row>
        <row r="6487">
          <cell r="D6487" t="str">
            <v>12004333   -   CONN BODY   -   0.0479</v>
          </cell>
        </row>
        <row r="6488">
          <cell r="D6488" t="str">
            <v>12004267S   -   CONNECTOR   -   0.0128</v>
          </cell>
        </row>
        <row r="6489">
          <cell r="D6489" t="str">
            <v>12004264   -   CONNECTOR   -   0.0473</v>
          </cell>
        </row>
        <row r="6490">
          <cell r="D6490" t="str">
            <v>12004258   -   CLIP -   -   0.021696</v>
          </cell>
        </row>
        <row r="6491">
          <cell r="D6491" t="str">
            <v>12004119   -   CLIP - HARNESS   -   0.01727</v>
          </cell>
        </row>
        <row r="6492">
          <cell r="D6492" t="str">
            <v>12004035   -   PACK ON II - 1M   -   0.083</v>
          </cell>
        </row>
        <row r="6493">
          <cell r="D6493" t="str">
            <v>10846877   -   CONN   -   0.278892</v>
          </cell>
        </row>
        <row r="6494">
          <cell r="D6494" t="str">
            <v>10846849   -   CONN 8 M FLAT CONN 4.8 BLK   -   0.064232</v>
          </cell>
        </row>
        <row r="6495">
          <cell r="D6495" t="str">
            <v>10812150   -   SPT-KUPPLUNG1-FACH   -   0.219625</v>
          </cell>
        </row>
        <row r="6496">
          <cell r="D6496" t="str">
            <v>10811301   -   CONN 2 BLK   -   0.020864</v>
          </cell>
        </row>
        <row r="6497">
          <cell r="D6497" t="str">
            <v>10811229   -   CONN 3F   -   0.161304</v>
          </cell>
        </row>
        <row r="6498">
          <cell r="D6498" t="str">
            <v>10811131   -   ZASUVKA 6.P. CE-FI   -   0.052321</v>
          </cell>
        </row>
        <row r="6499">
          <cell r="D6499" t="str">
            <v>10811089   -   CONNECTOR   -   0.070852</v>
          </cell>
        </row>
        <row r="6500">
          <cell r="D6500" t="str">
            <v>10810954   -   STECKER4-FACH   -   0.924565</v>
          </cell>
        </row>
        <row r="6501">
          <cell r="D6501" t="str">
            <v>10810347   -   ZASUVKA 8.P. MT 1.5 CE   -   0.119113</v>
          </cell>
        </row>
        <row r="6502">
          <cell r="D6502" t="str">
            <v>10793265   -   POTENTIALVERTEILER 7-POL.   -   0.09676</v>
          </cell>
        </row>
        <row r="6503">
          <cell r="D6503" t="str">
            <v>10793264   -   POTENTIALVERTEILER 3-POL. A   -   0.065457</v>
          </cell>
        </row>
        <row r="6504">
          <cell r="D6504" t="str">
            <v>10793263   -   POTENTIALVERTEILER 3-POL. B   -   0.065457</v>
          </cell>
        </row>
        <row r="6505">
          <cell r="D6505" t="str">
            <v>10793262   -   POTENTIALVERTEILER 4-POL.   -   0.070689</v>
          </cell>
        </row>
        <row r="6506">
          <cell r="D6506" t="str">
            <v>10793256   -   STECKH?LSENGEH?USE2POL.SLK2,8COD.B   -   0.064889</v>
          </cell>
        </row>
        <row r="6507">
          <cell r="D6507" t="str">
            <v>10793255   -   POTENTIALVERTEILER 3-POL. C   -   0.074563</v>
          </cell>
        </row>
        <row r="6508">
          <cell r="D6508" t="str">
            <v>10793254   -   POTENTIALVERTEILER 3-POL. D   -   0.074563</v>
          </cell>
        </row>
        <row r="6509">
          <cell r="D6509" t="str">
            <v>10789023   -   VIDLICE 10.P. CE-FI   -   0.057887</v>
          </cell>
        </row>
        <row r="6510">
          <cell r="D6510" t="str">
            <v>10788963   -   COV BLK   -   0.143715</v>
          </cell>
        </row>
        <row r="6511">
          <cell r="D6511" t="str">
            <v>10788797   -   ZASUVKA 6.P. HN-FI   -   0.052321</v>
          </cell>
        </row>
        <row r="6512">
          <cell r="D6512" t="str">
            <v>10788568   -   COV BLK   -   0.182121</v>
          </cell>
        </row>
        <row r="6513">
          <cell r="D6513" t="str">
            <v>10787732   -   4POL MQSKUPPLUNG FOLIE FS   -   0.060648</v>
          </cell>
        </row>
        <row r="6514">
          <cell r="D6514" t="str">
            <v>10787731   -   CONN 3F   -   0.053245</v>
          </cell>
        </row>
        <row r="6515">
          <cell r="D6515" t="str">
            <v>10780378   -   COV CONN GRN   -   0.02616</v>
          </cell>
        </row>
        <row r="6516">
          <cell r="D6516" t="str">
            <v>10780277   -   CONN   -   0.295969</v>
          </cell>
        </row>
        <row r="6517">
          <cell r="D6517" t="str">
            <v>10780064   -   CONNECTOR   -   0.062284</v>
          </cell>
        </row>
        <row r="6518">
          <cell r="D6518" t="str">
            <v>10779942   -   CONN 4 M BLK   -   1.509846</v>
          </cell>
        </row>
        <row r="6519">
          <cell r="D6519" t="str">
            <v>10779749   -   CONN COVER   -   0.44</v>
          </cell>
        </row>
        <row r="6520">
          <cell r="D6520" t="str">
            <v>10779748   -   CONN 3WAY   -   0.4</v>
          </cell>
        </row>
        <row r="6521">
          <cell r="D6521" t="str">
            <v>10779538   -   3-P STECKHUELSENG.FBLTG.   -   0.364275</v>
          </cell>
        </row>
        <row r="6522">
          <cell r="D6522" t="str">
            <v>10779520   -   TELESO 50.P.   -   0.711463</v>
          </cell>
        </row>
        <row r="6523">
          <cell r="D6523" t="str">
            <v>10779519   -   KRYT ZASUVKY 75.P.   -   0.358565</v>
          </cell>
        </row>
        <row r="6524">
          <cell r="D6524" t="str">
            <v>10779144   -   CONNEKTOR   -   0.819589</v>
          </cell>
        </row>
        <row r="6525">
          <cell r="D6525" t="str">
            <v>10779130   -   PIECE MINITIMER 2V   -   0.173627</v>
          </cell>
        </row>
        <row r="6526">
          <cell r="D6526" t="str">
            <v>10778496   -   CX 12 CAV AZ 174-058-5   -   0.310196</v>
          </cell>
        </row>
        <row r="6527">
          <cell r="D6527" t="str">
            <v>10778254   -   CONN   -   0.055667</v>
          </cell>
        </row>
        <row r="6528">
          <cell r="D6528" t="str">
            <v>10777602   -   CONN 6M   -   0.2532</v>
          </cell>
        </row>
        <row r="6529">
          <cell r="D6529" t="str">
            <v>10777565   -   CONN   -   0.311699</v>
          </cell>
        </row>
        <row r="6530">
          <cell r="D6530" t="str">
            <v>10776878   -   CX " 2 BR 96139433   -   0.20748</v>
          </cell>
        </row>
        <row r="6531">
          <cell r="D6531" t="str">
            <v>10776835   -   VIDLICE 10.P. OR   -   0.057887</v>
          </cell>
        </row>
        <row r="6532">
          <cell r="D6532" t="str">
            <v>10775904   -   CONN F   -   0.990278</v>
          </cell>
        </row>
        <row r="6533">
          <cell r="D6533" t="str">
            <v>10775788   -   SPT-KUPPLUNG1-FACH   -   0.142179</v>
          </cell>
        </row>
        <row r="6534">
          <cell r="D6534" t="str">
            <v>10775458   -   ASM. LOCKING CONNECTOR 17032029   -   2.78181</v>
          </cell>
        </row>
        <row r="6535">
          <cell r="D6535" t="str">
            <v>10775452   -   CONNECTOR   -   13.751496</v>
          </cell>
        </row>
        <row r="6536">
          <cell r="D6536" t="str">
            <v>10775081   -   CONECTOR 5 VIAS NG (FASTIN-FAS   -   0.71</v>
          </cell>
        </row>
        <row r="6537">
          <cell r="D6537" t="str">
            <v>10774944   -   CONN   -   1.396187</v>
          </cell>
        </row>
        <row r="6538">
          <cell r="D6538" t="str">
            <v>10774867   -   KONTAKTTRAEGER   -   2.924067</v>
          </cell>
        </row>
        <row r="6539">
          <cell r="D6539" t="str">
            <v>10774407   -   14.917.92 SECONDARY-LOCK AMP AZUL 60 VIA   -   0.648979</v>
          </cell>
        </row>
        <row r="6540">
          <cell r="D6540" t="str">
            <v>10774379   -   VIDLICE 10.P. MO-FI   -   0.057887</v>
          </cell>
        </row>
        <row r="6541">
          <cell r="D6541" t="str">
            <v>10774376   -   ZASUVKA 6.P. RU   -   0.052321</v>
          </cell>
        </row>
        <row r="6542">
          <cell r="D6542" t="str">
            <v>10774375   -   CX 10 BL 1J0937733D   -   0.05566</v>
          </cell>
        </row>
        <row r="6543">
          <cell r="D6543" t="str">
            <v>10769556   -   3POL MQSKUPPLUNG FOLIE KS   -   0.053245</v>
          </cell>
        </row>
        <row r="6544">
          <cell r="D6544" t="str">
            <v>10769555   -   3POL MQSKUPPLUNG FOLIE FS   -   0.05861</v>
          </cell>
        </row>
        <row r="6545">
          <cell r="D6545" t="str">
            <v>10769554   -   4POL MQSKUPPLUNG FOLIE KS   -   0.054291</v>
          </cell>
        </row>
        <row r="6546">
          <cell r="D6546" t="str">
            <v>10769553   -   CONN 6F   -   0.060648</v>
          </cell>
        </row>
        <row r="6547">
          <cell r="D6547" t="str">
            <v>10769552   -   CONN 2F   -   0.055438</v>
          </cell>
        </row>
        <row r="6548">
          <cell r="D6548" t="str">
            <v>10769507   -   CONN 14 F RECEPTACLE 2.8 BLK SEALED   -   0.455303</v>
          </cell>
        </row>
        <row r="6549">
          <cell r="D6549" t="str">
            <v>10769458   -   8POL MQSKUPPLUNG FOLIE FS   -   0.06657</v>
          </cell>
        </row>
        <row r="6550">
          <cell r="D6550" t="str">
            <v>10769337   -   04.084.09 TER AMP 163081-7 SAAB 9519398   -   0.238739</v>
          </cell>
        </row>
        <row r="6551">
          <cell r="D6551" t="str">
            <v>10769308   -   CONN 1F   -   0.170187</v>
          </cell>
        </row>
        <row r="6552">
          <cell r="D6552" t="str">
            <v>10769307   -   CONN 1F MISC BLACK   -   0.170187</v>
          </cell>
        </row>
        <row r="6553">
          <cell r="D6553" t="str">
            <v>10769129   -   VKS PLUS CONN.   -   0.639105</v>
          </cell>
        </row>
        <row r="6554">
          <cell r="D6554" t="str">
            <v>10769048   -   MKR PLUS CONN.   -   0.302225</v>
          </cell>
        </row>
        <row r="6555">
          <cell r="D6555" t="str">
            <v>10768919   -   CONN 3 M QUADLOK MICRO WHT   -   0.075999</v>
          </cell>
        </row>
        <row r="6556">
          <cell r="D6556" t="str">
            <v>10768882   -   CONN   -   0.233774</v>
          </cell>
        </row>
        <row r="6557">
          <cell r="D6557" t="str">
            <v>10768737   -   CONN   -   0.130913</v>
          </cell>
        </row>
        <row r="6558">
          <cell r="D6558" t="str">
            <v>10768630   -   CONN, 48 M BK   -   0.569175</v>
          </cell>
        </row>
        <row r="6559">
          <cell r="D6559" t="str">
            <v>10768617   -   CONNECTOR   -   0.065846</v>
          </cell>
        </row>
        <row r="6560">
          <cell r="D6560" t="str">
            <v>10768569   -   6F CONNECTOR   -   0.405308</v>
          </cell>
        </row>
        <row r="6561">
          <cell r="D6561" t="str">
            <v>10763419   -   CONN 2F   -   0.041667</v>
          </cell>
        </row>
        <row r="6562">
          <cell r="D6562" t="str">
            <v>10763181   -   1-P. GEHAEUSE REV. D   -   0.056807</v>
          </cell>
        </row>
        <row r="6563">
          <cell r="D6563" t="str">
            <v>10763113   -   KONTAKTTRAEGER   -   2.248237</v>
          </cell>
        </row>
        <row r="6564">
          <cell r="D6564" t="str">
            <v>10762677   -   CONNECTOR 4F   -   0.16431</v>
          </cell>
        </row>
        <row r="6565">
          <cell r="D6565" t="str">
            <v>10762664   -   STECKERGEH?USECOD.BSLK2,8 3POL.   -   0.067672</v>
          </cell>
        </row>
        <row r="6566">
          <cell r="D6566" t="str">
            <v>10762434   -   CONN   -   0.170321</v>
          </cell>
        </row>
        <row r="6567">
          <cell r="D6567" t="str">
            <v>10762430   -   CONN   -   0.170321</v>
          </cell>
        </row>
        <row r="6568">
          <cell r="D6568" t="str">
            <v>10762429   -   CONN   -   0.182121</v>
          </cell>
        </row>
        <row r="6569">
          <cell r="D6569" t="str">
            <v>10762306   -   CONN   -   0.119113</v>
          </cell>
        </row>
        <row r="6570">
          <cell r="D6570" t="str">
            <v>10757030   -   STECKH?LSENGEH?USE 4-POL. SLK 2,8 KOD A   -   0.065457</v>
          </cell>
        </row>
        <row r="6571">
          <cell r="D6571" t="str">
            <v>10757026S   -   CONN   -   0.219358</v>
          </cell>
        </row>
        <row r="6572">
          <cell r="D6572" t="str">
            <v>10756903   -   CONN 2 F RECEPTACLE 4.8 BLK   -   0.0295</v>
          </cell>
        </row>
        <row r="6573">
          <cell r="D6573" t="str">
            <v>10756745S   -   CONNECTOR   -   0.125926</v>
          </cell>
        </row>
        <row r="6574">
          <cell r="D6574" t="str">
            <v>10756677   -   CONNECTOR   -   0.154959</v>
          </cell>
        </row>
        <row r="6575">
          <cell r="D6575" t="str">
            <v>10756676   -   CONNECTOR   -   0.136</v>
          </cell>
        </row>
        <row r="6576">
          <cell r="D6576" t="str">
            <v>10756657   -   CONN 4F   -   0.049972</v>
          </cell>
        </row>
        <row r="6577">
          <cell r="D6577" t="str">
            <v>10756344   -   COV CONN QUAD BLK   -   0.353455</v>
          </cell>
        </row>
        <row r="6578">
          <cell r="D6578" t="str">
            <v>10756290   -   ASSY SUPPORT 8F   -   0.188455</v>
          </cell>
        </row>
        <row r="6579">
          <cell r="D6579" t="str">
            <v>10756282   -   CONNECTOR 10 WAY BLACK   -   11.481662</v>
          </cell>
        </row>
        <row r="6580">
          <cell r="D6580" t="str">
            <v>10753987   -   CONN,F,2-W,BLACK   -   0.023043</v>
          </cell>
        </row>
        <row r="6581">
          <cell r="D6581" t="str">
            <v>10750628   -   CX CAIXA 5 191972755   -   0.091283</v>
          </cell>
        </row>
        <row r="6582">
          <cell r="D6582" t="str">
            <v>10749403   -   CONN 8 M TAB 1.5 BLK SEALED   -   0.170321</v>
          </cell>
        </row>
        <row r="6583">
          <cell r="D6583" t="str">
            <v>10749362   -   PIN TERMINAL   -   0.0419</v>
          </cell>
        </row>
        <row r="6584">
          <cell r="D6584" t="str">
            <v>10748605   -   CONN 45 FUSE BUS BLK   -   2.496594</v>
          </cell>
        </row>
        <row r="6585">
          <cell r="D6585" t="str">
            <v>10740629   -   DOUBLE VERROU   -   0.055449</v>
          </cell>
        </row>
        <row r="6586">
          <cell r="D6586" t="str">
            <v>10739965   -   2POL.STECKHUE.GEH.ZFW2-80   -   0.426882</v>
          </cell>
        </row>
        <row r="6587">
          <cell r="D6587" t="str">
            <v>10739964   -   2POL.STECKHUE.GEH.ZFW2-79   -   0.426882</v>
          </cell>
        </row>
        <row r="6588">
          <cell r="D6588" t="str">
            <v>10738109   -   CONN   -   0.08978</v>
          </cell>
        </row>
        <row r="6589">
          <cell r="D6589" t="str">
            <v>10738103   -   6 WAY FEMALE   -   0.0781</v>
          </cell>
        </row>
        <row r="6590">
          <cell r="D6590" t="str">
            <v>10733812   -   CONNECTOR 4 WAY   -   0.144</v>
          </cell>
        </row>
        <row r="6591">
          <cell r="D6591" t="str">
            <v>10732812   -   SPT-KUPPLUNG1-FACH   -   0.15114</v>
          </cell>
        </row>
        <row r="6592">
          <cell r="D6592" t="str">
            <v>10732700   -   AB   -   1.411549</v>
          </cell>
        </row>
        <row r="6593">
          <cell r="D6593" t="str">
            <v>10731360   -   FUSE BLOCK   -   1.992199</v>
          </cell>
        </row>
        <row r="6594">
          <cell r="D6594" t="str">
            <v>10726748   -   CONN 8F   -   0.140409</v>
          </cell>
        </row>
        <row r="6595">
          <cell r="D6595" t="str">
            <v>10726517   -   CON.6W   -   0.23934</v>
          </cell>
        </row>
        <row r="6596">
          <cell r="D6596" t="str">
            <v>10725757   -   CONNECTOR   -   0.015195</v>
          </cell>
        </row>
        <row r="6597">
          <cell r="D6597" t="str">
            <v>10724747   -   CX 16 SW 44397280   -   0.405765</v>
          </cell>
        </row>
        <row r="6598">
          <cell r="D6598" t="str">
            <v>10724721   -   1410976   -   0.137058</v>
          </cell>
        </row>
        <row r="6599">
          <cell r="D6599" t="str">
            <v>10724207   -   STECKER3-FACH   -   0.228598</v>
          </cell>
        </row>
        <row r="6600">
          <cell r="D6600" t="str">
            <v>10724154   -   CONN M 4-WAY   -   0.139819</v>
          </cell>
        </row>
        <row r="6601">
          <cell r="D6601" t="str">
            <v>10723968   -   16.T14.90 CON AMP FASTON 6 VIAS 925276-0   -   0.076266</v>
          </cell>
        </row>
        <row r="6602">
          <cell r="D6602" t="str">
            <v>10723798   -   CX POS 3219 4 VIAS NT 031 545   -   0.118958</v>
          </cell>
        </row>
        <row r="6603">
          <cell r="D6603" t="str">
            <v>10723704   -   CONNECTOR AFS   -   0.059156</v>
          </cell>
        </row>
        <row r="6604">
          <cell r="D6604" t="str">
            <v>10723617   -   FUSE   -   0.087532</v>
          </cell>
        </row>
        <row r="6605">
          <cell r="D6605" t="str">
            <v>10723573   -   15.852.96 CON AMP 926474-5 2V NG JD 57M7   -   0.103818</v>
          </cell>
        </row>
        <row r="6606">
          <cell r="D6606" t="str">
            <v>10723501   -   MIC FM KON.20Y KAHVE   -   0.124679</v>
          </cell>
        </row>
        <row r="6607">
          <cell r="D6607" t="str">
            <v>10723408   -   CX 3 CAV NT   -   0.047245</v>
          </cell>
        </row>
        <row r="6608">
          <cell r="D6608" t="str">
            <v>10723313   -   CONNECTOR   -   0.087532</v>
          </cell>
        </row>
        <row r="6609">
          <cell r="D6609" t="str">
            <v>10723303   -   COVER BLK   -   0.559054</v>
          </cell>
        </row>
        <row r="6610">
          <cell r="D6610" t="str">
            <v>10723035   -   WDF 2 CONN   -   0.075654</v>
          </cell>
        </row>
        <row r="6611">
          <cell r="D6611" t="str">
            <v>10722964   -   CONNECTOR   -   0.052365</v>
          </cell>
        </row>
        <row r="6612">
          <cell r="D6612" t="str">
            <v>10722705   -   KONTAKTTRAEGER   -   0.897692</v>
          </cell>
        </row>
        <row r="6613">
          <cell r="D6613" t="str">
            <v>10722540   -   FLACHSTECKHUELSENG   -   0.222642</v>
          </cell>
        </row>
        <row r="6614">
          <cell r="D6614" t="str">
            <v>10722408   -   KONTAKTTRAEGER   -   1.791488</v>
          </cell>
        </row>
        <row r="6615">
          <cell r="D6615" t="str">
            <v>10722361   -   CX 4 VIAS PR 191 972   -   0.076255</v>
          </cell>
        </row>
        <row r="6616">
          <cell r="D6616" t="str">
            <v>10722354   -   CONN   -   0.03117</v>
          </cell>
        </row>
        <row r="6617">
          <cell r="D6617" t="str">
            <v>10722220   -   CX 8 CAV RD 357 953   -   0.088222</v>
          </cell>
        </row>
        <row r="6618">
          <cell r="D6618" t="str">
            <v>10722219   -   CX 357 953   -   0.102115</v>
          </cell>
        </row>
        <row r="6619">
          <cell r="D6619" t="str">
            <v>10722217   -   15.667.97 CO AMP 928580.1 VW 357.953.971   -   0.102115</v>
          </cell>
        </row>
        <row r="6620">
          <cell r="D6620" t="str">
            <v>10722212   -   CONN   -   0.033619</v>
          </cell>
        </row>
        <row r="6621">
          <cell r="D6621" t="str">
            <v>10722205   -   CONN   -   0.033396</v>
          </cell>
        </row>
        <row r="6622">
          <cell r="D6622" t="str">
            <v>10722203   -   CONN   -   0.038962</v>
          </cell>
        </row>
        <row r="6623">
          <cell r="D6623" t="str">
            <v>10722202   -   CONN   -   0.038962</v>
          </cell>
        </row>
        <row r="6624">
          <cell r="D6624" t="str">
            <v>10722159   -   KONTAKTTRAEGER   -   2.822208</v>
          </cell>
        </row>
        <row r="6625">
          <cell r="D6625" t="str">
            <v>10722107   -   ZASUVKA 2.P. JPT BI   -   0.052933</v>
          </cell>
        </row>
        <row r="6626">
          <cell r="D6626" t="str">
            <v>10722030   -   CX 3 VIAS PR 1H0 973   -   0.77761</v>
          </cell>
        </row>
        <row r="6627">
          <cell r="D6627" t="str">
            <v>10722020   -   CONNECTOR   -   0.342868</v>
          </cell>
        </row>
        <row r="6628">
          <cell r="D6628" t="str">
            <v>10721870   -   CONN 6 M MIXED VLT   -   0.136591</v>
          </cell>
        </row>
        <row r="6629">
          <cell r="D6629" t="str">
            <v>10721826   -   SPT-KUPPLUNG1-FACH   -   0.264988</v>
          </cell>
        </row>
        <row r="6630">
          <cell r="D6630" t="str">
            <v>10721514   -   CONNECTOR 4F   -   0.1058</v>
          </cell>
        </row>
        <row r="6631">
          <cell r="D6631" t="str">
            <v>10721392   -   16.850.93 CO 252605 AMP 0-281371-0 4V BC   -   0.031827</v>
          </cell>
        </row>
        <row r="6632">
          <cell r="D6632" t="str">
            <v>10721334   -   CX 2 VIAS 2 CA 443906232A   -   0.199932</v>
          </cell>
        </row>
        <row r="6633">
          <cell r="D6633" t="str">
            <v>10720106   -   CONN 20F BLK   -   0.398418</v>
          </cell>
        </row>
        <row r="6634">
          <cell r="D6634" t="str">
            <v>10718653   -   CONN   -   0.352609</v>
          </cell>
        </row>
        <row r="6635">
          <cell r="D6635" t="str">
            <v>10718629   -   FUSE   -   3.932011</v>
          </cell>
        </row>
        <row r="6636">
          <cell r="D6636" t="str">
            <v>10718628   -   FUSE   -   1.352171</v>
          </cell>
        </row>
        <row r="6637">
          <cell r="D6637" t="str">
            <v>10717733   -   CONN 7-WAY   -   0.31781</v>
          </cell>
        </row>
        <row r="6638">
          <cell r="D6638" t="str">
            <v>12105531    -    CLAMP    -    0.026942</v>
          </cell>
        </row>
        <row r="6639">
          <cell r="D6639" t="str">
            <v>12105539    -    CLAMP    -    0.038</v>
          </cell>
        </row>
        <row r="6640">
          <cell r="D6640" t="str">
            <v>12105562    -    CONNECTOR 26F    -    0.49235</v>
          </cell>
        </row>
        <row r="6641">
          <cell r="D6641" t="str">
            <v>12105564    -    CONN 3M    -    0.324377</v>
          </cell>
        </row>
        <row r="6642">
          <cell r="D6642" t="str">
            <v>12105568    -    CONN 22F    -    0.276256</v>
          </cell>
        </row>
        <row r="6643">
          <cell r="D6643" t="str">
            <v>12105569    -    CONN 8F    -    0.229991</v>
          </cell>
        </row>
        <row r="6644">
          <cell r="D6644" t="str">
            <v>12105570    -    CONN 4F    -    0.131094</v>
          </cell>
        </row>
        <row r="6645">
          <cell r="D6645" t="str">
            <v>12105577    -    COVER    -    0.049159</v>
          </cell>
        </row>
        <row r="6646">
          <cell r="D6646" t="str">
            <v>12105626    -    CLIP    -    0.10687</v>
          </cell>
        </row>
        <row r="6647">
          <cell r="D6647" t="str">
            <v>12105634    -    CLIP    -    0.06716</v>
          </cell>
        </row>
        <row r="6648">
          <cell r="D6648" t="str">
            <v>12105636    -    CLIP    -    0.04713</v>
          </cell>
        </row>
        <row r="6649">
          <cell r="D6649" t="str">
            <v>12105638    -    CLAMP    -    0.073789</v>
          </cell>
        </row>
        <row r="6650">
          <cell r="D6650" t="str">
            <v>12105639    -    CLAMP    -    0.0432</v>
          </cell>
        </row>
        <row r="6651">
          <cell r="D6651" t="str">
            <v>12105648    -    CLIP    -    0.031365</v>
          </cell>
        </row>
        <row r="6652">
          <cell r="D6652" t="str">
            <v>12105649    -    CLIP    -    0.05047</v>
          </cell>
        </row>
        <row r="6653">
          <cell r="D6653" t="str">
            <v>12105652    -    CONNECTOR 26F    -    0.7916</v>
          </cell>
        </row>
        <row r="6654">
          <cell r="D6654" t="str">
            <v>12105655    -    CONN, 8F    -    0.63344</v>
          </cell>
        </row>
        <row r="6655">
          <cell r="D6655" t="str">
            <v>12105658    -    CONN 2F    -    0.111186</v>
          </cell>
        </row>
        <row r="6656">
          <cell r="D6656" t="str">
            <v>12105659    -    CONN 3F    -    0.049689</v>
          </cell>
        </row>
        <row r="6657">
          <cell r="D6657" t="str">
            <v>12105660    -    CONNECTOR 4F    -    0.13843</v>
          </cell>
        </row>
        <row r="6658">
          <cell r="D6658" t="str">
            <v>12105662    -    CONNECTOR 6F    -    0.17719</v>
          </cell>
        </row>
        <row r="6659">
          <cell r="D6659" t="str">
            <v>12105691    -    CONN    -    0.254981</v>
          </cell>
        </row>
        <row r="6660">
          <cell r="D6660" t="str">
            <v>12105696    -    PROTECTOR    -    0.067858</v>
          </cell>
        </row>
        <row r="6661">
          <cell r="D6661" t="str">
            <v>12105704    -    CONN 2F    -    0.087481</v>
          </cell>
        </row>
        <row r="6662">
          <cell r="D6662" t="str">
            <v>12105705    -    CONN 4F    -    0.171471</v>
          </cell>
        </row>
        <row r="6663">
          <cell r="D6663" t="str">
            <v>12105707    -    CONN 1M    -    0.138367</v>
          </cell>
        </row>
        <row r="6664">
          <cell r="D6664" t="str">
            <v>12105709    -    CONN 6F    -    0.172208</v>
          </cell>
        </row>
        <row r="6665">
          <cell r="D6665" t="str">
            <v>12105719    -    CONN 5F    -    0.194562</v>
          </cell>
        </row>
        <row r="6666">
          <cell r="D6666" t="str">
            <v>12105725    -    CONN 1F 090II    -    0.0673</v>
          </cell>
        </row>
        <row r="6667">
          <cell r="D6667" t="str">
            <v>12105748    -    CONN 2M    -    0.114705</v>
          </cell>
        </row>
        <row r="6668">
          <cell r="D6668" t="str">
            <v>12105751    -    CONN 1M    -    0.113197</v>
          </cell>
        </row>
        <row r="6669">
          <cell r="D6669" t="str">
            <v>12105753    -    CONN 22F    -    0.262564</v>
          </cell>
        </row>
        <row r="6670">
          <cell r="D6670" t="str">
            <v>12105755    -    CONN 20F    -    0.310135</v>
          </cell>
        </row>
        <row r="6671">
          <cell r="D6671" t="str">
            <v>12105760    -    CONN 6F    -    0.152806</v>
          </cell>
        </row>
        <row r="6672">
          <cell r="D6672" t="str">
            <v>12105761    -    CONN 9F    -    0.35596</v>
          </cell>
        </row>
        <row r="6673">
          <cell r="D6673" t="str">
            <v>12105767    -    CONN 4F    -    0.165244</v>
          </cell>
        </row>
        <row r="6674">
          <cell r="D6674" t="str">
            <v>12105768    -    CONN 2M    -    0.138731</v>
          </cell>
        </row>
        <row r="6675">
          <cell r="D6675" t="str">
            <v>12105769    -    CLAMP    -    0.0311</v>
          </cell>
        </row>
        <row r="6676">
          <cell r="D6676" t="str">
            <v>12105770    -    CONN 2F-NA    -    0.152929</v>
          </cell>
        </row>
        <row r="6677">
          <cell r="D6677" t="str">
            <v>12105772    -    CONN 13F    -    0.468068</v>
          </cell>
        </row>
        <row r="6678">
          <cell r="D6678" t="str">
            <v>12105773    -    CONN 10F    -    0.447157</v>
          </cell>
        </row>
        <row r="6679">
          <cell r="D6679" t="str">
            <v>12105774    -    CONN    -    0.537433</v>
          </cell>
        </row>
        <row r="6680">
          <cell r="D6680" t="str">
            <v>12105776    -    TAPE SPONGE    -    0.084546</v>
          </cell>
        </row>
        <row r="6681">
          <cell r="D6681" t="str">
            <v>12105791    -    CONN 2F    -    0.324026</v>
          </cell>
        </row>
        <row r="6682">
          <cell r="D6682" t="str">
            <v>12105794    -    CLIP    -    0.0232</v>
          </cell>
        </row>
        <row r="6683">
          <cell r="D6683" t="str">
            <v>12105801    -    CLAMP    -    0.030762</v>
          </cell>
        </row>
        <row r="6684">
          <cell r="D6684" t="str">
            <v>12105808    -    CONNECTOR - 1F    -    0.0231</v>
          </cell>
        </row>
        <row r="6685">
          <cell r="D6685" t="str">
            <v>12105828    -    CONNECTOR    -    0.0261</v>
          </cell>
        </row>
        <row r="6686">
          <cell r="D6686" t="str">
            <v>12105837    -    71201154 LT8/ COVER PVC GN    -    0.038565</v>
          </cell>
        </row>
        <row r="6687">
          <cell r="D6687" t="str">
            <v>12105841    -    CONN 3F    -    0.076503</v>
          </cell>
        </row>
        <row r="6688">
          <cell r="D6688" t="str">
            <v>12105842    -    COVER    -    0.076503</v>
          </cell>
        </row>
        <row r="6689">
          <cell r="D6689" t="str">
            <v>12105843    -    CONN 4F    -    0.171464</v>
          </cell>
        </row>
        <row r="6690">
          <cell r="D6690" t="str">
            <v>12105847    -    CONNECTOR 1F W/TPA    -    0.16612</v>
          </cell>
        </row>
        <row r="6691">
          <cell r="D6691" t="str">
            <v>12105854    -    COVER    -    0.122848</v>
          </cell>
        </row>
        <row r="6692">
          <cell r="D6692" t="str">
            <v>12105860    -    CLIP    -    0.0452</v>
          </cell>
        </row>
        <row r="6693">
          <cell r="D6693" t="str">
            <v>12105861    -    CLIP    -    0.05759</v>
          </cell>
        </row>
        <row r="6694">
          <cell r="D6694" t="str">
            <v>12105862    -    CLIP    -    0.27505</v>
          </cell>
        </row>
        <row r="6695">
          <cell r="D6695" t="str">
            <v>12105864    -    CLIP    -    0.02506</v>
          </cell>
        </row>
        <row r="6696">
          <cell r="D6696" t="str">
            <v>12105865    -    CLIP    -    0.025</v>
          </cell>
        </row>
        <row r="6697">
          <cell r="D6697" t="str">
            <v>12105867    -    CLIP    -    0.0378</v>
          </cell>
        </row>
        <row r="6698">
          <cell r="D6698" t="str">
            <v>12105868    -    CLIP    -    0.03876</v>
          </cell>
        </row>
        <row r="6699">
          <cell r="D6699" t="str">
            <v>12105880    -    COVER    -    0.734874</v>
          </cell>
        </row>
        <row r="6700">
          <cell r="D6700" t="str">
            <v>12105887    -    CLIP    -    0.06298</v>
          </cell>
        </row>
        <row r="6701">
          <cell r="D6701" t="str">
            <v>12105897    -    CONN 3M 090II N    -    0.125</v>
          </cell>
        </row>
        <row r="6702">
          <cell r="D6702" t="str">
            <v>12105898    -    SOCKET    -    0.044434</v>
          </cell>
        </row>
        <row r="6703">
          <cell r="D6703" t="str">
            <v>12105901    -    CONN 4M    -    0.162658</v>
          </cell>
        </row>
        <row r="6704">
          <cell r="D6704" t="str">
            <v>12105904    -    CONNECTOR 4F    -    1.02979</v>
          </cell>
        </row>
        <row r="6705">
          <cell r="D6705" t="str">
            <v>12105911    -    CONN 2F    -    0.105758</v>
          </cell>
        </row>
        <row r="6706">
          <cell r="D6706" t="str">
            <v>12105931    -    CONN 2F    -    0.090992</v>
          </cell>
        </row>
        <row r="6707">
          <cell r="D6707" t="str">
            <v>12105933    -    CONN 6F 090 W/TP    -    0.119329</v>
          </cell>
        </row>
        <row r="6708">
          <cell r="D6708" t="str">
            <v>12105934    -    CONN 2F    -    0.07593</v>
          </cell>
        </row>
        <row r="6709">
          <cell r="D6709" t="str">
            <v>12105939    -    CONNECTOR 2M    -    0.046746</v>
          </cell>
        </row>
        <row r="6710">
          <cell r="D6710" t="str">
            <v>12110041    -    BASE MODULE    -    0.89851</v>
          </cell>
        </row>
        <row r="6711">
          <cell r="D6711" t="str">
            <v>12110043    -    COVER    -    0.6552</v>
          </cell>
        </row>
        <row r="6712">
          <cell r="D6712" t="str">
            <v>12110088    -    CONN 24F MIC/P 100 LT GRA    -    0.1066</v>
          </cell>
        </row>
        <row r="6713">
          <cell r="D6713" t="str">
            <v>12110092    -    TPA    -    0.025589</v>
          </cell>
        </row>
        <row r="6714">
          <cell r="D6714" t="str">
            <v>12110132    -    TPA - 2M M/P 280    -    0.04141</v>
          </cell>
        </row>
        <row r="6715">
          <cell r="D6715" t="str">
            <v>12110135    -    CONDUIT CLIP    -    0.10658</v>
          </cell>
        </row>
        <row r="6716">
          <cell r="D6716" t="str">
            <v>12110146    -    CONNECTOR HOUSING IDC - DIODE    -    0.066552</v>
          </cell>
        </row>
        <row r="6717">
          <cell r="D6717" t="str">
            <v>12110192    -    ASM CONN 3 F M/P 150 BLK SLD    -    0.1146</v>
          </cell>
        </row>
        <row r="6718">
          <cell r="D6718" t="str">
            <v>12110250    -    CONNECTOR    -    0.0735</v>
          </cell>
        </row>
        <row r="6719">
          <cell r="D6719" t="str">
            <v>12110293    -    ASM CONN 3 F M/P 150 BLK SLD    -    0.108037</v>
          </cell>
        </row>
        <row r="6720">
          <cell r="D6720" t="str">
            <v>12110344    -    COMB    -    0.037159</v>
          </cell>
        </row>
        <row r="6721">
          <cell r="D6721" t="str">
            <v>12110361    -    COMB    -    0.02099</v>
          </cell>
        </row>
        <row r="6722">
          <cell r="D6722" t="str">
            <v>12110363    -    COVER - IDC SPLICE    -    0.01735</v>
          </cell>
        </row>
        <row r="6723">
          <cell r="D6723" t="str">
            <v>12110415    -    BASE - FUSEBLOCK MAXI    -    0.5238</v>
          </cell>
        </row>
        <row r="6724">
          <cell r="D6724" t="str">
            <v>12110488    -    RETAINERR    -    0.03693</v>
          </cell>
        </row>
        <row r="6725">
          <cell r="D6725" t="str">
            <v>12110503    -    CPA    -    0.042083</v>
          </cell>
        </row>
        <row r="6726">
          <cell r="D6726" t="str">
            <v>12110539    -    CONN, 5F M/P 280 FLXLK ASM    -    0.2573</v>
          </cell>
        </row>
        <row r="6727">
          <cell r="D6727" t="str">
            <v>12110540    -    ACC1, TPA M/P 280    -    0.0245</v>
          </cell>
        </row>
        <row r="6728">
          <cell r="D6728" t="str">
            <v>12110545    -    STRAIN RELIEF    -    0.5</v>
          </cell>
        </row>
        <row r="6729">
          <cell r="D6729" t="str">
            <v>12110546    -    STRAIN RELIEF    -    0.55</v>
          </cell>
        </row>
        <row r="6730">
          <cell r="D6730" t="str">
            <v>12110595    -    COMB    -    0.119</v>
          </cell>
        </row>
        <row r="6731">
          <cell r="D6731" t="str">
            <v>12110602    -    COVER    -    0.49423</v>
          </cell>
        </row>
        <row r="6732">
          <cell r="D6732" t="str">
            <v>12110763    -    CONN. ASSY.    -    0.56718</v>
          </cell>
        </row>
        <row r="6733">
          <cell r="D6733" t="str">
            <v>12110777    -    CONNECTOR    -    0.080649</v>
          </cell>
        </row>
        <row r="6734">
          <cell r="D6734" t="str">
            <v>12110778    -    TPA    -    0.07013</v>
          </cell>
        </row>
        <row r="6735">
          <cell r="D6735" t="str">
            <v>12110813    -    TPA    -    0.02935</v>
          </cell>
        </row>
        <row r="6736">
          <cell r="D6736" t="str">
            <v>12124107    -    CONN, 6M M/P 150    -    0.0912</v>
          </cell>
        </row>
        <row r="6737">
          <cell r="D6737" t="str">
            <v>12124205    -    CONN HOUSING - 4 PIN    -    0.13578</v>
          </cell>
        </row>
        <row r="6738">
          <cell r="D6738" t="str">
            <v>12124238    -    CONNECTOR HOUSING    -    0.02969</v>
          </cell>
        </row>
        <row r="6739">
          <cell r="D6739" t="str">
            <v>12124239    -    CONNECTOR HOUSING    -    0.032</v>
          </cell>
        </row>
        <row r="6740">
          <cell r="D6740" t="str">
            <v>12124255    -    CONN 16W,FM,BLK,UNSLD    -    0.20475</v>
          </cell>
        </row>
        <row r="6741">
          <cell r="D6741" t="str">
            <v>12124361    -    CONN 3M    -    0.286611</v>
          </cell>
        </row>
        <row r="6742">
          <cell r="D6742" t="str">
            <v>12124632    -    280 MP - 5F    -    0.10278</v>
          </cell>
        </row>
        <row r="6743">
          <cell r="D6743" t="str">
            <v>12124652    -    W/BASE IMP SCKT-GLO    -    0.090365</v>
          </cell>
        </row>
        <row r="6744">
          <cell r="D6744" t="str">
            <v>12124652S    -    CONNECTOR    -    0.091278</v>
          </cell>
        </row>
        <row r="6745">
          <cell r="D6745" t="str">
            <v>12124661    -    CONNECTOR    -    0.0341</v>
          </cell>
        </row>
        <row r="6746">
          <cell r="D6746" t="str">
            <v>12124732    -    STABILIZER 116M M/P MXD    -    0.03041</v>
          </cell>
        </row>
        <row r="6747">
          <cell r="D6747" t="str">
            <v>12124782    -    CONN 7F    -    0.04735</v>
          </cell>
        </row>
        <row r="6748">
          <cell r="D6748" t="str">
            <v>12124782S    -    CONNECTOR    -    0.05045</v>
          </cell>
        </row>
        <row r="6749">
          <cell r="D6749" t="str">
            <v>12124798    -    CLIP    -    0.036414</v>
          </cell>
        </row>
        <row r="6750">
          <cell r="D6750" t="str">
            <v>12124838    -    CONN 3F 110 SER. VALOX 325    -    0.10184</v>
          </cell>
        </row>
        <row r="6751">
          <cell r="D6751" t="str">
            <v>12124839    -    CONN 2F 110 SER. VALOX 325    -    0.0909</v>
          </cell>
        </row>
        <row r="6752">
          <cell r="D6752" t="str">
            <v>12124891    -    CONNECTOR    -    0.022</v>
          </cell>
        </row>
        <row r="6753">
          <cell r="D6753" t="str">
            <v>12124936    -    16 WAY MALE CONNECTOR BLACK    -    0.641618</v>
          </cell>
        </row>
        <row r="6754">
          <cell r="D6754" t="str">
            <v>12124940    -    CONN 12F    -    0.061403</v>
          </cell>
        </row>
        <row r="6755">
          <cell r="D6755" t="str">
            <v>12124941    -    COVER    -    0.066609</v>
          </cell>
        </row>
        <row r="6756">
          <cell r="D6756" t="str">
            <v>12124957    -    CONN 26F    -    0.1581</v>
          </cell>
        </row>
        <row r="6757">
          <cell r="D6757" t="str">
            <v>12124959    -    CPA    -    0.05146</v>
          </cell>
        </row>
        <row r="6758">
          <cell r="D6758" t="str">
            <v>12124960    -    29.021.96 PASADOR AK-5118-NG    -    0.044812</v>
          </cell>
        </row>
        <row r="6759">
          <cell r="D6759" t="str">
            <v>12129021    -    TPA    -    0.075274</v>
          </cell>
        </row>
        <row r="6760">
          <cell r="D6760" t="str">
            <v>12129022    -    TPA    -    0.070817</v>
          </cell>
        </row>
        <row r="6761">
          <cell r="D6761" t="str">
            <v>12129023    -    TPA    -    0.075274</v>
          </cell>
        </row>
        <row r="6762">
          <cell r="D6762" t="str">
            <v>12129024    -    TPA    -    0.075274</v>
          </cell>
        </row>
        <row r="6763">
          <cell r="D6763" t="str">
            <v>12129120    -    BASE 4 MODULES    -    0.821437</v>
          </cell>
        </row>
        <row r="6764">
          <cell r="D6764" t="str">
            <v>12129122    -    COVER    -    0.47834</v>
          </cell>
        </row>
        <row r="6765">
          <cell r="D6765" t="str">
            <v>12129183    -    TPA    -    0.06168</v>
          </cell>
        </row>
        <row r="6766">
          <cell r="D6766" t="str">
            <v>12129206    -    ASM CONN 78M    -    0.882178</v>
          </cell>
        </row>
        <row r="6767">
          <cell r="D6767" t="str">
            <v>12129212    -    COVER    -    0.1982</v>
          </cell>
        </row>
        <row r="6768">
          <cell r="D6768" t="str">
            <v>12129213    -    SECONDARY LOCK    -    0.04943</v>
          </cell>
        </row>
        <row r="6769">
          <cell r="D6769" t="str">
            <v>12129214    -    SECONDARY LOCK    -    0.04868</v>
          </cell>
        </row>
        <row r="6770">
          <cell r="D6770" t="str">
            <v>12129231    -    32WAY FEMALE MIC/P TPA    -    0.301121</v>
          </cell>
        </row>
        <row r="6771">
          <cell r="D6771" t="str">
            <v>12129231S    -    TPA    -    0.32651</v>
          </cell>
        </row>
        <row r="6772">
          <cell r="D6772" t="str">
            <v>12129232    -    32WAY FEMALE MIC/P TPA    -    0.261505</v>
          </cell>
        </row>
        <row r="6773">
          <cell r="D6773" t="str">
            <v>12129232S    -    TPA    -    0.28355</v>
          </cell>
        </row>
        <row r="6774">
          <cell r="D6774" t="str">
            <v>12129233    -    STRAIN RELIEF R/H 32 W MIC/P 100W    -    0.275259</v>
          </cell>
        </row>
        <row r="6775">
          <cell r="D6775" t="str">
            <v>12129234    -    STRAIN RELIEF R/H 32 W MIC/P 100W    -    0.275259</v>
          </cell>
        </row>
        <row r="6776">
          <cell r="D6776" t="str">
            <v>12129374    -    CHANNEL, STRAIN RELIEF BOTTOM    -    0.10414</v>
          </cell>
        </row>
        <row r="6777">
          <cell r="D6777" t="str">
            <v>12129375    -    CHANNEL, STRAIN RELIEF - TOP    -    0.11035</v>
          </cell>
        </row>
        <row r="6778">
          <cell r="D6778" t="str">
            <v>12129384    -    TPA    -    0.036334</v>
          </cell>
        </row>
        <row r="6779">
          <cell r="D6779" t="str">
            <v>12129385    -    CONN 3 M MAXI    -    0.201983</v>
          </cell>
        </row>
        <row r="6780">
          <cell r="D6780" t="str">
            <v>12129386    -    TPA - LVT    -    0.045732</v>
          </cell>
        </row>
        <row r="6781">
          <cell r="D6781" t="str">
            <v>12129487    -    ASM CONN 2 F M/P 280 GRA MD SLD    -    0.107542</v>
          </cell>
        </row>
        <row r="6782">
          <cell r="D6782" t="str">
            <v>12129490    -    CONNECTOR    -    0.0453</v>
          </cell>
        </row>
        <row r="6783">
          <cell r="D6783" t="str">
            <v>12129490S    -    CONNECTOR    -    0.05225</v>
          </cell>
        </row>
        <row r="6784">
          <cell r="D6784" t="str">
            <v>12129492    -    T P A    -    0.0281</v>
          </cell>
        </row>
        <row r="6785">
          <cell r="D6785" t="str">
            <v>12129492S    -    TPA    -    0.0753</v>
          </cell>
        </row>
        <row r="6786">
          <cell r="D6786" t="str">
            <v>12129551    -    CPA    -    0.02435</v>
          </cell>
        </row>
        <row r="6787">
          <cell r="D6787" t="str">
            <v>12129557    -    CAVITY PLUG    -    0.0045</v>
          </cell>
        </row>
        <row r="6788">
          <cell r="D6788" t="str">
            <v>12129557S    -    PLUG CBL SEAL 1W    -    0.00695</v>
          </cell>
        </row>
        <row r="6789">
          <cell r="D6789" t="str">
            <v>12129666    -    STRAIN RELIEF 24W    -    0.14111</v>
          </cell>
        </row>
        <row r="6790">
          <cell r="D6790" t="str">
            <v>12129667    -    CONN - 38F TERM END    -    0.3142</v>
          </cell>
        </row>
        <row r="6791">
          <cell r="D6791" t="str">
            <v>12129669    -    FEMALE LOCK COMB TPA    -    0.03086</v>
          </cell>
        </row>
        <row r="6792">
          <cell r="D6792" t="str">
            <v>12129670    -    MALE LOCK COM TPA    -    0.030862</v>
          </cell>
        </row>
        <row r="6793">
          <cell r="D6793" t="str">
            <v>12129683    -    STRAIN RELIEF    -    0.19164</v>
          </cell>
        </row>
        <row r="6794">
          <cell r="D6794" t="str">
            <v>12129718    -    COVER STUD TOWER    -    0.16346</v>
          </cell>
        </row>
        <row r="6795">
          <cell r="D6795" t="str">
            <v>12129787    -    CLIP    -    0.02285</v>
          </cell>
        </row>
        <row r="6796">
          <cell r="D6796" t="str">
            <v>12129802    -    TPA    -    0.0295</v>
          </cell>
        </row>
        <row r="6797">
          <cell r="D6797" t="str">
            <v>12129802S    -    TPA    -    0.03315</v>
          </cell>
        </row>
        <row r="6798">
          <cell r="D6798" t="str">
            <v>12129833    -    CONVENIENCE CENTER    -    1.210359</v>
          </cell>
        </row>
        <row r="6799">
          <cell r="D6799" t="str">
            <v>12129834    -    COMB - CONV. CTR.    -    0.053397</v>
          </cell>
        </row>
        <row r="6800">
          <cell r="D6800" t="str">
            <v>12129858    -    STRAIN RELIEF    -    0.208286</v>
          </cell>
        </row>
        <row r="6801">
          <cell r="D6801" t="str">
            <v>12129903    -    LAMP SOCKET    -    0.0518</v>
          </cell>
        </row>
        <row r="6802">
          <cell r="D6802" t="str">
            <v>12129946    -    BC CONN-CONNECTOR    -    0.3318</v>
          </cell>
        </row>
        <row r="6803">
          <cell r="D6803" t="str">
            <v>12129996    -    BRACKET MOUNT    -    0.735614</v>
          </cell>
        </row>
        <row r="6804">
          <cell r="D6804" t="str">
            <v>12131201    -    CONNECTOR 55F    -    0.800168</v>
          </cell>
        </row>
        <row r="6805">
          <cell r="D6805" t="str">
            <v>12131201S    -    CONN 55F    -    0.800168</v>
          </cell>
        </row>
        <row r="6806">
          <cell r="D6806" t="str">
            <v>12131220    -    3-P STECKHUELSENGEH. F3-15    -    0.031292</v>
          </cell>
        </row>
        <row r="6807">
          <cell r="D6807" t="str">
            <v>12131238    -    CX 1 CAV BK YPC10165    -    0.016003</v>
          </cell>
        </row>
        <row r="6808">
          <cell r="D6808" t="str">
            <v>12131239    -    CONN, 1F DCN 6.3 UNSLD BLK    -    0.011065</v>
          </cell>
        </row>
        <row r="6809">
          <cell r="D6809" t="str">
            <v>12131316    -    CONN 9F SOCKET    -    0.201526</v>
          </cell>
        </row>
        <row r="6810">
          <cell r="D6810" t="str">
            <v>12131631S    -    CONNECTOR    -    0.325613</v>
          </cell>
        </row>
        <row r="6811">
          <cell r="D6811" t="str">
            <v>12131653    -    CONN 12F    -    0.259</v>
          </cell>
        </row>
        <row r="6812">
          <cell r="D6812" t="str">
            <v>12131753    -    12-P KONTAKTTR. ZF12-3    -    0.050844</v>
          </cell>
        </row>
        <row r="6813">
          <cell r="D6813" t="str">
            <v>12131754    -    ABDECKKAPPE FUER ZF12-3    -    0.055877</v>
          </cell>
        </row>
        <row r="6814">
          <cell r="D6814" t="str">
            <v>12131797    -    CONN, 2M    -    0.60318</v>
          </cell>
        </row>
        <row r="6815">
          <cell r="D6815" t="str">
            <v>12131798    -    CONN    -    0.59889</v>
          </cell>
        </row>
        <row r="6816">
          <cell r="D6816" t="str">
            <v>12131824    -    CAV,PLUG,BLACK    -    0.01685</v>
          </cell>
        </row>
        <row r="6817">
          <cell r="D6817" t="str">
            <v>12131875    -    1W CONNF ACI 43/98    -    0.01178</v>
          </cell>
        </row>
        <row r="6818">
          <cell r="D6818" t="str">
            <v>12131911    -    CONN 6W BLK    -    0.76</v>
          </cell>
        </row>
        <row r="6819">
          <cell r="D6819" t="str">
            <v>12131912    -    COVER 6W RED    -    5.17</v>
          </cell>
        </row>
        <row r="6820">
          <cell r="D6820" t="str">
            <v>12131913    -    MOUNT SPACER    -    0.65</v>
          </cell>
        </row>
        <row r="6821">
          <cell r="D6821" t="str">
            <v>12131935    -    CONNECTOR 8 F U    -    0.26</v>
          </cell>
        </row>
        <row r="6822">
          <cell r="D6822" t="str">
            <v>12132213    -    EXTENDER-SPARK PLUG BOOT    -    0.330074</v>
          </cell>
        </row>
        <row r="6823">
          <cell r="D6823" t="str">
            <v>12132223    -    CLIP    -    0.0526</v>
          </cell>
        </row>
        <row r="6824">
          <cell r="D6824" t="str">
            <v>12132270    -    EXTENDER-SPARK PLUG BOOT    -    0.28</v>
          </cell>
        </row>
        <row r="6825">
          <cell r="D6825" t="str">
            <v>12138028    -    2 POS CONN-FREIGHTLINER    -    0.15754</v>
          </cell>
        </row>
        <row r="6826">
          <cell r="D6826" t="str">
            <v>12138047    -    CONN 35W KIT    -    4.72232</v>
          </cell>
        </row>
        <row r="6827">
          <cell r="D6827" t="str">
            <v>12142919S    -    CONNECTOR    -    0.118865</v>
          </cell>
        </row>
        <row r="6828">
          <cell r="D6828" t="str">
            <v>12146132    -    CLIP    -    0.0782</v>
          </cell>
        </row>
        <row r="6829">
          <cell r="D6829" t="str">
            <v>12146144    -    WIRE ROUTING CAP    -    0.0936</v>
          </cell>
        </row>
        <row r="6830">
          <cell r="D6830" t="str">
            <v>12146187    -    COVER    -    0.0549</v>
          </cell>
        </row>
        <row r="6831">
          <cell r="D6831" t="str">
            <v>12146313    -    STRAIN RELIEF    -    0.19604</v>
          </cell>
        </row>
        <row r="6832">
          <cell r="D6832" t="str">
            <v>12146324    -    CONNECTOR    -    0.43701</v>
          </cell>
        </row>
        <row r="6833">
          <cell r="D6833" t="str">
            <v>12146328    -    COVER    -    0.15657</v>
          </cell>
        </row>
        <row r="6834">
          <cell r="D6834" t="str">
            <v>12146397    -    32W BOW CONN    -    0.2095</v>
          </cell>
        </row>
        <row r="6835">
          <cell r="D6835" t="str">
            <v>12146434S    -    GASKET    -    0.1522</v>
          </cell>
        </row>
        <row r="6836">
          <cell r="D6836" t="str">
            <v>12146815    -    FUSEBLOCK    -    0.44</v>
          </cell>
        </row>
        <row r="6837">
          <cell r="D6837" t="str">
            <v>12146836    -    FUSE BLOCK    -    0.375115</v>
          </cell>
        </row>
        <row r="6838">
          <cell r="D6838" t="str">
            <v>12146902    -    STRAIN RELIEF    -    0.05855</v>
          </cell>
        </row>
        <row r="6839">
          <cell r="D6839" t="str">
            <v>12146953    -    TPA    -    0.025681</v>
          </cell>
        </row>
        <row r="6840">
          <cell r="D6840" t="str">
            <v>12147056    -    2-POL GEH    -    0.053812</v>
          </cell>
        </row>
        <row r="6841">
          <cell r="D6841" t="str">
            <v>12147103    -    26 WAY MALE CONNECTOR BLACK    -    0.348201</v>
          </cell>
        </row>
        <row r="6842">
          <cell r="D6842" t="str">
            <v>12147384    -    CONN 25 F    -    0.564975</v>
          </cell>
        </row>
        <row r="6843">
          <cell r="D6843" t="str">
            <v>12147385    -    CONNECTOR    -    0.31204</v>
          </cell>
        </row>
        <row r="6844">
          <cell r="D6844" t="str">
            <v>12147385S    -    BC CONNECTOR    -    0.24164</v>
          </cell>
        </row>
        <row r="6845">
          <cell r="D6845" t="str">
            <v>12147399    -    CONN 1F    -    0.052895</v>
          </cell>
        </row>
        <row r="6846">
          <cell r="D6846" t="str">
            <v>12147432    -    HOUSING    -    0.063379</v>
          </cell>
        </row>
        <row r="6847">
          <cell r="D6847" t="str">
            <v>12157759    -    1-P GEHAEUSE    -    0.007961</v>
          </cell>
        </row>
        <row r="6848">
          <cell r="D6848" t="str">
            <v>12157951    -    CONN 2F POSITIVE LOCK    -    0.02024</v>
          </cell>
        </row>
        <row r="6849">
          <cell r="D6849" t="str">
            <v>12157952-L    -    BC CONNECTOR    -    0.016975</v>
          </cell>
        </row>
        <row r="6850">
          <cell r="D6850" t="str">
            <v>12158431S    -    CONNECTOR    -    0.131225</v>
          </cell>
        </row>
        <row r="6851">
          <cell r="D6851" t="str">
            <v>12158455    -    CONNECTOR    -    0.396845</v>
          </cell>
        </row>
        <row r="6852">
          <cell r="D6852" t="str">
            <v>12158455S    -    CONN    -    0.396845</v>
          </cell>
        </row>
        <row r="6853">
          <cell r="D6853" t="str">
            <v>12158481    -    CONNECTOR 1W F    -    0.02118</v>
          </cell>
        </row>
        <row r="6854">
          <cell r="D6854" t="str">
            <v>12158575    -    624013 KONCOWKA 0-0962952-2 AMP    -    0.091069</v>
          </cell>
        </row>
        <row r="6855">
          <cell r="D6855" t="str">
            <v>12160247    -    PREMOLD CONECTOR    -    0.457</v>
          </cell>
        </row>
        <row r="6856">
          <cell r="D6856" t="str">
            <v>12160250    -    LAMPSOCKET MINI WB    -    0.03103</v>
          </cell>
        </row>
        <row r="6857">
          <cell r="D6857" t="str">
            <v>12160279    -    INSULATOR - HEADER - 24M    -    0.34353</v>
          </cell>
        </row>
        <row r="6858">
          <cell r="D6858" t="str">
            <v>12160310    -    CONNECTOR ASM.    -    0.113102</v>
          </cell>
        </row>
        <row r="6859">
          <cell r="D6859" t="str">
            <v>12160395    -    LAMP SOCKET BODY    -    0.07461</v>
          </cell>
        </row>
        <row r="6860">
          <cell r="D6860" t="str">
            <v>12160418    -    RETAINER    -    0.052635</v>
          </cell>
        </row>
        <row r="6861">
          <cell r="D6861" t="str">
            <v>12160424    -    STRAIN RELIEF    -    0.08219</v>
          </cell>
        </row>
        <row r="6862">
          <cell r="D6862" t="str">
            <v>12160497    -    CONNECTOR ASM.    -    0.119816</v>
          </cell>
        </row>
        <row r="6863">
          <cell r="D6863" t="str">
            <v>12160529    -    CONN 32F &amp; 6F    -    0.279</v>
          </cell>
        </row>
        <row r="6864">
          <cell r="D6864" t="str">
            <v>12160559    -    FUSEBLOCK    -    1.23712</v>
          </cell>
        </row>
        <row r="6865">
          <cell r="D6865" t="str">
            <v>12160559S    -    BASE    -    1.41386</v>
          </cell>
        </row>
        <row r="6866">
          <cell r="D6866" t="str">
            <v>12160712    -    RETAINER    -    0.11389</v>
          </cell>
        </row>
        <row r="6867">
          <cell r="D6867" t="str">
            <v>12160712S    -    RETAINER    -    0.11389</v>
          </cell>
        </row>
        <row r="6868">
          <cell r="D6868" t="str">
            <v>12160716S    -    CONNECTOR    -    0.101875</v>
          </cell>
        </row>
        <row r="6869">
          <cell r="D6869" t="str">
            <v>12160740    -    TPA    -    0.028749</v>
          </cell>
        </row>
        <row r="6870">
          <cell r="D6870" t="str">
            <v>12160809    -    CLIP, HARNESS    -    0.37065</v>
          </cell>
        </row>
        <row r="6871">
          <cell r="D6871" t="str">
            <v>12160829    -    MAXI MODULE - 6W    -    0.5044</v>
          </cell>
        </row>
        <row r="6872">
          <cell r="D6872" t="str">
            <v>12160893    -    CONN    -    0.077534</v>
          </cell>
        </row>
        <row r="6873">
          <cell r="D6873" t="str">
            <v>12160894    -    CONN    -    0.079488</v>
          </cell>
        </row>
        <row r="6874">
          <cell r="D6874" t="str">
            <v>12160895    -    TPA    -    0.059935</v>
          </cell>
        </row>
        <row r="6875">
          <cell r="D6875" t="str">
            <v>12160897    -    COVER    -    0.2231</v>
          </cell>
        </row>
        <row r="6876">
          <cell r="D6876" t="str">
            <v>12160936    -    RETAINER    -    0.102</v>
          </cell>
        </row>
        <row r="6877">
          <cell r="D6877" t="str">
            <v>12160937    -    RETAINER    -    0.095</v>
          </cell>
        </row>
        <row r="6878">
          <cell r="D6878" t="str">
            <v>12160970    -    INS LAYERS    -    1.17842</v>
          </cell>
        </row>
        <row r="6879">
          <cell r="D6879" t="str">
            <v>12160971    -    INS LAYERS    -    1.17842</v>
          </cell>
        </row>
        <row r="6880">
          <cell r="D6880" t="str">
            <v>12160972    -    INS LAYERS    -    1.17842</v>
          </cell>
        </row>
        <row r="6881">
          <cell r="D6881" t="str">
            <v>12160973    -    INS LAYERS    -    1.17842</v>
          </cell>
        </row>
        <row r="6882">
          <cell r="D6882" t="str">
            <v>12160974    -    INS LAYERS    -    1.17842</v>
          </cell>
        </row>
        <row r="6883">
          <cell r="D6883" t="str">
            <v>12160975    -    INS LAYERS    -    1.17842</v>
          </cell>
        </row>
        <row r="6884">
          <cell r="D6884" t="str">
            <v>12160985    -    COVER TERM RING    -    0.235</v>
          </cell>
        </row>
        <row r="6885">
          <cell r="D6885" t="str">
            <v>12161076    -    FUSE COVER    -    0.22</v>
          </cell>
        </row>
        <row r="6886">
          <cell r="D6886" t="str">
            <v>12161121    -    CLIP RETAINER    -    0.013682</v>
          </cell>
        </row>
        <row r="6887">
          <cell r="D6887" t="str">
            <v>12161185    -    SLIDE CONN    -    0.09858</v>
          </cell>
        </row>
        <row r="6888">
          <cell r="D6888" t="str">
            <v>12161187    -    CONN 15M M/P 280    -    0.18364</v>
          </cell>
        </row>
        <row r="6889">
          <cell r="D6889" t="str">
            <v>12161191    -    SHROUD ASM    -    1.051</v>
          </cell>
        </row>
        <row r="6890">
          <cell r="D6890" t="str">
            <v>12162000    -    CONN 2M M/P 150 SLD BLK    -    0.0596</v>
          </cell>
        </row>
        <row r="6891">
          <cell r="D6891" t="str">
            <v>12162054    -    CONNECTOR    -    0.2176</v>
          </cell>
        </row>
        <row r="6892">
          <cell r="D6892" t="str">
            <v>12162102    -    CONNECTOR-SMART CRAFT DOWNLEAD    -    0.0893</v>
          </cell>
        </row>
        <row r="6893">
          <cell r="D6893" t="str">
            <v>12162126    -    SPANNBAND    -    0.101202</v>
          </cell>
        </row>
        <row r="6894">
          <cell r="D6894" t="str">
            <v>12162142    -    SOCKET CIC-12301    -    0.04</v>
          </cell>
        </row>
        <row r="6895">
          <cell r="D6895" t="str">
            <v>12162144    -    BC CONN-CONNECTOR    -    0.1421</v>
          </cell>
        </row>
        <row r="6896">
          <cell r="D6896" t="str">
            <v>12162147    -    CONN    -    0.26328</v>
          </cell>
        </row>
        <row r="6897">
          <cell r="D6897" t="str">
            <v>12162189    -    ASM CONN 4 F M/P 150.2 BLK SLD    -    0.119249</v>
          </cell>
        </row>
        <row r="6898">
          <cell r="D6898" t="str">
            <v>12162190    -    ASM CONN 4 F M/P 150.2 BLK SLD    -    0.125544</v>
          </cell>
        </row>
        <row r="6899">
          <cell r="D6899" t="str">
            <v>12162193    -    ASM CONN 2F M/P 150.2 SLD BLK    -    0.0832</v>
          </cell>
        </row>
        <row r="6900">
          <cell r="D6900" t="str">
            <v>12162205    -    CONNECTOR    -    0.02307</v>
          </cell>
        </row>
        <row r="6901">
          <cell r="D6901" t="str">
            <v>12162207    -    CONNECTOR    -    0.0461</v>
          </cell>
        </row>
        <row r="6902">
          <cell r="D6902" t="str">
            <v>12162214    -    CONNECTOR    -    0.02208</v>
          </cell>
        </row>
        <row r="6903">
          <cell r="D6903" t="str">
            <v>12162222    -    LAMP SOCKET    -    0.1861</v>
          </cell>
        </row>
        <row r="6904">
          <cell r="D6904" t="str">
            <v>12162223    -    LAMP SOCKET    -    0.1861</v>
          </cell>
        </row>
        <row r="6905">
          <cell r="D6905" t="str">
            <v>12162228    -    SECONDARY LOCK    -    0.01611</v>
          </cell>
        </row>
        <row r="6906">
          <cell r="D6906" t="str">
            <v>12162298    -    TPA    -    0.0156</v>
          </cell>
        </row>
        <row r="6907">
          <cell r="D6907" t="str">
            <v>12162298S    -    TPA M/P 280 *    -    0.0166</v>
          </cell>
        </row>
        <row r="6908">
          <cell r="D6908" t="str">
            <v>12162343    -    CONN 2 M M/P 150 GRA LT SLD    -    0.0688</v>
          </cell>
        </row>
        <row r="6909">
          <cell r="D6909" t="str">
            <v>12162432    -    150 MP - 2F P2S    -    0.0865</v>
          </cell>
        </row>
        <row r="6910">
          <cell r="D6910" t="str">
            <v>12162433    -    150 MP - 2F P2S    -    0.0766</v>
          </cell>
        </row>
        <row r="6911">
          <cell r="D6911" t="str">
            <v>12162434    -    150 MP - 2F P2S    -    0.0622</v>
          </cell>
        </row>
        <row r="6912">
          <cell r="D6912" t="str">
            <v>12162502    -    CONNECTOR    -    0.089351</v>
          </cell>
        </row>
        <row r="6913">
          <cell r="D6913" t="str">
            <v>12162502S    -    CONNECTOR    -    0.145676</v>
          </cell>
        </row>
        <row r="6914">
          <cell r="D6914" t="str">
            <v>12162527    -    SHROUD    -    0.36127</v>
          </cell>
        </row>
        <row r="6915">
          <cell r="D6915" t="str">
            <v>12162565    -    CLIP HARN    -    0.063063</v>
          </cell>
        </row>
        <row r="6916">
          <cell r="D6916" t="str">
            <v>12162568    -    CONNECTOR 7M    -    0.8154</v>
          </cell>
        </row>
        <row r="6917">
          <cell r="D6917" t="str">
            <v>12162573    -    MYLAR STABILIZER 78 M M/P    -    0.04973</v>
          </cell>
        </row>
        <row r="6918">
          <cell r="D6918" t="str">
            <v>12162614    -    MYLAR STABILIZER M M/P    -    0.02826</v>
          </cell>
        </row>
        <row r="6919">
          <cell r="D6919" t="str">
            <v>12162628    -    CONN 2F    -    0.089371</v>
          </cell>
        </row>
        <row r="6920">
          <cell r="D6920" t="str">
            <v>12162670    -    CONNECTOR    -    0.1745</v>
          </cell>
        </row>
        <row r="6921">
          <cell r="D6921" t="str">
            <v>12162721    -    CONN    -    0.19978</v>
          </cell>
        </row>
        <row r="6922">
          <cell r="D6922" t="str">
            <v>12162723    -    CONN    -    0.12149</v>
          </cell>
        </row>
        <row r="6923">
          <cell r="D6923" t="str">
            <v>12162724    -    CONN    -    0.0359</v>
          </cell>
        </row>
        <row r="6924">
          <cell r="D6924" t="str">
            <v>12162739    -    CONNECTOR    -    0.02287</v>
          </cell>
        </row>
        <row r="6925">
          <cell r="D6925" t="str">
            <v>12162768    -    CPA    -    0.00884</v>
          </cell>
        </row>
        <row r="6926">
          <cell r="D6926" t="str">
            <v>12162820    -    CONN 20F    -    0.23205</v>
          </cell>
        </row>
        <row r="6927">
          <cell r="D6927" t="str">
            <v>12162833    -    ASM CONN 4 F M/P 150.2 GRA SLD    -    0.1263</v>
          </cell>
        </row>
        <row r="6928">
          <cell r="D6928" t="str">
            <v>12162869    -    CONNECTOR IF    -    0.1892</v>
          </cell>
        </row>
        <row r="6929">
          <cell r="D6929" t="str">
            <v>12162870    -    CONNECTOR 1F    -    0.1892</v>
          </cell>
        </row>
        <row r="6930">
          <cell r="D6930" t="str">
            <v>12162871    -    CONNECTOR 14F    -    0.2597</v>
          </cell>
        </row>
        <row r="6931">
          <cell r="D6931" t="str">
            <v>12162872    -    TPA    -    0.05161</v>
          </cell>
        </row>
        <row r="6932">
          <cell r="D6932" t="str">
            <v>12162873    -    CONN 2F    -    0.1093</v>
          </cell>
        </row>
        <row r="6933">
          <cell r="D6933" t="str">
            <v>12162876    -    COVER    -    0.017</v>
          </cell>
        </row>
        <row r="6934">
          <cell r="D6934" t="str">
            <v>12162879    -    CONN SEAL    -    0.092287</v>
          </cell>
        </row>
        <row r="6935">
          <cell r="D6935" t="str">
            <v>12162881    -    CONN ASM 56M    -    1.977</v>
          </cell>
        </row>
        <row r="6936">
          <cell r="D6936" t="str">
            <v>12162882    -    TPA    -    0.0437</v>
          </cell>
        </row>
        <row r="6937">
          <cell r="D6937" t="str">
            <v>12162883    -    CONN ASM 56M    -    1.8782</v>
          </cell>
        </row>
        <row r="6938">
          <cell r="D6938" t="str">
            <v>12162885    -    CONN. 3F    -    0.0629</v>
          </cell>
        </row>
        <row r="6939">
          <cell r="D6939" t="str">
            <v>12162886    -    TPA    -    0.0185</v>
          </cell>
        </row>
        <row r="6940">
          <cell r="D6940" t="str">
            <v>12162890    -    CONNECTOR 2 WAY,BLACK,FEMALE    -    0.161153</v>
          </cell>
        </row>
        <row r="6941">
          <cell r="D6941" t="str">
            <v>12162891    -    TPA    -    0.027</v>
          </cell>
        </row>
        <row r="6942">
          <cell r="D6942" t="str">
            <v>12162896    -    CONN. 2F    -    0.74553</v>
          </cell>
        </row>
        <row r="6943">
          <cell r="D6943" t="str">
            <v>12162901    -    HOLDER    -    0.0347</v>
          </cell>
        </row>
        <row r="6944">
          <cell r="D6944" t="str">
            <v>12162915    -    RETAINER 6M    -    0.0222</v>
          </cell>
        </row>
        <row r="6945">
          <cell r="D6945" t="str">
            <v>12162916    -    HOUSIN    -    0.09697</v>
          </cell>
        </row>
        <row r="6946">
          <cell r="D6946" t="str">
            <v>12162917    -    SPACER    -    0.0322</v>
          </cell>
        </row>
        <row r="6947">
          <cell r="D6947" t="str">
            <v>12162918    -    CONN 2W    -    0.1793</v>
          </cell>
        </row>
        <row r="6948">
          <cell r="D6948" t="str">
            <v>12162919    -    SPACER BLACK    -    0.0884</v>
          </cell>
        </row>
        <row r="6949">
          <cell r="D6949" t="str">
            <v>12162923    -    TPA    -    0.038</v>
          </cell>
        </row>
        <row r="6950">
          <cell r="D6950" t="str">
            <v>12162924    -    CONN, 1F SWP 070,GRA    -    0.043429</v>
          </cell>
        </row>
        <row r="6951">
          <cell r="D6951" t="str">
            <v>12162929    -    CONN 4F    -    1.074666</v>
          </cell>
        </row>
        <row r="6952">
          <cell r="D6952" t="str">
            <v>12162950    -    8-P STIFTGEHAEUSE    -    0.24113</v>
          </cell>
        </row>
        <row r="6953">
          <cell r="D6953" t="str">
            <v>12162954    -    18-P0L. KONTAKTTRAEGER    -    0.100446</v>
          </cell>
        </row>
        <row r="6954">
          <cell r="D6954" t="str">
            <v>12162955    -    18-P0L. ABDECKKAPPE    -    0.241319</v>
          </cell>
        </row>
        <row r="6955">
          <cell r="D6955" t="str">
            <v>12162956    -    VERR. AMP 964 555-1    -    0.055189</v>
          </cell>
        </row>
        <row r="6956">
          <cell r="D6956" t="str">
            <v>12162967    -    SCHUTZKAPPE    -    0.403592</v>
          </cell>
        </row>
        <row r="6957">
          <cell r="D6957" t="str">
            <v>12162968    -    CONN 10F    -    0.54782</v>
          </cell>
        </row>
        <row r="6958">
          <cell r="D6958" t="str">
            <v>12162969    -    ACC1, TPA 10P JPT BLK    -    0.0538</v>
          </cell>
        </row>
        <row r="6959">
          <cell r="D6959" t="str">
            <v>12162972    -    VERRIEGELUNG F.ZFW12-2    -    0.351858</v>
          </cell>
        </row>
        <row r="6960">
          <cell r="D6960" t="str">
            <v>12162973    -    CONN 3F SEALED    -    0.263664</v>
          </cell>
        </row>
        <row r="6961">
          <cell r="D6961" t="str">
            <v>12162989    -    CONN 68F    -    4.06356</v>
          </cell>
        </row>
        <row r="6962">
          <cell r="D6962" t="str">
            <v>12163607    -    IGNITION CLIP - 7MM    -    0.03785</v>
          </cell>
        </row>
        <row r="6963">
          <cell r="D6963" t="str">
            <v>12163608    -    IGN CLIP - 8MM - 3W    -    0.05529</v>
          </cell>
        </row>
        <row r="6964">
          <cell r="D6964" t="str">
            <v>12176310    -    COVER, TOP    -    0.23903</v>
          </cell>
        </row>
        <row r="6965">
          <cell r="D6965" t="str">
            <v>12176336    -    SECONDARY LOCK    -    0.0268</v>
          </cell>
        </row>
        <row r="6966">
          <cell r="D6966" t="str">
            <v>12176369    -    CONVEN CENTER    -    0.97022</v>
          </cell>
        </row>
        <row r="6967">
          <cell r="D6967" t="str">
            <v>12176374    -    CONN, 3F JR TIMER    -    0.285726</v>
          </cell>
        </row>
        <row r="6968">
          <cell r="D6968" t="str">
            <v>12176377    -    ACC2, BOOT 7W    -    0.317503</v>
          </cell>
        </row>
        <row r="6969">
          <cell r="D6969" t="str">
            <v>12176408    -    TPA    -    0.02906</v>
          </cell>
        </row>
        <row r="6970">
          <cell r="D6970" t="str">
            <v>12176409    -    TPA    -    0.02906</v>
          </cell>
        </row>
        <row r="6971">
          <cell r="D6971" t="str">
            <v>12176410    -    TPA    -    0.02906</v>
          </cell>
        </row>
        <row r="6972">
          <cell r="D6972" t="str">
            <v>12176440    -    CONNECTOR 6W    -    0.13538</v>
          </cell>
        </row>
        <row r="6973">
          <cell r="D6973" t="str">
            <v>12176441    -    CONN F    -    0.19615</v>
          </cell>
        </row>
        <row r="6974">
          <cell r="D6974" t="str">
            <v>12176441S    -    CONNECTOR    -    0.169079</v>
          </cell>
        </row>
        <row r="6975">
          <cell r="D6975" t="str">
            <v>12176473    -    CONN 12F M/P 280 FLX (DBL)    -    0.05654</v>
          </cell>
        </row>
        <row r="6976">
          <cell r="D6976" t="str">
            <v>12176538    -    SHROUD ASM    -    1.034</v>
          </cell>
        </row>
        <row r="6977">
          <cell r="D6977" t="str">
            <v>12176640    -    SPACER LOCK    -    0.05048</v>
          </cell>
        </row>
        <row r="6978">
          <cell r="D6978" t="str">
            <v>12176650    -    CONN ASMY    -    0.118852</v>
          </cell>
        </row>
        <row r="6979">
          <cell r="D6979" t="str">
            <v>12176667    -    TERMINAL- GMT610 LEADWIRE    -    0.022</v>
          </cell>
        </row>
        <row r="6980">
          <cell r="D6980" t="str">
            <v>12176672    -    CONN. 2M W/P    -    0.03368</v>
          </cell>
        </row>
        <row r="6981">
          <cell r="D6981" t="str">
            <v>12176739    -    CONN 30F M/P 280 FLXLK    -    0.22233</v>
          </cell>
        </row>
        <row r="6982">
          <cell r="D6982" t="str">
            <v>12176740    -    CONN 30F M/P 280 FLXLK    -    0.22233</v>
          </cell>
        </row>
        <row r="6983">
          <cell r="D6983" t="str">
            <v>12176741    -    CONN 30F M/P 280 FLXLK    -    0.22233</v>
          </cell>
        </row>
        <row r="6984">
          <cell r="D6984" t="str">
            <v>12177005    -    (A054) SEC LK 20M TIMER MXD    -    0.0329</v>
          </cell>
        </row>
        <row r="6985">
          <cell r="D6985" t="str">
            <v>12177009    -    (A057) SEC LK 20M TIMER MXD    -    0.027361</v>
          </cell>
        </row>
        <row r="6986">
          <cell r="D6986" t="str">
            <v>12177027    -    CONN. BODY    -    0.100458</v>
          </cell>
        </row>
        <row r="6987">
          <cell r="D6987" t="str">
            <v>12177064    -    CONN 1F    -    0.0718</v>
          </cell>
        </row>
        <row r="6988">
          <cell r="D6988" t="str">
            <v>12177065    -    CONNECTOR COVER &amp; HOUSING    -    0.05707</v>
          </cell>
        </row>
        <row r="6989">
          <cell r="D6989" t="str">
            <v>12177066    -    CONN, 8F MINI TIMER BLACK    -    0.077993</v>
          </cell>
        </row>
        <row r="6990">
          <cell r="D6990" t="str">
            <v>12177067    -    CONN, 8F MINI TIMER GREY    -    0.23808</v>
          </cell>
        </row>
        <row r="6991">
          <cell r="D6991" t="str">
            <v>12177070    -    CONN, 7F    -    0.491354</v>
          </cell>
        </row>
        <row r="6992">
          <cell r="D6992" t="str">
            <v>12177083    -    CONN 16F    -    0.3007</v>
          </cell>
        </row>
        <row r="6993">
          <cell r="D6993" t="str">
            <v>12177086    -    CONN 16F    -    0.33715</v>
          </cell>
        </row>
        <row r="6994">
          <cell r="D6994" t="str">
            <v>12177162    -    LAMP SOCKET    -    0.03347</v>
          </cell>
        </row>
        <row r="6995">
          <cell r="D6995" t="str">
            <v>12177289    -    (A100) CPA MIC/P 100W    -    0.062</v>
          </cell>
        </row>
        <row r="6996">
          <cell r="D6996" t="str">
            <v>12177690    -    BRACKET    -    0.168754</v>
          </cell>
        </row>
        <row r="6997">
          <cell r="D6997" t="str">
            <v>12177690S    -    CONN    -    0.182975</v>
          </cell>
        </row>
        <row r="6998">
          <cell r="D6998" t="str">
            <v>12184832    -    CONNECTOR    -    0.1597</v>
          </cell>
        </row>
        <row r="6999">
          <cell r="D6999" t="str">
            <v>12184939    -    VERR. F. 6-P GEH.    -    0.097342</v>
          </cell>
        </row>
        <row r="7000">
          <cell r="D7000" t="str">
            <v>12184955    -    LOCKING CAP BLACK    -    0.061477</v>
          </cell>
        </row>
        <row r="7001">
          <cell r="D7001" t="str">
            <v>12184956    -    DV DISK NATURAL    -    0.165714</v>
          </cell>
        </row>
        <row r="7002">
          <cell r="D7002" t="str">
            <v>12184970S    -    BC SEAL    -    0.007273</v>
          </cell>
        </row>
        <row r="7003">
          <cell r="D7003" t="str">
            <v>12184995    -    3-P STECKHUELSENGEH.    -    0.285729</v>
          </cell>
        </row>
        <row r="7004">
          <cell r="D7004" t="str">
            <v>12184995S    -    BC CONNECTOR    -    0.205394</v>
          </cell>
        </row>
        <row r="7005">
          <cell r="D7005" t="str">
            <v>12185007    -    CONN TIMMER    -    1.133458</v>
          </cell>
        </row>
        <row r="7006">
          <cell r="D7006" t="str">
            <v>12185034    -    ACC1, LOCKING COMB BN/BG    -    0.05782</v>
          </cell>
        </row>
        <row r="7007">
          <cell r="D7007" t="str">
            <v>12185037    -    CONN 2F MAXI POWER TIMER    -    0.297974</v>
          </cell>
        </row>
        <row r="7008">
          <cell r="D7008" t="str">
            <v>12185096    -    CONN, 80M TAB 1.6 2.8 5.8 UNSLD GRN    -    0.455691</v>
          </cell>
        </row>
        <row r="7009">
          <cell r="D7009" t="str">
            <v>12185098    -    VERR. F. 80-P GEH.    -    0.068925</v>
          </cell>
        </row>
        <row r="7010">
          <cell r="D7010" t="str">
            <v>12185108    -    2-P STECKHUELSENGEH.    -    0.069883</v>
          </cell>
        </row>
        <row r="7011">
          <cell r="D7011" t="str">
            <v>12185141    -    COVER BLACK    -    0.172475</v>
          </cell>
        </row>
        <row r="7012">
          <cell r="D7012" t="str">
            <v>12185144    -    TM AMP 2-0520336-2    -    0.122049</v>
          </cell>
        </row>
        <row r="7013">
          <cell r="D7013" t="str">
            <v>12185247    -    8POL. ABDECKKAPPE    -    0.313428</v>
          </cell>
        </row>
        <row r="7014">
          <cell r="D7014" t="str">
            <v>12185247S    -    COVER    -    0.340064</v>
          </cell>
        </row>
        <row r="7015">
          <cell r="D7015" t="str">
            <v>12185248    -    8-POL. BUCHSENGEH.    -    0.109554</v>
          </cell>
        </row>
        <row r="7016">
          <cell r="D7016" t="str">
            <v>12185249    -    2-P. BUCHSENGEH.    -    0.103657</v>
          </cell>
        </row>
        <row r="7017">
          <cell r="D7017" t="str">
            <v>12185259    -    80 WAY MALE CONNECTOR PATINA    -    0.253895</v>
          </cell>
        </row>
        <row r="7018">
          <cell r="D7018" t="str">
            <v>12185262    -    30 WAY MALE CONNECTOR BLACK    -    0.103833</v>
          </cell>
        </row>
        <row r="7019">
          <cell r="D7019" t="str">
            <v>12185287    -    LOCKING PLATE (TPA)-BLU    -    0.0255</v>
          </cell>
        </row>
        <row r="7020">
          <cell r="D7020" t="str">
            <v>12185289    -    CONN    -    0.85</v>
          </cell>
        </row>
        <row r="7021">
          <cell r="D7021" t="str">
            <v>12185290    -    COVER    -    0.29</v>
          </cell>
        </row>
        <row r="7022">
          <cell r="D7022" t="str">
            <v>12185471    -    DECKEL    -    0.186211</v>
          </cell>
        </row>
        <row r="7023">
          <cell r="D7023" t="str">
            <v>12185589S    -    CONNECTOR    -    0.152477</v>
          </cell>
        </row>
        <row r="7024">
          <cell r="D7024" t="str">
            <v>12185753    -    CONN 3M    -    0.118</v>
          </cell>
        </row>
        <row r="7025">
          <cell r="D7025" t="str">
            <v>12185774    -    CLIP    -    0.5227</v>
          </cell>
        </row>
        <row r="7026">
          <cell r="D7026" t="str">
            <v>12185784S    -    CONNECTOR    -    0.085782</v>
          </cell>
        </row>
        <row r="7027">
          <cell r="D7027" t="str">
            <v>12186010    -    CLIP    -    0.01722</v>
          </cell>
        </row>
        <row r="7028">
          <cell r="D7028" t="str">
            <v>12186024    -    CONN 8F    -    0.1973</v>
          </cell>
        </row>
        <row r="7029">
          <cell r="D7029" t="str">
            <v>12186025    -    REAR HOLDER    -    0.0621</v>
          </cell>
        </row>
        <row r="7030">
          <cell r="D7030" t="str">
            <v>12186039    -    CONN SEAL    -    0.580762</v>
          </cell>
        </row>
        <row r="7031">
          <cell r="D7031" t="str">
            <v>12186157    -    30-WAY M/P FEMALE CONN ASSY    -    1.16819</v>
          </cell>
        </row>
        <row r="7032">
          <cell r="D7032" t="str">
            <v>12186224    -    MYLAR-STABILIZER    -    0.02403</v>
          </cell>
        </row>
        <row r="7033">
          <cell r="D7033" t="str">
            <v>12186228    -    CONN    -    0.0818</v>
          </cell>
        </row>
        <row r="7034">
          <cell r="D7034" t="str">
            <v>12186229    -    SECONDARY LOCK    -    0.034989</v>
          </cell>
        </row>
        <row r="7035">
          <cell r="D7035" t="str">
            <v>12186246    -    CONN 3W    -    0.0938</v>
          </cell>
        </row>
        <row r="7036">
          <cell r="D7036" t="str">
            <v>12186254    -    LP SKT CONN    -    0.07852</v>
          </cell>
        </row>
        <row r="7037">
          <cell r="D7037" t="str">
            <v>12186271    -    CONN 4M M/P    -    0.07923</v>
          </cell>
        </row>
        <row r="7038">
          <cell r="D7038" t="str">
            <v>12186280    -    CONN    -    0.34714</v>
          </cell>
        </row>
        <row r="7039">
          <cell r="D7039" t="str">
            <v>12186282    -    CONDUIT SPLINT    -    0.15888</v>
          </cell>
        </row>
        <row r="7040">
          <cell r="D7040" t="str">
            <v>12186353    -    CLIP, CONN    -    0.01325</v>
          </cell>
        </row>
        <row r="7041">
          <cell r="D7041" t="str">
            <v>12186353S    -    CONNECTOR    -    0.014525</v>
          </cell>
        </row>
        <row r="7042">
          <cell r="D7042" t="str">
            <v>12186413    -    CONN, 15F ELO 0.63 UNSLD WHT    -    0.193174</v>
          </cell>
        </row>
        <row r="7043">
          <cell r="D7043" t="str">
            <v>12186414    -    LOCK. PLATE BLUE    -    0.035879</v>
          </cell>
        </row>
        <row r="7044">
          <cell r="D7044" t="str">
            <v>12186451    -    CONN 18F    -    0.375</v>
          </cell>
        </row>
        <row r="7045">
          <cell r="D7045" t="str">
            <v>12186467    -    ASM CONN 3F    -    0.3012</v>
          </cell>
        </row>
        <row r="7046">
          <cell r="D7046" t="str">
            <v>12186485    -    CONN 55W    -    1.358126</v>
          </cell>
        </row>
        <row r="7047">
          <cell r="D7047" t="str">
            <v>12186494    -    SPANNBAND    -    0.253004</v>
          </cell>
        </row>
        <row r="7048">
          <cell r="D7048" t="str">
            <v>12186550    -    CONN    -    0.12122</v>
          </cell>
        </row>
        <row r="7049">
          <cell r="D7049" t="str">
            <v>12186568    -    CONN    -    0.0844</v>
          </cell>
        </row>
        <row r="7050">
          <cell r="D7050" t="str">
            <v>12186583    -    WIRE DRESS    -    0.625</v>
          </cell>
        </row>
        <row r="7051">
          <cell r="D7051" t="str">
            <v>12186584    -    CONN 70 WAY    -    8.64</v>
          </cell>
        </row>
        <row r="7052">
          <cell r="D7052" t="str">
            <v>12186603    -    CONN 6F    -    0.0495</v>
          </cell>
        </row>
        <row r="7053">
          <cell r="D7053" t="str">
            <v>12186603S    -    CONNECTOR    -    0.080826</v>
          </cell>
        </row>
        <row r="7054">
          <cell r="D7054" t="str">
            <v>12186656    -    CONN 4F 050 UNSLD    -    0.270495</v>
          </cell>
        </row>
        <row r="7055">
          <cell r="D7055" t="str">
            <v>12186698    -    CONN, 1M FW SLD, BLK    -    0.271431</v>
          </cell>
        </row>
        <row r="7056">
          <cell r="D7056" t="str">
            <v>12186705    -    CONN 64F    -    1.808136</v>
          </cell>
        </row>
        <row r="7057">
          <cell r="D7057" t="str">
            <v>12186721    -    ASM CONN 2F TIMER MINI    -    0.07024</v>
          </cell>
        </row>
        <row r="7058">
          <cell r="D7058" t="str">
            <v>12186727    -    MIX MP - 56M    -    0.32613</v>
          </cell>
        </row>
        <row r="7059">
          <cell r="D7059" t="str">
            <v>12186745    -    WIRE DRESS COVER    -    0.16115</v>
          </cell>
        </row>
        <row r="7060">
          <cell r="D7060" t="str">
            <v>12186783    -    CLIP    -    0.101202</v>
          </cell>
        </row>
        <row r="7061">
          <cell r="D7061" t="str">
            <v>12186795    -    CAVITY PLUG    -    0.6343</v>
          </cell>
        </row>
        <row r="7062">
          <cell r="D7062" t="str">
            <v>12186796    -    CONN,M,3-W,BLACK,SLD    -    0.0904</v>
          </cell>
        </row>
        <row r="7063">
          <cell r="D7063" t="str">
            <v>12186869    -    STABILIZER    -    0.03124</v>
          </cell>
        </row>
        <row r="7064">
          <cell r="D7064" t="str">
            <v>12186880    -    MYLAR    -    0.02897</v>
          </cell>
        </row>
        <row r="7065">
          <cell r="D7065" t="str">
            <v>12186893    -    CONNECTOR 3F    -    0.61919</v>
          </cell>
        </row>
        <row r="7066">
          <cell r="D7066" t="str">
            <v>12186895    -    16.I80.91 SEGURIDAD AMP AM 174358-7    -    0.106869</v>
          </cell>
        </row>
        <row r="7067">
          <cell r="D7067" t="str">
            <v>12186898    -    MYLAR    -    0.02897</v>
          </cell>
        </row>
        <row r="7068">
          <cell r="D7068" t="str">
            <v>12186965    -    WEATHERPACK - 1M    -    0.04404</v>
          </cell>
        </row>
        <row r="7069">
          <cell r="D7069" t="str">
            <v>12186984    -    CONNECTOR    -    0.69243</v>
          </cell>
        </row>
        <row r="7070">
          <cell r="D7070" t="str">
            <v>12186991    -    ASM CONNECTOR 2F M/P280    -    0.25</v>
          </cell>
        </row>
        <row r="7071">
          <cell r="D7071" t="str">
            <v>12186995    -    SEC LOCK    -    0.03221</v>
          </cell>
        </row>
        <row r="7072">
          <cell r="D7072" t="str">
            <v>12186998    -    LP SOC WGE BSE W2    -    0.073794</v>
          </cell>
        </row>
        <row r="7073">
          <cell r="D7073" t="str">
            <v>1218901    -    CONNECTOR    -    0.459116</v>
          </cell>
        </row>
        <row r="7074">
          <cell r="D7074" t="str">
            <v>12191001    -    STRAIN RELIEF    -    0.459455</v>
          </cell>
        </row>
        <row r="7075">
          <cell r="D7075" t="str">
            <v>12191002    -    STRAIN RELIEF    -    0.459455</v>
          </cell>
        </row>
        <row r="7076">
          <cell r="D7076" t="str">
            <v>12191003    -    STRAIN RELIEF    -    0.459455</v>
          </cell>
        </row>
        <row r="7077">
          <cell r="D7077" t="str">
            <v>12191019    -    RETAIN 24F M/P 100W    -    0.06748</v>
          </cell>
        </row>
        <row r="7078">
          <cell r="D7078" t="str">
            <v>12191067    -    COVER    -    0.046418</v>
          </cell>
        </row>
        <row r="7079">
          <cell r="D7079" t="str">
            <v>12191068    -    STRAIN RELIEF 16F    -    0.12227</v>
          </cell>
        </row>
        <row r="7080">
          <cell r="D7080" t="str">
            <v>12191105    -    CPA - AXIAL M/P    -    0.041</v>
          </cell>
        </row>
        <row r="7081">
          <cell r="D7081" t="str">
            <v>12191159    -    SECONDARY LOCK    -    0.054325</v>
          </cell>
        </row>
        <row r="7082">
          <cell r="D7082" t="str">
            <v>12191172    -    CONN F-SEC LOCK    -    0.076071</v>
          </cell>
        </row>
        <row r="7083">
          <cell r="D7083" t="str">
            <v>12191173    -    CONN F-SEC LOCK    -    0.089518</v>
          </cell>
        </row>
        <row r="7084">
          <cell r="D7084" t="str">
            <v>12191271    -    CONN 102 P/C BOW    -    0.1373</v>
          </cell>
        </row>
        <row r="7085">
          <cell r="D7085" t="str">
            <v>12191289    -    CLIP CONDUIT    -    0.082</v>
          </cell>
        </row>
        <row r="7086">
          <cell r="D7086" t="str">
            <v>12191367    -    TPA M/P 280    -    0.01925</v>
          </cell>
        </row>
        <row r="7087">
          <cell r="D7087" t="str">
            <v>12191367S    -    TPA    -    0.020875</v>
          </cell>
        </row>
        <row r="7088">
          <cell r="D7088" t="str">
            <v>12191487    -    CONNECTOR 38W    -    0.67629</v>
          </cell>
        </row>
        <row r="7089">
          <cell r="D7089" t="str">
            <v>12191496    -    TPA    -    0.0434</v>
          </cell>
        </row>
        <row r="7090">
          <cell r="D7090" t="str">
            <v>12191497    -    BASE - 1 MOD    -    0.51479</v>
          </cell>
        </row>
        <row r="7091">
          <cell r="D7091" t="str">
            <v>12191505    -    (A051)SHIPPING COVER    -    0.129</v>
          </cell>
        </row>
        <row r="7092">
          <cell r="D7092" t="str">
            <v>12191522    -    CONN 2F M/P 280    -    0.02148</v>
          </cell>
        </row>
        <row r="7093">
          <cell r="D7093" t="str">
            <v>12191530    -    TPA - 20F MIC/P 100W    -    0.072093</v>
          </cell>
        </row>
        <row r="7094">
          <cell r="D7094" t="str">
            <v>12191532    -    TPA - 20F MIC/P 100W    -    0.073537</v>
          </cell>
        </row>
        <row r="7095">
          <cell r="D7095" t="str">
            <v>12191533    -    TPA - 20F MIC/P 100W    -    0.072603</v>
          </cell>
        </row>
        <row r="7096">
          <cell r="D7096" t="str">
            <v>12191633    -    SEC LOCK    -    0.11</v>
          </cell>
        </row>
        <row r="7097">
          <cell r="D7097" t="str">
            <v>12191677    -    CONN 7 M GT 150 280 SLD    -    0.1934</v>
          </cell>
        </row>
        <row r="7098">
          <cell r="D7098" t="str">
            <v>12191721    -    COVER    -    1.136</v>
          </cell>
        </row>
        <row r="7099">
          <cell r="D7099" t="str">
            <v>12191797    -    COVER WIRE DRESS    -    0.19587</v>
          </cell>
        </row>
        <row r="7100">
          <cell r="D7100" t="str">
            <v>12191825    -    CONN 8 F GT 280 BRN    -    0.067224</v>
          </cell>
        </row>
        <row r="7101">
          <cell r="D7101" t="str">
            <v>12191902    -    CAP GT 150 SPICE SAVER    -    0.05473</v>
          </cell>
        </row>
        <row r="7102">
          <cell r="D7102" t="str">
            <v>12191941    -    (A058)CONN 4F M/P 280    -    0.0534</v>
          </cell>
        </row>
        <row r="7103">
          <cell r="D7103" t="str">
            <v>12191943    -    (A058)CONN 4F M/P 280    -    0.0534</v>
          </cell>
        </row>
        <row r="7104">
          <cell r="D7104" t="str">
            <v>12191944    -    (A058)CONN 4F M/P 280    -    0.0534</v>
          </cell>
        </row>
        <row r="7105">
          <cell r="D7105" t="str">
            <v>12191945    -    (A058)CONN 4F M/P 280    -    0.0534</v>
          </cell>
        </row>
        <row r="7106">
          <cell r="D7106" t="str">
            <v>12191946    -    (A058)CONN 4F M/P 280    -    0.0534</v>
          </cell>
        </row>
        <row r="7107">
          <cell r="D7107" t="str">
            <v>12191947    -    (A058)CONN 4F M/P 280    -    0.0534</v>
          </cell>
        </row>
        <row r="7108">
          <cell r="D7108" t="str">
            <v>12191948    -    (A058)CONN 4F M/P 280    -    0.0534</v>
          </cell>
        </row>
        <row r="7109">
          <cell r="D7109" t="str">
            <v>12191949    -    (A058)CONN 4F M/P 280    -    0.0534</v>
          </cell>
        </row>
        <row r="7110">
          <cell r="D7110" t="str">
            <v>12191951    -    (A059)CONN 14 F M/P 280    -    0.07168</v>
          </cell>
        </row>
        <row r="7111">
          <cell r="D7111" t="str">
            <v>12191952    -    (A059)CONN 14 F M/P 280    -    0.07168</v>
          </cell>
        </row>
        <row r="7112">
          <cell r="D7112" t="str">
            <v>12191953    -    (A059)CONN 14 F M/P 280    -    0.07168</v>
          </cell>
        </row>
        <row r="7113">
          <cell r="D7113" t="str">
            <v>12191954    -    (A059)CONN 14 F M/P 280    -    0.07168</v>
          </cell>
        </row>
        <row r="7114">
          <cell r="D7114" t="str">
            <v>12191955    -    (A059)CONN 14 F M/P 280    -    0.07168</v>
          </cell>
        </row>
        <row r="7115">
          <cell r="D7115" t="str">
            <v>12191957    -    (A059)CONN 14 F M/P 280    -    0.07168</v>
          </cell>
        </row>
        <row r="7116">
          <cell r="D7116" t="str">
            <v>12191958    -    (A059)CONN 14 F M/P 280    -    0.07168</v>
          </cell>
        </row>
        <row r="7117">
          <cell r="D7117" t="str">
            <v>12191959    -    (A059)CONN 14 F M/P 280    -    0.07168</v>
          </cell>
        </row>
        <row r="7118">
          <cell r="D7118" t="str">
            <v>12191960    -    (A059)CONN 14 F M/P 280    -    0.07168</v>
          </cell>
        </row>
        <row r="7119">
          <cell r="D7119" t="str">
            <v>12191961    -    (A059)CONN 14 F M/P 280    -    0.07168</v>
          </cell>
        </row>
        <row r="7120">
          <cell r="D7120" t="str">
            <v>12191962    -    (A059)CONN 14 F M/P 280    -    0.07168</v>
          </cell>
        </row>
        <row r="7121">
          <cell r="D7121" t="str">
            <v>12191965    -    (A059)CONN 14 F M/P 280    -    0.07168</v>
          </cell>
        </row>
        <row r="7122">
          <cell r="D7122" t="str">
            <v>12191966    -    CONNECTOR    -    0.057857</v>
          </cell>
        </row>
        <row r="7123">
          <cell r="D7123" t="str">
            <v>12193502    -    CONN ASSY    -    1.20967</v>
          </cell>
        </row>
        <row r="7124">
          <cell r="D7124" t="str">
            <v>12193518    -    RETAINER - 16F MIC/P 100W    -    0.11631</v>
          </cell>
        </row>
        <row r="7125">
          <cell r="D7125" t="str">
            <v>12193521    -    STRAIN RELIEF - 16F MIC/P 100W RH 90DEG    -    0.13718</v>
          </cell>
        </row>
        <row r="7126">
          <cell r="D7126" t="str">
            <v>12193522    -    STRAIN RELIEF - 16F MIC/P 100W RH 90 DEG    -    0.145705</v>
          </cell>
        </row>
        <row r="7127">
          <cell r="D7127" t="str">
            <v>12193526    -    STRAIN RELIEF - 16F MIC/P 100W RH 90 DEG    -    0.14416</v>
          </cell>
        </row>
        <row r="7128">
          <cell r="D7128" t="str">
            <v>12193790    -    (A088) FUSE EXTRACTOR    -    0.043895</v>
          </cell>
        </row>
        <row r="7129">
          <cell r="D7129" t="str">
            <v>12193868    -    UPPER HOUSING    -    5.986075</v>
          </cell>
        </row>
        <row r="7130">
          <cell r="D7130" t="str">
            <v>12193869    -    LOWER HOUSING    -    3.70733</v>
          </cell>
        </row>
        <row r="7131">
          <cell r="D7131" t="str">
            <v>12193919    -    WIREDRESS COVER 32W    -    0.07734</v>
          </cell>
        </row>
        <row r="7132">
          <cell r="D7132" t="str">
            <v>12193920    -    WIREDRESS COVER 32W    -    0.09884</v>
          </cell>
        </row>
        <row r="7133">
          <cell r="D7133" t="str">
            <v>12193922    -    CONN 6 F M/P 280 CRM    -    0.072016</v>
          </cell>
        </row>
        <row r="7134">
          <cell r="D7134" t="str">
            <v>12193930    -    CONN 6 F M/P 280 BLK    -    0.069012</v>
          </cell>
        </row>
        <row r="7135">
          <cell r="D7135" t="str">
            <v>12193943    -    (A009) COVER WIRE DRESS    -    0.21813</v>
          </cell>
        </row>
        <row r="7136">
          <cell r="D7136" t="str">
            <v>12194005    -    COVER    -    0.07894</v>
          </cell>
        </row>
        <row r="7137">
          <cell r="D7137" t="str">
            <v>12194006    -    COVER    -    0.16679</v>
          </cell>
        </row>
        <row r="7138">
          <cell r="D7138" t="str">
            <v>12194035    -    CONN 12 F M/P 280 BLK    -    0.08333</v>
          </cell>
        </row>
        <row r="7139">
          <cell r="D7139" t="str">
            <v>12194040    -    COVER ELEC CENTER    -    0.72799</v>
          </cell>
        </row>
        <row r="7140">
          <cell r="D7140" t="str">
            <v>1219501    -    COVER    -    0.999544</v>
          </cell>
        </row>
        <row r="7141">
          <cell r="D7141" t="str">
            <v>1219513    -    COVER    -    0.79717</v>
          </cell>
        </row>
        <row r="7142">
          <cell r="D7142" t="str">
            <v>1219514    -    FIXING PART    -    0.156945</v>
          </cell>
        </row>
        <row r="7143">
          <cell r="D7143" t="str">
            <v>1219515    -    FIXING PART    -    0.180747</v>
          </cell>
        </row>
        <row r="7144">
          <cell r="D7144" t="str">
            <v>12196605    -    CONN,F,8-W,WHITE    -    0.0637</v>
          </cell>
        </row>
        <row r="7145">
          <cell r="D7145" t="str">
            <v>12196763    -    MULTILOCK CONNECTOR 10M SER 070    -    0.275268</v>
          </cell>
        </row>
        <row r="7146">
          <cell r="D7146" t="str">
            <v>12196821    -    CONNECTOR    -    2.01149</v>
          </cell>
        </row>
        <row r="7147">
          <cell r="D7147" t="str">
            <v>12196858    -    CONNECTOR 4F    -    0.409394</v>
          </cell>
        </row>
        <row r="7148">
          <cell r="D7148" t="str">
            <v>12196881    -    CONNECTOR F 8-W BLACK KEY SWITCH    -    1.15</v>
          </cell>
        </row>
        <row r="7149">
          <cell r="D7149" t="str">
            <v>12197232    -    SECONDARY LOCK    -    0.020213</v>
          </cell>
        </row>
        <row r="7150">
          <cell r="D7150" t="str">
            <v>12197351    -    PLUG-6 CAV    -    0.144</v>
          </cell>
        </row>
        <row r="7151">
          <cell r="D7151" t="str">
            <v>12197351S    -    CONNECTOR    -    0.149563</v>
          </cell>
        </row>
        <row r="7152">
          <cell r="D7152" t="str">
            <v>12197561    -    CONN,F,31-W,BLACK    -    2.690614</v>
          </cell>
        </row>
        <row r="7153">
          <cell r="D7153" t="str">
            <v>12197593    -    COVER WIRE    -    0.46541</v>
          </cell>
        </row>
        <row r="7154">
          <cell r="D7154" t="str">
            <v>12197956    -    KLEMMSCHELLE    -    0.193632</v>
          </cell>
        </row>
        <row r="7155">
          <cell r="D7155" t="str">
            <v>12198036    -    CONNECTOR    -    0.0979</v>
          </cell>
        </row>
        <row r="7156">
          <cell r="D7156" t="str">
            <v>12198037    -    GEHAEUSEKAPPE FUER ZF32-1    -    0.407046</v>
          </cell>
        </row>
        <row r="7157">
          <cell r="D7157" t="str">
            <v>12198039S    -    BC TERMINAL    -    0.012591</v>
          </cell>
        </row>
        <row r="7158">
          <cell r="D7158" t="str">
            <v>12198196    -    COVER CAP YE    -    0.16033</v>
          </cell>
        </row>
        <row r="7159">
          <cell r="D7159" t="str">
            <v>12198201S    -    BC CONNECTOR    -    0.3</v>
          </cell>
        </row>
        <row r="7160">
          <cell r="D7160" t="str">
            <v>12198202S    -    BC TERMINAL    -    0.021961</v>
          </cell>
        </row>
        <row r="7161">
          <cell r="D7161" t="str">
            <v>12198239    -    CONN, 2F SICMA-2 UNSLD YEL    -    0.231118</v>
          </cell>
        </row>
        <row r="7162">
          <cell r="D7162" t="str">
            <v>12198462    -    CONN    -    0.153</v>
          </cell>
        </row>
        <row r="7163">
          <cell r="D7163" t="str">
            <v>12198554    -    DECKEL    -    0.148699</v>
          </cell>
        </row>
        <row r="7164">
          <cell r="D7164" t="str">
            <v>12198556    -    TUELLE    -    0.326139</v>
          </cell>
        </row>
        <row r="7165">
          <cell r="D7165" t="str">
            <v>12199158    -    ROOF KEYCAP TUXEDO BLUE (U)    -    11.28</v>
          </cell>
        </row>
        <row r="7166">
          <cell r="D7166" t="str">
            <v>12199168    -    VENT KEYCAP TUXEDO BLUE (U)    -    11.28</v>
          </cell>
        </row>
        <row r="7167">
          <cell r="D7167" t="str">
            <v>12237471    -    COVER-ECU,PQ35    -    0.543048</v>
          </cell>
        </row>
        <row r="7168">
          <cell r="D7168" t="str">
            <v>1241345-1    -    CONNECTOR    -    0.280801</v>
          </cell>
        </row>
        <row r="7169">
          <cell r="D7169" t="str">
            <v>1241348-1    -    CONNECTOR    -    0.192553</v>
          </cell>
        </row>
        <row r="7170">
          <cell r="D7170" t="str">
            <v>1241349-1    -    CONNECTOR    -    0.203483</v>
          </cell>
        </row>
        <row r="7171">
          <cell r="D7171" t="str">
            <v>1241765-2    -    CONNECTOR    -    0.602865</v>
          </cell>
        </row>
        <row r="7172">
          <cell r="D7172" t="str">
            <v>12445780    -    CONN,F,4-W,WHITE    -    0.097558</v>
          </cell>
        </row>
        <row r="7173">
          <cell r="D7173" t="str">
            <v>12472287    -    CONN,F,6-W,BLACK    -    0.042505</v>
          </cell>
        </row>
        <row r="7174">
          <cell r="D7174" t="str">
            <v>12473287    -    CONN,F,7-W,BLACK    -    0.051314</v>
          </cell>
        </row>
        <row r="7175">
          <cell r="D7175" t="str">
            <v>12474685    -    LOCK,4-W,RED    -    0.022993</v>
          </cell>
        </row>
        <row r="7176">
          <cell r="D7176" t="str">
            <v>12484980    -    RETAINER,BLACK    -    0.062772</v>
          </cell>
        </row>
        <row r="7177">
          <cell r="D7177" t="str">
            <v>12486580    -    CLIP,CONN,NATURAL    -    0.072487</v>
          </cell>
        </row>
        <row r="7178">
          <cell r="D7178" t="str">
            <v>12493988    -    CAV.PLUG,BROWN    -    0.012198</v>
          </cell>
        </row>
        <row r="7179">
          <cell r="D7179" t="str">
            <v>12494487    -    CLIP,CONN,BLACK    -    0.106828</v>
          </cell>
        </row>
        <row r="7180">
          <cell r="D7180" t="str">
            <v>12860102    -    DIN CONNECTOR-RADIO DOWNLEAD    -    0.3</v>
          </cell>
        </row>
        <row r="7181">
          <cell r="D7181" t="str">
            <v>12864941    -    TIE WRAP,BLACK    -    0.253139</v>
          </cell>
        </row>
        <row r="7182">
          <cell r="D7182" t="str">
            <v>12932782    -    ASM MISC ASSEMBLY WIRE    -    2.293067</v>
          </cell>
        </row>
        <row r="7183">
          <cell r="D7183" t="str">
            <v>12932828    -    ASM MISC ASSEMBLY WIRE    -    2.198315</v>
          </cell>
        </row>
        <row r="7184">
          <cell r="D7184" t="str">
            <v>1318756-1S    -    CONNECTOR    -    0.56</v>
          </cell>
        </row>
        <row r="7185">
          <cell r="D7185" t="str">
            <v>1318757-1S    -    CONNECTOR    -    0.501225</v>
          </cell>
        </row>
        <row r="7186">
          <cell r="D7186" t="str">
            <v>13504690    -    CONNECTOR BLOCKED CAVITIES    -    0.468</v>
          </cell>
        </row>
        <row r="7187">
          <cell r="D7187" t="str">
            <v>13504691    -    CONNECTOR BLOCKE CAVITIES    -    0.41</v>
          </cell>
        </row>
        <row r="7188">
          <cell r="D7188" t="str">
            <v>13505045    -    CONN 2W NAT    -    0.03524</v>
          </cell>
        </row>
        <row r="7189">
          <cell r="D7189" t="str">
            <v>13505288    -    CONN 36F UNSEALED .64    -    0.312</v>
          </cell>
        </row>
        <row r="7190">
          <cell r="D7190" t="str">
            <v>13505572    -    BULKHEAD CONNECTOR    -    0.4008</v>
          </cell>
        </row>
        <row r="7191">
          <cell r="D7191" t="str">
            <v>13505749    -    20 WAY MALE CONNECTOR    -    0.36591</v>
          </cell>
        </row>
        <row r="7192">
          <cell r="D7192" t="str">
            <v>13505792    -    CONN 4F SEALED .64    -    0.37</v>
          </cell>
        </row>
        <row r="7193">
          <cell r="D7193" t="str">
            <v>13505794    -    2F UNSEALED SQUIB CONN    -    0.06906</v>
          </cell>
        </row>
        <row r="7194">
          <cell r="D7194" t="str">
            <v>13505795    -    CONN    -    0.29</v>
          </cell>
        </row>
        <row r="7195">
          <cell r="D7195" t="str">
            <v>13505802    -    UNSEALED CONN    -    0.060419</v>
          </cell>
        </row>
        <row r="7196">
          <cell r="D7196" t="str">
            <v>13505804    -    CONNECTOR    -    0.383</v>
          </cell>
        </row>
        <row r="7197">
          <cell r="D7197" t="str">
            <v>13505808    -    HOUSING    -    0.0816</v>
          </cell>
        </row>
        <row r="7198">
          <cell r="D7198" t="str">
            <v>13506201    -    CONN 76W HEX FREE    -    2.43685</v>
          </cell>
        </row>
        <row r="7199">
          <cell r="D7199" t="str">
            <v>13506202    -    CONN 76W HEX FREE    -    2.43685</v>
          </cell>
        </row>
        <row r="7200">
          <cell r="D7200" t="str">
            <v>13506203    -    BULKHEAD CONNECTOR    -    1.1157</v>
          </cell>
        </row>
        <row r="7201">
          <cell r="D7201" t="str">
            <v>13506204    -    BULKHEAD CONNECTOR    -    1.1157</v>
          </cell>
        </row>
        <row r="7202">
          <cell r="D7202" t="str">
            <v>13506593    -    CONNECTOR    -    0.21643</v>
          </cell>
        </row>
        <row r="7203">
          <cell r="D7203" t="str">
            <v>13506594    -    CONNECTOR    -    0.13</v>
          </cell>
        </row>
        <row r="7204">
          <cell r="D7204" t="str">
            <v>13506631    -    CONN    -    1.98</v>
          </cell>
        </row>
        <row r="7205">
          <cell r="D7205" t="str">
            <v>13506643    -    CONN FUSE HOLDER    -    0.15627</v>
          </cell>
        </row>
        <row r="7206">
          <cell r="D7206" t="str">
            <v>13506916    -    4S7T-14489-VMA    -    0.1917</v>
          </cell>
        </row>
        <row r="7207">
          <cell r="D7207" t="str">
            <v>13506923    -    CONNECTOR    -    0.27864</v>
          </cell>
        </row>
        <row r="7208">
          <cell r="D7208" t="str">
            <v>13506972    -    2-WAY CONN. ASSY    -    0.17474</v>
          </cell>
        </row>
        <row r="7209">
          <cell r="D7209" t="str">
            <v>13507433    -    1.5 16P MALE S/A    -    0.2351</v>
          </cell>
        </row>
        <row r="7210">
          <cell r="D7210" t="str">
            <v>13507436    -    16 P M 1.5 S/A CONN    -    0.2351</v>
          </cell>
        </row>
        <row r="7211">
          <cell r="D7211" t="str">
            <v>13507705    -    CONNECTOR 1.5 12P MALE SUB-ASS'Y    -    0.216</v>
          </cell>
        </row>
        <row r="7212">
          <cell r="D7212" t="str">
            <v>13507762    -    CONNECTOR 1.5 12P FEMALE S/A    -    0.1598</v>
          </cell>
        </row>
        <row r="7213">
          <cell r="D7213" t="str">
            <v>13507784    -    SJB 32 WAY ASSEMBLY BLACK OPTION A    -    0.758</v>
          </cell>
        </row>
        <row r="7214">
          <cell r="D7214" t="str">
            <v>13508151    -    12W CONNECTOR    -    0.28929</v>
          </cell>
        </row>
        <row r="7215">
          <cell r="D7215" t="str">
            <v>13509757    -    6 WAY HDAC FEMALE W/WINGS    -    0.23481</v>
          </cell>
        </row>
        <row r="7216">
          <cell r="D7216" t="str">
            <v>13509927    -    PVC TUBE    -    0.137223</v>
          </cell>
        </row>
        <row r="7217">
          <cell r="D7217" t="str">
            <v>13509929    -    CONNECTOR    -    0.16458</v>
          </cell>
        </row>
        <row r="7218">
          <cell r="D7218" t="str">
            <v>13509997    -    COVER    -    0.0702</v>
          </cell>
        </row>
        <row r="7219">
          <cell r="D7219" t="str">
            <v>13510092    -    CONN    -    0.46512</v>
          </cell>
        </row>
        <row r="7220">
          <cell r="D7220" t="str">
            <v>13510313    -    SLIDE CONN    -    0.197</v>
          </cell>
        </row>
        <row r="7221">
          <cell r="D7221" t="str">
            <v>13510314    -    SLIDE CONN    -    0.197</v>
          </cell>
        </row>
        <row r="7222">
          <cell r="D7222" t="str">
            <v>13510400    -    CONNECTOR    -    0.0954</v>
          </cell>
        </row>
        <row r="7223">
          <cell r="D7223" t="str">
            <v>13510430    -    73 WAY GRAY CONNECTOR    -    2.48</v>
          </cell>
        </row>
        <row r="7224">
          <cell r="D7224" t="str">
            <v>13510602    -    CONNECTOR    -    0.89</v>
          </cell>
        </row>
        <row r="7225">
          <cell r="D7225" t="str">
            <v>13510603    -    CONNECTOR    -    0.89</v>
          </cell>
        </row>
        <row r="7226">
          <cell r="D7226" t="str">
            <v>13510604    -    CONNECTOR    -    0.76142</v>
          </cell>
        </row>
        <row r="7227">
          <cell r="D7227" t="str">
            <v>13510668    -    CONN SOCKET HOUSING    -    0.05995</v>
          </cell>
        </row>
        <row r="7228">
          <cell r="D7228" t="str">
            <v>13510670    -    BAND CABLE    -    0.0273</v>
          </cell>
        </row>
        <row r="7229">
          <cell r="D7229" t="str">
            <v>13510837    -    ASM CONN 56F 064    -    2.49</v>
          </cell>
        </row>
        <row r="7230">
          <cell r="D7230" t="str">
            <v>13510971    -    14 WAY MALE UNSEALED CONNECTOR    -    0.5409</v>
          </cell>
        </row>
        <row r="7231">
          <cell r="D7231" t="str">
            <v>13510972    -    14F CONNECTOR    -    0.2293</v>
          </cell>
        </row>
        <row r="7232">
          <cell r="D7232" t="str">
            <v>13511249    -    CONN    -    0.0525</v>
          </cell>
        </row>
        <row r="7233">
          <cell r="D7233" t="str">
            <v>13511268    -    SONIC WELD CAP    -    0.058307</v>
          </cell>
        </row>
        <row r="7234">
          <cell r="D7234" t="str">
            <v>13511269    -    SONIC WELD CAP    -    0.053281</v>
          </cell>
        </row>
        <row r="7235">
          <cell r="D7235" t="str">
            <v>13511271    -    SONIC WELD CAP    -    0.059313</v>
          </cell>
        </row>
        <row r="7236">
          <cell r="D7236" t="str">
            <v>13511422    -    ASM CONN 4F 090 II GRAY UNSLD    -    0.1342</v>
          </cell>
        </row>
        <row r="7237">
          <cell r="D7237" t="str">
            <v>13511510    -    CONNECTOR 4 F    -    0.10124</v>
          </cell>
        </row>
        <row r="7238">
          <cell r="D7238" t="str">
            <v>13511511    -    2F 1.5 CONNECTOR    -    0.103</v>
          </cell>
        </row>
        <row r="7239">
          <cell r="D7239" t="str">
            <v>13511617    -    COVER CONN    -    0.35817</v>
          </cell>
        </row>
        <row r="7240">
          <cell r="D7240" t="str">
            <v>13511618    -    ABS CONN    -    1.12313</v>
          </cell>
        </row>
        <row r="7241">
          <cell r="D7241" t="str">
            <v>13511619    -    HOUSING    -    0.109</v>
          </cell>
        </row>
        <row r="7242">
          <cell r="D7242" t="str">
            <v>13511620    -    CONNECTOR    -    0.21643</v>
          </cell>
        </row>
        <row r="7243">
          <cell r="D7243" t="str">
            <v>13511630    -    CONN    -    0.54114</v>
          </cell>
        </row>
        <row r="7244">
          <cell r="D7244" t="str">
            <v>13511937    -    CONNECTOR    -    0.92</v>
          </cell>
        </row>
        <row r="7245">
          <cell r="D7245" t="str">
            <v>13511954    -    SLIDE ASSIST    -    0.33138</v>
          </cell>
        </row>
        <row r="7246">
          <cell r="D7246" t="str">
            <v>13511956    -    CONNECTOR    -    0.029</v>
          </cell>
        </row>
        <row r="7247">
          <cell r="D7247" t="str">
            <v>13512010    -    CONNECTOR ASSEMBLY    -    0.21029</v>
          </cell>
        </row>
        <row r="7248">
          <cell r="D7248" t="str">
            <v>13512189    -    CONN    -    0.02185</v>
          </cell>
        </row>
        <row r="7249">
          <cell r="D7249" t="str">
            <v>13512483    -    CONN    -    0.154</v>
          </cell>
        </row>
        <row r="7250">
          <cell r="D7250" t="str">
            <v>13512487    -    ASM CONN    -    0.11678</v>
          </cell>
        </row>
        <row r="7251">
          <cell r="D7251" t="str">
            <v>13512488    -    CONNECTOR    -    0.168</v>
          </cell>
        </row>
        <row r="7252">
          <cell r="D7252" t="str">
            <v>13512489    -    ASM CONN    -    0.15318</v>
          </cell>
        </row>
        <row r="7253">
          <cell r="D7253" t="str">
            <v>13512490    -    ASM CONN    -    0.1197</v>
          </cell>
        </row>
        <row r="7254">
          <cell r="D7254" t="str">
            <v>13512491    -    ASM CONN    -    0.20424</v>
          </cell>
        </row>
        <row r="7255">
          <cell r="D7255" t="str">
            <v>13512492    -    ASM CONN    -    0.12554</v>
          </cell>
        </row>
        <row r="7256">
          <cell r="D7256" t="str">
            <v>13512494    -    ASM CONN    -    0.118</v>
          </cell>
        </row>
        <row r="7257">
          <cell r="D7257" t="str">
            <v>13512495    -    HSG    -    0.255949</v>
          </cell>
        </row>
        <row r="7258">
          <cell r="D7258" t="str">
            <v>10788677    -    ASSM CONN    -    45.52</v>
          </cell>
        </row>
        <row r="7259">
          <cell r="D7259" t="str">
            <v>12135133    -    CTCOM    -    43.06</v>
          </cell>
        </row>
        <row r="7260">
          <cell r="D7260" t="str">
            <v>10811961    -    CONN 9 M GRA    -    42.24585</v>
          </cell>
        </row>
        <row r="7261">
          <cell r="D7261" t="str">
            <v>15412852    -    CONN. ASSEMBLY    -    39</v>
          </cell>
        </row>
        <row r="7262">
          <cell r="D7262" t="str">
            <v>10779701    -    CONN 31F    -    37.05</v>
          </cell>
        </row>
        <row r="7263">
          <cell r="D7263" t="str">
            <v>10788500    -    CONN 64 FUSE BLK    -    32.411507</v>
          </cell>
        </row>
        <row r="7264">
          <cell r="D7264" t="str">
            <v>12219604    -    HEADER-SEALED,12PIN    -    29.52</v>
          </cell>
        </row>
        <row r="7265">
          <cell r="D7265" t="str">
            <v>PG005377    -    CONN    -    27.01</v>
          </cell>
        </row>
        <row r="7266">
          <cell r="D7266" t="str">
            <v>15405665    -    CONNECTOR 31 RECEPTACLE    -    26.38</v>
          </cell>
        </row>
        <row r="7267">
          <cell r="D7267" t="str">
            <v>28018176    -    HEADER-SCIM I/O    -    26.29</v>
          </cell>
        </row>
        <row r="7268">
          <cell r="D7268" t="str">
            <v>28018177    -    HEADER-ECM I/O    -    25.57</v>
          </cell>
        </row>
        <row r="7269">
          <cell r="D7269" t="str">
            <v>1631606400    -    CARD READER    -    22.507241</v>
          </cell>
        </row>
        <row r="7270">
          <cell r="D7270" t="str">
            <v>10779700    -    CONNECTOR    -    22.37</v>
          </cell>
        </row>
        <row r="7271">
          <cell r="D7271" t="str">
            <v>9370177    -    LEAD FRAME-MOLDED    -    19.71374</v>
          </cell>
        </row>
        <row r="7272">
          <cell r="D7272" t="str">
            <v>28018182    -    HEADER-INPUT-QMAC2    -    19.51</v>
          </cell>
        </row>
        <row r="7273">
          <cell r="D7273" t="str">
            <v>28018178    -    HEADER-BUS-SCIM-ECM    -    18.46</v>
          </cell>
        </row>
        <row r="7274">
          <cell r="D7274" t="str">
            <v>1J0 955 559    -    ASSEMBLE PART    -    18.442799</v>
          </cell>
        </row>
        <row r="7275">
          <cell r="D7275" t="str">
            <v>10723692    -    626457 CNCN M __ GY 4    -    18.314819</v>
          </cell>
        </row>
        <row r="7276">
          <cell r="D7276" t="str">
            <v>15422623    -    CONNECTOR    -    17</v>
          </cell>
        </row>
        <row r="7277">
          <cell r="D7277" t="str">
            <v>28018181    -    HEADER-OUTPUT-QMAC2    -    16.5</v>
          </cell>
        </row>
        <row r="7278">
          <cell r="D7278" t="str">
            <v>12243863    -    HEADER-P12    -    15.76</v>
          </cell>
        </row>
        <row r="7279">
          <cell r="D7279" t="str">
            <v>12223209    -    HEADER-E67    -    15.14</v>
          </cell>
        </row>
        <row r="7280">
          <cell r="D7280" t="str">
            <v>12237574    -    HEADER-HYUN    -    15.03</v>
          </cell>
        </row>
        <row r="7281">
          <cell r="D7281" t="str">
            <v>15316950    -    CONNECTOR    -    15.03</v>
          </cell>
        </row>
        <row r="7282">
          <cell r="D7282" t="str">
            <v>15458930    -    HEADER    -    14.592</v>
          </cell>
        </row>
        <row r="7283">
          <cell r="D7283" t="str">
            <v>15316945    -    CONN PLUG RECEPTACLE    -    14.5</v>
          </cell>
        </row>
        <row r="7284">
          <cell r="D7284" t="str">
            <v>28017924    -    CONN-120 WAY,2    -    14.48</v>
          </cell>
        </row>
        <row r="7285">
          <cell r="D7285" t="str">
            <v>12219293    -    108 PIN HEADER ASSEMBLY    -    14.38</v>
          </cell>
        </row>
        <row r="7286">
          <cell r="D7286" t="str">
            <v>12232567    -    CONN-120 WAY,2    -    14.38</v>
          </cell>
        </row>
        <row r="7287">
          <cell r="D7287" t="str">
            <v>16060710    -    CONN BODY-46 CAVITY    -    14.25</v>
          </cell>
        </row>
        <row r="7288">
          <cell r="D7288" t="str">
            <v>10751316    -    DOPPEL NTC-KUPPLUNG 4-POL.    -    13.976443</v>
          </cell>
        </row>
        <row r="7289">
          <cell r="D7289" t="str">
            <v>12034402    -    CONN-60 PIN    -    13.8419</v>
          </cell>
        </row>
        <row r="7290">
          <cell r="D7290" t="str">
            <v>12211199    -    HEADER-CVT    -    13.769662</v>
          </cell>
        </row>
        <row r="7291">
          <cell r="D7291" t="str">
            <v>15443159    -    KIT (SEAL, TERM, RING, ADPTR, CONN)    -    13.56</v>
          </cell>
        </row>
        <row r="7292">
          <cell r="D7292" t="str">
            <v>10846411    -    CONN 4 F BLK    -    13.520537</v>
          </cell>
        </row>
        <row r="7293">
          <cell r="D7293" t="str">
            <v>12203668    -    CONNECTOR-70 PIN    -    13.450057</v>
          </cell>
        </row>
        <row r="7294">
          <cell r="D7294" t="str">
            <v>12222062    -    HEADER    -    13.237173</v>
          </cell>
        </row>
        <row r="7295">
          <cell r="D7295" t="str">
            <v>15339705    -    ASM CONN 70 M MISC PURCH BLK SEALED    -    13.074556</v>
          </cell>
        </row>
        <row r="7296">
          <cell r="D7296" t="str">
            <v>10787530    -    CONN 62 F RECEPTACLE GRA    -    13.065589</v>
          </cell>
        </row>
        <row r="7297">
          <cell r="D7297" t="str">
            <v>10787533    -    CONN 62 F RECEPTACLE GRA    -    13.065589</v>
          </cell>
        </row>
        <row r="7298">
          <cell r="D7298" t="str">
            <v>16193167    -    CONNECTOR-55 POS    -    12.7</v>
          </cell>
        </row>
        <row r="7299">
          <cell r="D7299" t="str">
            <v>10775095    -    633719 MCCLO 150 271 *    -    12.599204</v>
          </cell>
        </row>
        <row r="7300">
          <cell r="D7300" t="str">
            <v>10723687    -    626409 CNCN M+F __ GY 5    -    12.437675</v>
          </cell>
        </row>
        <row r="7301">
          <cell r="D7301" t="str">
            <v>10780184    -    ASM CONN 70 M MISC PURCH BLK SEALED    -    12.333105</v>
          </cell>
        </row>
        <row r="7302">
          <cell r="D7302" t="str">
            <v>12246916    -    HEADER-ASM,T42    -    11.9</v>
          </cell>
        </row>
        <row r="7303">
          <cell r="D7303" t="str">
            <v>163160640000    -    CHIPKARTENLESER AMPHENOL    -    11.253621</v>
          </cell>
        </row>
        <row r="7304">
          <cell r="D7304" t="str">
            <v>16197044    -    HEADER-80PIN,STDFLT    -    11.124</v>
          </cell>
        </row>
        <row r="7305">
          <cell r="D7305" t="str">
            <v>16265596    -    HEADER-L850    -    11.115629</v>
          </cell>
        </row>
        <row r="7306">
          <cell r="D7306" t="str">
            <v>10768397    -    CONN 70 F BLK SEALED    -    10.79484</v>
          </cell>
        </row>
        <row r="7307">
          <cell r="D7307" t="str">
            <v>10775091    -    633714 CNHO __ 243 GY __    -    10.760267</v>
          </cell>
        </row>
        <row r="7308">
          <cell r="D7308" t="str">
            <v>15430689    -    40 WAY CONNECTOR    -    10.29</v>
          </cell>
        </row>
        <row r="7309">
          <cell r="D7309" t="str">
            <v>10775094    -    633718 MDPO 243 GY *    -    10.139004</v>
          </cell>
        </row>
        <row r="7310">
          <cell r="D7310" t="str">
            <v>10812100    -    SUB HARNESS    -    9.9402</v>
          </cell>
        </row>
        <row r="7311">
          <cell r="D7311" t="str">
            <v>12230905    -    CONN-70 WAY,1    -    9.89</v>
          </cell>
        </row>
        <row r="7312">
          <cell r="D7312" t="str">
            <v>9397449    -    OPTO-PIGTAIL,TX/RX    -    9.844894</v>
          </cell>
        </row>
        <row r="7313">
          <cell r="D7313" t="str">
            <v>15430691    -    40 WAY CONNECTOR    -    9.84</v>
          </cell>
        </row>
        <row r="7314">
          <cell r="D7314" t="str">
            <v>28017656    -    HEADER-MTR CTRL R    -    9.8</v>
          </cell>
        </row>
        <row r="7315">
          <cell r="D7315" t="str">
            <v>28001219    -    STIFTWANNE-J-SO-PIN, 12POS MQS-OCA C5610    -    9.782824</v>
          </cell>
        </row>
        <row r="7316">
          <cell r="D7316" t="str">
            <v>15422743    -    CONN 31    -    9.77</v>
          </cell>
        </row>
        <row r="7317">
          <cell r="D7317" t="str">
            <v>15317105    -    CONN 16 WAY    -    9.55</v>
          </cell>
        </row>
        <row r="7318">
          <cell r="D7318" t="str">
            <v>28017655    -    HEADER-MTR CTRL L    -    9.5</v>
          </cell>
        </row>
        <row r="7319">
          <cell r="D7319" t="str">
            <v>15405619    -    PLUG CONNECTOR    -    9.34</v>
          </cell>
        </row>
        <row r="7320">
          <cell r="D7320" t="str">
            <v>10810908    -    EM-BOX 40 P.    -    9.318938</v>
          </cell>
        </row>
        <row r="7321">
          <cell r="D7321" t="str">
            <v>10787577    -    CONN 56 F BLK    -    9.270069</v>
          </cell>
        </row>
        <row r="7322">
          <cell r="D7322" t="str">
            <v>15316957    -    PLUG    -    9.27</v>
          </cell>
        </row>
        <row r="7323">
          <cell r="D7323" t="str">
            <v>10777507    -    PLUG CONNECTOR    -    9.25</v>
          </cell>
        </row>
        <row r="7324">
          <cell r="D7324" t="str">
            <v>10846410    -    CONN 46 M GRA    -    9.243082</v>
          </cell>
        </row>
        <row r="7325">
          <cell r="D7325" t="str">
            <v>10820586    -    MISC SLV W23.60 H4.60 L19.60    -    9.157409</v>
          </cell>
        </row>
        <row r="7326">
          <cell r="D7326" t="str">
            <v>9397328    -    OPTO-TX/RX,PIGTAIL    -    9.02</v>
          </cell>
        </row>
        <row r="7327">
          <cell r="D7327" t="str">
            <v>9401883    -    PTO-TX/RX PIGTAIL    -    9.02</v>
          </cell>
        </row>
        <row r="7328">
          <cell r="D7328" t="str">
            <v>15483079    -    CONN 14M HD30 SLV SLD    -    8.9</v>
          </cell>
        </row>
        <row r="7329">
          <cell r="D7329" t="str">
            <v>15365981    -    PLUG CONNECTOR    -    8.85</v>
          </cell>
        </row>
        <row r="7330">
          <cell r="D7330" t="str">
            <v>PG000586    -    CONN M 19W    -    8.69</v>
          </cell>
        </row>
        <row r="7331">
          <cell r="D7331" t="str">
            <v>29511365    -    WT-PLUG    -    8.56</v>
          </cell>
        </row>
        <row r="7332">
          <cell r="D7332" t="str">
            <v>15430688    -    40 WAY CONNECTOR    -    8.55</v>
          </cell>
        </row>
        <row r="7333">
          <cell r="D7333" t="str">
            <v>15430646    -    CONNECTOR PLUG    -    8.52</v>
          </cell>
        </row>
        <row r="7334">
          <cell r="D7334" t="str">
            <v>10723712    -    626641 CNCN M+F 8 GY 26    -    8.515929</v>
          </cell>
        </row>
        <row r="7335">
          <cell r="D7335" t="str">
            <v>15317209    -    31-PIN BOLK HEAD    -    8.51</v>
          </cell>
        </row>
        <row r="7336">
          <cell r="D7336" t="str">
            <v>28009301    -    HEADER-2 PLUS 4,R/A    -    8.5</v>
          </cell>
        </row>
        <row r="7337">
          <cell r="D7337" t="str">
            <v>9399573    -    ASM-HEADER,0POS,0+2    -    8.49</v>
          </cell>
        </row>
        <row r="7338">
          <cell r="D7338" t="str">
            <v>15380915    -    CONN 23 F SE    -    8.4</v>
          </cell>
        </row>
        <row r="7339">
          <cell r="D7339" t="str">
            <v>9390141    -    HOUSING    -    8.36</v>
          </cell>
        </row>
        <row r="7340">
          <cell r="D7340" t="str">
            <v>10777485    -    RECEPTACLE CONNECTOR    -    8.35</v>
          </cell>
        </row>
        <row r="7341">
          <cell r="D7341" t="str">
            <v>10777486    -    RECEPTACLE CONNECTOR    -    8.35</v>
          </cell>
        </row>
        <row r="7342">
          <cell r="D7342" t="str">
            <v>10777501    -    RECEPTACLE CONNECTOR    -    8.35</v>
          </cell>
        </row>
        <row r="7343">
          <cell r="D7343" t="str">
            <v>10778485    -    RECEPTACLE CONNECTOR    -    8.35</v>
          </cell>
        </row>
        <row r="7344">
          <cell r="D7344" t="str">
            <v>15380706    -    PLUG    -    8.31</v>
          </cell>
        </row>
        <row r="7345">
          <cell r="D7345" t="str">
            <v>9369297    -    HOUSING-ASM    -    8.274</v>
          </cell>
        </row>
        <row r="7346">
          <cell r="D7346" t="str">
            <v>15405710    -    RECEPTACLE    -    8.23</v>
          </cell>
        </row>
        <row r="7347">
          <cell r="D7347" t="str">
            <v>15410332    -    CONN M    -    8.2</v>
          </cell>
        </row>
        <row r="7348">
          <cell r="D7348" t="str">
            <v>15430687    -    40 WAY CONNECTOR    -    8.1</v>
          </cell>
        </row>
        <row r="7349">
          <cell r="D7349" t="str">
            <v>10812214    -    MOUN BRACKET CONN    -    7.989436</v>
          </cell>
        </row>
        <row r="7350">
          <cell r="D7350" t="str">
            <v>10787267    -    GRIFFSCHALE    -    7.933938</v>
          </cell>
        </row>
        <row r="7351">
          <cell r="D7351" t="str">
            <v>15365979    -    PLUG CONNECTOR    -    7.9</v>
          </cell>
        </row>
        <row r="7352">
          <cell r="D7352" t="str">
            <v>15401643    -    PLUG    -    7.68</v>
          </cell>
        </row>
        <row r="7353">
          <cell r="D7353" t="str">
            <v>10737819    -    421469 AK 9882    -    7.664336</v>
          </cell>
        </row>
        <row r="7354">
          <cell r="D7354" t="str">
            <v>9390130    -    HOUSING    -    7.62163</v>
          </cell>
        </row>
        <row r="7355">
          <cell r="D7355" t="str">
            <v>15380675    -    PLUG    -    7.51</v>
          </cell>
        </row>
        <row r="7356">
          <cell r="D7356" t="str">
            <v>15405628    -    CONNECTOR    -    7.45</v>
          </cell>
        </row>
        <row r="7357">
          <cell r="D7357" t="str">
            <v>10820504    -    CONN 56F    -    7.324685</v>
          </cell>
        </row>
        <row r="7358">
          <cell r="D7358" t="str">
            <v>15365876    -    RECEPTACLE CONNECTOR    -    7.18</v>
          </cell>
        </row>
        <row r="7359">
          <cell r="D7359" t="str">
            <v>15430647    -    CONNECTOR RECEPTACLE 47W    -    6.98</v>
          </cell>
        </row>
        <row r="7360">
          <cell r="D7360" t="str">
            <v>28014513    -    HEADER-70POS,A4M1    -    6.96</v>
          </cell>
        </row>
        <row r="7361">
          <cell r="D7361" t="str">
            <v>28014514    -    HEADER-70POS,A4M1    -    6.96</v>
          </cell>
        </row>
        <row r="7362">
          <cell r="D7362" t="str">
            <v>12215162    -    CONN-A3 16,ENG    -    6.88</v>
          </cell>
        </row>
        <row r="7363">
          <cell r="D7363" t="str">
            <v>9396920    -    HEADER-70POS,M,V,5    -    6.88</v>
          </cell>
        </row>
        <row r="7364">
          <cell r="D7364" t="str">
            <v>9396921    -    HEADER-70POS,M,V,6    -    6.88</v>
          </cell>
        </row>
        <row r="7365">
          <cell r="D7365" t="str">
            <v>9354248    -    HOUSING-S/A    -    6.786672</v>
          </cell>
        </row>
        <row r="7366">
          <cell r="D7366" t="str">
            <v>15316567    -    PLUG    -    6.78</v>
          </cell>
        </row>
        <row r="7367">
          <cell r="D7367" t="str">
            <v>15365675    -    PLUG    -    6.78</v>
          </cell>
        </row>
        <row r="7368">
          <cell r="D7368" t="str">
            <v>15404427    -    PLUG    -    6.78</v>
          </cell>
        </row>
        <row r="7369">
          <cell r="D7369" t="str">
            <v>10723711    -    626640 CNCN M26    -    6.767336</v>
          </cell>
        </row>
        <row r="7370">
          <cell r="D7370" t="str">
            <v>15453697    -    CONNECTOR 18 WAYS    -    6.71</v>
          </cell>
        </row>
        <row r="7371">
          <cell r="D7371" t="str">
            <v>15410333    -    DRB12-48PAE-L018    -    6.68</v>
          </cell>
        </row>
        <row r="7372">
          <cell r="D7372" t="str">
            <v>9384679    -    CONN-A3,OEM    -    6.63</v>
          </cell>
        </row>
        <row r="7373">
          <cell r="D7373" t="str">
            <v>9384680    -    CONN-A3,ENG    -    6.63</v>
          </cell>
        </row>
        <row r="7374">
          <cell r="D7374" t="str">
            <v>PG000466    -    CONN 40 PIN W/ SEAL    -    6.61</v>
          </cell>
        </row>
        <row r="7375">
          <cell r="D7375" t="str">
            <v>PG000520    -    CONN 40 PIN    -    6.61</v>
          </cell>
        </row>
        <row r="7376">
          <cell r="D7376" t="str">
            <v>16234217    -    HEADER-70WAY AMP    -    6.523494</v>
          </cell>
        </row>
        <row r="7377">
          <cell r="D7377" t="str">
            <v>15380800    -    ASM CONN 13F MOLD-ON    -    6.517385</v>
          </cell>
        </row>
        <row r="7378">
          <cell r="D7378" t="str">
            <v>10722422    -    615353 FLACHSTECKHUELSENG    -    6.476904</v>
          </cell>
        </row>
        <row r="7379">
          <cell r="D7379" t="str">
            <v>15369407    -    PLUG    -    6.46</v>
          </cell>
        </row>
        <row r="7380">
          <cell r="D7380" t="str">
            <v>10756875    -    807676 CONN 8 F BLK SEALED    -    6.43628</v>
          </cell>
        </row>
        <row r="7381">
          <cell r="D7381" t="str">
            <v>10756876    -    807675 CONN 8 M BLK SEALED    -    6.43628</v>
          </cell>
        </row>
        <row r="7382">
          <cell r="D7382" t="str">
            <v>PG008775    -    RECEPTACLE 8-WAY    -    6.24</v>
          </cell>
        </row>
        <row r="7383">
          <cell r="D7383" t="str">
            <v>15380876    -    CONNECTOR    -    6.21</v>
          </cell>
        </row>
        <row r="7384">
          <cell r="D7384" t="str">
            <v>12034388    -    CONN-16 PIN    -    6.208</v>
          </cell>
        </row>
        <row r="7385">
          <cell r="D7385" t="str">
            <v>15448406    -    HEADER    -    6.16</v>
          </cell>
        </row>
        <row r="7386">
          <cell r="D7386" t="str">
            <v>15448407    -    HEADER    -    6.16</v>
          </cell>
        </row>
        <row r="7387">
          <cell r="D7387" t="str">
            <v>15448408    -    HEADER    -    6.16</v>
          </cell>
        </row>
        <row r="7388">
          <cell r="D7388" t="str">
            <v>15448409    -    HEADER    -    6.16</v>
          </cell>
        </row>
        <row r="7389">
          <cell r="D7389" t="str">
            <v>15448410    -    HEADER    -    6.16</v>
          </cell>
        </row>
        <row r="7390">
          <cell r="D7390" t="str">
            <v>15448411    -    HEADER    -    6.16</v>
          </cell>
        </row>
        <row r="7391">
          <cell r="D7391" t="str">
            <v>15448412    -    HEADER    -    6.16</v>
          </cell>
        </row>
        <row r="7392">
          <cell r="D7392" t="str">
            <v>15448414    -    HEADER    -    6.16</v>
          </cell>
        </row>
        <row r="7393">
          <cell r="D7393" t="str">
            <v>10810683    -    CONN 24 M PIN GRA    -    6.150499</v>
          </cell>
        </row>
        <row r="7394">
          <cell r="D7394" t="str">
            <v>12236105    -    HOUSING-ASM,VW00BC    -    6.087413</v>
          </cell>
        </row>
        <row r="7395">
          <cell r="D7395" t="str">
            <v>15404212    -    CONNECTOR 2 WAY    -    6.05</v>
          </cell>
        </row>
        <row r="7396">
          <cell r="D7396" t="str">
            <v>15430680    -    16 PIN CONNECTOR    -    5.99</v>
          </cell>
        </row>
        <row r="7397">
          <cell r="D7397" t="str">
            <v>15393146    -    ASM-DIE CAST HSG    -    5.98</v>
          </cell>
        </row>
        <row r="7398">
          <cell r="D7398" t="str">
            <v>15405087    -    ASM-CONN HS 52M MIC    -    5.98</v>
          </cell>
        </row>
        <row r="7399">
          <cell r="D7399" t="str">
            <v>15418554    -    ASM-CONN HS 52M MIC    -    5.98</v>
          </cell>
        </row>
        <row r="7400">
          <cell r="D7400" t="str">
            <v>15421692    -    ASM-CONN HS 52M MIC    -    5.98</v>
          </cell>
        </row>
        <row r="7401">
          <cell r="D7401" t="str">
            <v>15465454    -    16.T24.96CON AMP 40 VIAS 2,54 MM PORTA M    -    5.862947</v>
          </cell>
        </row>
        <row r="7402">
          <cell r="D7402" t="str">
            <v>15365673    -    PLUG    -    5.86</v>
          </cell>
        </row>
        <row r="7403">
          <cell r="D7403" t="str">
            <v>10812218    -    CONN 94 F QUADLOK MICRO MULTI SEALED    -    5.817129</v>
          </cell>
        </row>
        <row r="7404">
          <cell r="D7404" t="str">
            <v>15380320    -    RECEPTACLE CONNECTOR    -    5.76</v>
          </cell>
        </row>
        <row r="7405">
          <cell r="D7405" t="str">
            <v>15341073    -    CONN F    -    5.752891</v>
          </cell>
        </row>
        <row r="7406">
          <cell r="D7406" t="str">
            <v>15365707    -    CONN    -    5.75</v>
          </cell>
        </row>
        <row r="7407">
          <cell r="D7407" t="str">
            <v>15463122    -    ASM-FRAME,INTERCONN    -    5.68</v>
          </cell>
        </row>
        <row r="7408">
          <cell r="D7408" t="str">
            <v>15438366    -    HOUSING 96 WAY BOSCH (ZFW96-1)    -    5.667291</v>
          </cell>
        </row>
        <row r="7409">
          <cell r="D7409" t="str">
            <v>10811547    -    CONN 32 F BLK    -    5.603788</v>
          </cell>
        </row>
        <row r="7410">
          <cell r="D7410" t="str">
            <v>15405088    -    ASM-CONN HS 52M MIC    -    5.56</v>
          </cell>
        </row>
        <row r="7411">
          <cell r="D7411" t="str">
            <v>12197420    -    622403 ZLACZE 004 545 0426    -    5.505517</v>
          </cell>
        </row>
        <row r="7412">
          <cell r="D7412" t="str">
            <v>DED10420094    -    FAKRA WINKELSTECKER 4FACH C4630    -    5.491875</v>
          </cell>
        </row>
        <row r="7413">
          <cell r="D7413" t="str">
            <v>28004234    -    HEADER-REHAB FULL L    -    5.48</v>
          </cell>
        </row>
        <row r="7414">
          <cell r="D7414" t="str">
            <v>16246851    -    CONNECTOR-122PINAMP    -    5.44</v>
          </cell>
        </row>
        <row r="7415">
          <cell r="D7415" t="str">
            <v>PG004748    -    PLUG    -    5.41</v>
          </cell>
        </row>
        <row r="7416">
          <cell r="D7416" t="str">
            <v>12238973    -    HEADER-MT20U    -    5.39</v>
          </cell>
        </row>
        <row r="7417">
          <cell r="D7417" t="str">
            <v>15453696    -    CONNECTOR 14 WAYS    -    5.31</v>
          </cell>
        </row>
        <row r="7418">
          <cell r="D7418" t="str">
            <v>28004235    -    HEADER-REHAB FULL R    -    5.28</v>
          </cell>
        </row>
        <row r="7419">
          <cell r="D7419" t="str">
            <v>10768923    -    CONN 24 F    -    5.243456</v>
          </cell>
        </row>
        <row r="7420">
          <cell r="D7420" t="str">
            <v>10756335    -    KONTAKTTRAEGER    -    5.20941</v>
          </cell>
        </row>
        <row r="7421">
          <cell r="D7421" t="str">
            <v>10756336    -    GRIFFSCHALE    -    5.20941</v>
          </cell>
        </row>
        <row r="7422">
          <cell r="D7422" t="str">
            <v>15380415    -    RECEPTABLE/SEAL    -    5.2</v>
          </cell>
        </row>
        <row r="7423">
          <cell r="D7423" t="str">
            <v>15425691    -    CONNECTOR 12F    -    5.2</v>
          </cell>
        </row>
        <row r="7424">
          <cell r="D7424" t="str">
            <v>12201828    -    HEADER-20 WAY    -    5.19584</v>
          </cell>
        </row>
        <row r="7425">
          <cell r="D7425" t="str">
            <v>15412913    -    TERMINAL    -    5.17</v>
          </cell>
        </row>
        <row r="7426">
          <cell r="D7426" t="str">
            <v>10722930    -    CONN M+F    -    5.156479</v>
          </cell>
        </row>
        <row r="7427">
          <cell r="D7427" t="str">
            <v>10420094    -    FAKRA WINKELSTECKER 4-FACH    -    5.033094</v>
          </cell>
        </row>
        <row r="7428">
          <cell r="D7428" t="str">
            <v>15317008    -    RECEPTACLE Y    -    5.02</v>
          </cell>
        </row>
        <row r="7429">
          <cell r="D7429" t="str">
            <v>15380582    -    RECEPTABLE/SEAL    -    5.02</v>
          </cell>
        </row>
        <row r="7430">
          <cell r="D7430" t="str">
            <v>16188011    -    HEADER-STACKING    -    5</v>
          </cell>
        </row>
        <row r="7431">
          <cell r="D7431" t="str">
            <v>9387311    -    CONNECTOR-SYSTEM    -    5</v>
          </cell>
        </row>
        <row r="7432">
          <cell r="D7432" t="str">
            <v>10722421    -    CONN 13 F    -    4.982525</v>
          </cell>
        </row>
        <row r="7433">
          <cell r="D7433" t="str">
            <v>10811756    -    PLUG CONNECTOR    -    4.9</v>
          </cell>
        </row>
        <row r="7434">
          <cell r="D7434" t="str">
            <v>12229168    -    HEADER 154 PIN    -    4.9</v>
          </cell>
        </row>
        <row r="7435">
          <cell r="D7435" t="str">
            <v>10811548    -    STIFTGEH?USE 32-POL. "QR/P4" S    -    4.895549</v>
          </cell>
        </row>
        <row r="7436">
          <cell r="D7436" t="str">
            <v>10812059    -    HOUSING HOLDER    -    4.817062</v>
          </cell>
        </row>
        <row r="7437">
          <cell r="D7437" t="str">
            <v>10754226    -    804421 COV CONN SLV    -    4.810451</v>
          </cell>
        </row>
        <row r="7438">
          <cell r="D7438" t="str">
            <v>15365665    -    RECEPTACLE    -    4.79</v>
          </cell>
        </row>
        <row r="7439">
          <cell r="D7439" t="str">
            <v>9398757    -    HEADER-ASM,4POS,4+2    -    4.73</v>
          </cell>
        </row>
        <row r="7440">
          <cell r="D7440" t="str">
            <v>10768740    -    KONCOWKA VOLVO 8645423    -    4.659469</v>
          </cell>
        </row>
        <row r="7441">
          <cell r="D7441" t="str">
            <v>12204497    -    HEADER-ASM,T42    -    4.61</v>
          </cell>
        </row>
        <row r="7442">
          <cell r="D7442" t="str">
            <v>12245130    -    HEADER-ASM,T42    -    4.61</v>
          </cell>
        </row>
        <row r="7443">
          <cell r="D7443" t="str">
            <v>15369417    -    PLUG CONN    -    4.58</v>
          </cell>
        </row>
        <row r="7444">
          <cell r="D7444" t="str">
            <v>12237823    -    ASM-CASE CONN SDM-C    -    4.57</v>
          </cell>
        </row>
        <row r="7445">
          <cell r="D7445" t="str">
            <v>15365674    -    PLUG CONN    -    4.53</v>
          </cell>
        </row>
        <row r="7446">
          <cell r="D7446" t="str">
            <v>12205886    -    HEADER-18 WAY    -    4.50129</v>
          </cell>
        </row>
        <row r="7447">
          <cell r="D7447" t="str">
            <v>12244364    -    HEADER ASM 65W-BLUE    -    4.5</v>
          </cell>
        </row>
        <row r="7448">
          <cell r="D7448" t="str">
            <v>12244365    -    HEADER ASM 65W-GRAY    -    4.5</v>
          </cell>
        </row>
        <row r="7449">
          <cell r="D7449" t="str">
            <v>12225584    -    HEADER-CASE,TYCO142    -    4.495</v>
          </cell>
        </row>
        <row r="7450">
          <cell r="D7450" t="str">
            <v>10811009    -    CONN 32 F SOCKET MIXED BLK    -    4.452872</v>
          </cell>
        </row>
        <row r="7451">
          <cell r="D7451" t="str">
            <v>15365664    -    RECEPTACLE    -    4.45</v>
          </cell>
        </row>
        <row r="7452">
          <cell r="D7452" t="str">
            <v>12215192    -    HEADER-CASE,TYCO135    -    4.43</v>
          </cell>
        </row>
        <row r="7453">
          <cell r="D7453" t="str">
            <v>10774424    -    16.H91.96 CENTRALINA AMP 60 VI    -    4.386113</v>
          </cell>
        </row>
        <row r="7454">
          <cell r="D7454" t="str">
            <v>9387921    -    HEADER-15POS,MA    -    4.36282</v>
          </cell>
        </row>
        <row r="7455">
          <cell r="D7455" t="str">
            <v>9389299    -    HEADER-15POS,MA    -    4.36282</v>
          </cell>
        </row>
        <row r="7456">
          <cell r="D7456" t="str">
            <v>10811933    -    CONN 31    -    4.317936</v>
          </cell>
        </row>
        <row r="7457">
          <cell r="D7457" t="str">
            <v>10847060    -    CONNECTOR    -    4.306237</v>
          </cell>
        </row>
        <row r="7458">
          <cell r="D7458" t="str">
            <v>15354669    -    CONN ASM-34M, MIC/P    -    4.24</v>
          </cell>
        </row>
        <row r="7459">
          <cell r="D7459" t="str">
            <v>15491297    -    CONN ASSY    -    4.23192</v>
          </cell>
        </row>
        <row r="7460">
          <cell r="D7460" t="str">
            <v>10769026    -    GRIFFSCHALE    -    4.224709</v>
          </cell>
        </row>
        <row r="7461">
          <cell r="D7461" t="str">
            <v>10769027    -    GRIFFSCHALE    -    4.224709</v>
          </cell>
        </row>
        <row r="7462">
          <cell r="D7462" t="str">
            <v>10732830    -    KOAXIALKUPPLUNG    -    4.223802</v>
          </cell>
        </row>
        <row r="7463">
          <cell r="D7463" t="str">
            <v>10732832    -    KOAXIALKUPPLUNG    -    4.177307</v>
          </cell>
        </row>
        <row r="7464">
          <cell r="D7464" t="str">
            <v>9387922    -    HEADER-5POS,MA    -    4.13683</v>
          </cell>
        </row>
        <row r="7465">
          <cell r="D7465" t="str">
            <v>28003236    -    ASM-CASE CONN SDM-C    -    4.115</v>
          </cell>
        </row>
        <row r="7466">
          <cell r="D7466" t="str">
            <v>9389303    -    HEADER-5POS,MA    -    4.10964</v>
          </cell>
        </row>
        <row r="7467">
          <cell r="D7467" t="str">
            <v>21001604    -    1,2 PIN HEADER/ CONNECTOR    -    4.105</v>
          </cell>
        </row>
        <row r="7468">
          <cell r="D7468" t="str">
            <v>10724810    -    HSK75    -    4.102408</v>
          </cell>
        </row>
        <row r="7469">
          <cell r="D7469" t="str">
            <v>10811855    -    15.056.96 ZF8-9 POLE+DISTR AMP    -    4.100333</v>
          </cell>
        </row>
        <row r="7470">
          <cell r="D7470" t="str">
            <v>28005744    -    HEADER - CASE SDM-C    -    4.065</v>
          </cell>
        </row>
        <row r="7471">
          <cell r="D7471" t="str">
            <v>28004246    -    HEADER-SCIM I/O    -    4.03</v>
          </cell>
        </row>
        <row r="7472">
          <cell r="D7472" t="str">
            <v>12245393    -    HEADER-62 WAY, J1    -    3.985995</v>
          </cell>
        </row>
        <row r="7473">
          <cell r="D7473" t="str">
            <v>10722942    -    ASM CONN 55JPT    -    3.967104</v>
          </cell>
        </row>
        <row r="7474">
          <cell r="D7474" t="str">
            <v>15365831    -    BACK SHELL ASSEMBLY    -    3.94</v>
          </cell>
        </row>
        <row r="7475">
          <cell r="D7475" t="str">
            <v>15410408    -    RECEPTACLE    -    3.88</v>
          </cell>
        </row>
        <row r="7476">
          <cell r="D7476" t="str">
            <v>16260673    -    HEADER-32 PIN,BLUE    -    3.88</v>
          </cell>
        </row>
        <row r="7477">
          <cell r="D7477" t="str">
            <v>15340289    -    631220 CNCN F68    -    3.879396</v>
          </cell>
        </row>
        <row r="7478">
          <cell r="D7478" t="str">
            <v>10810684    -    CONN 15 F GRA    -    3.876678</v>
          </cell>
        </row>
        <row r="7479">
          <cell r="D7479" t="str">
            <v>15462694    -    HOUSING 58 WAY BOSCH    -    3.845662</v>
          </cell>
        </row>
        <row r="7480">
          <cell r="D7480" t="str">
            <v>10775869    -    633610 CNCO M 243 SR 68 *    -    3.801808</v>
          </cell>
        </row>
        <row r="7481">
          <cell r="D7481" t="str">
            <v>10753168    -    ASM CONN 55JPT    -    3.791688</v>
          </cell>
        </row>
        <row r="7482">
          <cell r="D7482" t="str">
            <v>16214928    -    HEADER-16 COND    -    3.75</v>
          </cell>
        </row>
        <row r="7483">
          <cell r="D7483" t="str">
            <v>28004244    -    HEADER-QMAC2 BATT    -    3.75</v>
          </cell>
        </row>
        <row r="7484">
          <cell r="D7484" t="str">
            <v>10722906    -    619303 CNCN F 177 GY 37    -    3.684144</v>
          </cell>
        </row>
        <row r="7485">
          <cell r="D7485" t="str">
            <v>10864747    -    CONNECTOR 121 WAY BLACK    -    3.670246</v>
          </cell>
        </row>
        <row r="7486">
          <cell r="D7486" t="str">
            <v>15430642    -    CONN 47 F MISC N/A    -    3.653257</v>
          </cell>
        </row>
        <row r="7487">
          <cell r="D7487" t="str">
            <v>9399120    -    IC-OPTICAL LINK    -    3.61976</v>
          </cell>
        </row>
        <row r="7488">
          <cell r="D7488" t="str">
            <v>10726740    -    16.285.96 CONJ 55V NG 185320-2    -    3.578472</v>
          </cell>
        </row>
        <row r="7489">
          <cell r="D7489" t="str">
            <v>12103526    -    CONNECTOR - 9F    -    3.56</v>
          </cell>
        </row>
        <row r="7490">
          <cell r="D7490" t="str">
            <v>5336000    -    SOCKEL KOMPL. LI    -    3.548804</v>
          </cell>
        </row>
        <row r="7491">
          <cell r="D7491" t="str">
            <v>10769267    -    KONTAKTTRAEGER    -    3.544891</v>
          </cell>
        </row>
        <row r="7492">
          <cell r="D7492" t="str">
            <v>10762670    -    POTENTIALVERTEILER DC    -    3.539264</v>
          </cell>
        </row>
        <row r="7493">
          <cell r="D7493" t="str">
            <v>10819586    -    CONNECTOR    -    3.539264</v>
          </cell>
        </row>
        <row r="7494">
          <cell r="D7494" t="str">
            <v>DED511110070K    -    FI00KC ANTENNE KABELVERS. PASS    -    3.521817</v>
          </cell>
        </row>
        <row r="7495">
          <cell r="D7495" t="str">
            <v>12045538    -    CONN    -    3.5</v>
          </cell>
        </row>
        <row r="7496">
          <cell r="D7496" t="str">
            <v>12089593    -    HEADER-32 COND,MALE    -    3.5</v>
          </cell>
        </row>
        <row r="7497">
          <cell r="D7497" t="str">
            <v>15404217    -    CONN ASM-203    -    3.5</v>
          </cell>
        </row>
        <row r="7498">
          <cell r="D7498" t="str">
            <v>28004245    -    HEADER-QMAC2 ACTUAT    -    3.5</v>
          </cell>
        </row>
        <row r="7499">
          <cell r="D7499" t="str">
            <v>10750761    -    BOITE FUSIBLE * 9635518180    -    3.492986</v>
          </cell>
        </row>
        <row r="7500">
          <cell r="D7500" t="str">
            <v>15380635    -    INTERFACE FLANE    -    3.49</v>
          </cell>
        </row>
        <row r="7501">
          <cell r="D7501" t="str">
            <v>15305220    -    HEADER-12 PIN    -    3.463</v>
          </cell>
        </row>
        <row r="7502">
          <cell r="D7502" t="str">
            <v>9398278    -    CONN-BATTERY INTERF    -    3.46</v>
          </cell>
        </row>
        <row r="7503">
          <cell r="D7503" t="str">
            <v>16249076    -    HEADER-32,BLU,NOEPX    -    3.45</v>
          </cell>
        </row>
        <row r="7504">
          <cell r="D7504" t="str">
            <v>12207165    -    HEADER-121 WAY    -    3.447</v>
          </cell>
        </row>
        <row r="7505">
          <cell r="D7505" t="str">
            <v>10730685    -    KOAXIALKUPPLUNG 2-POL.    -    3.440042</v>
          </cell>
        </row>
        <row r="7506">
          <cell r="D7506" t="str">
            <v>15405682    -    ASM CONN 0 F SLD BASE 47    -    3.435768</v>
          </cell>
        </row>
        <row r="7507">
          <cell r="D7507" t="str">
            <v>10775747    -    625236 CNCN F 21 BK 40    -    3.418855</v>
          </cell>
        </row>
        <row r="7508">
          <cell r="D7508" t="str">
            <v>10722103    -    ASM CONN    -    3.416944</v>
          </cell>
        </row>
        <row r="7509">
          <cell r="D7509" t="str">
            <v>10757120    -    809202 CONN 8 M+F BLK    -    3.416944</v>
          </cell>
        </row>
        <row r="7510">
          <cell r="D7510" t="str">
            <v>15413073    -    CAP    -    3.41</v>
          </cell>
        </row>
        <row r="7511">
          <cell r="D7511" t="str">
            <v>15365629    -    PLUG    -    3.35</v>
          </cell>
        </row>
        <row r="7512">
          <cell r="D7512" t="str">
            <v>10721867    -    CONN M+F    -    3.329938</v>
          </cell>
        </row>
        <row r="7513">
          <cell r="D7513" t="str">
            <v>10820033    -    81 WAY CONNECTOR    -    3.322341</v>
          </cell>
        </row>
        <row r="7514">
          <cell r="D7514" t="str">
            <v>12209185    -    HEADER-75 AL E20    -    3.312667</v>
          </cell>
        </row>
        <row r="7515">
          <cell r="D7515" t="str">
            <v>10787674    -    PLUG CONNECTOR    -    3.3</v>
          </cell>
        </row>
        <row r="7516">
          <cell r="D7516" t="str">
            <v>10723248    -    621725 CNCN F 160 BK 7    -    3.278933</v>
          </cell>
        </row>
        <row r="7517">
          <cell r="D7517" t="str">
            <v>16068767    -    CONN BODY-66 CAVITY    -    3.27558</v>
          </cell>
        </row>
        <row r="7518">
          <cell r="D7518" t="str">
            <v>15401710    -    CONN 9M SLD    -    3.27</v>
          </cell>
        </row>
        <row r="7519">
          <cell r="D7519" t="str">
            <v>10769566    -    KONTAKTTRAEGER    -    3.26374</v>
          </cell>
        </row>
        <row r="7520">
          <cell r="D7520" t="str">
            <v>10819587    -    CONN 47 F RED    -    3.259056</v>
          </cell>
        </row>
        <row r="7521">
          <cell r="D7521" t="str">
            <v>15339543    -    ASSEMBLY MISC WIRE    -    3.235771</v>
          </cell>
        </row>
        <row r="7522">
          <cell r="D7522" t="str">
            <v>DED795008001    -    MESSERLEISTE 55POL. SCANIA 828763-1    -    3.208105</v>
          </cell>
        </row>
        <row r="7523">
          <cell r="D7523" t="str">
            <v>16268545    -    CONNECTOR-36-WAY    -    3.19</v>
          </cell>
        </row>
        <row r="7524">
          <cell r="D7524" t="str">
            <v>9391656    -    HEADER-135POS,MA,R/    -    3.18</v>
          </cell>
        </row>
        <row r="7525">
          <cell r="D7525" t="str">
            <v>9403251    -    HEADER-135POS,M,R/A    -    3.18</v>
          </cell>
        </row>
        <row r="7526">
          <cell r="D7526" t="str">
            <v>15483856    -    CONN ASSY    -    3.14116</v>
          </cell>
        </row>
        <row r="7527">
          <cell r="D7527" t="str">
            <v>10768678    -    CONN 3 M BLK    -    3.13561</v>
          </cell>
        </row>
        <row r="7528">
          <cell r="D7528" t="str">
            <v>K08EN01    -    ANTENNA COIL FOR IMMOBILIZER SYSTEM    -    3.130504</v>
          </cell>
        </row>
        <row r="7529">
          <cell r="D7529" t="str">
            <v>12191417    -    HEADER-10 PIN    -    3.101</v>
          </cell>
        </row>
        <row r="7530">
          <cell r="D7530" t="str">
            <v>10812185    -    CONN 8 M GRA    -    3.081462</v>
          </cell>
        </row>
        <row r="7531">
          <cell r="D7531" t="str">
            <v>10810339    -    HOUSING 30.P.    -    3.075125</v>
          </cell>
        </row>
        <row r="7532">
          <cell r="D7532" t="str">
            <v>10819922    -    CONN 96 F BLK    -    3.070984</v>
          </cell>
        </row>
        <row r="7533">
          <cell r="D7533" t="str">
            <v>10787556    -    CONN 30 F SOCKET BLK SEALED    -    3.068298</v>
          </cell>
        </row>
        <row r="7534">
          <cell r="D7534" t="str">
            <v>10723753    -    627022 CNCN M+F 435 GY 4    -    3.044186</v>
          </cell>
        </row>
        <row r="7535">
          <cell r="D7535" t="str">
            <v>10774288    -    KONTAKTTRAEGER    -    3.034025</v>
          </cell>
        </row>
        <row r="7536">
          <cell r="D7536" t="str">
            <v>12191409    -    HEADER-10 PIN    -    3.029</v>
          </cell>
        </row>
        <row r="7537">
          <cell r="D7537" t="str">
            <v>8N0 995 203    -    ASSEMBLE PART    -    3.020396</v>
          </cell>
        </row>
        <row r="7538">
          <cell r="D7538" t="str">
            <v>9381133    -    HEADER-75POL E12    -    2.995568</v>
          </cell>
        </row>
        <row r="7539">
          <cell r="D7539" t="str">
            <v>10756781    -    KONTAKTTRAEGER    -    2.98206</v>
          </cell>
        </row>
        <row r="7540">
          <cell r="D7540" t="str">
            <v>FRD13069142    -    CONNECTOR 53 WAY RIGHT ANGLE    -    2.978026</v>
          </cell>
        </row>
        <row r="7541">
          <cell r="D7541" t="str">
            <v>10811625    -    17.Q83.96 CONTATEUR    -    2.969635</v>
          </cell>
        </row>
        <row r="7542">
          <cell r="D7542" t="str">
            <v>10847049    -    CONNECTOR 104W DARK GRAY(644)    -    2.961608</v>
          </cell>
        </row>
        <row r="7543">
          <cell r="D7543" t="str">
            <v>10722241    -    612920 CNCN F 177 GY 25    -    2.952834</v>
          </cell>
        </row>
        <row r="7544">
          <cell r="D7544" t="str">
            <v>10721288    -    CONN 38 M    -    2.952649</v>
          </cell>
        </row>
        <row r="7545">
          <cell r="D7545" t="str">
            <v>16249072    -    HEADER-24,BLK,NOEPX    -    2.95</v>
          </cell>
        </row>
        <row r="7546">
          <cell r="D7546" t="str">
            <v>10787744    -    ASM CONN 0 F    -    2.934847</v>
          </cell>
        </row>
        <row r="7547">
          <cell r="D7547" t="str">
            <v>10787745    -    ASM CONN 0 F    -    2.934847</v>
          </cell>
        </row>
        <row r="7548">
          <cell r="D7548" t="str">
            <v>10810696    -    CONN 8 F SOCKET 2.5 GRA    -    2.932359</v>
          </cell>
        </row>
        <row r="7549">
          <cell r="D7549" t="str">
            <v>10723440    -    623430 CNCN F 21 BK 34    -    2.92524</v>
          </cell>
        </row>
        <row r="7550">
          <cell r="D7550" t="str">
            <v>10724285    -    CONN M+F    -    2.87391</v>
          </cell>
        </row>
        <row r="7551">
          <cell r="D7551" t="str">
            <v>10775092    -    633716 CNCN M 14 GY 3 *    -    2.857808</v>
          </cell>
        </row>
        <row r="7552">
          <cell r="D7552" t="str">
            <v>10775093    -    633717 CNCN F 14 GY 3 *    -    2.857808</v>
          </cell>
        </row>
        <row r="7553">
          <cell r="D7553" t="str">
            <v>10811928    -    COV CONN BLK    -    2.857808</v>
          </cell>
        </row>
        <row r="7554">
          <cell r="D7554" t="str">
            <v>10812186    -    CONN 2 M    -    2.845382</v>
          </cell>
        </row>
        <row r="7555">
          <cell r="D7555" t="str">
            <v>15405507    -    RECEPTACLE    -    2.84</v>
          </cell>
        </row>
        <row r="7556">
          <cell r="D7556" t="str">
            <v>28004248    -    HEADER-ECM I/O    -    2.84</v>
          </cell>
        </row>
        <row r="7557">
          <cell r="D7557" t="str">
            <v>10811373    -    HOUSING 16 P. F CE    -    2.83917</v>
          </cell>
        </row>
        <row r="7558">
          <cell r="D7558" t="str">
            <v>15465624    -    16.Z07.96CONECTOR AMP 3-1437290-8    -    2.820152</v>
          </cell>
        </row>
        <row r="7559">
          <cell r="D7559" t="str">
            <v>10810291    -    CONNECTOR BLACK 94 WAY    -    2.794514</v>
          </cell>
        </row>
        <row r="7560">
          <cell r="D7560" t="str">
            <v>10775484    -    634734 CNCN 312 BK G    -    2.782585</v>
          </cell>
        </row>
        <row r="7561">
          <cell r="D7561" t="str">
            <v>DED10420053    -    FAKRA-STECKER 4-FACH C+D C4630    -    2.779671</v>
          </cell>
        </row>
        <row r="7562">
          <cell r="D7562" t="str">
            <v>DED10420054    -    FAKRA-STECKER 4-FACH A+B C4630    -    2.779671</v>
          </cell>
        </row>
        <row r="7563">
          <cell r="D7563" t="str">
            <v>10863970    -    ASM CONN 0 F BLK SLD BASE 8    -    2.77001</v>
          </cell>
        </row>
        <row r="7564">
          <cell r="D7564" t="str">
            <v>10741152    -    CON 5V NG    -    2.77</v>
          </cell>
        </row>
        <row r="7565">
          <cell r="D7565" t="str">
            <v>10722967    -    CONN 19 F BLU    -    2.767619</v>
          </cell>
        </row>
        <row r="7566">
          <cell r="D7566" t="str">
            <v>12224412    -    CONN-116POL.    -    2.766178</v>
          </cell>
        </row>
        <row r="7567">
          <cell r="D7567" t="str">
            <v>28013041    -    HEADER-900BCM    -    2.74</v>
          </cell>
        </row>
        <row r="7568">
          <cell r="D7568" t="str">
            <v>15338469    -    GRIFFSCHALE    -    2.726224</v>
          </cell>
        </row>
        <row r="7569">
          <cell r="D7569" t="str">
            <v>15327738    -    GRIFFSCHALE    -    2.72113</v>
          </cell>
        </row>
        <row r="7570">
          <cell r="D7570" t="str">
            <v>10846980    -    CONNECTOR ASSEMBLY    -    2.690668</v>
          </cell>
        </row>
        <row r="7571">
          <cell r="D7571" t="str">
            <v>15343719    -    GRIFFSCHALE    -    2.680996</v>
          </cell>
        </row>
        <row r="7572">
          <cell r="D7572" t="str">
            <v>10819892    -    CONN 58 F MIXED BLK SEALED    -    2.676399</v>
          </cell>
        </row>
        <row r="7573">
          <cell r="D7573" t="str">
            <v>10754225    -    804420 CONN 50 M BLK    -    2.668609</v>
          </cell>
        </row>
        <row r="7574">
          <cell r="D7574" t="str">
            <v>10847585    -    CONNECTOR 58W BLACK    -    2.660334</v>
          </cell>
        </row>
        <row r="7575">
          <cell r="D7575" t="str">
            <v>15324337    -    RECEPTACLE    -    2.65</v>
          </cell>
        </row>
        <row r="7576">
          <cell r="D7576" t="str">
            <v>10777491    -    SR PLUG W/END CAP, GRAY    -    2.64</v>
          </cell>
        </row>
        <row r="7577">
          <cell r="D7577" t="str">
            <v>10723298    -    KONTAKTTRAEGER    -    2.635965</v>
          </cell>
        </row>
        <row r="7578">
          <cell r="D7578" t="str">
            <v>10723299    -    KONTAKTTRAEGER    -    2.635965</v>
          </cell>
        </row>
        <row r="7579">
          <cell r="D7579" t="str">
            <v>10775742    -    CONN M+F    -    2.633227</v>
          </cell>
        </row>
        <row r="7580">
          <cell r="D7580" t="str">
            <v>15355199    -    CONN-ASM HD 36M    -    2.63</v>
          </cell>
        </row>
        <row r="7581">
          <cell r="D7581" t="str">
            <v>10741131    -    639773 CNCO 14 SR 15    -    2.608371</v>
          </cell>
        </row>
        <row r="7582">
          <cell r="D7582" t="str">
            <v>12186497    -    ASM CONN 40F    -    2.604255</v>
          </cell>
        </row>
        <row r="7583">
          <cell r="D7583" t="str">
            <v>10723044    -    620304 CNCN F __ __ 4    -    2.584452</v>
          </cell>
        </row>
        <row r="7584">
          <cell r="D7584" t="str">
            <v>10777601    -    GRIFFSCHALE    -    2.572027</v>
          </cell>
        </row>
        <row r="7585">
          <cell r="D7585" t="str">
            <v>DED70104000001    -    MCX-WINKELANBAUBUCHSE    -    2.566473</v>
          </cell>
        </row>
        <row r="7586">
          <cell r="D7586" t="str">
            <v>10810894    -    ASM CONN 32 F BLK SEALED    -    2.563775</v>
          </cell>
        </row>
        <row r="7587">
          <cell r="D7587" t="str">
            <v>15316891    -    ASSEMLBY MISC WIRE    -    2.545188</v>
          </cell>
        </row>
        <row r="7588">
          <cell r="D7588" t="str">
            <v>DED70113019002    -    ZSB-GEH}USE MIT SPULE UND LICHTLEITER    -    2.536787</v>
          </cell>
        </row>
        <row r="7589">
          <cell r="D7589" t="str">
            <v>16172444    -    CONNECTOR BODY-36 P    -    2.53</v>
          </cell>
        </row>
        <row r="7590">
          <cell r="D7590" t="str">
            <v>10723689    -    626415 CNHO M 14 GY 5    -    2.509901</v>
          </cell>
        </row>
        <row r="7591">
          <cell r="D7591" t="str">
            <v>15340366    -    KONTAKTTRAEGER    -    2.509403</v>
          </cell>
        </row>
        <row r="7592">
          <cell r="D7592" t="str">
            <v>15340363    -    16.522.96 CON 68V NG 57M7396 QAMP 963599    -    2.509155</v>
          </cell>
        </row>
        <row r="7593">
          <cell r="D7593" t="str">
            <v>DED511070060KL    -    KEY TRANSPONDER COIL    -    2.503458</v>
          </cell>
        </row>
        <row r="7594">
          <cell r="D7594" t="str">
            <v>28004247    -    HEADER-SCIM AND ECM    -    2.5</v>
          </cell>
        </row>
        <row r="7595">
          <cell r="D7595" t="str">
            <v>DED10420037    -    HF-STECKVERB. SMB F. TV KOD.E C4610    -    2.496307</v>
          </cell>
        </row>
        <row r="7596">
          <cell r="D7596" t="str">
            <v>DED10420038    -    HF-STECKVERB. SMB F. TV KOD.F C4610    -    2.496307</v>
          </cell>
        </row>
        <row r="7597">
          <cell r="D7597" t="str">
            <v>13510514    -    56 WAY WITH FLAHED OVER    -    2.49</v>
          </cell>
        </row>
        <row r="7598">
          <cell r="D7598" t="str">
            <v>15492353    -    CONNECTOR.(SHOULD BE THE SAME    -    2.48</v>
          </cell>
        </row>
        <row r="7599">
          <cell r="D7599" t="str">
            <v>15492354    -    CONNECTOR. (15482787 WITH DIFFERENT    -    2.48</v>
          </cell>
        </row>
        <row r="7600">
          <cell r="D7600" t="str">
            <v>10722968    -    CONN 19 M BLU    -    2.476066</v>
          </cell>
        </row>
        <row r="7601">
          <cell r="D7601" t="str">
            <v>10810290    -    CONN 60 F BLK    -    2.46932</v>
          </cell>
        </row>
        <row r="7602">
          <cell r="D7602" t="str">
            <v>15405704    -    CONN 12 REC. SOCKET    -    2.46</v>
          </cell>
        </row>
        <row r="7603">
          <cell r="D7603" t="str">
            <v>12131486    -    GRIFFSCHALE    -    2.451913</v>
          </cell>
        </row>
        <row r="7604">
          <cell r="D7604" t="str">
            <v>10779699    -    CONN PLUG 12W    -    2.45</v>
          </cell>
        </row>
        <row r="7605">
          <cell r="D7605" t="str">
            <v>9395636    -    HEADER-72POS,M,R/A    -    2.45</v>
          </cell>
        </row>
        <row r="7606">
          <cell r="D7606" t="str">
            <v>12092685    -    HEADER-24 COND,MALE    -    2.431</v>
          </cell>
        </row>
        <row r="7607">
          <cell r="D7607" t="str">
            <v>15316952    -    O RING    -    2.43</v>
          </cell>
        </row>
        <row r="7608">
          <cell r="D7608" t="str">
            <v>15339746    -    GRIFFSCHALE    -    2.425036</v>
          </cell>
        </row>
        <row r="7609">
          <cell r="D7609" t="str">
            <v>15339372    -    ASSEMBLY MISC WIRE    -    2.414885</v>
          </cell>
        </row>
        <row r="7610">
          <cell r="D7610" t="str">
            <v>10846830    -    AIR BAG 84 POL. KODIERUNG 7    -    2.414671</v>
          </cell>
        </row>
        <row r="7611">
          <cell r="D7611" t="str">
            <v>10723843    -    CX CONNECTOR+COVER 45 CAV BK 1H0 906    -    2.409084</v>
          </cell>
        </row>
        <row r="7612">
          <cell r="D7612" t="str">
            <v>10811815    -    CONN, ASM 2 F 6660 MM R/P    -    2.403043</v>
          </cell>
        </row>
        <row r="7613">
          <cell r="D7613" t="str">
            <v>DED10420059    -    FAKRA-STECKER 1X CODIERUNG "D" C4630    -    2.401852</v>
          </cell>
        </row>
        <row r="7614">
          <cell r="D7614" t="str">
            <v>12176317    -    HEADER-10 PIN    -    2.4</v>
          </cell>
        </row>
        <row r="7615">
          <cell r="D7615" t="str">
            <v>12176601    -    HEADER-10 PIN    -    2.4</v>
          </cell>
        </row>
        <row r="7616">
          <cell r="D7616" t="str">
            <v>12176892    -    HEADER-12 PIN    -    2.4</v>
          </cell>
        </row>
        <row r="7617">
          <cell r="D7617" t="str">
            <v>28009199    -    HEADER 72 PIN MALE    -    2.4</v>
          </cell>
        </row>
        <row r="7618">
          <cell r="D7618" t="str">
            <v>15339112    -    GRIFFSCHALE    -    2.398073</v>
          </cell>
        </row>
        <row r="7619">
          <cell r="D7619" t="str">
            <v>10768366    -    GEH.TRAEGER T-0550 ZUH-188    -    2.397453</v>
          </cell>
        </row>
        <row r="7620">
          <cell r="D7620" t="str">
            <v>16205027    -    CONNECTOR-A14    -    2.39</v>
          </cell>
        </row>
        <row r="7621">
          <cell r="D7621" t="str">
            <v>9401877    -    HEADER-40POS,F,V,1.    -    2.39</v>
          </cell>
        </row>
        <row r="7622">
          <cell r="D7622" t="str">
            <v>10814621    -    CONN 31 F TIMER JR-POWER GRA D    -    2.382343</v>
          </cell>
        </row>
        <row r="7623">
          <cell r="D7623" t="str">
            <v>10812086    -    GRIFFSCHALE    -    2.377572</v>
          </cell>
        </row>
        <row r="7624">
          <cell r="D7624" t="str">
            <v>FRD15124004    -    ANTENNE INKEY KIA(SEPHIA)    -    2.374865</v>
          </cell>
        </row>
        <row r="7625">
          <cell r="D7625" t="str">
            <v>10727042    -    629931 CNCN F 177 GY 15    -    2.3733</v>
          </cell>
        </row>
        <row r="7626">
          <cell r="D7626" t="str">
            <v>15339544    -    ASSEMBLY MISC WIRE    -    2.373185</v>
          </cell>
        </row>
        <row r="7627">
          <cell r="D7627" t="str">
            <v>197716230001    -    STECKERGEHAEUSE KPL    -    2.362181</v>
          </cell>
        </row>
        <row r="7628">
          <cell r="D7628" t="str">
            <v>12236833    -    HEADER-TDUAL,FEET    -    2.35</v>
          </cell>
        </row>
        <row r="7629">
          <cell r="D7629" t="str">
            <v>DED511110060K    -    FI00KC ANTENNA COIL ASM PASSIV    -    2.347878</v>
          </cell>
        </row>
        <row r="7630">
          <cell r="D7630" t="str">
            <v>10420093    -    PIN JACK 6-FOLD    -    2.334384</v>
          </cell>
        </row>
        <row r="7631">
          <cell r="D7631" t="str">
            <v>FRD15124005    -    ANTENNE INKEY KIA(CREDOS).    -    2.320891</v>
          </cell>
        </row>
        <row r="7632">
          <cell r="D7632" t="str">
            <v>FRD15124006    -    ANTENNE INKEY KIA(SPORTAGE).    -    2.320891</v>
          </cell>
        </row>
        <row r="7633">
          <cell r="D7633" t="str">
            <v>12197955    -    GRIFFSCHALE    -    2.316812</v>
          </cell>
        </row>
        <row r="7634">
          <cell r="D7634" t="str">
            <v>10740647    -    STECKERLEISTE 8-POL. MSTB 25/    -    2.312091</v>
          </cell>
        </row>
        <row r="7635">
          <cell r="D7635" t="str">
            <v>10814560    -    CONN 11 F TIMER JR-POWER ORN DK    -    2.293904</v>
          </cell>
        </row>
        <row r="7636">
          <cell r="D7636" t="str">
            <v>T11EN01A1    -    BOBINE TRANSPONDEUR Z9    -    2.293904</v>
          </cell>
        </row>
        <row r="7637">
          <cell r="D7637" t="str">
            <v>10722804    -    CONN 37 M+F    -    2.280504</v>
          </cell>
        </row>
        <row r="7638">
          <cell r="D7638" t="str">
            <v>127070800202    -    ANTENNENBUCHSE DOPPEL FAKRA(8MM)COD.B *    -    2.28041</v>
          </cell>
        </row>
        <row r="7639">
          <cell r="D7639" t="str">
            <v>12212171    -    HEADER-DUAL SMB,R/A    -    2.28</v>
          </cell>
        </row>
        <row r="7640">
          <cell r="D7640" t="str">
            <v>12214052    -    HEADER-DUAL FAKRA    -    2.28</v>
          </cell>
        </row>
        <row r="7641">
          <cell r="D7641" t="str">
            <v>10753944    -    803768 CONN 12 BLU    -    2.276618</v>
          </cell>
        </row>
        <row r="7642">
          <cell r="D7642" t="str">
            <v>15316544    -    BUS BAR 4 POS    -    2.2696</v>
          </cell>
        </row>
        <row r="7643">
          <cell r="D7643" t="str">
            <v>12226910    -    TMP-J-SIE-76POL    -    2.269048</v>
          </cell>
        </row>
        <row r="7644">
          <cell r="D7644" t="str">
            <v>10820475    -    ASM CONN 57 FUSE BLK    -    2.266916</v>
          </cell>
        </row>
        <row r="7645">
          <cell r="D7645" t="str">
            <v>10775870    -    633612 CNCO M 243 SR 26 *    -    2.26513</v>
          </cell>
        </row>
        <row r="7646">
          <cell r="D7646" t="str">
            <v>FRD15124003    -    ANTENNE BALENO 1 (K05)    -    2.254772</v>
          </cell>
        </row>
        <row r="7647">
          <cell r="D7647" t="str">
            <v>9355182    -    CONNECTOR-55P    -    2.233</v>
          </cell>
        </row>
        <row r="7648">
          <cell r="D7648" t="str">
            <v>DED511190002K    -    ANTENNA VW-CHINA    -    2.226436</v>
          </cell>
        </row>
        <row r="7649">
          <cell r="D7649" t="str">
            <v>10780150    -    CONN 42 F BLK    -    2.22412</v>
          </cell>
        </row>
        <row r="7650">
          <cell r="D7650" t="str">
            <v>10811757    -    HOUSING 22 P.    -    2.221578</v>
          </cell>
        </row>
        <row r="7651">
          <cell r="D7651" t="str">
            <v>12131328    -    GRIFFSCHALE    -    2.212689</v>
          </cell>
        </row>
        <row r="7652">
          <cell r="D7652" t="str">
            <v>10778916    -    KONTAKTTRAEGER    -    2.211695</v>
          </cell>
        </row>
        <row r="7653">
          <cell r="D7653" t="str">
            <v>12218693    -    HEADER-TDUAL SMB,RA    -    2.21</v>
          </cell>
        </row>
        <row r="7654">
          <cell r="D7654" t="str">
            <v>15324027    -    ASM CONN 24W    -    2.2</v>
          </cell>
        </row>
        <row r="7655">
          <cell r="D7655" t="str">
            <v>15365716    -    RECEPTACLE BLACK    -    2.2</v>
          </cell>
        </row>
        <row r="7656">
          <cell r="D7656" t="str">
            <v>PG005344    -    RECEPTACLE, BLACK    -    2.2</v>
          </cell>
        </row>
        <row r="7657">
          <cell r="D7657" t="str">
            <v>10812028    -    47-P GEH.A KAM.GESCHL.NEU    -    2.192702</v>
          </cell>
        </row>
        <row r="7658">
          <cell r="D7658" t="str">
            <v>10732801    -    GRIFFSCHALE    -    2.170842</v>
          </cell>
        </row>
        <row r="7659">
          <cell r="D7659" t="str">
            <v>12162989    -    CX 68 CAV BK    -    2.167932</v>
          </cell>
        </row>
        <row r="7660">
          <cell r="D7660" t="str">
            <v>10756491    -    BUCHSENGEHAEUSE 20 POL. LKS 15    -    2.159993</v>
          </cell>
        </row>
        <row r="7661">
          <cell r="D7661" t="str">
            <v>28010169    -    SPEC-SDS 12227309    -    2.158968</v>
          </cell>
        </row>
        <row r="7662">
          <cell r="D7662" t="str">
            <v>15339205    -    PLUG, BLACK    -    2.15</v>
          </cell>
        </row>
        <row r="7663">
          <cell r="D7663" t="str">
            <v>15339206    -    958AM34    -    2.15</v>
          </cell>
        </row>
        <row r="7664">
          <cell r="D7664" t="str">
            <v>10732056    -    GROM    -    2.149568</v>
          </cell>
        </row>
        <row r="7665">
          <cell r="D7665" t="str">
            <v>FRD15124001    -    ANTENNE GRAND VITARA (K05)    -    2.146824</v>
          </cell>
        </row>
        <row r="7666">
          <cell r="D7666" t="str">
            <v>10787433    -    CONN 47 F RECEPTACLE MIXED BLK    -    2.140995</v>
          </cell>
        </row>
        <row r="7667">
          <cell r="D7667" t="str">
            <v>197716250000    -    HOUSING    -    2.128621</v>
          </cell>
        </row>
        <row r="7668">
          <cell r="D7668" t="str">
            <v>10777522    -    16.H78.96 1355612-1 CON 7 VIAS    -    2.124718</v>
          </cell>
        </row>
        <row r="7669">
          <cell r="D7669" t="str">
            <v>12203585    -    J-PRO-52POL-12203585    -    2.121186</v>
          </cell>
        </row>
        <row r="7670">
          <cell r="D7670" t="str">
            <v>9398571    -    JACK-1COND,R/A,SMB    -    2.12</v>
          </cell>
        </row>
        <row r="7671">
          <cell r="D7671" t="str">
            <v>10768720    -    SICHERUNGSDOSE SBI    -    2.117219</v>
          </cell>
        </row>
        <row r="7672">
          <cell r="D7672" t="str">
            <v>9401388    -    JACK-DUAL RF,M,R    -    2.106</v>
          </cell>
        </row>
        <row r="7673">
          <cell r="D7673" t="str">
            <v>10769523    -    ASSM. CONN. MKS PLUS    -    2.103769</v>
          </cell>
        </row>
        <row r="7674">
          <cell r="D7674" t="str">
            <v>10756279    -    COMBICON KABELGEH?USE 3-POL. K    -    2.09527</v>
          </cell>
        </row>
        <row r="7675">
          <cell r="D7675" t="str">
            <v>10787684    -    CONN 7    -    2.087442</v>
          </cell>
        </row>
        <row r="7676">
          <cell r="D7676" t="str">
            <v>10846556    -    CONN 24 F    -    2.08</v>
          </cell>
        </row>
        <row r="7677">
          <cell r="D7677" t="str">
            <v>15380595    -    PLUG BLACK    -    2.07</v>
          </cell>
        </row>
        <row r="7678">
          <cell r="D7678" t="str">
            <v>12186043    -    HEADER-32P,GRAY    -    2.061559</v>
          </cell>
        </row>
        <row r="7679">
          <cell r="D7679" t="str">
            <v>10846492    -    GROM CABLE CHAN    -    2.059237</v>
          </cell>
        </row>
        <row r="7680">
          <cell r="D7680" t="str">
            <v>10732797    -    GRIFFSCHALE    -    2.05874</v>
          </cell>
        </row>
        <row r="7681">
          <cell r="D7681" t="str">
            <v>10732799    -    GRIFFSCHALE    -    2.05874</v>
          </cell>
        </row>
        <row r="7682">
          <cell r="D7682" t="str">
            <v>10722905    -    619302 CNCN M 177 BK 9    -    2.055945</v>
          </cell>
        </row>
        <row r="7683">
          <cell r="D7683" t="str">
            <v>15414372    -    HOUSING-LOWER PART,REM    -    2.053988</v>
          </cell>
        </row>
        <row r="7684">
          <cell r="D7684" t="str">
            <v>12223638    -    CONN-4CH.J,B,C,G    -    2.05</v>
          </cell>
        </row>
        <row r="7685">
          <cell r="D7685" t="str">
            <v>10788702    -    CONN 32 F SOCKET MIXED BLK    -    2.045693</v>
          </cell>
        </row>
        <row r="7686">
          <cell r="D7686" t="str">
            <v>10810641    -    HOUSING 38.P. NAT. ( GOLD )    -    2.045693</v>
          </cell>
        </row>
        <row r="7687">
          <cell r="D7687" t="str">
            <v>12245397    -    STRAP-GROUND    -    2.037526</v>
          </cell>
        </row>
        <row r="7688">
          <cell r="D7688" t="str">
            <v>10723336    -    CONN 35 M MIXED BLK    -    2.035246</v>
          </cell>
        </row>
        <row r="7689">
          <cell r="D7689" t="str">
            <v>16252829    -    HEADER-5 WAY,NOEPX    -    2.026</v>
          </cell>
        </row>
        <row r="7690">
          <cell r="D7690" t="str">
            <v>DK200867    -    HEADER-62 WAY, J1    -    2.01</v>
          </cell>
        </row>
        <row r="7691">
          <cell r="D7691" t="str">
            <v>DK203838    -    HEADER-62 WAY, J1    -    2.01</v>
          </cell>
        </row>
        <row r="7692">
          <cell r="D7692" t="str">
            <v>DK203839    -    HEADER-62 WAY, J3    -    2.01</v>
          </cell>
        </row>
        <row r="7693">
          <cell r="D7693" t="str">
            <v>10722249    -    GRIFFSCHALE    -    2.00811</v>
          </cell>
        </row>
        <row r="7694">
          <cell r="D7694" t="str">
            <v>10723369    -    CONN 15 M+F    -    2.007651</v>
          </cell>
        </row>
        <row r="7695">
          <cell r="D7695" t="str">
            <v>DED511160000CY    -    IS00DI COIL ASM FR ISUZU-IMMO    -    2.006086</v>
          </cell>
        </row>
        <row r="7696">
          <cell r="D7696" t="str">
            <v>DED511160010K    -    COIL ASM FR ISUZU-IMMO    -    2.006086</v>
          </cell>
        </row>
        <row r="7697">
          <cell r="D7697" t="str">
            <v>PE105571    -    CONNECTOR 30W BLACK    -    2.004603</v>
          </cell>
        </row>
        <row r="7698">
          <cell r="D7698" t="str">
            <v>15318115    -    CONN ASM-26P 305    -    2</v>
          </cell>
        </row>
        <row r="7699">
          <cell r="D7699" t="str">
            <v>21002121    -    POWER -CONNECTOR, A    -    2</v>
          </cell>
        </row>
        <row r="7700">
          <cell r="D7700" t="str">
            <v>15341131    -    631645 CNCN F 21 BK 50 *    -    1.997045</v>
          </cell>
        </row>
        <row r="7701">
          <cell r="D7701" t="str">
            <v>12129008    -    HEADER-32P,BLUE    -    1.996952</v>
          </cell>
        </row>
        <row r="7702">
          <cell r="D7702" t="str">
            <v>16172443    -    HEADER-36P    -    1.99191</v>
          </cell>
        </row>
        <row r="7703">
          <cell r="D7703" t="str">
            <v>15317522    -    CONNECTOR-I/O    -    1.99</v>
          </cell>
        </row>
        <row r="7704">
          <cell r="D7704" t="str">
            <v>10722914    -    619345 CNCN F 177 BK 9    -    1.986952</v>
          </cell>
        </row>
        <row r="7705">
          <cell r="D7705" t="str">
            <v>9395937    -    HEADER-36POS,FE,R/A    -    1.971</v>
          </cell>
        </row>
        <row r="7706">
          <cell r="D7706" t="str">
            <v>10751213    -    GRIFFSCHALE    -    1.97052</v>
          </cell>
        </row>
        <row r="7707">
          <cell r="D7707" t="str">
            <v>10780036    -    2W CONN    -    1.97</v>
          </cell>
        </row>
        <row r="7708">
          <cell r="D7708" t="str">
            <v>12059120    -    CONNECTOR    -    1.97</v>
          </cell>
        </row>
        <row r="7709">
          <cell r="D7709" t="str">
            <v>15339244    -    RECEPTACLE    -    1.97</v>
          </cell>
        </row>
        <row r="7710">
          <cell r="D7710" t="str">
            <v>PG005349    -    RECEPTACLE    -    1.97</v>
          </cell>
        </row>
        <row r="7711">
          <cell r="D7711" t="str">
            <v>PG005354    -    PLUG, BLACK    -    1.96</v>
          </cell>
        </row>
        <row r="7712">
          <cell r="D7712" t="str">
            <v>10846860    -    94 WAY FEMALE CONNECTOR BLACK    -    1.954271</v>
          </cell>
        </row>
        <row r="7713">
          <cell r="D7713" t="str">
            <v>15404428    -    PLUG W/ END CAP    -    1.95</v>
          </cell>
        </row>
        <row r="7714">
          <cell r="D7714" t="str">
            <v>9401834    -    HEADER    -    1.93</v>
          </cell>
        </row>
        <row r="7715">
          <cell r="D7715" t="str">
            <v>15340288    -    631219 CNCN F26    -    1.929578</v>
          </cell>
        </row>
        <row r="7716">
          <cell r="D7716" t="str">
            <v>12219125    -    CONNECTOR-SHROUD    -    1.919</v>
          </cell>
        </row>
        <row r="7717">
          <cell r="D7717" t="str">
            <v>PG005346    -    RECEPTACLE GREEN    -    1.91</v>
          </cell>
        </row>
        <row r="7718">
          <cell r="D7718" t="str">
            <v>12198553    -    GRIFFSCHALE    -    1.905909</v>
          </cell>
        </row>
        <row r="7719">
          <cell r="D7719" t="str">
            <v>12048107    -    BOITIER GRIS    -    1.903</v>
          </cell>
        </row>
        <row r="7720">
          <cell r="D7720" t="str">
            <v>10787685    -    CONN 7    -    1.901063</v>
          </cell>
        </row>
        <row r="7721">
          <cell r="D7721" t="str">
            <v>10722164    -    CX CONNECTOR    -    1.900567</v>
          </cell>
        </row>
        <row r="7722">
          <cell r="D7722" t="str">
            <v>15339204    -    PLUG    -    1.9</v>
          </cell>
        </row>
        <row r="7723">
          <cell r="D7723" t="str">
            <v>15487791    -    ASS CONN 46 WAY    -    1.9</v>
          </cell>
        </row>
        <row r="7724">
          <cell r="D7724" t="str">
            <v>15491919    -    CLIP    -    1.9</v>
          </cell>
        </row>
        <row r="7725">
          <cell r="D7725" t="str">
            <v>16258747    -    CONNECTOR-36W    -    1.8984</v>
          </cell>
        </row>
        <row r="7726">
          <cell r="D7726" t="str">
            <v>15340407    -    KONTAKTTRAEGER    -    1.876213</v>
          </cell>
        </row>
        <row r="7727">
          <cell r="D7727" t="str">
            <v>15340408    -    KONTAKTTRAEGER    -    1.876213</v>
          </cell>
        </row>
        <row r="7728">
          <cell r="D7728" t="str">
            <v>15340409    -    KONTAKTTRAEGER    -    1.876213</v>
          </cell>
        </row>
        <row r="7729">
          <cell r="D7729" t="str">
            <v>15340410    -    KONTAKTTRAEGER    -    1.876213</v>
          </cell>
        </row>
        <row r="7730">
          <cell r="D7730" t="str">
            <v>15342742    -    KONTAKTTRAEGER    -    1.876213</v>
          </cell>
        </row>
        <row r="7731">
          <cell r="D7731" t="str">
            <v>15342743    -    KONTAKTTRAEGER    -    1.876213</v>
          </cell>
        </row>
        <row r="7732">
          <cell r="D7732" t="str">
            <v>DED511011080K    -    ANTENNA PANDA    -    1.875199</v>
          </cell>
        </row>
        <row r="7733">
          <cell r="D7733" t="str">
            <v>10722919    -    CONN 25 M+F    -    1.874457</v>
          </cell>
        </row>
        <row r="7734">
          <cell r="D7734" t="str">
            <v>10738898    -    MINI-COMBICON 6-POL. MC 15/6-    -    1.873603</v>
          </cell>
        </row>
        <row r="7735">
          <cell r="D7735" t="str">
            <v>10749736    -    MINI-COMBICON 6-POL. MC 15/6-    -    1.873603</v>
          </cell>
        </row>
        <row r="7736">
          <cell r="D7736" t="str">
            <v>PG000516    -    RECEPTACLE    -    1.87</v>
          </cell>
        </row>
        <row r="7737">
          <cell r="D7737" t="str">
            <v>9397525    -    J-PRO-37POL-SW-    -    1.869531</v>
          </cell>
        </row>
        <row r="7738">
          <cell r="D7738" t="str">
            <v>12193753    -    STIFFENER ASSY BRACKET    -    1.86</v>
          </cell>
        </row>
        <row r="7739">
          <cell r="D7739" t="str">
            <v>12217172    -    CONNECTOR    -    1.8578</v>
          </cell>
        </row>
        <row r="7740">
          <cell r="D7740" t="str">
            <v>16139636    -    HEADER    -    1.8527</v>
          </cell>
        </row>
        <row r="7741">
          <cell r="D7741" t="str">
            <v>DED10419598    -    HF-STECKER GT 5-2/1PDS    -    1.848616</v>
          </cell>
        </row>
        <row r="7742">
          <cell r="D7742" t="str">
            <v>10723726    -    STIFTGEH?USE 20 POL. RK 15    -    1.842354</v>
          </cell>
        </row>
        <row r="7743">
          <cell r="D7743" t="str">
            <v>10721655    -    607078 GEHAEUSE    -    1.84035</v>
          </cell>
        </row>
        <row r="7744">
          <cell r="D7744" t="str">
            <v>1-928-404-797    -    COVER    -    1.838937</v>
          </cell>
        </row>
        <row r="7745">
          <cell r="D7745" t="str">
            <v>9384636    -    HEADER-36 COND,ISO    -    1.828241</v>
          </cell>
        </row>
        <row r="7746">
          <cell r="D7746" t="str">
            <v>12247004    -    CONN-FI00BC FULL    -    1.826352</v>
          </cell>
        </row>
        <row r="7747">
          <cell r="D7747" t="str">
            <v>12241362    -    FUSEBLOCK,FAMILY ONE    -    1.825677</v>
          </cell>
        </row>
        <row r="7748">
          <cell r="D7748" t="str">
            <v>12223973    -    SMB PCB GERADE 14MM C4630    -    1.821629</v>
          </cell>
        </row>
        <row r="7749">
          <cell r="D7749" t="str">
            <v>DED10420085    -    FAKRA WINKELSTECKER COD-E-8 C4630    -    1.821629</v>
          </cell>
        </row>
        <row r="7750">
          <cell r="D7750" t="str">
            <v>DED10420086    -    FAKRA WINKELSTECKER COD-F-8 C4630    -    1.821629</v>
          </cell>
        </row>
        <row r="7751">
          <cell r="D7751" t="str">
            <v>12186703    -    ASM CONN 64F    -    1.808136</v>
          </cell>
        </row>
        <row r="7752">
          <cell r="D7752" t="str">
            <v>10721534    -    605533 AK 14841    -    1.805025</v>
          </cell>
        </row>
        <row r="7753">
          <cell r="D7753" t="str">
            <v>DED720020502    -    STIFTWANNE AU10 KAN    -    1.797341</v>
          </cell>
        </row>
        <row r="7754">
          <cell r="D7754" t="str">
            <v>10733495    -    16.D26.96 CO.PORTA HEMBRA 50V NEGRO    -    1.797039</v>
          </cell>
        </row>
        <row r="7755">
          <cell r="D7755" t="str">
            <v>15380278    -    CONN 15 F SOCKET 2.5 BLK SEALE    -    1.793779</v>
          </cell>
        </row>
        <row r="7756">
          <cell r="D7756" t="str">
            <v>12004248    -    16.897.96 CON AMP 206036-1 16V NG RG47    -    1.791522</v>
          </cell>
        </row>
        <row r="7757">
          <cell r="D7757" t="str">
            <v>28004557    -    HEADER-18 COND, MALE    -    1.7877</v>
          </cell>
        </row>
        <row r="7758">
          <cell r="D7758" t="str">
            <v>10788487    -    STECKH?LSENGEH?USE 58-POL.    -    1.786204</v>
          </cell>
        </row>
        <row r="7759">
          <cell r="D7759" t="str">
            <v>10810332    -    KONTAKT 5.P. L    -    1.785136</v>
          </cell>
        </row>
        <row r="7760">
          <cell r="D7760" t="str">
            <v>15380660    -    CAP    -    1.78</v>
          </cell>
        </row>
        <row r="7761">
          <cell r="D7761" t="str">
            <v>12225223    -    JACK-MMCX RIGHT-ANGLE 85MMCX-5001    -    1.774402</v>
          </cell>
        </row>
        <row r="7762">
          <cell r="D7762" t="str">
            <v>15317161    -    STRAIN RELIEF    -    1.77</v>
          </cell>
        </row>
        <row r="7763">
          <cell r="D7763" t="str">
            <v>10775863    -    CONN 50 F    -    1.769682</v>
          </cell>
        </row>
        <row r="7764">
          <cell r="D7764" t="str">
            <v>12223022    -    FAKRA-WINKELSTECKER CODIERUNG C C4610    -    1.754162</v>
          </cell>
        </row>
        <row r="7765">
          <cell r="D7765" t="str">
            <v>15328961    -    HEADER-24 PIN, MALE    -    1.7504</v>
          </cell>
        </row>
        <row r="7766">
          <cell r="D7766" t="str">
            <v>12191599    -    HEADER-SDM-I2    -    1.7501</v>
          </cell>
        </row>
        <row r="7767">
          <cell r="D7767" t="str">
            <v>10777502    -    CONN 6F    -    1.75</v>
          </cell>
        </row>
        <row r="7768">
          <cell r="D7768" t="str">
            <v>15317786    -    CONN ASM-32 COND    -    1.75</v>
          </cell>
        </row>
        <row r="7769">
          <cell r="D7769" t="str">
            <v>15354796    -    HEADER-40 COND, FEM    -    1.75</v>
          </cell>
        </row>
        <row r="7770">
          <cell r="D7770" t="str">
            <v>12237544    -    HEADER-18 COND,MALE    -    1.7478</v>
          </cell>
        </row>
        <row r="7771">
          <cell r="D7771" t="str">
            <v>12207242    -    JUMPER ASM-15 COND    -    1.746565</v>
          </cell>
        </row>
        <row r="7772">
          <cell r="D7772" t="str">
            <v>10721711    -    607533 BUCHSENGEHAEUSE    -    1.745485</v>
          </cell>
        </row>
        <row r="7773">
          <cell r="D7773" t="str">
            <v>10723773    -    627176 CNBOX F 223 GY 3    -    1.743138</v>
          </cell>
        </row>
        <row r="7774">
          <cell r="D7774" t="str">
            <v>FRD15124007/B    -    ANTENNE PASSIVE D9 (T07)    -    1.742017</v>
          </cell>
        </row>
        <row r="7775">
          <cell r="D7775" t="str">
            <v>9385844    -    HEADER-48 POS MA RA    -    1.741788</v>
          </cell>
        </row>
        <row r="7776">
          <cell r="D7776" t="str">
            <v>15422655    -    15422655 CON AMP 206153-1    -    1.739535</v>
          </cell>
        </row>
        <row r="7777">
          <cell r="D7777" t="str">
            <v>813200118000    -    SMD STECKER GSM 60-POL STEH 24508706090*    -    1.73859</v>
          </cell>
        </row>
        <row r="7778">
          <cell r="D7778" t="str">
            <v>DED10420027    -    EINPRE_STECKER 1.0/2.3 C4360    -    1.733921</v>
          </cell>
        </row>
        <row r="7779">
          <cell r="D7779" t="str">
            <v>9401387    -    HEADER-38POS,M,R/A    -    1.73335</v>
          </cell>
        </row>
        <row r="7780">
          <cell r="D7780" t="str">
            <v>9382696    -    HEADER-40 COND,MA,V    -    1.72557</v>
          </cell>
        </row>
        <row r="7781">
          <cell r="D7781" t="str">
            <v>10721689    -    CONN 36 F BLK    -    1.724786</v>
          </cell>
        </row>
        <row r="7782">
          <cell r="D7782" t="str">
            <v>10732689    -    CONN    -    1.724476</v>
          </cell>
        </row>
        <row r="7783">
          <cell r="D7783" t="str">
            <v>15339821    -    RECEPTACLE    -    1.72</v>
          </cell>
        </row>
        <row r="7784">
          <cell r="D7784" t="str">
            <v>10768501    -    ASM CONN 7 F MULTI SEALED    -    1.715306</v>
          </cell>
        </row>
        <row r="7785">
          <cell r="D7785" t="str">
            <v>10780147    -    CONN 7 F RECEPTACLE BLK SEALED    -    1.715306</v>
          </cell>
        </row>
        <row r="7786">
          <cell r="D7786" t="str">
            <v>10723461    -    STIFTGEH?USE 9 POL. RK 15    -    1.715293</v>
          </cell>
        </row>
        <row r="7787">
          <cell r="D7787" t="str">
            <v>12138039    -    PLUG    -    1.71</v>
          </cell>
        </row>
        <row r="7788">
          <cell r="D7788" t="str">
            <v>15340012    -    PLUG    -    1.71</v>
          </cell>
        </row>
        <row r="7789">
          <cell r="D7789" t="str">
            <v>15380596    -    CONN    -    1.71</v>
          </cell>
        </row>
        <row r="7790">
          <cell r="D7790" t="str">
            <v>10721775    -    608327 STIFTGEHAEUSE    -    1.704087</v>
          </cell>
        </row>
        <row r="7791">
          <cell r="D7791" t="str">
            <v>DED10420089    -    J-SO-558065-1-RJ45 C4670    -    1.700187</v>
          </cell>
        </row>
        <row r="7792">
          <cell r="D7792" t="str">
            <v>12040722    -    CONNECTOR    -    1.7</v>
          </cell>
        </row>
        <row r="7793">
          <cell r="D7793" t="str">
            <v>15340842    -    2-P. GEH    -    1.698163</v>
          </cell>
        </row>
        <row r="7794">
          <cell r="D7794" t="str">
            <v>10721932    -    609658 BUCHSENGEHAEUSE    -    1.690297</v>
          </cell>
        </row>
        <row r="7795">
          <cell r="D7795" t="str">
            <v>15340648    -    CONN 6 F BLK    -    1.683671</v>
          </cell>
        </row>
        <row r="7796">
          <cell r="D7796" t="str">
            <v>16260520    -    HEADER-36 COND,ISO    -    1.683522</v>
          </cell>
        </row>
        <row r="7797">
          <cell r="D7797" t="str">
            <v>12202791    -    HEADER-22 COND    -    1.682632</v>
          </cell>
        </row>
        <row r="7798">
          <cell r="D7798" t="str">
            <v>10788061    -    CONN 4 F GRN    -    1.681391</v>
          </cell>
        </row>
        <row r="7799">
          <cell r="D7799" t="str">
            <v>15317010    -    RECEPTACLE W/ RESISTOR    -    1.68</v>
          </cell>
        </row>
        <row r="7800">
          <cell r="D7800" t="str">
            <v>10777528    -    CONN. 64WAY AMP    -    1.672526</v>
          </cell>
        </row>
        <row r="7801">
          <cell r="D7801" t="str">
            <v>10777529    -    CONN. 64WAY AMP    -    1.672526</v>
          </cell>
        </row>
        <row r="7802">
          <cell r="D7802" t="str">
            <v>10810293    -    CONN 64 F GRA    -    1.672526</v>
          </cell>
        </row>
        <row r="7803">
          <cell r="D7803" t="str">
            <v>10810294    -    CONN 64 F BLK    -    1.672526</v>
          </cell>
        </row>
        <row r="7804">
          <cell r="D7804" t="str">
            <v>10820331    -    CONN 64 F MQS GRA SEALED    -    1.672526</v>
          </cell>
        </row>
        <row r="7805">
          <cell r="D7805" t="str">
            <v>16237040    -    HEADER-10 WAY    -    1.67</v>
          </cell>
        </row>
        <row r="7806">
          <cell r="D7806" t="str">
            <v>9381355    -    HEADER-1 POS,RA,SMB    -    1.67</v>
          </cell>
        </row>
        <row r="7807">
          <cell r="D7807" t="str">
            <v>10717726    -    GRIFFSCHALE    -    1.664984</v>
          </cell>
        </row>
        <row r="7808">
          <cell r="D7808" t="str">
            <v>10774745    -    GRIFFSCHALE    -    1.664984</v>
          </cell>
        </row>
        <row r="7809">
          <cell r="D7809" t="str">
            <v>12186705    -    GRIFFSCHALE    -    1.664984</v>
          </cell>
        </row>
        <row r="7810">
          <cell r="D7810" t="str">
            <v>15368916    -    GRIFFSCHALE    -    1.664984</v>
          </cell>
        </row>
        <row r="7811">
          <cell r="D7811" t="str">
            <v>15304665    -    ASM CONN 32 F P/C MISC GRA HEA    -    1.6582</v>
          </cell>
        </row>
        <row r="7812">
          <cell r="D7812" t="str">
            <v>12247003    -    POWERPLATE BASE NEU    -    1.643514</v>
          </cell>
        </row>
        <row r="7813">
          <cell r="D7813" t="str">
            <v>PG005503    -    RECEPTACLE    -    1.64</v>
          </cell>
        </row>
        <row r="7814">
          <cell r="D7814" t="str">
            <v>10718155    -    625551 CNCN F 160 BK 26    -    1.627947</v>
          </cell>
        </row>
        <row r="7815">
          <cell r="D7815" t="str">
            <v>15338610    -    BUCHSENGEHAEUSE12XLKS15    -    1.622663</v>
          </cell>
        </row>
        <row r="7816">
          <cell r="D7816" t="str">
            <v>10846422    -    16-WAY FEMALE CONNECTOR    -    1.621304</v>
          </cell>
        </row>
        <row r="7817">
          <cell r="D7817" t="str">
            <v>FRD15124014    -    ANTENNE PASSIVE PSA    -    1.619226</v>
          </cell>
        </row>
        <row r="7818">
          <cell r="D7818" t="str">
            <v>15305593    -    HEADER-36,MIXED    -    1.6135</v>
          </cell>
        </row>
        <row r="7819">
          <cell r="D7819" t="str">
            <v>10864152    -    CONN 50 F SOCKET ORN    -    1.612479</v>
          </cell>
        </row>
        <row r="7820">
          <cell r="D7820" t="str">
            <v>12231928    -    HEADER-SGL,SMB,R/A    -    1.61</v>
          </cell>
        </row>
        <row r="7821">
          <cell r="D7821" t="str">
            <v>10722972    -    619853 CNCO 25    -    1.599875</v>
          </cell>
        </row>
        <row r="7822">
          <cell r="D7822" t="str">
            <v>10763370    -    CONN 6 F BLK    -    1.599791</v>
          </cell>
        </row>
        <row r="7823">
          <cell r="D7823" t="str">
            <v>12246036    -    CONN ASM-12-WAY    -    1.5945</v>
          </cell>
        </row>
        <row r="7824">
          <cell r="D7824" t="str">
            <v>DED70113027001    -    VO00AM STECKER 50 POLIG AMP 2-368213-9    -    1.593696</v>
          </cell>
        </row>
        <row r="7825">
          <cell r="D7825" t="str">
            <v>10787400    -    CONN 46F    -    1.593588</v>
          </cell>
        </row>
        <row r="7826">
          <cell r="D7826" t="str">
            <v>10787588    -    CONN 46F    -    1.593588</v>
          </cell>
        </row>
        <row r="7827">
          <cell r="D7827" t="str">
            <v>FRD13069057    -    CONNECTEUR 21 VOIES AMP 6-966140-6    -    1.591767</v>
          </cell>
        </row>
        <row r="7828">
          <cell r="D7828" t="str">
            <v>15327472    -    STECKH?LSENGEH?USE5-POL.KOD B    -    1.588233</v>
          </cell>
        </row>
        <row r="7829">
          <cell r="D7829" t="str">
            <v>10757442    -    STIFTGEH?USE 16 POL. RK 15    -    1.586642</v>
          </cell>
        </row>
        <row r="7830">
          <cell r="D7830" t="str">
            <v>29514041    -    WT 24 SIZE B/S    -    1.58</v>
          </cell>
        </row>
        <row r="7831">
          <cell r="D7831" t="str">
            <v>FRD13069143    -    CONNECTOR 2 WAY RIGHT ANGLE    -    1.578745</v>
          </cell>
        </row>
        <row r="7832">
          <cell r="D7832" t="str">
            <v>10779705    -    STECKH?LSENGEH?USE 58-POL.    -    1.575522</v>
          </cell>
        </row>
        <row r="7833">
          <cell r="D7833" t="str">
            <v>15326172    -    CONN-36M,MXD    -    1.57</v>
          </cell>
        </row>
        <row r="7834">
          <cell r="D7834" t="str">
            <v>15438947    -    BACKSHELL    -    1.57</v>
          </cell>
        </row>
        <row r="7835">
          <cell r="D7835" t="str">
            <v>10777527    -    CONN. 64WAY AMP    -    1.567991</v>
          </cell>
        </row>
        <row r="7836">
          <cell r="D7836" t="str">
            <v>10777531    -    CONN. 64WAY AMP    -    1.567991</v>
          </cell>
        </row>
        <row r="7837">
          <cell r="D7837" t="str">
            <v>12212170    -    SMB 900 LP STECKER C4630    -    1.565252</v>
          </cell>
        </row>
        <row r="7838">
          <cell r="D7838" t="str">
            <v>13511509    -    MODULE ASM-HSG 18 P    -    1.565</v>
          </cell>
        </row>
        <row r="7839">
          <cell r="D7839" t="str">
            <v>12138054    -    CONN 96-WAY    -    1.56</v>
          </cell>
        </row>
        <row r="7840">
          <cell r="D7840" t="str">
            <v>15317050    -    PLUG W/ RESISTOR    -    1.56</v>
          </cell>
        </row>
        <row r="7841">
          <cell r="D7841" t="str">
            <v>15340368    -    CONN 7 F BLK    -    1.553156</v>
          </cell>
        </row>
        <row r="7842">
          <cell r="D7842" t="str">
            <v>FRD15124015    -    ANTENNE PASSIVE B5    -    1.551758</v>
          </cell>
        </row>
        <row r="7843">
          <cell r="D7843" t="str">
            <v>12191596    -    HEADER-SDM-I2    -    1.55</v>
          </cell>
        </row>
        <row r="7844">
          <cell r="D7844" t="str">
            <v>12191597    -    HEADER-SDM-I2    -    1.55</v>
          </cell>
        </row>
        <row r="7845">
          <cell r="D7845" t="str">
            <v>12191598    -    HEADER-SDM-I2    -    1.55</v>
          </cell>
        </row>
        <row r="7846">
          <cell r="D7846" t="str">
            <v>12186658    -    16.E97.96 CON AMP 967354-3 NG    -    1.543067</v>
          </cell>
        </row>
        <row r="7847">
          <cell r="D7847" t="str">
            <v>10781070    -    CONN 64 F BLK    -    1.54011</v>
          </cell>
        </row>
        <row r="7848">
          <cell r="D7848" t="str">
            <v>10810292    -    CONN 64 F BLU    -    1.54011</v>
          </cell>
        </row>
        <row r="7849">
          <cell r="D7849" t="str">
            <v>10740337    -    16.E27.93 CON YAZAKI 7228-6092    -    1.539762</v>
          </cell>
        </row>
        <row r="7850">
          <cell r="D7850" t="str">
            <v>FRD19000022    -    9 PINS SILVER PLATED CONNECTOR REF. AMP 6-966140-4 OR REF. DC A027 545 54 28 KZ    -    1.538265</v>
          </cell>
        </row>
        <row r="7851">
          <cell r="D7851" t="str">
            <v>FRD19000023    -    21 PINS SILVER PLATED CONNECTOR REF. AMP 6-966140-6 OR REF. DC A032 545 69 28 KZ    -    1.538265</v>
          </cell>
        </row>
        <row r="7852">
          <cell r="D7852" t="str">
            <v>12203584    -    J-PRO-23POL    -    1.535566</v>
          </cell>
        </row>
        <row r="7853">
          <cell r="D7853" t="str">
            <v>12193505    -    ASM PASS THRU SHROUD    -    1.528</v>
          </cell>
        </row>
        <row r="7854">
          <cell r="D7854" t="str">
            <v>12103528    -    CONNECTOR - 3M    -    1.52</v>
          </cell>
        </row>
        <row r="7855">
          <cell r="D7855" t="str">
            <v>15404425    -    PLUG    -    1.51</v>
          </cell>
        </row>
        <row r="7856">
          <cell r="D7856" t="str">
            <v>FRD15124011/C    -    ANTENNE PASSIVE X4 (T10) + T5 CLIPSEE    -    1.50588</v>
          </cell>
        </row>
        <row r="7857">
          <cell r="D7857" t="str">
            <v>10732757    -    109673931    -    1.502474</v>
          </cell>
        </row>
        <row r="7858">
          <cell r="D7858" t="str">
            <v>197716220105    -    ANSCHLUSSGEHAEUSE    -    1.500483</v>
          </cell>
        </row>
        <row r="7859">
          <cell r="D7859" t="str">
            <v>15404319    -    HEADER-42PIN,213    -    1.5</v>
          </cell>
        </row>
        <row r="7860">
          <cell r="D7860" t="str">
            <v>9390243    -    CONN-AMP 4 WAY    -    1.5</v>
          </cell>
        </row>
        <row r="7861">
          <cell r="D7861" t="str">
            <v>9398945    -    HEADER-40PIN,M,R/A    -    1.5</v>
          </cell>
        </row>
        <row r="7862">
          <cell r="D7862" t="str">
            <v>12226911    -    J-AMP-828881-20P    -    1.49939</v>
          </cell>
        </row>
        <row r="7863">
          <cell r="D7863" t="str">
            <v>10863467    -    CONN 6 M DT BLK    -    1.49916</v>
          </cell>
        </row>
        <row r="7864">
          <cell r="D7864" t="str">
            <v>9371105    -    HEADER-26 COND,ISO    -    1.497109</v>
          </cell>
        </row>
        <row r="7865">
          <cell r="D7865" t="str">
            <v>9386057    -    HEADER-SDM-FH    -    1.49407</v>
          </cell>
        </row>
        <row r="7866">
          <cell r="D7866" t="str">
            <v>10752304    -    16-WAY FEMALE CONNECTOR    -    1.492943</v>
          </cell>
        </row>
        <row r="7867">
          <cell r="D7867" t="str">
            <v>9378506    -    HEADER-36 COND,ISO    -    1.492894</v>
          </cell>
        </row>
        <row r="7868">
          <cell r="D7868" t="str">
            <v>9391005    -    HEADER-46 COND,ISO    -    1.492894</v>
          </cell>
        </row>
        <row r="7869">
          <cell r="D7869" t="str">
            <v>10787402    -    ASM COV CONN    -    1.489688</v>
          </cell>
        </row>
        <row r="7870">
          <cell r="D7870" t="str">
            <v>10793307    -    CONN 2M    -    1.487313</v>
          </cell>
        </row>
        <row r="7871">
          <cell r="D7871" t="str">
            <v>10723623    -    625550 CNCN F 160 BK 20    -    1.486416</v>
          </cell>
        </row>
        <row r="7872">
          <cell r="D7872" t="str">
            <v>28006922    -    HEADER -MAIN    -    1.484291</v>
          </cell>
        </row>
        <row r="7873">
          <cell r="D7873" t="str">
            <v>15329066    -    HEADER - 27 WAY, RA    -    1.4819</v>
          </cell>
        </row>
        <row r="7874">
          <cell r="D7874" t="str">
            <v>15359295    -    HEADER-27 WAY    -    1.4819</v>
          </cell>
        </row>
        <row r="7875">
          <cell r="D7875" t="str">
            <v>15424696    -    ASM-HD CONN 49M    -    1.4819</v>
          </cell>
        </row>
        <row r="7876">
          <cell r="D7876" t="str">
            <v>15479381    -    MODULE ASM-HSG 18 P    -    1.48</v>
          </cell>
        </row>
        <row r="7877">
          <cell r="D7877" t="str">
            <v>10779251    -    CONN 42 F MIXED MIXED BLK    -    1.478605</v>
          </cell>
        </row>
        <row r="7878">
          <cell r="D7878" t="str">
            <v>10779252    -    CONN 42 F MIXED MIXED GRA    -    1.478605</v>
          </cell>
        </row>
        <row r="7879">
          <cell r="D7879" t="str">
            <v>10779253    -    CONN 42 F MIXED MIXED BLU    -    1.478605</v>
          </cell>
        </row>
        <row r="7880">
          <cell r="D7880" t="str">
            <v>10789030    -    HS-KONTAKTBUCHSE 40A AWG 8-10    -    1.478605</v>
          </cell>
        </row>
        <row r="7881">
          <cell r="D7881" t="str">
            <v>FRD15124008/E    -    ANTENNE PASSIVE N7/T1 (T09)    -    1.477544</v>
          </cell>
        </row>
        <row r="7882">
          <cell r="D7882" t="str">
            <v>12210125    -    HEADER-SDM-FC    -    1.47407</v>
          </cell>
        </row>
        <row r="7883">
          <cell r="D7883" t="str">
            <v>12210134    -    HEADER-SDM-FC    -    1.47407</v>
          </cell>
        </row>
        <row r="7884">
          <cell r="D7884" t="str">
            <v>12210144    -    HEADER-SDM-FC    -    1.47407</v>
          </cell>
        </row>
        <row r="7885">
          <cell r="D7885" t="str">
            <v>12210173    -    HEADER-SDM-FC    -    1.47407</v>
          </cell>
        </row>
        <row r="7886">
          <cell r="D7886" t="str">
            <v>12210182    -    HEADER-SDM-FC    -    1.47407</v>
          </cell>
        </row>
        <row r="7887">
          <cell r="D7887" t="str">
            <v>12211187    -    HEADER-SDM-FH    -    1.47407</v>
          </cell>
        </row>
        <row r="7888">
          <cell r="D7888" t="str">
            <v>16267580    -    HEADER-SDM-F26    -    1.47407</v>
          </cell>
        </row>
        <row r="7889">
          <cell r="D7889" t="str">
            <v>21004132    -    HEADER-SDM FH    -    1.47407</v>
          </cell>
        </row>
        <row r="7890">
          <cell r="D7890" t="str">
            <v>21004138    -    HEADER-SDM FH    -    1.47407</v>
          </cell>
        </row>
        <row r="7891">
          <cell r="D7891" t="str">
            <v>21004144    -    HEADER-SDM FH    -    1.47407</v>
          </cell>
        </row>
        <row r="7892">
          <cell r="D7892" t="str">
            <v>9366087    -    HEADER-SDM-FH    -    1.47407</v>
          </cell>
        </row>
        <row r="7893">
          <cell r="D7893" t="str">
            <v>9384945    -    HEADER-SDM FH    -    1.47407</v>
          </cell>
        </row>
        <row r="7894">
          <cell r="D7894" t="str">
            <v>9384986    -    HEADER-SDM FH    -    1.47407</v>
          </cell>
        </row>
        <row r="7895">
          <cell r="D7895" t="str">
            <v>12232226    -    HEADER-SDM-FH(D-G)    -    1.4707</v>
          </cell>
        </row>
        <row r="7896">
          <cell r="D7896" t="str">
            <v>12232227    -    HEADER-SDM-FH(2-F)    -    1.4707</v>
          </cell>
        </row>
        <row r="7897">
          <cell r="D7897" t="str">
            <v>12232228    -    HEADER-SDM-FH(A-6)    -    1.4707</v>
          </cell>
        </row>
        <row r="7898">
          <cell r="D7898" t="str">
            <v>12232229    -    HEADER-SDM-FH(2-E)    -    1.4707</v>
          </cell>
        </row>
        <row r="7899">
          <cell r="D7899" t="str">
            <v>12232231    -    HEADER-SDM-FH(C-7)    -    1.4707</v>
          </cell>
        </row>
        <row r="7900">
          <cell r="D7900" t="str">
            <v>12232233    -    HEADER-SDM-FH(B-6)    -    1.4707</v>
          </cell>
        </row>
        <row r="7901">
          <cell r="D7901" t="str">
            <v>12232234    -    HEADER-SDM-FH(4-8)    -    1.4707</v>
          </cell>
        </row>
        <row r="7902">
          <cell r="D7902" t="str">
            <v>12232235    -    HEADER-SDM-FH(3-G)    -    1.4707</v>
          </cell>
        </row>
        <row r="7903">
          <cell r="D7903" t="str">
            <v>12237341    -    HEADER-SDM-FH (C-7)    -    1.4707</v>
          </cell>
        </row>
        <row r="7904">
          <cell r="D7904" t="str">
            <v>12237342    -    HEADER-SDM-FH (D-G)    -    1.4707</v>
          </cell>
        </row>
        <row r="7905">
          <cell r="D7905" t="str">
            <v>12237343    -    HEADER-SDM-FH (4-8)    -    1.4707</v>
          </cell>
        </row>
        <row r="7906">
          <cell r="D7906" t="str">
            <v>12237344    -    HEADER-SDM-FH (3-G)    -    1.4707</v>
          </cell>
        </row>
        <row r="7907">
          <cell r="D7907" t="str">
            <v>12238793    -    HEADER-SDM-FH (A-6)    -    1.4707</v>
          </cell>
        </row>
        <row r="7908">
          <cell r="D7908" t="str">
            <v>10810754    -    SR PLUG, GRAY    -    1.47</v>
          </cell>
        </row>
        <row r="7909">
          <cell r="D7909" t="str">
            <v>15357044    -    HEADER-32 COND, MA    -    1.47</v>
          </cell>
        </row>
        <row r="7910">
          <cell r="D7910" t="str">
            <v>10866978    -    MALE CONNECTOR (20 BLOCKED CAVITIES)    -    1.468098</v>
          </cell>
        </row>
        <row r="7911">
          <cell r="D7911" t="str">
            <v>10866979    -    MALE CONNECTOR (18 BLOCKED CAVITIES)    -    1.468098</v>
          </cell>
        </row>
        <row r="7912">
          <cell r="D7912" t="str">
            <v>10866980    -    MALE CONNECTOR    -    1.468098</v>
          </cell>
        </row>
        <row r="7913">
          <cell r="D7913" t="str">
            <v>10866981    -    MALE CONNECTOR (13 BLOCKED CAVITIES)    -    1.468098</v>
          </cell>
        </row>
        <row r="7914">
          <cell r="D7914" t="str">
            <v>15365994    -    90 DEGREE BLACK SHELL    -    1.46</v>
          </cell>
        </row>
        <row r="7915">
          <cell r="D7915" t="str">
            <v>9381268    -    CONN-24P DIP    -    1.458</v>
          </cell>
        </row>
        <row r="7916">
          <cell r="D7916" t="str">
            <v>10780428    -    ASM CONN 9 SOCKET 2.5 BLK SEALED    -    1.456202</v>
          </cell>
        </row>
        <row r="7917">
          <cell r="D7917" t="str">
            <v>15356911    -    HEADER-42 PIN    -    1.455</v>
          </cell>
        </row>
        <row r="7918">
          <cell r="D7918" t="str">
            <v>15359274    -    HEADER-42PINKEY115    -    1.455</v>
          </cell>
        </row>
        <row r="7919">
          <cell r="D7919" t="str">
            <v>15359276    -    HEADER-42 PIN    -    1.455</v>
          </cell>
        </row>
        <row r="7920">
          <cell r="D7920" t="str">
            <v>15359544    -    HEADER-42 PIN    -    1.455</v>
          </cell>
        </row>
        <row r="7921">
          <cell r="D7921" t="str">
            <v>10820576    -    CONN 12 M SOCKET GRA    -    1.453754</v>
          </cell>
        </row>
        <row r="7922">
          <cell r="D7922" t="str">
            <v>10777104    -    16.I72.96 CON AMP 206705-1 6V    -    1.448474</v>
          </cell>
        </row>
        <row r="7923">
          <cell r="D7923" t="str">
            <v>12247006    -    CONN-FI00BC FULL    -    1.443985</v>
          </cell>
        </row>
        <row r="7924">
          <cell r="D7924" t="str">
            <v>10810335    -    KONTAKT 5.P. R    -    1.442075</v>
          </cell>
        </row>
        <row r="7925">
          <cell r="D7925" t="str">
            <v>DED70108140300    -    MESSERLEISTE 12-POL.    -    1.441921</v>
          </cell>
        </row>
        <row r="7926">
          <cell r="D7926" t="str">
            <v>FRD15124009    -    ANTENNE PASSIVE OPEL (EPSILON)    -    1.441921</v>
          </cell>
        </row>
        <row r="7927">
          <cell r="D7927" t="str">
            <v>15343663    -    633264 CNCN M 179 BK 2    -    1.439114</v>
          </cell>
        </row>
        <row r="7928">
          <cell r="D7928" t="str">
            <v>15425624    -    ASM CONN    -    1.433874</v>
          </cell>
        </row>
        <row r="7929">
          <cell r="D7929" t="str">
            <v>12209190    -    HEADER-30 DG REV.D E20    -    1.430316</v>
          </cell>
        </row>
        <row r="7930">
          <cell r="D7930" t="str">
            <v>12209190D    -    HEADER-40 COND, MA, V    -    1.430316</v>
          </cell>
        </row>
        <row r="7931">
          <cell r="D7931" t="str">
            <v>9381135    -    HEADER-30POL E12    -    1.430316</v>
          </cell>
        </row>
        <row r="7932">
          <cell r="D7932" t="str">
            <v>15317009    -    RECEPTACLE W FLANGE    -    1.43</v>
          </cell>
        </row>
        <row r="7933">
          <cell r="D7933" t="str">
            <v>10777538    -    16.H60.16 CON AMP 1355469-1 57M8167    -    1.426332</v>
          </cell>
        </row>
        <row r="7934">
          <cell r="D7934" t="str">
            <v>10779254    -    CONN 42 M MIXED MIXED GRA    -    1.426332</v>
          </cell>
        </row>
        <row r="7935">
          <cell r="D7935" t="str">
            <v>10779255    -    CONN 42 M MIXED MIXED BLU SEALED    -    1.426332</v>
          </cell>
        </row>
        <row r="7936">
          <cell r="D7936" t="str">
            <v>10819385    -    8-P GEHAEUSE AMP/TYCO    -    1.420666</v>
          </cell>
        </row>
        <row r="7937">
          <cell r="D7937" t="str">
            <v>10819386    -    8-P GEHAEUSE 2,8 AMP/TYCO    -    1.420666</v>
          </cell>
        </row>
        <row r="7938">
          <cell r="D7938" t="str">
            <v>10787531    -    COV CONN BLK    -    1.42052</v>
          </cell>
        </row>
        <row r="7939">
          <cell r="D7939" t="str">
            <v>10723761    -    12-P GEH}USE MKM    -    1.407431</v>
          </cell>
        </row>
        <row r="7940">
          <cell r="D7940" t="str">
            <v>197716260100    -    ANSCHLUSSGEHAEUSE KPL    -    1.406703</v>
          </cell>
        </row>
        <row r="7941">
          <cell r="D7941" t="str">
            <v>12234703    -    HEADER    -    1.4</v>
          </cell>
        </row>
        <row r="7942">
          <cell r="D7942" t="str">
            <v>15339852    -    PLUG    -    1.4</v>
          </cell>
        </row>
        <row r="7943">
          <cell r="D7943" t="str">
            <v>15466852    -    MODULE ASM-HSG 18 P    -    1.4</v>
          </cell>
        </row>
        <row r="7944">
          <cell r="D7944" t="str">
            <v>10721752    -    CONN 36 F TIMER JR-POWER BLK    -    1.393627</v>
          </cell>
        </row>
        <row r="7945">
          <cell r="D7945" t="str">
            <v>10774408    -    14.A20.96 SEGURIDAD AMP NG 206966-2 PARA    -    1.388584</v>
          </cell>
        </row>
        <row r="7946">
          <cell r="D7946" t="str">
            <v>2806922    -    40 WAY RADIO TERMINAL BOX    -    1.388486</v>
          </cell>
        </row>
        <row r="7947">
          <cell r="D7947" t="str">
            <v>12176690    -    ASM CONN 78M M/P 150 280 630    -    1.3827</v>
          </cell>
        </row>
        <row r="7948">
          <cell r="D7948" t="str">
            <v>15410417    -    END RESISTOR    -    1.38</v>
          </cell>
        </row>
        <row r="7949">
          <cell r="D7949" t="str">
            <v>15327989    -    CONN 25 F BLK    -    1.376718</v>
          </cell>
        </row>
        <row r="7950">
          <cell r="D7950" t="str">
            <v>12065850    -    ASM MOD CONN 30F M/P 280 480 S    -    1.3754</v>
          </cell>
        </row>
        <row r="7951">
          <cell r="D7951" t="str">
            <v>15465845    -    HEADER-34PIN,KEY212    -    1.37</v>
          </cell>
        </row>
        <row r="7952">
          <cell r="D7952" t="str">
            <v>15465847    -    HEADER-34PIN,KEY214    -    1.37</v>
          </cell>
        </row>
        <row r="7953">
          <cell r="D7953" t="str">
            <v>15465849    -    HEADER-34PIN,KEY215    -    1.37</v>
          </cell>
        </row>
        <row r="7954">
          <cell r="D7954" t="str">
            <v>PG008798    -    CONN PLUG    -    1.37</v>
          </cell>
        </row>
        <row r="7955">
          <cell r="D7955" t="str">
            <v>10721232    -    558500 FEDERL SIEMENS V23535-A3    -    1.366033</v>
          </cell>
        </row>
        <row r="7956">
          <cell r="D7956" t="str">
            <v>10763093    -    STECKHLSENGEHUSE MLK 1,2 41 POL.    -    1.366033</v>
          </cell>
        </row>
        <row r="7957">
          <cell r="D7957" t="str">
            <v>15422624    -    CONNECTOR    -    1.36</v>
          </cell>
        </row>
        <row r="7958">
          <cell r="D7958" t="str">
            <v>10420085    -    FAKRA WINKELSTECKER COD-E    -    1.35</v>
          </cell>
        </row>
        <row r="7959">
          <cell r="D7959" t="str">
            <v>10420086    -    FAKRA WINKELSTECKER COD-F    -    1.35</v>
          </cell>
        </row>
        <row r="7960">
          <cell r="D7960" t="str">
            <v>9382284    -    HEADER-32POS,M,R/A    -    1.35</v>
          </cell>
        </row>
        <row r="7961">
          <cell r="D7961" t="str">
            <v>12198122    -    16.D06.96 CO 50V AMP 282734-1 NG 1/01789    -    1.347779</v>
          </cell>
        </row>
        <row r="7962">
          <cell r="D7962" t="str">
            <v>10774890    -    ASM CONN 0 F TIMER BLK SLD BASE 28    -    1.345333</v>
          </cell>
        </row>
        <row r="7963">
          <cell r="D7963" t="str">
            <v>12129121    -    ASM BASE 4 MODULES    -    1.3442</v>
          </cell>
        </row>
        <row r="7964">
          <cell r="D7964" t="str">
            <v>15405424    -    HEADER-34 PIN,113    -    1.34</v>
          </cell>
        </row>
        <row r="7965">
          <cell r="D7965" t="str">
            <v>15405425    -    HEADER-34 PIN,KEY11    -    1.34</v>
          </cell>
        </row>
        <row r="7966">
          <cell r="D7966" t="str">
            <v>15432194    -    HEADER-34 PIN,112    -    1.34</v>
          </cell>
        </row>
        <row r="7967">
          <cell r="D7967" t="str">
            <v>15432195    -    HEADER-34 PIN,112    -    1.34</v>
          </cell>
        </row>
        <row r="7968">
          <cell r="D7968" t="str">
            <v>15432196    -    HEADER-34 PIN,112    -    1.34</v>
          </cell>
        </row>
        <row r="7969">
          <cell r="D7969" t="str">
            <v>15432197    -    HEADER-34 PIN,112    -    1.34</v>
          </cell>
        </row>
        <row r="7970">
          <cell r="D7970" t="str">
            <v>15443686    -    HEADER-34PIN,119    -    1.34</v>
          </cell>
        </row>
        <row r="7971">
          <cell r="D7971" t="str">
            <v>28002450    -    SOCKET-ANTENNA    -    1.339</v>
          </cell>
        </row>
        <row r="7972">
          <cell r="D7972" t="str">
            <v>10748241    -    14.910.96 TAPA 57M7964 NG AMP (964731-2)    -    1.336721</v>
          </cell>
        </row>
        <row r="7973">
          <cell r="D7973" t="str">
            <v>10722380    -    KUPPLUNG    -    1.336226</v>
          </cell>
        </row>
        <row r="7974">
          <cell r="D7974" t="str">
            <v>15405705    -    16.792.96 CON AMP 206708-1 9V NG BG17    -    1.334658</v>
          </cell>
        </row>
        <row r="7975">
          <cell r="D7975" t="str">
            <v>10788966    -    CONN 94 F MIXED BLK SEALED    -    1.332857</v>
          </cell>
        </row>
        <row r="7976">
          <cell r="D7976" t="str">
            <v>10788967    -    HOUSING 94P. CE SEALED    -    1.332857</v>
          </cell>
        </row>
        <row r="7977">
          <cell r="D7977" t="str">
            <v>10768769    -    821976 CONN 44 F SOCKET    -    1.330828</v>
          </cell>
        </row>
        <row r="7978">
          <cell r="D7978" t="str">
            <v>10719746    -    CHAN CABLE BLK    -    1.32975</v>
          </cell>
        </row>
        <row r="7979">
          <cell r="D7979" t="str">
            <v>12186157    -    ASM MOD CONN 30F M/P 280 480    -    1.3248</v>
          </cell>
        </row>
        <row r="7980">
          <cell r="D7980" t="str">
            <v>10723760    -    14-P GEH}USE MKM    -    1.324635</v>
          </cell>
        </row>
        <row r="7981">
          <cell r="D7981" t="str">
            <v>15394018    -    CONN 26 F TIMER MIXED BLK    -    1.324635</v>
          </cell>
        </row>
        <row r="7982">
          <cell r="D7982" t="str">
            <v>9401839    -    HEADER-36POS,M,R    -    1.3219</v>
          </cell>
        </row>
        <row r="7983">
          <cell r="D7983" t="str">
            <v>15404523    -    14.A04.96 SEGURIDAD AMP 206358-2 PARA CO    -    1.321177</v>
          </cell>
        </row>
        <row r="7984">
          <cell r="D7984" t="str">
            <v>DED10420044    -    FEDERLEISTE 26POL.    -    1.310898</v>
          </cell>
        </row>
        <row r="7985">
          <cell r="D7985" t="str">
            <v>DED610000140    -    STECKER 827229-1    -    1.310898</v>
          </cell>
        </row>
        <row r="7986">
          <cell r="D7986" t="str">
            <v>15430690    -    1 WAY CONNECTOR    -    1.31</v>
          </cell>
        </row>
        <row r="7987">
          <cell r="D7987" t="str">
            <v>10722048    -    611223 STECKGEHAEUSE    -    1.309517</v>
          </cell>
        </row>
        <row r="7988">
          <cell r="D7988" t="str">
            <v>15394086    -    CONNECTOR 42W BLACK    -    1.3063</v>
          </cell>
        </row>
        <row r="7989">
          <cell r="D7989" t="str">
            <v>12246035    -    CONN ASM-08-WAY    -    1.30065</v>
          </cell>
        </row>
        <row r="7990">
          <cell r="D7990" t="str">
            <v>12219291    -    CONNECTOR    -    1.3</v>
          </cell>
        </row>
        <row r="7991">
          <cell r="D7991" t="str">
            <v>15359275    -    HEADER-34PIN,KEY116    -    1.2998</v>
          </cell>
        </row>
        <row r="7992">
          <cell r="D7992" t="str">
            <v>15393202    -    HEADER-34PIN,KEY118    -    1.2998</v>
          </cell>
        </row>
        <row r="7993">
          <cell r="D7993" t="str">
            <v>15393203    -    HEADER-34 PIN,118    -    1.2998</v>
          </cell>
        </row>
        <row r="7994">
          <cell r="D7994" t="str">
            <v>15410808    -    HEADER-34PIN,216    -    1.2998</v>
          </cell>
        </row>
        <row r="7995">
          <cell r="D7995" t="str">
            <v>10866884    -    FEMALE CONNECTOR (20 BLOCKED CAVITIES)    -    1.29808</v>
          </cell>
        </row>
        <row r="7996">
          <cell r="D7996" t="str">
            <v>10866885    -    FEMALE CONNECTOR    -    1.29808</v>
          </cell>
        </row>
        <row r="7997">
          <cell r="D7997" t="str">
            <v>10866886    -    FEMALE CONNECTOR    -    1.29808</v>
          </cell>
        </row>
        <row r="7998">
          <cell r="D7998" t="str">
            <v>10866887    -    FEMALE CONNECTOR    -    1.29808</v>
          </cell>
        </row>
        <row r="7999">
          <cell r="D7999" t="str">
            <v>10788474    -    HOUSING 50.P. BROWN    -    1.291978</v>
          </cell>
        </row>
        <row r="8000">
          <cell r="D8000" t="str">
            <v>9399879    -    HEADER-14POS,F,V    -    1.29</v>
          </cell>
        </row>
        <row r="8001">
          <cell r="D8001" t="str">
            <v>12160861    -    HEADER-64 PIN    -    1.2894</v>
          </cell>
        </row>
        <row r="8002">
          <cell r="D8002" t="str">
            <v>12203294    -    HEADER-84 COND,MALE    -    1.285</v>
          </cell>
        </row>
        <row r="8003">
          <cell r="D8003" t="str">
            <v>28017795    -    HEADER-81 COND,MALE    -    1.285</v>
          </cell>
        </row>
        <row r="8004">
          <cell r="D8004" t="str">
            <v>10788961    -    HOUSING 60 P. CE SEALED    -    1.280174</v>
          </cell>
        </row>
        <row r="8005">
          <cell r="D8005" t="str">
            <v>15304663    -    CONNECTOR-ASM-16WAY    -    1.28</v>
          </cell>
        </row>
        <row r="8006">
          <cell r="D8006" t="str">
            <v>12040921    -    ASM CONN 18F M/P 150 P2S    -    1.2797</v>
          </cell>
        </row>
        <row r="8007">
          <cell r="D8007" t="str">
            <v>9375135    -    HEADER-24 POS,V,S/M    -    1.277</v>
          </cell>
        </row>
        <row r="8008">
          <cell r="D8008" t="str">
            <v>10762436    -    CONN 42 F SOCKET MIXED BLK SEALED    -    1.270581</v>
          </cell>
        </row>
        <row r="8009">
          <cell r="D8009" t="str">
            <v>15404516    -    CONN 6W    -    1.27</v>
          </cell>
        </row>
        <row r="8010">
          <cell r="D8010" t="str">
            <v>197716180104    -    ANSCHLUSSGEHAEUSE    -    1.269068</v>
          </cell>
        </row>
        <row r="8011">
          <cell r="D8011" t="str">
            <v>10769581    -    CONN 2 RECEPTACLE 1.5 BLK    -    1.267719</v>
          </cell>
        </row>
        <row r="8012">
          <cell r="D8012" t="str">
            <v>FRD13069134    -    CONNECTEUR 6 VOIES NEW JAGUAR AMP    -    1.26305</v>
          </cell>
        </row>
        <row r="8013">
          <cell r="D8013" t="str">
            <v>10788684    -    HOUSING 56.P. HN    -    1.262405</v>
          </cell>
        </row>
        <row r="8014">
          <cell r="D8014" t="str">
            <v>15405510    -    RECEPTACLE    -    1.26</v>
          </cell>
        </row>
        <row r="8015">
          <cell r="D8015" t="str">
            <v>15448521    -    PLUG 4 CAVITY, DT    -    1.26</v>
          </cell>
        </row>
        <row r="8016">
          <cell r="D8016" t="str">
            <v>10722687    -    CX F5RB14A6    -    1.259476</v>
          </cell>
        </row>
        <row r="8017">
          <cell r="D8017" t="str">
            <v>10776550    -    CX F4RB14A6    -    1.259476</v>
          </cell>
        </row>
        <row r="8018">
          <cell r="D8018" t="str">
            <v>10787741    -    KONTAKTTRAEGER    -    1.257932</v>
          </cell>
        </row>
        <row r="8019">
          <cell r="D8019" t="str">
            <v>15411489    -    16.I13.96 CON AMP 1355328-1 2V MCP 9.5    -    1.257883</v>
          </cell>
        </row>
        <row r="8020">
          <cell r="D8020" t="str">
            <v>10769533    -    CONN 36 F RECEPTACLE BLK    -    1.257046</v>
          </cell>
        </row>
        <row r="8021">
          <cell r="D8021" t="str">
            <v>15404493    -    CONN 36 F MISC PURCH RED    -    1.257042</v>
          </cell>
        </row>
        <row r="8022">
          <cell r="D8022" t="str">
            <v>10721344    -    CONN 3 F    -    1.25495</v>
          </cell>
        </row>
        <row r="8023">
          <cell r="D8023" t="str">
            <v>10738903    -    MINI-COMBICON 4-POL. MC 15/4-    -    1.254453</v>
          </cell>
        </row>
        <row r="8024">
          <cell r="D8024" t="str">
            <v>21001541    -    HOLDER-METAL CLIP ASSEMBLY    -    1.253551</v>
          </cell>
        </row>
        <row r="8025">
          <cell r="D8025" t="str">
            <v>12191140    -    CONN-TAXI HD 48M    -    1.25</v>
          </cell>
        </row>
        <row r="8026">
          <cell r="D8026" t="str">
            <v>TYCOREBATE01-R    -    TYCO REBATE 2004    -    1.242525</v>
          </cell>
        </row>
        <row r="8027">
          <cell r="D8027" t="str">
            <v>10768260    -    BUCHSENGEHAEUSE 56-POLIG    -    1.240189</v>
          </cell>
        </row>
        <row r="8028">
          <cell r="D8028" t="str">
            <v>15438957    -    FOLLOWER BACKSHELL    -    1.24</v>
          </cell>
        </row>
        <row r="8029">
          <cell r="D8029" t="str">
            <v>29514042    -    WT 24 SIZE B/S    -    1.24</v>
          </cell>
        </row>
        <row r="8030">
          <cell r="D8030" t="str">
            <v>10722143    -    CONN 41 F TIMER JR-POWER BLK    -    1.238822</v>
          </cell>
        </row>
        <row r="8031">
          <cell r="D8031" t="str">
            <v>829017534400    -    SMD SOCKELL.20-POL STEH ASP-102337-01 *    -    1.237359</v>
          </cell>
        </row>
        <row r="8032">
          <cell r="D8032" t="str">
            <v>FRD13124004    -    ANTENNE TRANSPONDEUR Z8 + BAGUE(T04)    -    1.237359</v>
          </cell>
        </row>
        <row r="8033">
          <cell r="D8033" t="str">
            <v>10721611    -    CONN M+F    -    1.229175</v>
          </cell>
        </row>
        <row r="8034">
          <cell r="D8034" t="str">
            <v>16251366    -    HEADER-SSU MODEL YEA    -    1.221153</v>
          </cell>
        </row>
        <row r="8035">
          <cell r="D8035" t="str">
            <v>10749697    -    CX POS 2136 26 CAV BK 02554521    -    1.219762</v>
          </cell>
        </row>
        <row r="8036">
          <cell r="D8036" t="str">
            <v>12129206    -    ASM CONN 78F M/P 150 280 630 S    -    1.2186</v>
          </cell>
        </row>
        <row r="8037">
          <cell r="D8037" t="str">
            <v>15414208    -    J-DEL-60POL-15414208    -    1.215769</v>
          </cell>
        </row>
        <row r="8038">
          <cell r="D8038" t="str">
            <v>12059766    -    16.H20.26 CO. AMP 206060-1 4 VIAS NG    -    1.213326</v>
          </cell>
        </row>
        <row r="8039">
          <cell r="D8039" t="str">
            <v>10722228    -    HOUSING 8.P. HN    -    1.21171</v>
          </cell>
        </row>
        <row r="8040">
          <cell r="D8040" t="str">
            <v>10778499    -    MISC    -    1.207113</v>
          </cell>
        </row>
        <row r="8041">
          <cell r="D8041" t="str">
            <v>10811176    -    HOUSING 38 P. F CE    -    1.205249</v>
          </cell>
        </row>
        <row r="8042">
          <cell r="D8042" t="str">
            <v>12110485    -    ASM HD CONN 36M MIC/P 100W    -    1.2015</v>
          </cell>
        </row>
        <row r="8043">
          <cell r="D8043" t="str">
            <v>15356975    -    HEADER-40 COND,MA    -    1.2</v>
          </cell>
        </row>
        <row r="8044">
          <cell r="D8044" t="str">
            <v>9359284    -    SOCKET ASM-DIV    -    1.2</v>
          </cell>
        </row>
        <row r="8045">
          <cell r="D8045" t="str">
            <v>15326542    -    HEADER-56 PIN    -    1.197</v>
          </cell>
        </row>
        <row r="8046">
          <cell r="D8046" t="str">
            <v>10788011    -    CONN 2 F RECEPTACLE 1.5 YEL SEALED    -    1.196872</v>
          </cell>
        </row>
        <row r="8047">
          <cell r="D8047" t="str">
            <v>15414204    -    J-DEL-32POL-15414204    -    1.194179</v>
          </cell>
        </row>
        <row r="8048">
          <cell r="D8048" t="str">
            <v>15414205    -    J-DEL-32POL-15414205    -    1.194179</v>
          </cell>
        </row>
        <row r="8049">
          <cell r="D8049" t="str">
            <v>10777499    -    CONN 4F    -    1.19</v>
          </cell>
        </row>
        <row r="8050">
          <cell r="D8050" t="str">
            <v>15412395    -    CONN 12 F    -    1.19</v>
          </cell>
        </row>
        <row r="8051">
          <cell r="D8051" t="str">
            <v>15424695    -    ASM-HD CONN 35M    -    1.1899</v>
          </cell>
        </row>
        <row r="8052">
          <cell r="D8052" t="str">
            <v>12203204    -    MM256    -    1.182035</v>
          </cell>
        </row>
        <row r="8053">
          <cell r="D8053" t="str">
            <v>9352691    -    HEADER-47 COND,AMP    -    1.18</v>
          </cell>
        </row>
        <row r="8054">
          <cell r="D8054" t="str">
            <v>9388367    -    HEADER-47 CONN,AMP    -    1.18</v>
          </cell>
        </row>
        <row r="8055">
          <cell r="D8055" t="str">
            <v>10819890    -    CONN 16 M BLK SEALED    -    1.179666</v>
          </cell>
        </row>
        <row r="8056">
          <cell r="D8056" t="str">
            <v>12245346    -    J-YAZ-12POL-12245346    -    1.179336</v>
          </cell>
        </row>
        <row r="8057">
          <cell r="D8057" t="str">
            <v>10812040    -    CONN 9 GRA SEALED    -    1.178495</v>
          </cell>
        </row>
        <row r="8058">
          <cell r="D8058" t="str">
            <v>10721702    -    607490 STIFTGEHAEU    -    1.172859</v>
          </cell>
        </row>
        <row r="8059">
          <cell r="D8059" t="str">
            <v>10732947    -    KONTAKTTRAEGER    -    1.172185</v>
          </cell>
        </row>
        <row r="8060">
          <cell r="D8060" t="str">
            <v>10847071    -    CONNECTOR 9W BLACK    -    1.17124</v>
          </cell>
        </row>
        <row r="8061">
          <cell r="D8061" t="str">
            <v>12238488    -    HEADER- 40POS,M,R/A    -    1.17</v>
          </cell>
        </row>
        <row r="8062">
          <cell r="D8062" t="str">
            <v>21002691    -    HEADER-40POS,M,RA,C    -    1.17</v>
          </cell>
        </row>
        <row r="8063">
          <cell r="D8063" t="str">
            <v>28011447    -    HEADER-40POS,M,R/A    -    1.17</v>
          </cell>
        </row>
        <row r="8064">
          <cell r="D8064" t="str">
            <v>9385946    -    HEADER-80POS,MA,V    -    1.17</v>
          </cell>
        </row>
        <row r="8065">
          <cell r="D8065" t="str">
            <v>12209654    -    CONNECTOR-17 WAY    -    1.1699</v>
          </cell>
        </row>
        <row r="8066">
          <cell r="D8066" t="str">
            <v>16228249    -    HEADER-50 COND., MA    -    1.166</v>
          </cell>
        </row>
        <row r="8067">
          <cell r="D8067" t="str">
            <v>12185289    -    CONN 30 F RECEPTACLE BGE    -    1.165951</v>
          </cell>
        </row>
        <row r="8068">
          <cell r="D8068" t="str">
            <v>197716170900    -    ANSCHLUSSGEHAEUSE    -    1.165438</v>
          </cell>
        </row>
        <row r="8069">
          <cell r="D8069" t="str">
            <v>12092328    -    ASM BASE 3 MODULES    -    1.1605</v>
          </cell>
        </row>
        <row r="8070">
          <cell r="D8070" t="str">
            <v>10721363    -    CX POS 1227 30 VIAS 000 545 43    -    1.156865</v>
          </cell>
        </row>
        <row r="8071">
          <cell r="D8071" t="str">
            <v>10789031    -    HS-KONTAKTSTIFT 40A AWG 8-10    -    1.156791</v>
          </cell>
        </row>
        <row r="8072">
          <cell r="D8072" t="str">
            <v>16268714    -    HEADER-23 POS R/A    -    1.153</v>
          </cell>
        </row>
        <row r="8073">
          <cell r="D8073" t="str">
            <v>10733855    -    CON 7V    -    1.15</v>
          </cell>
        </row>
        <row r="8074">
          <cell r="D8074" t="str">
            <v>12196881    -    CONECTOR 8 VIAS    -    1.15</v>
          </cell>
        </row>
        <row r="8075">
          <cell r="D8075" t="str">
            <v>12223639    -    CONN-3CH.F,E,D    -    1.15</v>
          </cell>
        </row>
        <row r="8076">
          <cell r="D8076" t="str">
            <v>12240282    -    HEADER-56 COND, M    -    1.15</v>
          </cell>
        </row>
        <row r="8077">
          <cell r="D8077" t="str">
            <v>10750772    -    AVX 8.0 WHITE    -    1.148019</v>
          </cell>
        </row>
        <row r="8078">
          <cell r="D8078" t="str">
            <v>12041457    -    CONNECTOR-32    -    1.1455</v>
          </cell>
        </row>
        <row r="8079">
          <cell r="D8079" t="str">
            <v>15354673    -    CONN-40    -    1.1448</v>
          </cell>
        </row>
        <row r="8080">
          <cell r="D8080" t="str">
            <v>15356912    -    HEADER-26PIN,KEY113    -    1.1446</v>
          </cell>
        </row>
        <row r="8081">
          <cell r="D8081" t="str">
            <v>15356966    -    HEADER-26PIN,KEY119    -    1.1446</v>
          </cell>
        </row>
        <row r="8082">
          <cell r="D8082" t="str">
            <v>15359273    -    HEADER-26PIN,KEY114    -    1.1446</v>
          </cell>
        </row>
        <row r="8083">
          <cell r="D8083" t="str">
            <v>15404315    -    HEADER-26 PIN,212    -    1.1446</v>
          </cell>
        </row>
        <row r="8084">
          <cell r="D8084" t="str">
            <v>15405422    -    HEADER-26 PIN,214    -    1.1446</v>
          </cell>
        </row>
        <row r="8085">
          <cell r="D8085" t="str">
            <v>15405423    -    HEADER-26 PIN,215    -    1.1446</v>
          </cell>
        </row>
        <row r="8086">
          <cell r="D8086" t="str">
            <v>15418887    -    HEADER-26PIN,117    -    1.1446</v>
          </cell>
        </row>
        <row r="8087">
          <cell r="D8087" t="str">
            <v>15418888    -    HEADER-26PIN,117    -    1.1446</v>
          </cell>
        </row>
        <row r="8088">
          <cell r="D8088" t="str">
            <v>15433907    -    HEADER-26 PIN,116    -    1.1446</v>
          </cell>
        </row>
        <row r="8089">
          <cell r="D8089" t="str">
            <v>10768292    -    KONTAKTTRAEGER    -    1.143496</v>
          </cell>
        </row>
        <row r="8090">
          <cell r="D8090" t="str">
            <v>10787743    -    KONTAKTTRAEGER    -    1.143496</v>
          </cell>
        </row>
        <row r="8091">
          <cell r="D8091" t="str">
            <v>15342712    -    KONCOWKA 9162308    -    1.142005</v>
          </cell>
        </row>
        <row r="8092">
          <cell r="D8092" t="str">
            <v>15304662    -    CONNECTOR-ASM-12WAY    -    1.14</v>
          </cell>
        </row>
        <row r="8093">
          <cell r="D8093" t="str">
            <v>15339441    -    BACKSHELL    -    1.14</v>
          </cell>
        </row>
        <row r="8094">
          <cell r="D8094" t="str">
            <v>9399470    -    HEADER-40POS,V,F    -    1.14</v>
          </cell>
        </row>
        <row r="8095">
          <cell r="D8095" t="str">
            <v>9401458    -    HEADER-40POS,V,M    -    1.14</v>
          </cell>
        </row>
        <row r="8096">
          <cell r="D8096" t="str">
            <v>FRD13124005/M    -    ANTENNE TRANSPONDEUR D9(T03)    -    1.138856</v>
          </cell>
        </row>
        <row r="8097">
          <cell r="D8097" t="str">
            <v>197716170409    -    ANSCHLUSSGEHAEUSE    -    1.134538</v>
          </cell>
        </row>
        <row r="8098">
          <cell r="D8098" t="str">
            <v>15354947    -    HEADER-13 COND,MALE    -    1.1336</v>
          </cell>
        </row>
        <row r="8099">
          <cell r="D8099" t="str">
            <v>10777083    -    16-WAY FEMALE CONNECTOR    -    1.130698</v>
          </cell>
        </row>
        <row r="8100">
          <cell r="D8100" t="str">
            <v>10810253    -    STECKHLSENGEHUSE MLK 1.2 41-POL    -    1.130201</v>
          </cell>
        </row>
        <row r="8101">
          <cell r="D8101" t="str">
            <v>9385786    -    CONN-YAZAKI73828135    -    1.129</v>
          </cell>
        </row>
        <row r="8102">
          <cell r="D8102" t="str">
            <v>10863969    -    ASM CONN 0 F SOCKET BLK SLD BASE 5    -    1.128007</v>
          </cell>
        </row>
        <row r="8103">
          <cell r="D8103" t="str">
            <v>12191293    -    HEADER-64 PIN    -    1.128</v>
          </cell>
        </row>
        <row r="8104">
          <cell r="D8104" t="str">
            <v>12041448    -    CONN-32 PIN    -    1.1231</v>
          </cell>
        </row>
        <row r="8105">
          <cell r="D8105" t="str">
            <v>FRD13124008    -    ANTENNE TRANSPONDEUR T1(T01) ABC    -    1.122663</v>
          </cell>
        </row>
        <row r="8106">
          <cell r="D8106" t="str">
            <v>10734583    -    CONN 29M    -    1.12</v>
          </cell>
        </row>
        <row r="8107">
          <cell r="D8107" t="str">
            <v>10756795    -    HOUSING 47.P BLACK    -    1.111099</v>
          </cell>
        </row>
        <row r="8108">
          <cell r="D8108" t="str">
            <v>10768293    -    GRIFFSCHALE    -    1.110519</v>
          </cell>
        </row>
        <row r="8109">
          <cell r="D8109" t="str">
            <v>10787740    -    GRIFFSCHALE    -    1.110519</v>
          </cell>
        </row>
        <row r="8110">
          <cell r="D8110" t="str">
            <v>197716170100    -    ANSCHLUSSGEHAEUSE    -    1.110249</v>
          </cell>
        </row>
        <row r="8111">
          <cell r="D8111" t="str">
            <v>9399551    -    HEADER-08POS,M,R/A    -    1.11</v>
          </cell>
        </row>
        <row r="8112">
          <cell r="D8112" t="str">
            <v>12186041    -    HEADER-32P,BLK    -    1.1095</v>
          </cell>
        </row>
        <row r="8113">
          <cell r="D8113" t="str">
            <v>10810645    -    HOUSING 5+76 P. CE    -    1.106966</v>
          </cell>
        </row>
        <row r="8114">
          <cell r="D8114" t="str">
            <v>15383196    -    CONN 12 F N/A    -    1.104182</v>
          </cell>
        </row>
        <row r="8115">
          <cell r="D8115" t="str">
            <v>DED10419592    -    SMB-STECK.LP-MONT. C4350/C4630    -    1.103907</v>
          </cell>
        </row>
        <row r="8116">
          <cell r="D8116" t="str">
            <v>10723622    -    625549 CNCN F 160 BK 14    -    1.103867</v>
          </cell>
        </row>
        <row r="8117">
          <cell r="D8117" t="str">
            <v>197716171000    -    ANSCHLUSSGEHAEUSE    -    1.101209</v>
          </cell>
        </row>
        <row r="8118">
          <cell r="D8118" t="str">
            <v>12191050    -    CONNECTOR-40 COND    -    1.1</v>
          </cell>
        </row>
        <row r="8119">
          <cell r="D8119" t="str">
            <v>16222729    -    HEADER-SSU    -    1.1</v>
          </cell>
        </row>
        <row r="8120">
          <cell r="D8120" t="str">
            <v>16240448    -    HEADER-SDMU (NAO)    -    1.1</v>
          </cell>
        </row>
        <row r="8121">
          <cell r="D8121" t="str">
            <v>9392026    -    CONNECTOR-12 WAY    -    1.1</v>
          </cell>
        </row>
        <row r="8122">
          <cell r="D8122" t="str">
            <v>10848178    -    RELAY BOX BLACK    -    1.09987</v>
          </cell>
        </row>
        <row r="8123">
          <cell r="D8123" t="str">
            <v>9396904    -    HEADER-40POS,M,V,SM    -    1.093422</v>
          </cell>
        </row>
        <row r="8124">
          <cell r="D8124" t="str">
            <v>12231970    -    COIL ASM-IMMO SA00C    -    1.092978</v>
          </cell>
        </row>
        <row r="8125">
          <cell r="D8125" t="str">
            <v>10779188    -    13-POL. AMP STECKER    -    1.090064</v>
          </cell>
        </row>
        <row r="8126">
          <cell r="D8126" t="str">
            <v>197716170300    -    GEHAEUSE    -    1.086231</v>
          </cell>
        </row>
        <row r="8127">
          <cell r="D8127" t="str">
            <v>12059136    -    CONNECTOR-HEADER    -    1.0826</v>
          </cell>
        </row>
        <row r="8128">
          <cell r="D8128" t="str">
            <v>12201133    -    HEADER-42 COND,MA    -    1.08</v>
          </cell>
        </row>
        <row r="8129">
          <cell r="D8129" t="str">
            <v>15405645    -    CONN 8F SLD    -    1.08</v>
          </cell>
        </row>
        <row r="8130">
          <cell r="D8130" t="str">
            <v>15419926    -    CONN 8F-SLD    -    1.08</v>
          </cell>
        </row>
        <row r="8131">
          <cell r="D8131" t="str">
            <v>15491308    -    MODULAR ASSEMBLY    -    1.07815</v>
          </cell>
        </row>
        <row r="8132">
          <cell r="D8132" t="str">
            <v>15404276    -    CONN ASM-36 COND    -    1.078</v>
          </cell>
        </row>
        <row r="8133">
          <cell r="D8133" t="str">
            <v>197716170700    -    ANSCHLUSSGEHAEUSE    -    1.074356</v>
          </cell>
        </row>
        <row r="8134">
          <cell r="D8134" t="str">
            <v>10763128    -    CX MCMQS8CC 34V OR 9635241880    -    1.072635</v>
          </cell>
        </row>
        <row r="8135">
          <cell r="D8135" t="str">
            <v>12048455    -    CONNECTOR    -    1.0698</v>
          </cell>
        </row>
        <row r="8136">
          <cell r="D8136" t="str">
            <v>12223827    -    CONN-AMP CIR BRIDGE    -    1.069364</v>
          </cell>
        </row>
        <row r="8137">
          <cell r="D8137" t="str">
            <v>10777523    -    16.I14.96 CON AMP 1394026-1 2V MCP 9,5    -    1.067888</v>
          </cell>
        </row>
        <row r="8138">
          <cell r="D8138" t="str">
            <v>10814570    -    4 WAY FEMALE CONNECTOR GREY    -    1.067727</v>
          </cell>
        </row>
        <row r="8139">
          <cell r="D8139" t="str">
            <v>12222381    -    J-AMP-2ARRAY-15POL    -    1.06599</v>
          </cell>
        </row>
        <row r="8140">
          <cell r="D8140" t="str">
            <v>197716170800    -    ANSCHLUSSGEHAEUSE    -    1.065856</v>
          </cell>
        </row>
        <row r="8141">
          <cell r="D8141" t="str">
            <v>16191178    -    HEADER-16 COND,MALE    -    1.065</v>
          </cell>
        </row>
        <row r="8142">
          <cell r="D8142" t="str">
            <v>10753940    -    803762 CONN 22 F MINI BLK    -    1.061807</v>
          </cell>
        </row>
        <row r="8143">
          <cell r="D8143" t="str">
            <v>10753941    -    803761 CONN 22 F MINI BLK    -    1.061807</v>
          </cell>
        </row>
        <row r="8144">
          <cell r="D8144" t="str">
            <v>15318171    -    CONN ASM-207, MIC/P    -    1.0614</v>
          </cell>
        </row>
        <row r="8145">
          <cell r="D8145" t="str">
            <v>10811949    -    CONN 5 F    -    1.059473</v>
          </cell>
        </row>
        <row r="8146">
          <cell r="D8146" t="str">
            <v>12230244    -    FAKRA LP STECKER G C4630    -    1.057085</v>
          </cell>
        </row>
        <row r="8147">
          <cell r="D8147" t="str">
            <v>9377457    -    HEADER-50 COND,ZIF    -    1.052</v>
          </cell>
        </row>
        <row r="8148">
          <cell r="D8148" t="str">
            <v>FRD13069056    -    CONNECTEUR 9 VOIES AMP 6-966140-4    -    1.051701</v>
          </cell>
        </row>
        <row r="8149">
          <cell r="D8149" t="str">
            <v>15304664    -    CONN-12WAY,FLEX PAC    -    1.05</v>
          </cell>
        </row>
        <row r="8150">
          <cell r="D8150" t="str">
            <v>15422540    -    CONNECTOR 6 WAY    -    1.05</v>
          </cell>
        </row>
        <row r="8151">
          <cell r="D8151" t="str">
            <v>9397316    -    CONN-2X3SCD,SM,W/SW    -    1.05</v>
          </cell>
        </row>
        <row r="8152">
          <cell r="D8152" t="str">
            <v>12034398    -    ASM CONN 30F M/P 150 P2S    -    1.0499</v>
          </cell>
        </row>
        <row r="8153">
          <cell r="D8153" t="str">
            <v>12034400    -    ASM CONN 30F M/P 150 P2S    -    1.0499</v>
          </cell>
        </row>
        <row r="8154">
          <cell r="D8154" t="str">
            <v>15339557    -    ASM CONN 6 F MISC BLK SLD    -    1.048665</v>
          </cell>
        </row>
        <row r="8155">
          <cell r="D8155" t="str">
            <v>12020756    -    INSUL-HEADER,56PIN    -    1.0486</v>
          </cell>
        </row>
        <row r="8156">
          <cell r="D8156" t="str">
            <v>15316616    -    CX 18 PR 96205049    -    1.043721</v>
          </cell>
        </row>
        <row r="8157">
          <cell r="D8157" t="str">
            <v>12160586    -    HEADER-56 PIN    -    1.0408</v>
          </cell>
        </row>
        <row r="8158">
          <cell r="D8158" t="str">
            <v>10769494    -    CX 36 CAV BK YPC10073    -    1.0368</v>
          </cell>
        </row>
        <row r="8159">
          <cell r="D8159" t="str">
            <v>9397694    -    HEADER-22POS,MA,V    -    1.03373</v>
          </cell>
        </row>
        <row r="8160">
          <cell r="D8160" t="str">
            <v>15420647    -    CONN 8WAY    -    1.03</v>
          </cell>
        </row>
        <row r="8161">
          <cell r="D8161" t="str">
            <v>10730206    -    BUCHSENSTECKER 8-POL. MISCHPOL    -    1.029183</v>
          </cell>
        </row>
        <row r="8162">
          <cell r="D8162" t="str">
            <v>DED610003000    -    STIFTWANNE ELO42-POLIG SCHWARZ    -    1.027939</v>
          </cell>
        </row>
        <row r="8163">
          <cell r="D8163" t="str">
            <v>197716210000    -    LP-STECKER 59S20E-400A4-K    -    1.02551</v>
          </cell>
        </row>
        <row r="8164">
          <cell r="D8164" t="str">
            <v>15409898    -    HEADER-32P BLK PLTD    -    1.0221</v>
          </cell>
        </row>
        <row r="8165">
          <cell r="D8165" t="str">
            <v>12110041    -    BASE 4 MODULES    -    1.0187</v>
          </cell>
        </row>
        <row r="8166">
          <cell r="D8166" t="str">
            <v>9389624    -    JUMPER ASM-12 COND    -    1.016294</v>
          </cell>
        </row>
        <row r="8167">
          <cell r="D8167" t="str">
            <v>12191036    -    CONN ASM-36 COND    -    1.0118</v>
          </cell>
        </row>
        <row r="8168">
          <cell r="D8168" t="str">
            <v>10721609    -    CONN M+F    -    1.007982</v>
          </cell>
        </row>
        <row r="8169">
          <cell r="D8169" t="str">
            <v>FRD13069103    -    CONNECTEUR 9 VOIES MIC NOIR 142626-2    -    1.007968</v>
          </cell>
        </row>
        <row r="8170">
          <cell r="D8170" t="str">
            <v>10756383    -    CONN 32 F MULTI    -    1.007294</v>
          </cell>
        </row>
        <row r="8171">
          <cell r="D8171" t="str">
            <v>10810658    -    HOUSING 8+32.P. CE    -    1.004457</v>
          </cell>
        </row>
        <row r="8172">
          <cell r="D8172" t="str">
            <v>12230245    -    FAKRA LP STECKER F C4630    -    1.003111</v>
          </cell>
        </row>
        <row r="8173">
          <cell r="D8173" t="str">
            <v>12230246    -    FAKRA LP STECKER E C4630    -    1.003111</v>
          </cell>
        </row>
        <row r="8174">
          <cell r="D8174" t="str">
            <v>12230248    -    FAKRA LP STECKER C C4630    -    1.003111</v>
          </cell>
        </row>
        <row r="8175">
          <cell r="D8175" t="str">
            <v>12230250    -    FAKRA LP STECKER B C4630    -    1.003111</v>
          </cell>
        </row>
        <row r="8176">
          <cell r="D8176" t="str">
            <v>12230251    -    FAKRA LP STECKER A C4630    -    1.003111</v>
          </cell>
        </row>
        <row r="8177">
          <cell r="D8177" t="str">
            <v>12230253    -    FAKRA LP STECKER K C4630    -    1.003111</v>
          </cell>
        </row>
        <row r="8178">
          <cell r="D8178" t="str">
            <v>12233955    -    FAKRA-STECKER 1800 A C4630    -    1.003111</v>
          </cell>
        </row>
        <row r="8179">
          <cell r="D8179" t="str">
            <v>12233956    -    FAKRA-STECKER 1800 B C4630    -    1.003111</v>
          </cell>
        </row>
        <row r="8180">
          <cell r="D8180" t="str">
            <v>12233957    -    FAKRA-STECKER 1800 E C4630    -    1.003111</v>
          </cell>
        </row>
        <row r="8181">
          <cell r="D8181" t="str">
            <v>12233960    -    FAKRA-STECKER 1800 F C4630    -    1.003111</v>
          </cell>
        </row>
        <row r="8182">
          <cell r="D8182" t="str">
            <v>15380291    -    TAPA ALPHABET 1    -    1</v>
          </cell>
        </row>
        <row r="8183">
          <cell r="D8183" t="str">
            <v>9401759    -    HEADER 3 POS, M,V,2M    -    1</v>
          </cell>
        </row>
        <row r="8184">
          <cell r="D8184" t="str">
            <v>9401760    -    HEADER 4 POS,M,V 2M    -    1</v>
          </cell>
        </row>
        <row r="8185">
          <cell r="D8185" t="str">
            <v>FRD13069051    -    CONNECTEUR 16 VOIES HYBRIDE COUDE NOIR    -    0.998523</v>
          </cell>
        </row>
        <row r="8186">
          <cell r="D8186" t="str">
            <v>15357186    -    18 WAY HEADER    -    0.9982</v>
          </cell>
        </row>
        <row r="8187">
          <cell r="D8187" t="str">
            <v>15357190    -    CONN ASM-34 PIN    -    0.9982</v>
          </cell>
        </row>
        <row r="8188">
          <cell r="D8188" t="str">
            <v>15441332    -    CONN ASM-26M    -    0.9982</v>
          </cell>
        </row>
        <row r="8189">
          <cell r="D8189" t="str">
            <v>28005752    -    HEADER-CONN,8 PIN    -    0.99508</v>
          </cell>
        </row>
        <row r="8190">
          <cell r="D8190" t="str">
            <v>15364018    -    15.867.04 CON. 2OV. AMP 282278-1 GR 1/24    -    0.994654</v>
          </cell>
        </row>
        <row r="8191">
          <cell r="D8191" t="str">
            <v>15364020    -    16.A17.96 CO 18 VI AMP(2824151) /1/24621    -    0.994654</v>
          </cell>
        </row>
        <row r="8192">
          <cell r="D8192" t="str">
            <v>15368723    -    15.867.06 CON AMP 282278/4 20 NG    -    0.99402</v>
          </cell>
        </row>
        <row r="8193">
          <cell r="D8193" t="str">
            <v>15340935    -    630746 CNCN F 160 BK 15 *    -    0.993476</v>
          </cell>
        </row>
        <row r="8194">
          <cell r="D8194" t="str">
            <v>16260736    -    SOCKET-ANTENNA,SMB    -    0.986729</v>
          </cell>
        </row>
        <row r="8195">
          <cell r="D8195" t="str">
            <v>10787721    -    ASM CONN 33M MIX    -    0.986581</v>
          </cell>
        </row>
        <row r="8196">
          <cell r="D8196" t="str">
            <v>10787718    -    ASM CONN 33M MIX    -    0.986577</v>
          </cell>
        </row>
        <row r="8197">
          <cell r="D8197" t="str">
            <v>DED10420043    -    EINPRESSSTECKER 26POL    -    0.985029</v>
          </cell>
        </row>
        <row r="8198">
          <cell r="D8198" t="str">
            <v>12226912    -    J-SIEMENS B1654-Y22    -    0.984462</v>
          </cell>
        </row>
        <row r="8199">
          <cell r="D8199" t="str">
            <v>12226936    -    J-TYC-54POL-NA    -    0.984435</v>
          </cell>
        </row>
        <row r="8200">
          <cell r="D8200" t="str">
            <v>10721701    -    607488 BUCHSENGEHA    -    0.983929</v>
          </cell>
        </row>
        <row r="8201">
          <cell r="D8201" t="str">
            <v>21000448    -    HEADER-SGL,SMR,R/A    -    0.98</v>
          </cell>
        </row>
        <row r="8202">
          <cell r="D8202" t="str">
            <v>28003245    -    HEADER-SLG,RA    -    0.98</v>
          </cell>
        </row>
        <row r="8203">
          <cell r="D8203" t="str">
            <v>9382696X    -    HEADER-40 CONDMAV    -    0.978282</v>
          </cell>
        </row>
        <row r="8204">
          <cell r="D8204" t="str">
            <v>15357188    -    CONN ASM-34 PIN    -    0.9782</v>
          </cell>
        </row>
        <row r="8205">
          <cell r="D8205" t="str">
            <v>15359093    -    CONN ASM-34 PIN    -    0.9782</v>
          </cell>
        </row>
        <row r="8206">
          <cell r="D8206" t="str">
            <v>15423228    -    CONN ASM-34 PIN    -    0.9782</v>
          </cell>
        </row>
        <row r="8207">
          <cell r="D8207" t="str">
            <v>15423230    -    CONN ASM-34 PIN    -    0.9782</v>
          </cell>
        </row>
        <row r="8208">
          <cell r="D8208" t="str">
            <v>15424135    -    CONN ASM-34M    -    0.9782</v>
          </cell>
        </row>
        <row r="8209">
          <cell r="D8209" t="str">
            <v>12124051S    -    ASM CONN 7F *    -    0.9757</v>
          </cell>
        </row>
        <row r="8210">
          <cell r="D8210" t="str">
            <v>10722824    -    KONTAKTTRAEGER    -    0.973695</v>
          </cell>
        </row>
        <row r="8211">
          <cell r="D8211" t="str">
            <v>10722825    -    KONTAKTTRAEGER    -    0.973695</v>
          </cell>
        </row>
        <row r="8212">
          <cell r="D8212" t="str">
            <v>10820064    -    CONNECTOR    -    0.973438</v>
          </cell>
        </row>
        <row r="8213">
          <cell r="D8213" t="str">
            <v>10721698    -    607465 GEHAEUSE    -    0.972313</v>
          </cell>
        </row>
        <row r="8214">
          <cell r="D8214" t="str">
            <v>15401706    -    TAPA    -    0.97</v>
          </cell>
        </row>
        <row r="8215">
          <cell r="D8215" t="str">
            <v>10819908    -    COVER    -    0.96989</v>
          </cell>
        </row>
        <row r="8216">
          <cell r="D8216" t="str">
            <v>15363828    -    16.A16.96 CO 10 VI AMP(2822791) (1/24942    -    0.96917</v>
          </cell>
        </row>
        <row r="8217">
          <cell r="D8217" t="str">
            <v>10810799    -    ASM CONN 2F JPT SEALED    -    0.968122</v>
          </cell>
        </row>
        <row r="8218">
          <cell r="D8218" t="str">
            <v>12191442    -    HEADER-24 WAY R/A    -    0.965</v>
          </cell>
        </row>
        <row r="8219">
          <cell r="D8219" t="str">
            <v>10846460    -    HOUSING 81 P. CE TES.    -    0.964519</v>
          </cell>
        </row>
        <row r="8220">
          <cell r="D8220" t="str">
            <v>9397442    -    HEADER-20POS,F,V,.5    -    0.963588</v>
          </cell>
        </row>
        <row r="8221">
          <cell r="D8221" t="str">
            <v>15364019    -    CON.15W    -    0.962569</v>
          </cell>
        </row>
        <row r="8222">
          <cell r="D8222" t="str">
            <v>10774425    -    16.I81.96 CON AMP 1-480281-0 NG 6V    -    0.961267</v>
          </cell>
        </row>
        <row r="8223">
          <cell r="D8223" t="str">
            <v>10810336    -    KONTAKT 9.P. R    -    0.960348</v>
          </cell>
        </row>
        <row r="8224">
          <cell r="D8224" t="str">
            <v>10730207    -    STIFTSTECKER 8-POL. MISCHPOLLE    -    0.959354</v>
          </cell>
        </row>
        <row r="8225">
          <cell r="D8225" t="str">
            <v>10810333    -    KONTAKT 9.P. L    -    0.959354</v>
          </cell>
        </row>
        <row r="8226">
          <cell r="D8226" t="str">
            <v>15357206    -    CONN ASM-34M MIC/P    -    0.9587</v>
          </cell>
        </row>
        <row r="8227">
          <cell r="D8227" t="str">
            <v>15357207    -    CONN ASM-34M,MIC/P    -    0.9587</v>
          </cell>
        </row>
        <row r="8228">
          <cell r="D8228" t="str">
            <v>15357208    -    CONN ASM-34M,MIC/P    -    0.9587</v>
          </cell>
        </row>
        <row r="8229">
          <cell r="D8229" t="str">
            <v>15357209    -    CONN ASM-34M MIC/P    -    0.9587</v>
          </cell>
        </row>
        <row r="8230">
          <cell r="D8230" t="str">
            <v>15393781    -    CONN ASM-34M MIC/P    -    0.9587</v>
          </cell>
        </row>
        <row r="8231">
          <cell r="D8231" t="str">
            <v>15359090    -    CONN ASM-34 PIN    -    0.9586</v>
          </cell>
        </row>
        <row r="8232">
          <cell r="D8232" t="str">
            <v>15359091    -    CONN ASM-34 PIN    -    0.9586</v>
          </cell>
        </row>
        <row r="8233">
          <cell r="D8233" t="str">
            <v>15359092    -    CONN ASM-34 PIN    -    0.9586</v>
          </cell>
        </row>
        <row r="8234">
          <cell r="D8234" t="str">
            <v>10793303    -    KUPPLUNGSGEHAEUSE    -    0.958501</v>
          </cell>
        </row>
        <row r="8235">
          <cell r="D8235" t="str">
            <v>DED10420051    -    FAKRA-STECKER 1-FACH K C4630    -    0.958042</v>
          </cell>
        </row>
        <row r="8236">
          <cell r="D8236" t="str">
            <v>DED10420052    -    FAKRA-STECKER 1-FACH B C4630    -    0.958042</v>
          </cell>
        </row>
        <row r="8237">
          <cell r="D8237" t="str">
            <v>12201344    -    CONNECTOR-28 PIN    -    0.958</v>
          </cell>
        </row>
        <row r="8238">
          <cell r="D8238" t="str">
            <v>12220722    -    CONNECTOR-28 PIN    -    0.958</v>
          </cell>
        </row>
        <row r="8239">
          <cell r="D8239" t="str">
            <v>12222379    -    J-SIE-3ARRAY-54POL    -    0.954844</v>
          </cell>
        </row>
        <row r="8240">
          <cell r="D8240" t="str">
            <v>15356829    -    CONN ASM-34M    -    0.9538</v>
          </cell>
        </row>
        <row r="8241">
          <cell r="D8241" t="str">
            <v>10757091    -    STECKH?LSENGEH?USE 1 POL. LSK    -    0.953017</v>
          </cell>
        </row>
        <row r="8242">
          <cell r="D8242" t="str">
            <v>FRD13069003    -    CONNECTEUR 15 VOIES JPT AMP    -    0.948576</v>
          </cell>
        </row>
        <row r="8243">
          <cell r="D8243" t="str">
            <v>10723594    -    625171 CNCN F BK 4    -    0.948404</v>
          </cell>
        </row>
        <row r="8244">
          <cell r="D8244" t="str">
            <v>10810958    -    ASM CONNECTOR    -    0.948047</v>
          </cell>
        </row>
        <row r="8245">
          <cell r="D8245" t="str">
            <v>10780165    -    16.J79.94 CON 284423-3 AMP 32V GR    -    0.944319</v>
          </cell>
        </row>
        <row r="8246">
          <cell r="D8246" t="str">
            <v>10780311    -    16.J79.96 CON 284423-4 AMP 32V    -    0.944319</v>
          </cell>
        </row>
        <row r="8247">
          <cell r="D8247" t="str">
            <v>197716170600    -    ANSCHLUSSGEHAEUSE    -    0.943874</v>
          </cell>
        </row>
        <row r="8248">
          <cell r="D8248" t="str">
            <v>15339762    -    KONTAKTTRAEGER    -    0.942455</v>
          </cell>
        </row>
        <row r="8249">
          <cell r="D8249" t="str">
            <v>15316168    -    CONN 6F    -    0.94</v>
          </cell>
        </row>
        <row r="8250">
          <cell r="D8250" t="str">
            <v>28014005    -    JACK-ANTENNA    -    0.94</v>
          </cell>
        </row>
        <row r="8251">
          <cell r="D8251" t="str">
            <v>PG001745    -    PLUG    -    0.94</v>
          </cell>
        </row>
        <row r="8252">
          <cell r="D8252" t="str">
            <v>10864112    -    CONN 7 M PIN SLD    -    0.938287</v>
          </cell>
        </row>
        <row r="8253">
          <cell r="D8253" t="str">
            <v>9385787    -    CONN-RIKA 12 PIN    -    0.9375</v>
          </cell>
        </row>
        <row r="8254">
          <cell r="D8254" t="str">
            <v>10763199    -    CONN 12 F TIMER MIXED BLK SEALED    -    0.936183</v>
          </cell>
        </row>
        <row r="8255">
          <cell r="D8255" t="str">
            <v>10779950    -    COV CONN BLK    -    0.931325</v>
          </cell>
        </row>
        <row r="8256">
          <cell r="D8256" t="str">
            <v>16178561    -    CONNECTOR-MALE    -    0.923</v>
          </cell>
        </row>
        <row r="8257">
          <cell r="D8257" t="str">
            <v>15324447    -    ASM CONN 5 F 090 II BLK SEALED    -    0.920326</v>
          </cell>
        </row>
        <row r="8258">
          <cell r="D8258" t="str">
            <v>9385349    -    HEADER-AMP-20 WAY    -    0.92</v>
          </cell>
        </row>
        <row r="8259">
          <cell r="D8259" t="str">
            <v>10788658    -    CONN 24 M WHT    -    0.914498</v>
          </cell>
        </row>
        <row r="8260">
          <cell r="D8260" t="str">
            <v>10721601    -    CONN 4 F    -    0.912983</v>
          </cell>
        </row>
        <row r="8261">
          <cell r="D8261" t="str">
            <v>12162974    -    KONTAKTTRAEGER    -    0.91251</v>
          </cell>
        </row>
        <row r="8262">
          <cell r="D8262" t="str">
            <v>12204978    -    HEADER-56 PIN    -    0.912</v>
          </cell>
        </row>
        <row r="8263">
          <cell r="D8263" t="str">
            <v>10774528    -    CONNECTOR MX12026591    -    0.91</v>
          </cell>
        </row>
        <row r="8264">
          <cell r="D8264" t="str">
            <v>12244092    -    CONNECTORS FAMILY ONE, 60POLIG, 4-REIHIG, GERADE    -    0.909465</v>
          </cell>
        </row>
        <row r="8265">
          <cell r="D8265" t="str">
            <v>12244093    -    CONNECTORS FAMILY ONE, 60POLIG,4-REIHIG,GERADE    -    0.909465</v>
          </cell>
        </row>
        <row r="8266">
          <cell r="D8266" t="str">
            <v>12191017    -    HEADER-ASM 24 PIN    -    0.9077</v>
          </cell>
        </row>
        <row r="8267">
          <cell r="D8267" t="str">
            <v>15340936    -    630747 CNCN M 202 BK 62 *    -    0.906092</v>
          </cell>
        </row>
        <row r="8268">
          <cell r="D8268" t="str">
            <v>10762674    -    709673131    -    0.902073</v>
          </cell>
        </row>
        <row r="8269">
          <cell r="D8269" t="str">
            <v>10810657    -    HOUSING 16.P. CE ( GOLD )    -    0.902073</v>
          </cell>
        </row>
        <row r="8270">
          <cell r="D8270" t="str">
            <v>9401565    -    HEADER-30POS,F,R    -    0.901</v>
          </cell>
        </row>
        <row r="8271">
          <cell r="D8271" t="str">
            <v>10777541    -    16.P17.95 CONECTOR 24V AMP 284223/5 (KIT    -    0.898395</v>
          </cell>
        </row>
        <row r="8272">
          <cell r="D8272" t="str">
            <v>15364021    -    16.A18.96 CO 12 VI AMP(282424) (1/24620/    -    0.898395</v>
          </cell>
        </row>
        <row r="8273">
          <cell r="D8273" t="str">
            <v>9360164    -    CONNECTOR-26PIN    -    0.89158</v>
          </cell>
        </row>
        <row r="8274">
          <cell r="D8274" t="str">
            <v>16197943    -    HEADER-SDM-I2    -    0.890574</v>
          </cell>
        </row>
        <row r="8275">
          <cell r="D8275" t="str">
            <v>15317012    -    RECEPTACLE W/ SHRINK BOOT    -    0.89</v>
          </cell>
        </row>
        <row r="8276">
          <cell r="D8276" t="str">
            <v>15422657    -    YELLOW BOOT    -    0.89</v>
          </cell>
        </row>
        <row r="8277">
          <cell r="D8277" t="str">
            <v>10721607    -    CONN 4 F RED    -    0.889778</v>
          </cell>
        </row>
        <row r="8278">
          <cell r="D8278" t="str">
            <v>10756278    -    COMBICON 3-POL. MSTB 25/3-STF    -    0.885796</v>
          </cell>
        </row>
        <row r="8279">
          <cell r="D8279" t="str">
            <v>12052419    -    CONNECTOR ASM    -    0.8857</v>
          </cell>
        </row>
        <row r="8280">
          <cell r="D8280" t="str">
            <v>12092320    -    ASM HD CONN 24M MIC/P 100W    -    0.8821</v>
          </cell>
        </row>
        <row r="8281">
          <cell r="D8281" t="str">
            <v>15363696    -    628959 CNCN F32    -    0.880577</v>
          </cell>
        </row>
        <row r="8282">
          <cell r="D8282" t="str">
            <v>15363703    -    628958 CNCN F32    -    0.880577</v>
          </cell>
        </row>
        <row r="8283">
          <cell r="D8283" t="str">
            <v>12235972    -    SOCKET-ANTENNA,SMB    -    0.88</v>
          </cell>
        </row>
        <row r="8284">
          <cell r="D8284" t="str">
            <v>9397590    -    HEADER-22POS,MA,R/A    -    0.8799</v>
          </cell>
        </row>
        <row r="8285">
          <cell r="D8285" t="str">
            <v>15393154    -    HEADER-30PIN,KEY208    -    0.8795</v>
          </cell>
        </row>
        <row r="8286">
          <cell r="D8286" t="str">
            <v>184320230006    -    ANTENNENWINKEL    -    0.879375</v>
          </cell>
        </row>
        <row r="8287">
          <cell r="D8287" t="str">
            <v>197716170500    -    ANSCHLUSSGEHAEUSE    -    0.879375</v>
          </cell>
        </row>
        <row r="8288">
          <cell r="D8288" t="str">
            <v>12241521    -    CONN-FAKRA PCB 90D    -    0.87778</v>
          </cell>
        </row>
        <row r="8289">
          <cell r="D8289" t="str">
            <v>10420079    -    FAKRA STECKER GERADE PCB KOD. A    -    0.877081</v>
          </cell>
        </row>
        <row r="8290">
          <cell r="D8290" t="str">
            <v>10420080    -    FAKRA STRAIGHT PLUG PCB CODING H    -    0.877081</v>
          </cell>
        </row>
        <row r="8291">
          <cell r="D8291" t="str">
            <v>10420083    -    FAKRA STECKER GERADE PCB KOD D    -    0.877081</v>
          </cell>
        </row>
        <row r="8292">
          <cell r="D8292" t="str">
            <v>10420084    -    FAKRA STECKER GERADE PCB KOD C    -    0.877081</v>
          </cell>
        </row>
        <row r="8293">
          <cell r="D8293" t="str">
            <v>10420092    -    FAKRA STECKER GERADE PCB KOD.A    -    0.877081</v>
          </cell>
        </row>
        <row r="8294">
          <cell r="D8294" t="str">
            <v>DED10420087    -    STIFTLEISTE 2X10POL C4630    -    0.877081</v>
          </cell>
        </row>
        <row r="8295">
          <cell r="D8295" t="str">
            <v>10731660    -    CONN 13 M MIC BLK    -    0.87619</v>
          </cell>
        </row>
        <row r="8296">
          <cell r="D8296" t="str">
            <v>10721608    -    CONN 12 F    -    0.875772</v>
          </cell>
        </row>
        <row r="8297">
          <cell r="D8297" t="str">
            <v>10863557    -    COV CONN BRN    -    0.875291</v>
          </cell>
        </row>
        <row r="8298">
          <cell r="D8298" t="str">
            <v>10722196    -    KONTAKTTRAEGER    -    0.873371</v>
          </cell>
        </row>
        <row r="8299">
          <cell r="D8299" t="str">
            <v>10730457    -    CONNECTOR 18W    -    0.871683</v>
          </cell>
        </row>
        <row r="8300">
          <cell r="D8300" t="str">
            <v>15412393    -    CONN 3F    -    0.87</v>
          </cell>
        </row>
        <row r="8301">
          <cell r="D8301" t="str">
            <v>10718669    -    ASSM. CONN    -    0.868016</v>
          </cell>
        </row>
        <row r="8302">
          <cell r="D8302" t="str">
            <v>15414223    -    J-DEL-36POL-15414223    -    0.863722</v>
          </cell>
        </row>
        <row r="8303">
          <cell r="D8303" t="str">
            <v>10811710    -    ASM CONN 4 F TIMER JR-POWER BLK SLD    -    0.863587</v>
          </cell>
        </row>
        <row r="8304">
          <cell r="D8304" t="str">
            <v>12231806    -    FAKRA LP-STECKER I C4630    -    0.863587</v>
          </cell>
        </row>
        <row r="8305">
          <cell r="D8305" t="str">
            <v>12233958    -    FAKRA-STECKER 1800 G C4630    -    0.863587</v>
          </cell>
        </row>
        <row r="8306">
          <cell r="D8306" t="str">
            <v>12233961    -    FAKRA-STECKER 1800 K C4630    -    0.863587</v>
          </cell>
        </row>
        <row r="8307">
          <cell r="D8307" t="str">
            <v>10811041    -    6WAYS BLACK CONN    -    0.863567</v>
          </cell>
        </row>
        <row r="8308">
          <cell r="D8308" t="str">
            <v>15354845    -    HEADER-30 PIN    -    0.8619</v>
          </cell>
        </row>
        <row r="8309">
          <cell r="D8309" t="str">
            <v>15356738    -    HEADER-30 PIN    -    0.8619</v>
          </cell>
        </row>
        <row r="8310">
          <cell r="D8310" t="str">
            <v>15356740    -    HEADER-30 PIN    -    0.8619</v>
          </cell>
        </row>
        <row r="8311">
          <cell r="D8311" t="str">
            <v>15357178    -    CONN ASM-107    -    0.8619</v>
          </cell>
        </row>
        <row r="8312">
          <cell r="D8312" t="str">
            <v>16084375    -    SOCKET-28 PIN,BLUE    -    0.86</v>
          </cell>
        </row>
        <row r="8313">
          <cell r="D8313" t="str">
            <v>15327264    -    CX POS 2522 4 VIAS PR 168 545    -    0.85764</v>
          </cell>
        </row>
        <row r="8314">
          <cell r="D8314" t="str">
            <v>10756683    -    D-SUB HAUBE 15-POL. NICHT META    -    0.857342</v>
          </cell>
        </row>
        <row r="8315">
          <cell r="D8315" t="str">
            <v>10763159    -    CONN 12 M QUADLOK MICRO NAT SEALED    -    0.856867</v>
          </cell>
        </row>
        <row r="8316">
          <cell r="D8316" t="str">
            <v>10779949    -    8 WAY CONNECTOR YELLOW    -    0.856867</v>
          </cell>
        </row>
        <row r="8317">
          <cell r="D8317" t="str">
            <v>10848172    -    CONN 20 F BLK SLD    -    0.85684</v>
          </cell>
        </row>
        <row r="8318">
          <cell r="D8318" t="str">
            <v>FRD13077071    -    BUSBAR PRESSFIT P07BU07    -    0.855761</v>
          </cell>
        </row>
        <row r="8319">
          <cell r="D8319" t="str">
            <v>9397245    -    HEADER-24POS,MA,R/A    -    0.85554</v>
          </cell>
        </row>
        <row r="8320">
          <cell r="D8320" t="str">
            <v>12160777    -    HEADER-56 PIN,BRWN    -    0.8551</v>
          </cell>
        </row>
        <row r="8321">
          <cell r="D8321" t="str">
            <v>10820361    -    ASM COV CONN    -    0.850094</v>
          </cell>
        </row>
        <row r="8322">
          <cell r="D8322" t="str">
            <v>10863554    -    ASM CONN 46 F SLEEVE BRN    -    0.850094</v>
          </cell>
        </row>
        <row r="8323">
          <cell r="D8323" t="str">
            <v>DED10420079    -    FAKRA STECKER GERADE PCB KOD. B C4630    -    0.850094</v>
          </cell>
        </row>
        <row r="8324">
          <cell r="D8324" t="str">
            <v>DED10420080    -    FAKRA STECKER GERADE PCB KOD.H C4630    -    0.850094</v>
          </cell>
        </row>
        <row r="8325">
          <cell r="D8325" t="str">
            <v>DED10420083    -    FAKRA STECKER GERADE PCB KOD.D C4630    -    0.850094</v>
          </cell>
        </row>
        <row r="8326">
          <cell r="D8326" t="str">
            <v>DED10420084    -    FAKRA STECKER GERADE PCB KOD.C C4630    -    0.850094</v>
          </cell>
        </row>
        <row r="8327">
          <cell r="D8327" t="str">
            <v>DED10420092    -    FAKRA STECKER GERADE PCB KOD.A C4630    -    0.850094</v>
          </cell>
        </row>
        <row r="8328">
          <cell r="D8328" t="str">
            <v>12210667    -    HEADER-32POS,MA,R/A    -    0.85</v>
          </cell>
        </row>
        <row r="8329">
          <cell r="D8329" t="str">
            <v>9398224    -    HEADER-18POS,MA,R/A    -    0.85</v>
          </cell>
        </row>
        <row r="8330">
          <cell r="D8330" t="str">
            <v>9399587    -    JACK-1POS,R/A,FAKRA    -    0.85</v>
          </cell>
        </row>
        <row r="8331">
          <cell r="D8331" t="str">
            <v>9399622    -    HEADER-38POS,MA,BLA    -    0.85</v>
          </cell>
        </row>
        <row r="8332">
          <cell r="D8332" t="str">
            <v>10768957    -    40-P STECKERGEH.    -    0.849972</v>
          </cell>
        </row>
        <row r="8333">
          <cell r="D8333" t="str">
            <v>16191155    -    HEADER-12 COND,MALE    -    0.8458</v>
          </cell>
        </row>
        <row r="8334">
          <cell r="D8334" t="str">
            <v>9397444    -    HEADER-20POS,FE,V REVB    -    0.845768</v>
          </cell>
        </row>
        <row r="8335">
          <cell r="D8335" t="str">
            <v>15419887    -    TOP COVER    -    0.84532</v>
          </cell>
        </row>
        <row r="8336">
          <cell r="D8336" t="str">
            <v>10731436    -    COV CONN BLK    -    0.845142</v>
          </cell>
        </row>
        <row r="8337">
          <cell r="D8337" t="str">
            <v>10793257    -    STECKH?LSENGEH. VDA 3-POL. SLK    -    0.844942</v>
          </cell>
        </row>
        <row r="8338">
          <cell r="D8338" t="str">
            <v>10793266    -    STECKH?LSENGEH. 2-POL. SLK 28    -    0.844942</v>
          </cell>
        </row>
        <row r="8339">
          <cell r="D8339" t="str">
            <v>10846455    -    HOUSING 8+32 P.    -    0.844696</v>
          </cell>
        </row>
        <row r="8340">
          <cell r="D8340" t="str">
            <v>10846443    -    24 WAY MALE CONNEC BK ZFW24-4    -    0.843887</v>
          </cell>
        </row>
        <row r="8341">
          <cell r="D8341" t="str">
            <v>12210037    -    MM2656    -    0.843347</v>
          </cell>
        </row>
        <row r="8342">
          <cell r="D8342" t="str">
            <v>15357042    -    J1 CONNECTOR    -    0.8408</v>
          </cell>
        </row>
        <row r="8343">
          <cell r="D8343" t="str">
            <v>15405509    -    PLUG    -    0.84</v>
          </cell>
        </row>
        <row r="8344">
          <cell r="D8344" t="str">
            <v>10727044    -    629945 ZLACZE 029 454 95 28KZ    -    0.8366</v>
          </cell>
        </row>
        <row r="8345">
          <cell r="D8345" t="str">
            <v>DED10420033    -    MCX EINPRESSBUCHSE M. LVTSTIFT C4350    -    0.8366</v>
          </cell>
        </row>
        <row r="8346">
          <cell r="D8346" t="str">
            <v>10722170    -    CX FEMEA 6 PR 4A090623    -    0.835971</v>
          </cell>
        </row>
        <row r="8347">
          <cell r="D8347" t="str">
            <v>15340884    -    16.974.93 CON 13V/BC AMP 174926-1    -    0.834343</v>
          </cell>
        </row>
        <row r="8348">
          <cell r="D8348" t="str">
            <v>15357183    -    CONN ASM-26 PIN    -    0.8333</v>
          </cell>
        </row>
        <row r="8349">
          <cell r="D8349" t="str">
            <v>15433093    -    CONN ASM-26 PIN    -    0.8333</v>
          </cell>
        </row>
        <row r="8350">
          <cell r="D8350" t="str">
            <v>15433095    -    CONN ASM-26 PIN    -    0.8333</v>
          </cell>
        </row>
        <row r="8351">
          <cell r="D8351" t="str">
            <v>12191169    -    CONN ASM-24 COND    -    0.833</v>
          </cell>
        </row>
        <row r="8352">
          <cell r="D8352" t="str">
            <v>15485714    -    2 WAY FEMALE CONN ASSEMBLY    -    0.83188</v>
          </cell>
        </row>
        <row r="8353">
          <cell r="D8353" t="str">
            <v>12110209    -    HEADER-56 PIN    -    0.8299</v>
          </cell>
        </row>
        <row r="8354">
          <cell r="D8354" t="str">
            <v>10721602    -    CONN 12 F RED    -    0.829471</v>
          </cell>
        </row>
        <row r="8355">
          <cell r="D8355" t="str">
            <v>FRD13069064    -    CONNECTEUR 13 VOIES MIC BLANC 142627-1    -    0.829003</v>
          </cell>
        </row>
        <row r="8356">
          <cell r="D8356" t="str">
            <v>12110241    -    HEADER-56PIN    -    0.829</v>
          </cell>
        </row>
        <row r="8357">
          <cell r="D8357" t="str">
            <v>10787550    -    HOUSING 8 P. F CE TES.    -    0.826987</v>
          </cell>
        </row>
        <row r="8358">
          <cell r="D8358" t="str">
            <v>FRD13069132    -    CONNECTEUR 4 VOIES NOIR OPEL AMP    -    0.822837</v>
          </cell>
        </row>
        <row r="8359">
          <cell r="D8359" t="str">
            <v>12059138    -    CONNECTOR    -    0.8217</v>
          </cell>
        </row>
        <row r="8360">
          <cell r="D8360" t="str">
            <v>12208992    -    CONN ASM-24 COND,J1    -    0.82</v>
          </cell>
        </row>
        <row r="8361">
          <cell r="D8361" t="str">
            <v>15401711    -    DUST COVER, BLK    -    0.82</v>
          </cell>
        </row>
        <row r="8362">
          <cell r="D8362" t="str">
            <v>15357176    -    18 WAY HEADER    -    0.8166</v>
          </cell>
        </row>
        <row r="8363">
          <cell r="D8363" t="str">
            <v>15452950    -    CONN ASM-26 PIN    -    0.8166</v>
          </cell>
        </row>
        <row r="8364">
          <cell r="D8364" t="str">
            <v>15452952    -    CONN ASM-26 PIN    -    0.8166</v>
          </cell>
        </row>
        <row r="8365">
          <cell r="D8365" t="str">
            <v>10762537    -    KUPPLUNGSGEHAEUSE    -    0.815118</v>
          </cell>
        </row>
        <row r="8366">
          <cell r="D8366" t="str">
            <v>15410334    -    LOCK    -    0.81</v>
          </cell>
        </row>
        <row r="8367">
          <cell r="D8367" t="str">
            <v>15410335    -    LOCK    -    0.81</v>
          </cell>
        </row>
        <row r="8368">
          <cell r="D8368" t="str">
            <v>DED690125030    -    SOCKEL MIT GLUEHLAMPE 2E MECHATR. KAN    -    0.809613</v>
          </cell>
        </row>
        <row r="8369">
          <cell r="D8369" t="str">
            <v>15324761S    -    ASM CONN 56F M/P 280 480 630 *    -    0.804</v>
          </cell>
        </row>
        <row r="8370">
          <cell r="D8370" t="str">
            <v>15356739    -    HEADER-26 PIN    -    0.8003</v>
          </cell>
        </row>
        <row r="8371">
          <cell r="D8371" t="str">
            <v>15357193    -    CONN ASM-26 PIN    -    0.8003</v>
          </cell>
        </row>
        <row r="8372">
          <cell r="D8372" t="str">
            <v>12223641    -    CONN-2CH.A,H    -    0.8</v>
          </cell>
        </row>
        <row r="8373">
          <cell r="D8373" t="str">
            <v>9401889    -    HEADER-40POS,M,V    -    0.8</v>
          </cell>
        </row>
        <row r="8374">
          <cell r="D8374" t="str">
            <v>9401890    -    HEADER-40POS,F,V    -    0.8</v>
          </cell>
        </row>
        <row r="8375">
          <cell r="D8375" t="str">
            <v>12226722    -    HEADER-CONN,8 PIN    -    0.7995</v>
          </cell>
        </row>
        <row r="8376">
          <cell r="D8376" t="str">
            <v>12226723    -    HEADER-CONN,8 PIN    -    0.7995</v>
          </cell>
        </row>
        <row r="8377">
          <cell r="D8377" t="str">
            <v>15357175    -    CONN ASM-401    -    0.799</v>
          </cell>
        </row>
        <row r="8378">
          <cell r="D8378" t="str">
            <v>15417626    -    HEADER-CONN,26 PIN    -    0.799</v>
          </cell>
        </row>
        <row r="8379">
          <cell r="D8379" t="str">
            <v>15417627    -    HEADER-CONN,26 PIN    -    0.799</v>
          </cell>
        </row>
        <row r="8380">
          <cell r="D8380" t="str">
            <v>15357174    -    CONN ASM-305    -    0.7989</v>
          </cell>
        </row>
        <row r="8381">
          <cell r="D8381" t="str">
            <v>15358893    -    CONN ASM-201    -    0.7989</v>
          </cell>
        </row>
        <row r="8382">
          <cell r="D8382" t="str">
            <v>15318113    -    CONN ASM- 202    -    0.7962</v>
          </cell>
        </row>
        <row r="8383">
          <cell r="D8383" t="str">
            <v>DED10420057    -    FRAKA-STECKER 1X CODIERUNG "A"    -    0.796119</v>
          </cell>
        </row>
        <row r="8384">
          <cell r="D8384" t="str">
            <v>DED10420058    -    FRAKA-STECKER 1X CODIERUNG "C"    -    0.796119</v>
          </cell>
        </row>
        <row r="8385">
          <cell r="D8385" t="str">
            <v>DED10420060    -    FRAKA-STECKER 1X CODIERUNG "E"    -    0.796119</v>
          </cell>
        </row>
        <row r="8386">
          <cell r="D8386" t="str">
            <v>12146724    -    CONN-8M M/P280MLDD    -    0.7954</v>
          </cell>
        </row>
        <row r="8387">
          <cell r="D8387" t="str">
            <v>15364442    -    CX " 15 PR 96177170    -    0.795216</v>
          </cell>
        </row>
        <row r="8388">
          <cell r="D8388" t="str">
            <v>12222270    -    J-DEL-27POL-12222270    -    0.79477</v>
          </cell>
        </row>
        <row r="8389">
          <cell r="D8389" t="str">
            <v>10810331    -    KONTAKT 4.P. L    -    0.794098</v>
          </cell>
        </row>
        <row r="8390">
          <cell r="D8390" t="str">
            <v>10723077    -    620882 CNCN F 21 BK 10    -    0.792742</v>
          </cell>
        </row>
        <row r="8391">
          <cell r="D8391" t="str">
            <v>10789047    -    CONN 5 M MT    -    0.791667</v>
          </cell>
        </row>
        <row r="8392">
          <cell r="D8392" t="str">
            <v>12110625    -    HEADER-8 WAY    -    0.79</v>
          </cell>
        </row>
        <row r="8393">
          <cell r="D8393" t="str">
            <v>10819963    -    CONN 4 F 1.5 BLK SEALED    -    0.78933</v>
          </cell>
        </row>
        <row r="8394">
          <cell r="D8394" t="str">
            <v>9394485    -    CONN-AMP M-II 18+4    -    0.786499</v>
          </cell>
        </row>
        <row r="8395">
          <cell r="D8395" t="str">
            <v>DED511110020K    -    SPULE PUNTO 188    -    0.786404</v>
          </cell>
        </row>
        <row r="8396">
          <cell r="D8396" t="str">
            <v>15356737    -    HEADER-26 PIN    -    0.7843</v>
          </cell>
        </row>
        <row r="8397">
          <cell r="D8397" t="str">
            <v>15357177    -    CONN ASM-501    -    0.7843</v>
          </cell>
        </row>
        <row r="8398">
          <cell r="D8398" t="str">
            <v>15393153    -    HEADER-26PIN,KEY208    -    0.783</v>
          </cell>
        </row>
        <row r="8399">
          <cell r="D8399" t="str">
            <v>10721824    -    609002 BUCHSENGEHAEUSE    -    0.782626</v>
          </cell>
        </row>
        <row r="8400">
          <cell r="D8400" t="str">
            <v>15317011    -    3 PIN W/S.B. PLUG    -    0.78</v>
          </cell>
        </row>
        <row r="8401">
          <cell r="D8401" t="str">
            <v>12197421    -    622400 ZABEZPIECZENIE 000 545 7483    -    0.779603</v>
          </cell>
        </row>
        <row r="8402">
          <cell r="D8402" t="str">
            <v>15327825    -    STECKH?LSENGEH?USE4-POL.FKS28    -    0.779573</v>
          </cell>
        </row>
        <row r="8403">
          <cell r="D8403" t="str">
            <v>16127329    -    HEADER-28 PIN,BLUE    -    0.77577</v>
          </cell>
        </row>
        <row r="8404">
          <cell r="D8404" t="str">
            <v>10775591    -    ASM CONN 39 F TIMER MIXED BLK    -    0.775062</v>
          </cell>
        </row>
        <row r="8405">
          <cell r="D8405" t="str">
            <v>396233100000    -    BUCHSENLEISTE 10-POL STEH 43045-1012 M*    -    0.773653</v>
          </cell>
        </row>
        <row r="8406">
          <cell r="D8406" t="str">
            <v>10774901    -    CONN 16 F BLK SLD    -    0.772897</v>
          </cell>
        </row>
        <row r="8407">
          <cell r="D8407" t="str">
            <v>9356652    -    HEADER-26 PIN    -    0.77</v>
          </cell>
        </row>
        <row r="8408">
          <cell r="D8408" t="str">
            <v>9399907    -    HEADER-30POS,F,V,1M    -    0.77</v>
          </cell>
        </row>
        <row r="8409">
          <cell r="D8409" t="str">
            <v>9400251    -    HEADER-1 POS    -    0.77</v>
          </cell>
        </row>
        <row r="8410">
          <cell r="D8410" t="str">
            <v>9400257    -    HEADER-1POS,R/A,FAK    -    0.77</v>
          </cell>
        </row>
        <row r="8411">
          <cell r="D8411" t="str">
            <v>15357173    -    CONN ASM-102    -    0.7674</v>
          </cell>
        </row>
        <row r="8412">
          <cell r="D8412" t="str">
            <v>10719527    -    403658 CNTH 8 BUS TOP    -    0.766299</v>
          </cell>
        </row>
        <row r="8413">
          <cell r="D8413" t="str">
            <v>15368967    -    CONNECTOR COVER    -    0.763735</v>
          </cell>
        </row>
        <row r="8414">
          <cell r="D8414" t="str">
            <v>15368878    -    CONNECTOR 24W    -    0.763631</v>
          </cell>
        </row>
        <row r="8415">
          <cell r="D8415" t="str">
            <v>15368879    -    CONNECTOR 24 WAYS    -    0.763631</v>
          </cell>
        </row>
        <row r="8416">
          <cell r="D8416" t="str">
            <v>10776915    -    8287871    -    0.762351</v>
          </cell>
        </row>
        <row r="8417">
          <cell r="D8417" t="str">
            <v>10769573    -    CONN 7 M PIN 1.5 BLK    -    0.762075</v>
          </cell>
        </row>
        <row r="8418">
          <cell r="D8418" t="str">
            <v>10777488    -    SR PLUG, BLACK    -    0.76</v>
          </cell>
        </row>
        <row r="8419">
          <cell r="D8419" t="str">
            <v>9367627    -    HEADER-18 POS, M V    -    0.76</v>
          </cell>
        </row>
        <row r="8420">
          <cell r="D8420" t="str">
            <v>15316469    -    CONNECTOR ASM    -    0.758904</v>
          </cell>
        </row>
        <row r="8421">
          <cell r="D8421" t="str">
            <v>10789033    -    CONN 26 F BLK    -    0.75881</v>
          </cell>
        </row>
        <row r="8422">
          <cell r="D8422" t="str">
            <v>10752649    -    STECKERGEH?USE2-POL.SLK28ELA    -    0.758537</v>
          </cell>
        </row>
        <row r="8423">
          <cell r="D8423" t="str">
            <v>10721696    -    16.754.97 CON AMP 207439-1 9V    -    0.757903</v>
          </cell>
        </row>
        <row r="8424">
          <cell r="D8424" t="str">
            <v>15324206    -    CONNECTOR 10F    -    0.75787</v>
          </cell>
        </row>
        <row r="8425">
          <cell r="D8425" t="str">
            <v>16180738    -    HEADER-28 PIN,BLUE    -    0.75697</v>
          </cell>
        </row>
        <row r="8426">
          <cell r="D8426" t="str">
            <v>12041475    -    HEADER-32    -    0.7557</v>
          </cell>
        </row>
        <row r="8427">
          <cell r="D8427" t="str">
            <v>12052105    -    HEADER-32    -    0.7557</v>
          </cell>
        </row>
        <row r="8428">
          <cell r="D8428" t="str">
            <v>197716161800    -    ANSCHLUSSGEHAEUSE    -    0.752265</v>
          </cell>
        </row>
        <row r="8429">
          <cell r="D8429" t="str">
            <v>197716161838    -    GEHAEUSE ANSCHLUSS    -    0.751996</v>
          </cell>
        </row>
        <row r="8430">
          <cell r="D8430" t="str">
            <v>12203000    -    CONN ASM-SMB,DUAL    -    0.75</v>
          </cell>
        </row>
        <row r="8431">
          <cell r="D8431" t="str">
            <v>15365808   -   INSERT MOLD 8W CONN    -   0.1577</v>
          </cell>
        </row>
        <row r="8432">
          <cell r="D8432" t="str">
            <v>15365807   -   INSERT MOLD 6W CONN    -   0.1453</v>
          </cell>
        </row>
        <row r="8433">
          <cell r="D8433" t="str">
            <v>15365764   -   INSERT MOLD 6W CONN    -   0.1453</v>
          </cell>
        </row>
        <row r="8434">
          <cell r="D8434" t="str">
            <v>12228396    -    CONN ASM-SMB,DUAL    -    0.75</v>
          </cell>
        </row>
        <row r="8435">
          <cell r="D8435" t="str">
            <v>28017535    -    HEADER 01 PIN    -    0.75</v>
          </cell>
        </row>
        <row r="8436">
          <cell r="D8436" t="str">
            <v>28017536    -    HEADER 01 PIN    -    0.75</v>
          </cell>
        </row>
        <row r="8437">
          <cell r="D8437" t="str">
            <v>10769028    -    GRIFFSCHALE    -    0.749615</v>
          </cell>
        </row>
        <row r="8438">
          <cell r="D8438" t="str">
            <v>12244816    -    CONNECTORS FAMILY ONE, 32POLIG,2-REHIG,GERADE    -    0.747003</v>
          </cell>
        </row>
        <row r="8439">
          <cell r="D8439" t="str">
            <v>BMW610936    -    CONN MULTI-PIN 15 WAY    -    0.74567</v>
          </cell>
        </row>
        <row r="8440">
          <cell r="D8440" t="str">
            <v>16253723    -    HEADER-SDM-F24    -    0.74167</v>
          </cell>
        </row>
        <row r="8441">
          <cell r="D8441" t="str">
            <v>10769211    -    STECKERGEHAEUSE    -    0.741606</v>
          </cell>
        </row>
        <row r="8442">
          <cell r="D8442" t="str">
            <v>9397445    -    HEADER-20POS,MA,V,2 REVD    -    0.740047</v>
          </cell>
        </row>
        <row r="8443">
          <cell r="D8443" t="str">
            <v>9398863    -    HEADER-24POS,FE    -    0.74</v>
          </cell>
        </row>
        <row r="8444">
          <cell r="D8444" t="str">
            <v>12198485    -    011049 ZLACZE 282455-1 1/24572/97    -    0.739302</v>
          </cell>
        </row>
        <row r="8445">
          <cell r="D8445" t="str">
            <v>21002099    -    HEADER-COAQX,SM    -    0.739</v>
          </cell>
        </row>
        <row r="8446">
          <cell r="D8446" t="str">
            <v>9397778    -    HEADER-20POS,M,R/A    -    0.7387</v>
          </cell>
        </row>
        <row r="8447">
          <cell r="D8447" t="str">
            <v>15357180    -    CONN ASM-107    -    0.7356</v>
          </cell>
        </row>
        <row r="8448">
          <cell r="D8448" t="str">
            <v>15338271    -    CONN 4 F SOCKET BLK SEALED    -    0.734818</v>
          </cell>
        </row>
        <row r="8449">
          <cell r="D8449" t="str">
            <v>15380921    -    CONN 15 F BLK    -    0.73131</v>
          </cell>
        </row>
        <row r="8450">
          <cell r="D8450" t="str">
            <v>15380636    -    WEDGE LOCK    -    0.73</v>
          </cell>
        </row>
        <row r="8451">
          <cell r="D8451" t="str">
            <v>15380637    -    WEDGE LOCK    -    0.73</v>
          </cell>
        </row>
        <row r="8452">
          <cell r="D8452" t="str">
            <v>10787587    -    ASSEMBLED CONNECTOR    -    0.729101</v>
          </cell>
        </row>
        <row r="8453">
          <cell r="D8453" t="str">
            <v>10811952    -    5-POL. GEHAEUSE 6.35    -    0.728652</v>
          </cell>
        </row>
        <row r="8454">
          <cell r="D8454" t="str">
            <v>DED720010601    -    STECKERLEISTE AU10 20-POLIG KAN    -    0.728652</v>
          </cell>
        </row>
        <row r="8455">
          <cell r="D8455" t="str">
            <v>12197233    -    CX 0 VD    -    0.728095</v>
          </cell>
        </row>
        <row r="8456">
          <cell r="D8456" t="str">
            <v>9392028    -    CONNECTOR-17 WAY    -    0.7255</v>
          </cell>
        </row>
        <row r="8457">
          <cell r="D8457" t="str">
            <v>12129369    -    HEADER-32P,TAN    -    0.7252</v>
          </cell>
        </row>
        <row r="8458">
          <cell r="D8458" t="str">
            <v>10721857    -    CONN M+F    -    0.724415</v>
          </cell>
        </row>
        <row r="8459">
          <cell r="D8459" t="str">
            <v>10732882    -    ASM CONN 4    -    0.724409</v>
          </cell>
        </row>
        <row r="8460">
          <cell r="D8460" t="str">
            <v>9395670    -    HEADER-30POS,MA,R/A    -    0.723</v>
          </cell>
        </row>
        <row r="8461">
          <cell r="D8461" t="str">
            <v>12203582    -    HOUSING-T5    -    0.72123</v>
          </cell>
        </row>
        <row r="8462">
          <cell r="D8462" t="str">
            <v>12204506    -    HOUSING-T5 BASIC    -    0.72123</v>
          </cell>
        </row>
        <row r="8463">
          <cell r="D8463" t="str">
            <v>10756718    -    HOUSING 18.P. CE    -    0.72096</v>
          </cell>
        </row>
        <row r="8464">
          <cell r="D8464" t="str">
            <v>15368851    -    24-WAY FEMALE CONNECTOR GRAY    -    0.72034</v>
          </cell>
        </row>
        <row r="8465">
          <cell r="D8465" t="str">
            <v>12185140    -    24 WAY CONNECTOR F TIMER JR GY    -    0.720326</v>
          </cell>
        </row>
        <row r="8466">
          <cell r="D8466" t="str">
            <v>15404517    -    CONN 2W    -    0.72</v>
          </cell>
        </row>
        <row r="8467">
          <cell r="D8467" t="str">
            <v>9359983    -    HEADER-24 COND,FEM    -    0.718</v>
          </cell>
        </row>
        <row r="8468">
          <cell r="D8468" t="str">
            <v>15357165    -    CONN ASM-201    -    0.7179</v>
          </cell>
        </row>
        <row r="8469">
          <cell r="D8469" t="str">
            <v>15357168    -    CONN ASM-301    -    0.7179</v>
          </cell>
        </row>
        <row r="8470">
          <cell r="D8470" t="str">
            <v>15357169    -    CONN ASM-302    -    0.7179</v>
          </cell>
        </row>
        <row r="8471">
          <cell r="D8471" t="str">
            <v>15326381    -    CONN ASM-2F M/P 630    -    0.715</v>
          </cell>
        </row>
        <row r="8472">
          <cell r="D8472" t="str">
            <v>15421307    -    ASM CONN 6 F TIMER JR-POWER BLK SLD    -    0.714173</v>
          </cell>
        </row>
        <row r="8473">
          <cell r="D8473" t="str">
            <v>10721760    -    CX CX. 4 V. 4 CA 4A090623    -    0.713458</v>
          </cell>
        </row>
        <row r="8474">
          <cell r="D8474" t="str">
            <v>10775067    -    632998 ZLACZE 0-0178392-4    -    0.713404</v>
          </cell>
        </row>
        <row r="8475">
          <cell r="D8475" t="str">
            <v>DED70110013001    -    CONNECTOR 3-PIN SA00PG    -    0.711717</v>
          </cell>
        </row>
        <row r="8476">
          <cell r="D8476" t="str">
            <v>12129512    -    HEADER-32    -    0.7112</v>
          </cell>
        </row>
        <row r="8477">
          <cell r="D8477" t="str">
            <v>10864137    -    CONN 12 F GRA    -    0.707507</v>
          </cell>
        </row>
        <row r="8478">
          <cell r="D8478" t="str">
            <v>15357182    -    CONN ASM-109    -    0.7065</v>
          </cell>
        </row>
        <row r="8479">
          <cell r="D8479" t="str">
            <v>15340361    -    15.838.06 CO AMP 6VIAS JUNIOR POWER TIME    -    0.705878</v>
          </cell>
        </row>
        <row r="8480">
          <cell r="D8480" t="str">
            <v>12089852    -    HEADER-20 COND,MALE    -    0.7052</v>
          </cell>
        </row>
        <row r="8481">
          <cell r="D8481" t="str">
            <v>12244042    -    CONNECTOR-26POL BOARD TO BOARD    -    0.704363</v>
          </cell>
        </row>
        <row r="8482">
          <cell r="D8482" t="str">
            <v>9367613    -    HEADER-20 COND    -    0.7042</v>
          </cell>
        </row>
        <row r="8483">
          <cell r="D8483" t="str">
            <v>DED70108040001    -    MB00MW STIFTWANNE 4-POL. MQS    -    0.703689</v>
          </cell>
        </row>
        <row r="8484">
          <cell r="D8484" t="str">
            <v>10811236    -    16.Q85.96 PL TN FZB HYB NO TYCO    -    0.701654</v>
          </cell>
        </row>
        <row r="8485">
          <cell r="D8485" t="str">
            <v>15316751    -    CONN-COMMANDER REGULATOR    -    0.7</v>
          </cell>
        </row>
        <row r="8486">
          <cell r="D8486" t="str">
            <v>9398225    -    HEADER-18POS,MA,V    -    0.7</v>
          </cell>
        </row>
        <row r="8487">
          <cell r="D8487" t="str">
            <v>9399718    -    HEADER-28POS,M,V    -    0.7</v>
          </cell>
        </row>
        <row r="8488">
          <cell r="D8488" t="str">
            <v>10768885    -    822759 CONN 6 F WHT    -    0.699776</v>
          </cell>
        </row>
        <row r="8489">
          <cell r="D8489" t="str">
            <v>10769544    -    CONN 4 F BLK    -    0.698821</v>
          </cell>
        </row>
        <row r="8490">
          <cell r="D8490" t="str">
            <v>12110266     -     ROSEBUD CLIP TAPE ON    -    0.0393</v>
          </cell>
        </row>
        <row r="8491">
          <cell r="D8491" t="str">
            <v>12160705    -    CONN ASM-12    -    0.6984</v>
          </cell>
        </row>
        <row r="8492">
          <cell r="D8492" t="str">
            <v>15473107    -    LABEL-CIR BD BAR CO    -    0.6984</v>
          </cell>
        </row>
        <row r="8493">
          <cell r="D8493" t="str">
            <v>12860803    -    CONNECTOR-RADIO UPLEAD    -    0.6972</v>
          </cell>
        </row>
        <row r="8494">
          <cell r="D8494" t="str">
            <v>12860804    -    CONNECTOR-SMART CRAFT UPLEAD    -    0.6972</v>
          </cell>
        </row>
        <row r="8495">
          <cell r="D8495" t="str">
            <v>10721620    -    CONN M+F    -    0.696262</v>
          </cell>
        </row>
        <row r="8496">
          <cell r="D8496" t="str">
            <v>10820467    -    CONN 20 F BLK SEALED    -    0.695814</v>
          </cell>
        </row>
        <row r="8497">
          <cell r="D8497" t="str">
            <v>12065686    -    ASM CONN 4F M/P 630 P2S SLD    -    0.6946</v>
          </cell>
        </row>
        <row r="8498">
          <cell r="D8498" t="str">
            <v>10775741    -    634291 CNCN F26    -    0.69308</v>
          </cell>
        </row>
        <row r="8499">
          <cell r="D8499" t="str">
            <v>10722227    -    HOUSING 16.P. HN    -    0.692459</v>
          </cell>
        </row>
        <row r="8500">
          <cell r="D8500" t="str">
            <v>10863288    -    CONNECTOR    -    0.692393</v>
          </cell>
        </row>
        <row r="8501">
          <cell r="D8501" t="str">
            <v>10727049    -    630015 CNCN M BK 2    -    0.691544</v>
          </cell>
        </row>
        <row r="8502">
          <cell r="D8502" t="str">
            <v>10727050    -    630016 CNCN F BK 15    -    0.691544</v>
          </cell>
        </row>
        <row r="8503">
          <cell r="D8503" t="str">
            <v>12201057    -    HEADER-22 COND, MA    -    0.69</v>
          </cell>
        </row>
        <row r="8504">
          <cell r="D8504" t="str">
            <v>15487148    -    CONNECTOR-HEADER    -    0.69</v>
          </cell>
        </row>
        <row r="8505">
          <cell r="D8505" t="str">
            <v>15356799    -    HEADER-CONN    -    0.6895</v>
          </cell>
        </row>
        <row r="8506">
          <cell r="D8506" t="str">
            <v>15357162    -    CONN ASM-102    -    0.6895</v>
          </cell>
        </row>
        <row r="8507">
          <cell r="D8507" t="str">
            <v>15357163    -    CONN ASM-103    -    0.6895</v>
          </cell>
        </row>
        <row r="8508">
          <cell r="D8508" t="str">
            <v>15357167    -    CONN ASM-206    -    0.6895</v>
          </cell>
        </row>
        <row r="8509">
          <cell r="D8509" t="str">
            <v>15357170    -    CONN ASM-303    -    0.6895</v>
          </cell>
        </row>
        <row r="8510">
          <cell r="D8510" t="str">
            <v>15357171    -    CONN ASM-304    -    0.6895</v>
          </cell>
        </row>
        <row r="8511">
          <cell r="D8511" t="str">
            <v>15357172    -    CONN ASM-405    -    0.6895</v>
          </cell>
        </row>
        <row r="8512">
          <cell r="D8512" t="str">
            <v>10769454    -    CONN 7 F SOCKET 1.5 BLK    -    0.689278</v>
          </cell>
        </row>
        <row r="8513">
          <cell r="D8513" t="str">
            <v>12186984    -    CONNECTOR EPSILON    -    0.688913</v>
          </cell>
        </row>
        <row r="8514">
          <cell r="D8514" t="str">
            <v>10717663    -    KONTAKTTRAEGER    -    0.688711</v>
          </cell>
        </row>
        <row r="8515">
          <cell r="D8515" t="str">
            <v>28007820    -    CONNECTORS-CAAX    -    0.688171</v>
          </cell>
        </row>
        <row r="8516">
          <cell r="D8516" t="str">
            <v>10812062    -    CONN 2 F RECEPTACLE 2.8 BLK SE    -    0.687365</v>
          </cell>
        </row>
        <row r="8517">
          <cell r="D8517" t="str">
            <v>396231380000    -    STIFTLEISTE 18-POL LIEG SD-53390-1827 M    -    0.685472</v>
          </cell>
        </row>
        <row r="8518">
          <cell r="D8518" t="str">
            <v>10721920    -    609619 CNCN FM __ __ __    -    0.683389</v>
          </cell>
        </row>
        <row r="8519">
          <cell r="D8519" t="str">
            <v>10721705    -    607493 GEHAEUSE    -    0.683316</v>
          </cell>
        </row>
        <row r="8520">
          <cell r="D8520" t="str">
            <v>28017982    -    SOCKET ASM-SSG    -    0.68296</v>
          </cell>
        </row>
        <row r="8521">
          <cell r="D8521" t="str">
            <v>15341069    -    CONN 10 F BLK SEALED    -    0.682949</v>
          </cell>
        </row>
        <row r="8522">
          <cell r="D8522" t="str">
            <v>15339582    -    STECKH?LSENGEH?USE2XLSK8    -    0.682109</v>
          </cell>
        </row>
        <row r="8523">
          <cell r="D8523" t="str">
            <v>12186452    -    CONN 18M    -    0.68115</v>
          </cell>
        </row>
        <row r="8524">
          <cell r="D8524" t="str">
            <v>15343500    -    CONN 6 M MIC/P    -    0.676592</v>
          </cell>
        </row>
        <row r="8525">
          <cell r="D8525" t="str">
            <v>15326502    -    HEADER-15 COND,MALE    -    0.6747</v>
          </cell>
        </row>
        <row r="8526">
          <cell r="D8526" t="str">
            <v>10721642    -    607003 STIFTGEHAEU    -    0.674678</v>
          </cell>
        </row>
        <row r="8527">
          <cell r="D8527" t="str">
            <v>9396828    -    HEADER 26PIN    -    0.674597</v>
          </cell>
        </row>
        <row r="8528">
          <cell r="D8528" t="str">
            <v>10756727    -    20 WAYS CONNECTOR    -    0.673796</v>
          </cell>
        </row>
        <row r="8529">
          <cell r="D8529" t="str">
            <v>10777535    -    16.I09.96 JOINT CONECTOR AMP 12V NG    -    0.673796</v>
          </cell>
        </row>
        <row r="8530">
          <cell r="D8530" t="str">
            <v>9357191    -    HEADER-24 COND, MA    -    0.6735</v>
          </cell>
        </row>
        <row r="8531">
          <cell r="D8531" t="str">
            <v>197716161738    -    GEHAEUSE ANSCHLUSS    -    0.671291</v>
          </cell>
        </row>
        <row r="8532">
          <cell r="D8532" t="str">
            <v>197716161700    -    ANSCHLUSSGEHAEUSE    -    0.670629</v>
          </cell>
        </row>
        <row r="8533">
          <cell r="D8533" t="str">
            <v>197716161900    -    ANSCHLUSSGEHAEUSE    -    0.670629</v>
          </cell>
        </row>
        <row r="8534">
          <cell r="D8534" t="str">
            <v>197716161938    -    GEHAEUSE ANSCHLUSS    -    0.670602</v>
          </cell>
        </row>
        <row r="8535">
          <cell r="D8535" t="str">
            <v>10718286    -    KUPPLUNG3-FACH    -    0.670481</v>
          </cell>
        </row>
        <row r="8536">
          <cell r="D8536" t="str">
            <v>197716161338    -    GEHAEUSE ANSCHLUSS    -    0.670319</v>
          </cell>
        </row>
        <row r="8537">
          <cell r="D8537" t="str">
            <v>10820446    -    COV CONN MQS BLK    -    0.670218</v>
          </cell>
        </row>
        <row r="8538">
          <cell r="D8538" t="str">
            <v>9397878    -    HEADER-20POS,M,R/A    -    0.67</v>
          </cell>
        </row>
        <row r="8539">
          <cell r="D8539" t="str">
            <v>10864436    -    CONN 2 F BLK SLD    -    0.669847</v>
          </cell>
        </row>
        <row r="8540">
          <cell r="D8540" t="str">
            <v>10723048    -    620337 CNCN F8    -    0.66982</v>
          </cell>
        </row>
        <row r="8541">
          <cell r="D8541" t="str">
            <v>396240540000    -    SMD HEADER 4 POL    -    0.666042</v>
          </cell>
        </row>
        <row r="8542">
          <cell r="D8542" t="str">
            <v>396570040000    -    SMD BUCHSENLEISTE 4-POL LIEG 43045-0419    -    0.666042</v>
          </cell>
        </row>
        <row r="8543">
          <cell r="D8543" t="str">
            <v>12185292    -    16.H11.96 CON 24V NG 966500-1 57M8073    -    0.66331</v>
          </cell>
        </row>
        <row r="8544">
          <cell r="D8544" t="str">
            <v>16234218    -    SEAL-FACIAL    -    0.662949</v>
          </cell>
        </row>
        <row r="8545">
          <cell r="D8545" t="str">
            <v>10793650    -    ASSM DIODE HOLDER    -    0.662403</v>
          </cell>
        </row>
        <row r="8546">
          <cell r="D8546" t="str">
            <v>15339550    -    8288111    -    0.662317</v>
          </cell>
        </row>
        <row r="8547">
          <cell r="D8547" t="str">
            <v>197716161100    -    ANSCHLUSSGEHAEUSE    -    0.661454</v>
          </cell>
        </row>
        <row r="8548">
          <cell r="D8548" t="str">
            <v>10847185    -    CONN 6 F TIMER MICRO II BLK SLD    -    0.661184</v>
          </cell>
        </row>
        <row r="8549">
          <cell r="D8549" t="str">
            <v>15365627    -    PLUG    -    0.66</v>
          </cell>
        </row>
        <row r="8550">
          <cell r="D8550" t="str">
            <v>16197593    -    4EADER-12 COND,MALE    -    0.66</v>
          </cell>
        </row>
        <row r="8551">
          <cell r="D8551" t="str">
            <v>12129340    -    HEADER-32P,RED    -    0.6593</v>
          </cell>
        </row>
        <row r="8552">
          <cell r="D8552" t="str">
            <v>12129341    -    HEADER-32P,WHT    -    0.6593</v>
          </cell>
        </row>
        <row r="8553">
          <cell r="D8553" t="str">
            <v>12129342    -    HEADER-32P,BLUE    -    0.6593</v>
          </cell>
        </row>
        <row r="8554">
          <cell r="D8554" t="str">
            <v>12110323    -    HEADER-32WAY    -    0.659</v>
          </cell>
        </row>
        <row r="8555">
          <cell r="D8555" t="str">
            <v>10721610    -    CONN 16 F MODU BLK    -    0.658354</v>
          </cell>
        </row>
        <row r="8556">
          <cell r="D8556" t="str">
            <v>10752401    -    802543 COV CONN BLK 0-969483-    -    0.658165</v>
          </cell>
        </row>
        <row r="8557">
          <cell r="D8557" t="str">
            <v>197716161638    -    GEHAEUSE ANSCHLUSS    -    0.657689</v>
          </cell>
        </row>
        <row r="8558">
          <cell r="D8558" t="str">
            <v>197716161600    -    ANSCHLUSSGEHAEUSE    -    0.657676</v>
          </cell>
        </row>
        <row r="8559">
          <cell r="D8559" t="str">
            <v>15343421    -    DV TAMPA NAT 8383274.9    -    0.656898</v>
          </cell>
        </row>
        <row r="8560">
          <cell r="D8560" t="str">
            <v>10811047    -    CONN 22 F WHT    -    0.654637</v>
          </cell>
        </row>
        <row r="8561">
          <cell r="D8561" t="str">
            <v>10793900    -    MISC.    -    0.653208</v>
          </cell>
        </row>
        <row r="8562">
          <cell r="D8562" t="str">
            <v>10724054    -    KUPPLUNG3-FACH    -    0.651968</v>
          </cell>
        </row>
        <row r="8563">
          <cell r="D8563" t="str">
            <v>10762423    -    CONN 5 F BLK    -    0.651914</v>
          </cell>
        </row>
        <row r="8564">
          <cell r="D8564" t="str">
            <v>10819923    -    COV CONN BLK    -    0.651023</v>
          </cell>
        </row>
        <row r="8565">
          <cell r="D8565" t="str">
            <v>15357166    -    CONN ASM-204    -    0.6506</v>
          </cell>
        </row>
        <row r="8566">
          <cell r="D8566" t="str">
            <v>9388441    -    HEADER-4 WAY, GRAY    -    0.65</v>
          </cell>
        </row>
        <row r="8567">
          <cell r="D8567" t="str">
            <v>9395472    -    HEADER-08POS,M,R/A    -    0.648</v>
          </cell>
        </row>
        <row r="8568">
          <cell r="D8568" t="str">
            <v>10724128    -    KUPPLUNG10-FACH    -    0.646374</v>
          </cell>
        </row>
        <row r="8569">
          <cell r="D8569" t="str">
            <v>15409811    -    30W CONNECTOR    -    0.644992</v>
          </cell>
        </row>
        <row r="8570">
          <cell r="D8570" t="str">
            <v>FRD13069004    -    CONNECTEUR 26 VOIES MQS AMP    -    0.641058</v>
          </cell>
        </row>
        <row r="8571">
          <cell r="D8571" t="str">
            <v>9399863    -    HEADER-22POS,M,R/A    -    0.64001</v>
          </cell>
        </row>
        <row r="8572">
          <cell r="D8572" t="str">
            <v>12241363    -    CONNECTORS,FAMILY ONE,20POLIG,2_REIHIG,GERADE    -    0.639324</v>
          </cell>
        </row>
        <row r="8573">
          <cell r="D8573" t="str">
            <v>12241364    -    CONNECTORS,FAMILY ONE,20POLIG,2_REIHIG,GERADE    -    0.639324</v>
          </cell>
        </row>
        <row r="8574">
          <cell r="D8574" t="str">
            <v>15453717    -    DIODE    -    0.638177</v>
          </cell>
        </row>
        <row r="8575">
          <cell r="D8575" t="str">
            <v>9397774    -    HEADER-30POS,MA,V,S    -    0.638</v>
          </cell>
        </row>
        <row r="8576">
          <cell r="D8576" t="str">
            <v>10738901    -    MINI-COMBICON 2-POL. MC 15/2-    -    0.63754</v>
          </cell>
        </row>
        <row r="8577">
          <cell r="D8577" t="str">
            <v>197716161300    -    ANSCHLUSSGEHAEUSE    -    0.637165</v>
          </cell>
        </row>
        <row r="8578">
          <cell r="D8578" t="str">
            <v>15340286    -    631217 CNCN F26    -    0.637025</v>
          </cell>
        </row>
        <row r="8579">
          <cell r="D8579" t="str">
            <v>183770800000    -    LEITUNG 9-POL KPL    -    0.636977</v>
          </cell>
        </row>
        <row r="8580">
          <cell r="D8580" t="str">
            <v>396066360000    -    SMD FEDERLEISTE 2X8-POL STEH 8-338069-6*    -    0.63303</v>
          </cell>
        </row>
        <row r="8581">
          <cell r="D8581" t="str">
            <v>9378864    -    HEADER-16 COND,FE    -    0.6305</v>
          </cell>
        </row>
        <row r="8582">
          <cell r="D8582" t="str">
            <v>10788149    -    CONN 8 F RECEPTACLE 2.8 BLK SEALED    -    0.630147</v>
          </cell>
        </row>
        <row r="8583">
          <cell r="D8583" t="str">
            <v>15393978    -    PLUG CONNECTOR    -    0.63</v>
          </cell>
        </row>
        <row r="8584">
          <cell r="D8584" t="str">
            <v>10721595    -    CONN 25 F    -    0.629339</v>
          </cell>
        </row>
        <row r="8585">
          <cell r="D8585" t="str">
            <v>12200499    -    HEADER-15POS,M,R/A    -    0.628799</v>
          </cell>
        </row>
        <row r="8586">
          <cell r="D8586" t="str">
            <v>12224413    -    CONN-36POL    -    0.62745</v>
          </cell>
        </row>
        <row r="8587">
          <cell r="D8587" t="str">
            <v>16257638    -    HEADER-13PIN,SM,R/A    -    0.627275</v>
          </cell>
        </row>
        <row r="8588">
          <cell r="D8588" t="str">
            <v>15410813    -    CONN 6 W    -    0.62685</v>
          </cell>
        </row>
        <row r="8589">
          <cell r="D8589" t="str">
            <v>12209971    -    J-FCI-26POL-SFD26R-2 ST E1    -    0.625021</v>
          </cell>
        </row>
        <row r="8590">
          <cell r="D8590" t="str">
            <v>15304601    -    ASM-ROCKET,PACKARD    -    0.625</v>
          </cell>
        </row>
        <row r="8591">
          <cell r="D8591" t="str">
            <v>16257474    -    HEADER-28 POS,MA,BL    -    0.625</v>
          </cell>
        </row>
        <row r="8592">
          <cell r="D8592" t="str">
            <v>829017402200    -    MESSERLEISTE 22-POL LIEG 9892B-22A-T IRISO    -    0.623267</v>
          </cell>
        </row>
        <row r="8593">
          <cell r="D8593" t="str">
            <v>829017532200    -    MESSERLEISTE 22-POL LIEG 9890B-22B-T I*    -    0.623267</v>
          </cell>
        </row>
        <row r="8594">
          <cell r="D8594" t="str">
            <v>9369270    -    HEADER-14 COND,FE    -    0.6227</v>
          </cell>
        </row>
        <row r="8595">
          <cell r="D8595" t="str">
            <v>10811095    -    10756795F IDC NAT    -    0.622629</v>
          </cell>
        </row>
        <row r="8596">
          <cell r="D8596" t="str">
            <v>DED70113026001    -    4 POL. MALE CONNECTOR AMP 828801-01    -    0.620973</v>
          </cell>
        </row>
        <row r="8597">
          <cell r="D8597" t="str">
            <v>10757663    -    STECKH?LSENGEH?USE2-POL.SLK28    -    0.620616</v>
          </cell>
        </row>
        <row r="8598">
          <cell r="D8598" t="str">
            <v>16240216    -    CONN-20 COND,FEMALE    -    0.62</v>
          </cell>
        </row>
        <row r="8599">
          <cell r="D8599" t="str">
            <v>10819877    -    2 POL. MLK STECKER ELA/COD. A    -    0.619354</v>
          </cell>
        </row>
        <row r="8600">
          <cell r="D8600" t="str">
            <v>10847085    -    CONN 2F    -    0.619354</v>
          </cell>
        </row>
        <row r="8601">
          <cell r="D8601" t="str">
            <v>396231580000    -    SMD BUCHSENLEISTE 18-POL STEH SD-52609-1    -    0.618612</v>
          </cell>
        </row>
        <row r="8602">
          <cell r="D8602" t="str">
            <v>10811540    -    CONN 6 M MATE-N-LOK UNIVERSAL W    -    0.618099</v>
          </cell>
        </row>
        <row r="8603">
          <cell r="D8603" t="str">
            <v>10811541    -    CONN 6 F MATE-N-LOK UNIVERSAL W    -    0.618099</v>
          </cell>
        </row>
        <row r="8604">
          <cell r="D8604" t="str">
            <v>10846590    -    CONN 3 F PLUG BLK SEALED    -    0.618005</v>
          </cell>
        </row>
        <row r="8605">
          <cell r="D8605" t="str">
            <v>10846591    -    CONN 3 F PLUG BLK SEALED    -    0.618005</v>
          </cell>
        </row>
        <row r="8606">
          <cell r="D8606" t="str">
            <v>15422422    -    CONNECTOR    -    0.61473</v>
          </cell>
        </row>
        <row r="8607">
          <cell r="D8607" t="str">
            <v>15450655    -    BUSS BAR LOWER    -    0.61452</v>
          </cell>
        </row>
        <row r="8608">
          <cell r="D8608" t="str">
            <v>10721597    -    CONN M+F    -    0.614334</v>
          </cell>
        </row>
        <row r="8609">
          <cell r="D8609" t="str">
            <v>10787398    -    ASS CONN 32F MQS    -    0.614024</v>
          </cell>
        </row>
        <row r="8610">
          <cell r="D8610" t="str">
            <v>9402363    -    HEADER-20POS,M,R/A    -    0.6103</v>
          </cell>
        </row>
        <row r="8611">
          <cell r="D8611" t="str">
            <v>9399582    -    JACK-1POS,R/A,FAKRA    -    0.61</v>
          </cell>
        </row>
        <row r="8612">
          <cell r="D8612" t="str">
            <v>9399583    -    JACK-1POS,R/A,FAKRA    -    0.61</v>
          </cell>
        </row>
        <row r="8613">
          <cell r="D8613" t="str">
            <v>9401555    -    HEADER-20POS,F,R/A    -    0.61</v>
          </cell>
        </row>
        <row r="8614">
          <cell r="D8614" t="str">
            <v>10720710    -    SLEV    -    0.609583</v>
          </cell>
        </row>
        <row r="8615">
          <cell r="D8615" t="str">
            <v>10777098    -    HOUSING 38.P. NAT ( CU SN )    -    0.60721</v>
          </cell>
        </row>
        <row r="8616">
          <cell r="D8616" t="str">
            <v>DED732010504    -    MESSERLEISTE 8X3 POL. KAN    -    0.600227</v>
          </cell>
        </row>
        <row r="8617">
          <cell r="D8617" t="str">
            <v>16257656    -    HEADER-15PIN,SM,V    -    0.6</v>
          </cell>
        </row>
        <row r="8618">
          <cell r="D8618" t="str">
            <v>28014149    -    HEADER-20POS, F, R/    -    0.6</v>
          </cell>
        </row>
        <row r="8619">
          <cell r="D8619" t="str">
            <v>9398118    -    HEADER-08POS,M,RA    -    0.6</v>
          </cell>
        </row>
        <row r="8620">
          <cell r="D8620" t="str">
            <v>396221420600    -    SMD STIFTL.12-POL STEH 90814-0212 MOL *    -    0.599653</v>
          </cell>
        </row>
        <row r="8621">
          <cell r="D8621" t="str">
            <v>15340952    -    630771 CNCN F 160 WH 4 *    -    0.599021</v>
          </cell>
        </row>
        <row r="8622">
          <cell r="D8622" t="str">
            <v>10775567    -    CONN 4 F FASTIN/ON BLK    -    0.598878</v>
          </cell>
        </row>
        <row r="8623">
          <cell r="D8623" t="str">
            <v>10779258    -    CONN 2 F GRA    -    0.59574</v>
          </cell>
        </row>
        <row r="8624">
          <cell r="D8624" t="str">
            <v>15466083    -    ASM CONN 30M MIXED UNSLD BLK    -    0.595</v>
          </cell>
        </row>
        <row r="8625">
          <cell r="D8625" t="str">
            <v>15316524    -    16.F42.93 CON AMP 353028-1 22V    -    0.594088</v>
          </cell>
        </row>
        <row r="8626">
          <cell r="D8626" t="str">
            <v>15424655    -    CONNECTOR 6W BLACK    -    0.592893</v>
          </cell>
        </row>
        <row r="8627">
          <cell r="D8627" t="str">
            <v>12203583    -    COVER-T5    -    0.591692</v>
          </cell>
        </row>
        <row r="8628">
          <cell r="D8628" t="str">
            <v>15430686    -    RCPT-2CAV DTM BLACK    -    0.59</v>
          </cell>
        </row>
        <row r="8629">
          <cell r="D8629" t="str">
            <v>12248317    -    JACK-IPOS,M,R/S,SNA    -    0.58716</v>
          </cell>
        </row>
        <row r="8630">
          <cell r="D8630" t="str">
            <v>12052854   -   CONN 7F M/P 280   -   0.045</v>
          </cell>
        </row>
        <row r="8631">
          <cell r="D8631" t="str">
            <v>12124811   -   TPA M/P 280   -   0.0242</v>
          </cell>
        </row>
        <row r="8632">
          <cell r="D8632" t="str">
            <v>10768581    -    SUB-ASSEMBLY    -    0.586969</v>
          </cell>
        </row>
        <row r="8633">
          <cell r="D8633" t="str">
            <v>396103700000    -    SMD FOLIENSTECKBUCHSE 20-POL LIEG.52271-    -    0.58504</v>
          </cell>
        </row>
        <row r="8634">
          <cell r="D8634" t="str">
            <v>10757526    -    STECKERGEHAEUSE    -    0.584484</v>
          </cell>
        </row>
        <row r="8635">
          <cell r="D8635" t="str">
            <v>12214360    -    HEADER-18 COND,MALE    -    0.583</v>
          </cell>
        </row>
        <row r="8636">
          <cell r="D8636" t="str">
            <v>12222378    -    J-SIE-2ARRAY-26POL    -    0.582975</v>
          </cell>
        </row>
        <row r="8637">
          <cell r="D8637" t="str">
            <v xml:space="preserve">12129489      -      CONN 3F M/P 280    -     0.0987    </v>
          </cell>
        </row>
        <row r="8638">
          <cell r="D8638" t="str">
            <v>12129491        -    TPA M/P 280     -     0.0155</v>
          </cell>
        </row>
        <row r="8639">
          <cell r="D8639" t="str">
            <v>16260525    -    HEADER-22 COND, FE    -    0.5805</v>
          </cell>
        </row>
        <row r="8640">
          <cell r="D8640" t="str">
            <v>184330960002    -    LEITUNG 12-POL    -    0.578401</v>
          </cell>
        </row>
        <row r="8641">
          <cell r="D8641" t="str">
            <v>15450654    -    BUSS BAR UPPER    -    0.57825</v>
          </cell>
        </row>
        <row r="8642">
          <cell r="D8642" t="str">
            <v>10757093    -    STECKH?LSENGEH?USE 3X 3-POL. M    -    0.578122</v>
          </cell>
        </row>
        <row r="8643">
          <cell r="D8643" t="str">
            <v>10741098    -    POTENTIALVERTEILER11-FACH    -    0.577456</v>
          </cell>
        </row>
        <row r="8644">
          <cell r="D8644" t="str">
            <v>9385352    -    HEADER-4 WAY, BLACK    -    0.57722</v>
          </cell>
        </row>
        <row r="8645">
          <cell r="D8645" t="str">
            <v>10819313    -    CONN 8M    -    0.575662</v>
          </cell>
        </row>
        <row r="8646">
          <cell r="D8646" t="str">
            <v>15448513    -    CONN 8 M QUADLOK MICRO YEL    -    0.575662</v>
          </cell>
        </row>
        <row r="8647">
          <cell r="D8647" t="str">
            <v>10762675    -    709673121    -    0.574941</v>
          </cell>
        </row>
        <row r="8648">
          <cell r="D8648" t="str">
            <v>15327792    -    CX POS 2726 30 CAV BK 031 545    -    0.572394</v>
          </cell>
        </row>
        <row r="8649">
          <cell r="D8649" t="str">
            <v>15416950    -    CX 11 CAV NT 1393792.    -    0.57222</v>
          </cell>
        </row>
        <row r="8650">
          <cell r="D8650" t="str">
            <v>15343380    -    10-P STECKHUELSENGEH.    -    0.570629</v>
          </cell>
        </row>
        <row r="8651">
          <cell r="D8651" t="str">
            <v>15380662    -    PLUG    -    0.57</v>
          </cell>
        </row>
        <row r="8652">
          <cell r="D8652" t="str">
            <v>12186893    -    CONN 3 F ECONOSEAL BLK SEALED    -    0.567275</v>
          </cell>
        </row>
        <row r="8653">
          <cell r="D8653" t="str">
            <v>15327603    -    9636901    -    0.565731</v>
          </cell>
        </row>
        <row r="8654">
          <cell r="D8654" t="str">
            <v>10757090    -    STECKH?LSENGEH?USE 2-POL. SLK    -    0.565411</v>
          </cell>
        </row>
        <row r="8655">
          <cell r="D8655" t="str">
            <v>10731446    -    KUPPLUNG2-POL.    -    0.565042</v>
          </cell>
        </row>
        <row r="8656">
          <cell r="D8656" t="str">
            <v>10788757    -    COV CONN BLK    -    0.564435</v>
          </cell>
        </row>
        <row r="8657">
          <cell r="D8657" t="str">
            <v>12092886    -    CONNECTOR    -    0.5642</v>
          </cell>
        </row>
        <row r="8658">
          <cell r="D8658" t="str">
            <v>9399220    -    HEADER-20POS,M,V,2.    -    0.562</v>
          </cell>
        </row>
        <row r="8659">
          <cell r="D8659" t="str">
            <v>16197594    -    HEADER-26 COND,MALE    -    0.56</v>
          </cell>
        </row>
        <row r="8660">
          <cell r="D8660" t="str">
            <v>10777090    -    HOUSING 38.P. CE ( CU SN )    -    0.559136</v>
          </cell>
        </row>
        <row r="8661">
          <cell r="D8661" t="str">
            <v>10757097    -    STECKH?LSENGEH?USE 14-POL. MLK    -    0.559062</v>
          </cell>
        </row>
        <row r="8662">
          <cell r="D8662" t="str">
            <v>10787980    -    STECKERGEHAEUSE    -    0.558763</v>
          </cell>
        </row>
        <row r="8663">
          <cell r="D8663" t="str">
            <v>900357    -    FUSE BOX ASSEMBLY    -    0.558747</v>
          </cell>
        </row>
        <row r="8664">
          <cell r="D8664" t="str">
            <v>9396775    -    HEADER-30POS,F,V    -    0.558</v>
          </cell>
        </row>
        <row r="8665">
          <cell r="D8665" t="str">
            <v>10777113    -    CONN 16 F 070 GRA    -    0.557513</v>
          </cell>
        </row>
        <row r="8666">
          <cell r="D8666" t="str">
            <v>10820326    -    CONN 6 M BLK    -    0.557513</v>
          </cell>
        </row>
        <row r="8667">
          <cell r="D8667" t="str">
            <v>15340340    -    ASSM. CONN. DFK 40 PLUS    -    0.557198</v>
          </cell>
        </row>
        <row r="8668">
          <cell r="D8668" t="str">
            <v>15420632    -    ASM CONN 16M MIC/P    -    0.5566</v>
          </cell>
        </row>
        <row r="8669">
          <cell r="D8669" t="str">
            <v>10864396    -    CONN 18 F NAT    -    0.555341</v>
          </cell>
        </row>
        <row r="8670">
          <cell r="D8670" t="str">
            <v>15456065    -    ASM CONNECTOR    -    0.55512</v>
          </cell>
        </row>
        <row r="8671">
          <cell r="D8671" t="str">
            <v>10846963    -    22-POL.GEH.GET SIEMENS    -    0.553236</v>
          </cell>
        </row>
        <row r="8672">
          <cell r="D8672" t="str">
            <v>820010012600    -    KARTENLESER SIM/SAM C70710M0060492 AMP*    -    0.553236</v>
          </cell>
        </row>
        <row r="8673">
          <cell r="D8673" t="str">
            <v>820010012700    -    KARTENLESER SIM/SAM C70710M0065002 AMP*    -    0.553236</v>
          </cell>
        </row>
        <row r="8674">
          <cell r="D8674" t="str">
            <v>10723337    -    CONNECTOR    -    0.550928</v>
          </cell>
        </row>
        <row r="8675">
          <cell r="D8675" t="str">
            <v>10777490    -    CONNECTOR    -    0.55</v>
          </cell>
        </row>
        <row r="8676">
          <cell r="D8676" t="str">
            <v>9401107    -    HEADER    -    0.55</v>
          </cell>
        </row>
        <row r="8677">
          <cell r="D8677" t="str">
            <v>12191544    -    CENT FUS BLK MINI BLK PRINTED    -    0.5499</v>
          </cell>
        </row>
        <row r="8678">
          <cell r="D8678" t="str">
            <v>15380923    -    CONN 20 F BLK    -    0.549171</v>
          </cell>
        </row>
        <row r="8679">
          <cell r="D8679" t="str">
            <v>10724192    -    KUPPLUNGSTRAGEKOERPER    -    0.548923</v>
          </cell>
        </row>
        <row r="8680">
          <cell r="D8680" t="str">
            <v>9388312    -    HEADER-40 COND,MA    -    0.54884</v>
          </cell>
        </row>
        <row r="8681">
          <cell r="D8681" t="str">
            <v>12131798    -    CON.6W BLACK    -    0.548662</v>
          </cell>
        </row>
        <row r="8682">
          <cell r="D8682" t="str">
            <v>15316441    -    KUPPLUNG 48-POL.    -    0.548252</v>
          </cell>
        </row>
        <row r="8683">
          <cell r="D8683" t="str">
            <v>10726253    -    109672742    -    0.548127</v>
          </cell>
        </row>
        <row r="8684">
          <cell r="D8684" t="str">
            <v>10727036    -    629888 CNCO 179 BK 48    -    0.548127</v>
          </cell>
        </row>
        <row r="8685">
          <cell r="D8685" t="str">
            <v>15454470    -    ASM CONNECTOR    -    0.547658</v>
          </cell>
        </row>
        <row r="8686">
          <cell r="D8686" t="str">
            <v>10779954    -    CONNECTOR 26W DARK GRAY    -    0.547146</v>
          </cell>
        </row>
        <row r="8687">
          <cell r="D8687" t="str">
            <v>10774873    -    STECKERGEHAEUSE    -    0.546338</v>
          </cell>
        </row>
        <row r="8688">
          <cell r="D8688" t="str">
            <v>10734706    -    14.665.96 TAPA L101211 KOLB    -    0.545004</v>
          </cell>
        </row>
        <row r="8689">
          <cell r="D8689" t="str">
            <v>10780334    -    HOUSING 42.P.    -    0.545004</v>
          </cell>
        </row>
        <row r="8690">
          <cell r="D8690" t="str">
            <v>15414215    -    J-DEL-14POL-15414215    -    0.544465</v>
          </cell>
        </row>
        <row r="8691">
          <cell r="D8691" t="str">
            <v>15338703    -    COV CONN QUAD BLK    -    0.54445</v>
          </cell>
        </row>
        <row r="8692">
          <cell r="D8692" t="str">
            <v>10721905    -    609594 BUCHSENLEISTE    -    0.543522</v>
          </cell>
        </row>
        <row r="8693">
          <cell r="D8693" t="str">
            <v>10848203    -    16.T20.96CON AMP 4 VIAS PORTA MACHOS 2,    -    0.540552</v>
          </cell>
        </row>
        <row r="8694">
          <cell r="D8694" t="str">
            <v>12208993    -    CONN ASM-16 COND,J3    -    0.54</v>
          </cell>
        </row>
        <row r="8695">
          <cell r="D8695" t="str">
            <v>12245504    -    HEADER-56 PIN    -    0.54</v>
          </cell>
        </row>
        <row r="8696">
          <cell r="D8696" t="str">
            <v>15380884    -    PLUG    -    0.54</v>
          </cell>
        </row>
        <row r="8697">
          <cell r="D8697" t="str">
            <v>15364003    -    CONN 14 M MULTILOCK 070 WHT    -    0.539742</v>
          </cell>
        </row>
        <row r="8698">
          <cell r="D8698" t="str">
            <v>10820198    -    CONN 4 F SOCKET 2.5 MULTI SEALED    -    0.539607</v>
          </cell>
        </row>
        <row r="8699">
          <cell r="D8699" t="str">
            <v>10787720    -    ASM CONN 33F MIX    -    0.539513</v>
          </cell>
        </row>
        <row r="8700">
          <cell r="D8700" t="str">
            <v>10787722    -    ASM CONN 33F MIX    -    0.539513</v>
          </cell>
        </row>
        <row r="8701">
          <cell r="D8701" t="str">
            <v>10722702    -    KUPPLUNGS-OBERTEIL    -    0.538797</v>
          </cell>
        </row>
        <row r="8702">
          <cell r="D8702" t="str">
            <v>10723322    -    622402 CNCO 181 BK    -    0.537206</v>
          </cell>
        </row>
        <row r="8703">
          <cell r="D8703" t="str">
            <v>15363827    -    10 WAYS CONNECTOR    -    0.534286</v>
          </cell>
        </row>
        <row r="8704">
          <cell r="D8704" t="str">
            <v>15358983    -    CONN-24 PIN,HEADER    -    0.5334</v>
          </cell>
        </row>
        <row r="8705">
          <cell r="D8705" t="str">
            <v>15456064    -    ASM CONNECTOR    -    0.531707</v>
          </cell>
        </row>
        <row r="8706">
          <cell r="D8706" t="str">
            <v>10734721    -    14.550.96 TAPA RELE L110306 NG    -    0.531187</v>
          </cell>
        </row>
        <row r="8707">
          <cell r="D8707" t="str">
            <v>15365717    -    CONN/PLUG    -    0.53</v>
          </cell>
        </row>
        <row r="8708">
          <cell r="D8708" t="str">
            <v>15404520    -    SPLICE TUBING    -    0.53</v>
          </cell>
        </row>
        <row r="8709">
          <cell r="D8709" t="str">
            <v>10733415    -    CONNECTOR 24W    -    0.529635</v>
          </cell>
        </row>
        <row r="8710">
          <cell r="D8710" t="str">
            <v>16257635    -    HEADER-09PIN,SM,R/A    -    0.526674</v>
          </cell>
        </row>
        <row r="8711">
          <cell r="D8711" t="str">
            <v>10721535    -    CONN 15 F    -    0.526248</v>
          </cell>
        </row>
        <row r="8712">
          <cell r="D8712" t="str">
            <v>DED728010701    -    2X6POL MODU II STIFTWANNE 967250-1    -    0.524332</v>
          </cell>
        </row>
        <row r="8713">
          <cell r="D8713" t="str">
            <v>9392025    -    CONNECTOR-2 WAY    -    0.5243</v>
          </cell>
        </row>
        <row r="8714">
          <cell r="D8714" t="str">
            <v>15327263    -    CX POS 2522 17 VIAS PR 168 545    -    0.524122</v>
          </cell>
        </row>
        <row r="8715">
          <cell r="D8715" t="str">
            <v>16251022    -    HEADER-16 COND,FE    -    0.5229</v>
          </cell>
        </row>
        <row r="8716">
          <cell r="D8716" t="str">
            <v>10776089    -    ASSM RELAY    -    0.522482</v>
          </cell>
        </row>
        <row r="8717">
          <cell r="D8717" t="str">
            <v>10810676    -    COV CONN BLK    -    0.522349</v>
          </cell>
        </row>
        <row r="8718">
          <cell r="D8718" t="str">
            <v>10810687    -    COV CONN BLU    -    0.522349</v>
          </cell>
        </row>
        <row r="8719">
          <cell r="D8719" t="str">
            <v>15326169         -           ASM CONN 7M M/P 150      -       0.3904</v>
          </cell>
        </row>
        <row r="8720">
          <cell r="D8720" t="str">
            <v>15439568       -      ASM CONN 4F GT 150      -       .13312</v>
          </cell>
        </row>
        <row r="8721">
          <cell r="D8721" t="str">
            <v>15383175    -    CONNECTOR    -    0.5221</v>
          </cell>
        </row>
        <row r="8722">
          <cell r="D8722" t="str">
            <v>10819567    -    CONN 6 F MQS GRA SEALED    -    0.521861</v>
          </cell>
        </row>
        <row r="8723">
          <cell r="D8723" t="str">
            <v>15380740    -    STECKERGEHAEUSE    -    0.520991</v>
          </cell>
        </row>
        <row r="8724">
          <cell r="D8724" t="str">
            <v>10721797    -    CONN 4 F BLK    -    0.520369</v>
          </cell>
        </row>
        <row r="8725">
          <cell r="D8725" t="str">
            <v>9385081    -    STRAP-GROUND    -    0.52</v>
          </cell>
        </row>
        <row r="8726">
          <cell r="D8726" t="str">
            <v>PG005378    -    GOLDEN TERM    -    0.52</v>
          </cell>
        </row>
        <row r="8727">
          <cell r="D8727" t="str">
            <v>10774875    -    STECKERGEHAEUSE    -    0.519624</v>
          </cell>
        </row>
        <row r="8728">
          <cell r="D8728" t="str">
            <v>12245348    -    J-JAE-5POL-12245348    -    0.519502</v>
          </cell>
        </row>
        <row r="8729">
          <cell r="D8729" t="str">
            <v>16257642    -    HEADER-15PIN,SM,R/A    -    0.5184</v>
          </cell>
        </row>
        <row r="8730">
          <cell r="D8730" t="str">
            <v>10721784    -    CX CA 443972523A    -    0.518133</v>
          </cell>
        </row>
        <row r="8731">
          <cell r="D8731" t="str">
            <v>10775743    -    CX 12 CAV BK 443 972    -    0.518133</v>
          </cell>
        </row>
        <row r="8732">
          <cell r="D8732" t="str">
            <v>12185780    -    16.A28.93 CON. 15V AMP 174927-    -    0.517984</v>
          </cell>
        </row>
        <row r="8733">
          <cell r="D8733" t="str">
            <v>12218378    -    CONNECTOR-12WAY AOS    -    0.517775</v>
          </cell>
        </row>
        <row r="8734">
          <cell r="D8734" t="str">
            <v>10789209    -    2-P STECKHUEG. SIEMENS    -    0.517437</v>
          </cell>
        </row>
        <row r="8735">
          <cell r="D8735" t="str">
            <v>12206487    -    HEADER-52 COND,MALE    -    0.515</v>
          </cell>
        </row>
        <row r="8736">
          <cell r="D8736" t="str">
            <v>12234836    -    HEADER-52 COND,MALE    -    0.515</v>
          </cell>
        </row>
        <row r="8737">
          <cell r="D8737" t="str">
            <v>12201046    -    HEADER-16 COND,FE    -    0.5141</v>
          </cell>
        </row>
        <row r="8738">
          <cell r="D8738" t="str">
            <v>15405588    -    HOLDER CONNECTOR    -    0.514</v>
          </cell>
        </row>
        <row r="8739">
          <cell r="D8739" t="str">
            <v>10721599    -    CONN 9 F    -    0.512755</v>
          </cell>
        </row>
        <row r="8740">
          <cell r="D8740" t="str">
            <v>10863555    -    ASM CONN 29 M SLEEVE BLK    -    0.512755</v>
          </cell>
        </row>
        <row r="8741">
          <cell r="D8741" t="str">
            <v>12238126    -    SMB EINPRESS-STECKER C4610    -    0.512755</v>
          </cell>
        </row>
        <row r="8742">
          <cell r="D8742" t="str">
            <v>15364040    -    CONNECTOR 2W    -    0.511918</v>
          </cell>
        </row>
        <row r="8743">
          <cell r="D8743" t="str">
            <v>DED713702001    -    STIFTWANNE 26POL. GELB 1-82874    -    0.510596</v>
          </cell>
        </row>
        <row r="8744">
          <cell r="D8744" t="str">
            <v>12203852    -    HEADER-18 COND,MA    -    0.51</v>
          </cell>
        </row>
        <row r="8745">
          <cell r="D8745" t="str">
            <v>12236282    -    SOCKET-ANTENNA,SMB    -    0.51</v>
          </cell>
        </row>
        <row r="8746">
          <cell r="D8746" t="str">
            <v>15317063    -    ASM CONN 2 F 090 II GRA LT SEALED    -    0.509187</v>
          </cell>
        </row>
        <row r="8747">
          <cell r="D8747" t="str">
            <v>10774876    -    STECKERGEHAEUSE    -    0.508193</v>
          </cell>
        </row>
        <row r="8748">
          <cell r="D8748" t="str">
            <v>10787434    -    COV CONN BLK    -    0.508193</v>
          </cell>
        </row>
        <row r="8749">
          <cell r="D8749" t="str">
            <v>15368686    -    HOUSING 14.P. BLACK-VIOLET    -    0.508193</v>
          </cell>
        </row>
        <row r="8750">
          <cell r="D8750" t="str">
            <v>396101690000    -    FOLIENSTECKBUCHSE 9-POL LIEGEND 52043-09    -    0.507985</v>
          </cell>
        </row>
        <row r="8751">
          <cell r="D8751" t="str">
            <v>184320220006    -    ANTENNENWINKEL    -    0.505064</v>
          </cell>
        </row>
        <row r="8752">
          <cell r="D8752" t="str">
            <v>15499519    -    16W 1.5/2.8 (CAV 2,3,6,7,13,14,15    -    0.505</v>
          </cell>
        </row>
        <row r="8753">
          <cell r="D8753" t="str">
            <v>15499520    -    16W 1.5/2.8 (CAV 6 BLOCKED)    -    0.505</v>
          </cell>
        </row>
        <row r="8754">
          <cell r="D8754" t="str">
            <v>15499521    -    16W 1.5/2.8 (CAV 2,3,6,13 ARE BLOCKED)    -    0.505</v>
          </cell>
        </row>
        <row r="8755">
          <cell r="D8755" t="str">
            <v>15499522    -    16W 1.5/2.8 (CAV 6,13 ARE BLOCKED)    -    0.505</v>
          </cell>
        </row>
        <row r="8756">
          <cell r="D8756" t="str">
            <v>15499523    -    16W 1.5/2.8 (CAV 2,6,10,11,12 ARE    -    0.505</v>
          </cell>
        </row>
        <row r="8757">
          <cell r="D8757" t="str">
            <v>15499524    -    16W 1.5/2.8 (CAV 6,12 ARE BLOCKED)    -    0.505</v>
          </cell>
        </row>
        <row r="8758">
          <cell r="D8758" t="str">
            <v>15499525    -    16W 1.5/2.8 (CAV 10 IS BLOCKED)    -    0.505</v>
          </cell>
        </row>
        <row r="8759">
          <cell r="D8759" t="str">
            <v>15499526    -    16W 1.5/2.8 (CAV 2,3,6,10 ARE BLOCKED)    -    0.505</v>
          </cell>
        </row>
        <row r="8760">
          <cell r="D8760" t="str">
            <v>16260527    -    HEADER-22 COND,MA    -    0.502</v>
          </cell>
        </row>
        <row r="8761">
          <cell r="D8761" t="str">
            <v>10757469    -    16.H85.96 CO: AMP 3V-NG (284425-1)    -    0.500738</v>
          </cell>
        </row>
        <row r="8762">
          <cell r="D8762" t="str">
            <v>15380661    -    GASKET    -    0.5</v>
          </cell>
        </row>
        <row r="8763">
          <cell r="D8763" t="str">
            <v>16242022    -    HEADER-10 COND.EDGE    -    0.5</v>
          </cell>
        </row>
        <row r="8764">
          <cell r="D8764" t="str">
            <v>9365522    -    HEADER-12POS,M, R/    -    0.5</v>
          </cell>
        </row>
        <row r="8765">
          <cell r="D8765" t="str">
            <v>10769575    -    CONN 10 F BLK    -    0.499261</v>
          </cell>
        </row>
        <row r="8766">
          <cell r="D8766" t="str">
            <v>12215293    -    MK 218    -    0.499261</v>
          </cell>
        </row>
        <row r="8767">
          <cell r="D8767" t="str">
            <v>10820086    -    CONNECTOR 24 WAY MALE BROWN    -    0.497642</v>
          </cell>
        </row>
        <row r="8768">
          <cell r="D8768" t="str">
            <v>12186648    -    CONN 12 F WHT    -    0.49701</v>
          </cell>
        </row>
        <row r="8769">
          <cell r="D8769" t="str">
            <v>10774872    -    STECKERGEHAEUSE    -    0.495395</v>
          </cell>
        </row>
        <row r="8770">
          <cell r="D8770" t="str">
            <v>10756828    -    ZUGENTLASTUNG 3-POL. STZ 3-PCC    -    0.495146</v>
          </cell>
        </row>
        <row r="8771">
          <cell r="D8771" t="str">
            <v>16227220    -    HEADER-32 PIN    -    0.495</v>
          </cell>
        </row>
        <row r="8772">
          <cell r="D8772" t="str">
            <v>10768304    -    HOUSING    -    0.494552</v>
          </cell>
        </row>
        <row r="8773">
          <cell r="D8773" t="str">
            <v>FRD19000012    -    CONNECTOR 3 WAYS(MALE PART)    -    0.493864</v>
          </cell>
        </row>
        <row r="8774">
          <cell r="D8774" t="str">
            <v>10863915    -    CONN 2 F PLUG GRA    -    0.493284</v>
          </cell>
        </row>
        <row r="8775">
          <cell r="D8775" t="str">
            <v>10846956    -    CONN 12 F BLK SLD    -    0.492515</v>
          </cell>
        </row>
        <row r="8776">
          <cell r="D8776" t="str">
            <v>10753223    -    CX 4 AZ 9622480580    -    0.490126</v>
          </cell>
        </row>
        <row r="8777">
          <cell r="D8777" t="str">
            <v>15380936    -    2 WAY MALE CONNECTOR    -    0.489843</v>
          </cell>
        </row>
        <row r="8778">
          <cell r="D8778" t="str">
            <v>15340668    -    630747 ZLACZE 175966-2    -    0.489452</v>
          </cell>
        </row>
        <row r="8779">
          <cell r="D8779" t="str">
            <v>10757112    -    STECKH?LSENGEH?USE 2X 3-POL. M    -    0.48917</v>
          </cell>
        </row>
        <row r="8780">
          <cell r="D8780" t="str">
            <v>15411567    -    109686841    -    0.48917</v>
          </cell>
        </row>
        <row r="8781">
          <cell r="D8781" t="str">
            <v>10787844    -    BUCHSENGEHAEUSE 4POL.    -    0.487902</v>
          </cell>
        </row>
        <row r="8782">
          <cell r="D8782" t="str">
            <v>15364325    -    008037 ZLACZE 1/24544/87    -    0.487819</v>
          </cell>
        </row>
        <row r="8783">
          <cell r="D8783" t="str">
            <v>16245482    -    HEADER-32 POS V,FE    -    0.4874</v>
          </cell>
        </row>
        <row r="8784">
          <cell r="D8784" t="str">
            <v>10762834    -    CONN 6F    -    0.485852</v>
          </cell>
        </row>
        <row r="8785">
          <cell r="D8785" t="str">
            <v>10820445    -    COV CONN MQS BLK    -    0.48533</v>
          </cell>
        </row>
        <row r="8786">
          <cell r="D8786" t="str">
            <v>9397264    -    HEADER-05POS,MA,R/A    -    0.485</v>
          </cell>
        </row>
        <row r="8787">
          <cell r="D8787" t="str">
            <v>15465432    -    ASM CONN 3 F 090 II GRA LT SLD    -    0.484818</v>
          </cell>
        </row>
        <row r="8788">
          <cell r="D8788" t="str">
            <v>10723289    -    HOUSING    -    0.484742</v>
          </cell>
        </row>
        <row r="8789">
          <cell r="D8789" t="str">
            <v>10811713    -    CONN 3 M MATE-N-LOK UNIVERSAL W    -    0.484661</v>
          </cell>
        </row>
        <row r="8790">
          <cell r="D8790" t="str">
            <v>FRD13069068    -    CONNECTEUR 22 VOIES MARRON P07CN03J    -    0.484418</v>
          </cell>
        </row>
        <row r="8791">
          <cell r="D8791" t="str">
            <v>10726516    -    CONNECTOR    -    0.484337</v>
          </cell>
        </row>
        <row r="8792">
          <cell r="D8792" t="str">
            <v>10726838    -    12 WAY CONNECTOR BLACK    -    0.482934</v>
          </cell>
        </row>
        <row r="8793">
          <cell r="D8793" t="str">
            <v>9396820    -    HEADER 18 PIN    -    0.481882</v>
          </cell>
        </row>
        <row r="8794">
          <cell r="D8794" t="str">
            <v>16260528    -    HEADER-18 COND,FE    -    0.4802</v>
          </cell>
        </row>
        <row r="8795">
          <cell r="D8795" t="str">
            <v>10757094    -    STECKH?LSENGEH?USE 5-POL. SLK    -    0.479652</v>
          </cell>
        </row>
        <row r="8796">
          <cell r="D8796" t="str">
            <v>10810772    -    CONN 3 F ECONOSEAL BLK SEALED    -    0.479493</v>
          </cell>
        </row>
        <row r="8797">
          <cell r="D8797" t="str">
            <v>15343573    -    GEHAEUSE AMP 969 778-2 RF 3POL GE    -    0.479493</v>
          </cell>
        </row>
        <row r="8798">
          <cell r="D8798" t="str">
            <v>16251018    -    HEADER-16 COND,MA    -    0.4792</v>
          </cell>
        </row>
        <row r="8799">
          <cell r="D8799" t="str">
            <v>DED10420032    -    SMB EINPRESSSTECKER VORNE 8MM    -    0.479021</v>
          </cell>
        </row>
        <row r="8800">
          <cell r="D8800" t="str">
            <v>10820036    -    CONNECTOR    -    0.478495</v>
          </cell>
        </row>
        <row r="8801">
          <cell r="D8801" t="str">
            <v>10776820    -    CX 12 VIAS BR    -    0.478372</v>
          </cell>
        </row>
        <row r="8802">
          <cell r="D8802" t="str">
            <v>15365640    -    STECKH?LSENGEH?USE2-POL.SLK28    -    0.478372</v>
          </cell>
        </row>
        <row r="8803">
          <cell r="D8803" t="str">
            <v>9397244    -    HEADER-12POS,MA,R/A    -    0.478</v>
          </cell>
        </row>
        <row r="8804">
          <cell r="D8804" t="str">
            <v>15368510    -    ASM CONNECTOR    -    0.477341</v>
          </cell>
        </row>
        <row r="8805">
          <cell r="D8805" t="str">
            <v>15380924    -    ASM CONN 20 M GRA    -    0.477321</v>
          </cell>
        </row>
        <row r="8806">
          <cell r="D8806" t="str">
            <v>15401697    -    16.G74.96 CON AMP 494032-2 3VIAS NG    -    0.477154</v>
          </cell>
        </row>
        <row r="8807">
          <cell r="D8807" t="str">
            <v>10739955    -    16.317.94 CON.ZFW2-71 ID-62028    -    0.476471</v>
          </cell>
        </row>
        <row r="8808">
          <cell r="D8808" t="str">
            <v>DED70119007002    -    STECKER 8+2 POL. 701 19 007 0-02-00.01    -    0.476052</v>
          </cell>
        </row>
        <row r="8809">
          <cell r="D8809" t="str">
            <v>10723830    -    STECKERGEHAEUSE    -    0.474703</v>
          </cell>
        </row>
        <row r="8810">
          <cell r="D8810" t="str">
            <v>12124217    -    609663 STECKERGEHAEUSE    -    0.474595</v>
          </cell>
        </row>
        <row r="8811">
          <cell r="D8811" t="str">
            <v>10820450    -    ASM CONNECTOR    -    0.474309</v>
          </cell>
        </row>
        <row r="8812">
          <cell r="D8812" t="str">
            <v>12160493    -    ASM CONN 14F MIC/P 100W    -    0.473</v>
          </cell>
        </row>
        <row r="8813">
          <cell r="D8813" t="str">
            <v>10769131    -    DV TAMPA 50 8200101753 (TYCO)    -    0.472706</v>
          </cell>
        </row>
        <row r="8814">
          <cell r="D8814" t="str">
            <v>10787717    -    ASM CONN 16M MIX    -    0.472591</v>
          </cell>
        </row>
        <row r="8815">
          <cell r="D8815" t="str">
            <v>09396699    -    HEADER-06POS,F,V,SM    -    0.472274</v>
          </cell>
        </row>
        <row r="8816">
          <cell r="D8816" t="str">
            <v>10812197    -    2-P GEH.    -    0.472274</v>
          </cell>
        </row>
        <row r="8817">
          <cell r="D8817" t="str">
            <v>FRD19000030    -    28-WAY, VERSION PF    -    0.472274</v>
          </cell>
        </row>
        <row r="8818">
          <cell r="D8818" t="str">
            <v>FRD19000030/A    -    28-WAY, VERSION PM    -    0.472274</v>
          </cell>
        </row>
        <row r="8819">
          <cell r="D8819" t="str">
            <v>FRD19000030/B    -    28-WAY, VERSION PP2    -    0.472274</v>
          </cell>
        </row>
        <row r="8820">
          <cell r="D8820" t="str">
            <v>10721918    -    609614 BUCHSENLEISTE    -    0.471326</v>
          </cell>
        </row>
        <row r="8821">
          <cell r="D8821" t="str">
            <v>10762816    -    18-P STECKHUEGEH.AMP 070    -    0.471087</v>
          </cell>
        </row>
        <row r="8822">
          <cell r="D8822" t="str">
            <v>15405788    -    CONN 24W    -    0.47014</v>
          </cell>
        </row>
        <row r="8823">
          <cell r="D8823" t="str">
            <v>15419335    -    CONNECTOR    -    0.47014</v>
          </cell>
        </row>
        <row r="8824">
          <cell r="D8824" t="str">
            <v>15380862    -    3 WAY RECEPTACLE DT SERIES BLACK    -    0.47</v>
          </cell>
        </row>
        <row r="8825">
          <cell r="D8825" t="str">
            <v>16212708    -    SOCKET-ANTENNA,ISO    -    0.47</v>
          </cell>
        </row>
        <row r="8826">
          <cell r="D8826" t="str">
            <v>16217212    -    HEADER-6 COND,MALE    -    0.47</v>
          </cell>
        </row>
        <row r="8827">
          <cell r="D8827" t="str">
            <v>9369177    -    HEADER-20 COND,MA    -    0.47</v>
          </cell>
        </row>
        <row r="8828">
          <cell r="D8828" t="str">
            <v>9401921    -    HEADER-30POS,F,V,SM    -    0.47</v>
          </cell>
        </row>
        <row r="8829">
          <cell r="D8829" t="str">
            <v>10721638    -    606919 STIFTGEHAEU    -    0.469576</v>
          </cell>
        </row>
        <row r="8830">
          <cell r="D8830" t="str">
            <v>829018102900    -    SMD FOLIENSTECKB.29-POL STEH ZIF 9619S-29C-T IRISO    -    0.469576</v>
          </cell>
        </row>
        <row r="8831">
          <cell r="D8831" t="str">
            <v>10768785    -    KUPPLUNG2-POL.    -    0.469414</v>
          </cell>
        </row>
        <row r="8832">
          <cell r="D8832" t="str">
            <v>10846313    -    HOUSING 6 P. TES.HN    -    0.469327</v>
          </cell>
        </row>
        <row r="8833">
          <cell r="D8833" t="str">
            <v>28000161    -    STECKERLEISTE-J-SO-MQS-PIN, 12POS C4670    -    0.469171</v>
          </cell>
        </row>
        <row r="8834">
          <cell r="D8834" t="str">
            <v>DED70108043001    -    PIN HEADER 12POL. MQS AMP 1-96    -    0.469171</v>
          </cell>
        </row>
        <row r="8835">
          <cell r="D8835" t="str">
            <v>FRD13069104    -    CONNECTEUR 9 VOIES MIC BLANC AV OREILLES    -    0.469036</v>
          </cell>
        </row>
        <row r="8836">
          <cell r="D8836" t="str">
            <v>10721606    -    CONN 3 M MISC RED    -    0.46828</v>
          </cell>
        </row>
        <row r="8837">
          <cell r="D8837" t="str">
            <v>15456221    -    16 WAY FEMALE CONNECTOR    -    0.468</v>
          </cell>
        </row>
        <row r="8838">
          <cell r="D8838" t="str">
            <v>15456223    -    16 WAY FEMALE HIBRID    -    0.468</v>
          </cell>
        </row>
        <row r="8839">
          <cell r="D8839" t="str">
            <v>10733398    -    011930 ZLACZE 1/24875/81    -    0.466917</v>
          </cell>
        </row>
        <row r="8840">
          <cell r="D8840" t="str">
            <v>15422934    -    CONNECTOR ASM-LEADWIRE    -    0.466</v>
          </cell>
        </row>
        <row r="8841">
          <cell r="D8841" t="str">
            <v>10820041    -    CONN 8 F BLK    -    0.465785</v>
          </cell>
        </row>
        <row r="8842">
          <cell r="D8842" t="str">
            <v>15417106    -    CONN 16F    -    0.464734</v>
          </cell>
        </row>
        <row r="8843">
          <cell r="D8843" t="str">
            <v>10820072    -    20 WAY MALE CONNECTOR WHITE    -    0.463746</v>
          </cell>
        </row>
        <row r="8844">
          <cell r="D8844" t="str">
            <v>10768795    -    CONN 6 F MT-6 YEL    -    0.462896</v>
          </cell>
        </row>
        <row r="8845">
          <cell r="D8845" t="str">
            <v>15305235    -    ASM CONN 16F MIC/P 100W    -    0.4622</v>
          </cell>
        </row>
        <row r="8846">
          <cell r="D8846" t="str">
            <v>10847434    -    12-POL.GEHAEUSE    -    0.461601</v>
          </cell>
        </row>
        <row r="8847">
          <cell r="D8847" t="str">
            <v>12198201    -    011378 ZLACZE 444046-1    -    0.461412</v>
          </cell>
        </row>
        <row r="8848">
          <cell r="D8848" t="str">
            <v>10820327    -    CONN 18 F MQS BLK    -    0.460994</v>
          </cell>
        </row>
        <row r="8849">
          <cell r="D8849" t="str">
            <v>10820328    -    CONN 18 F MQS WHT    -    0.460994</v>
          </cell>
        </row>
        <row r="8850">
          <cell r="D8850" t="str">
            <v>10820329    -    CONN 18 F MQS BRN    -    0.460994</v>
          </cell>
        </row>
        <row r="8851">
          <cell r="D8851" t="str">
            <v>10820330    -    CONN 18 F MQS BLU    -    0.460994</v>
          </cell>
        </row>
        <row r="8852">
          <cell r="D8852" t="str">
            <v>15398831    -    4 WAY CONN BK    -    0.460104</v>
          </cell>
        </row>
        <row r="8853">
          <cell r="D8853" t="str">
            <v>15380402    -    3 WAY PLUG DT SERIES (BLACK)    -    0.46</v>
          </cell>
        </row>
        <row r="8854">
          <cell r="D8854" t="str">
            <v>10733414    -    CONNECTOR 24W    -    0.459941</v>
          </cell>
        </row>
        <row r="8855">
          <cell r="D8855" t="str">
            <v>15324258    -    CONN 8 F 040 BLK    -    0.459752</v>
          </cell>
        </row>
        <row r="8856">
          <cell r="D8856" t="str">
            <v>15327820    -    606601 AK 15372    -    0.458781</v>
          </cell>
        </row>
        <row r="8857">
          <cell r="D8857" t="str">
            <v>15380614    -    SECONDARY LOCK    -    0.458781</v>
          </cell>
        </row>
        <row r="8858">
          <cell r="D8858" t="str">
            <v>15380922    -    ASM CONN 8 F MISC BLK    -    0.458781</v>
          </cell>
        </row>
        <row r="8859">
          <cell r="D8859" t="str">
            <v>10810409    -    CONN 20 F BLK    -    0.457175</v>
          </cell>
        </row>
        <row r="8860">
          <cell r="D8860" t="str">
            <v>15339828    -    625281 CNCN M 4 NA 15    -    0.45684</v>
          </cell>
        </row>
        <row r="8861">
          <cell r="D8861" t="str">
            <v>9390833    -    HEADER-22POS,V,FE    -    0.456</v>
          </cell>
        </row>
        <row r="8862">
          <cell r="D8862" t="str">
            <v>10726469    -    CONNECTOR    -    0.455808</v>
          </cell>
        </row>
        <row r="8863">
          <cell r="D8863" t="str">
            <v>15363608    -    ASSM. CONN MDK PLUS    -    0.455808</v>
          </cell>
        </row>
        <row r="8864">
          <cell r="D8864" t="str">
            <v>12047782    -    CONN 3M M/P 150    -    0.0523</v>
          </cell>
        </row>
        <row r="8865">
          <cell r="D8865" t="str">
            <v>12045690    -    TPA M/P 150     -     0.019</v>
          </cell>
        </row>
        <row r="8866">
          <cell r="D8866" t="str">
            <v>12185096    -    80-P STECKERGEHAEUSE    -    0.455691</v>
          </cell>
        </row>
        <row r="8867">
          <cell r="D8867" t="str">
            <v>9376534    -    HEADER-30POS,F,R/A    -    0.455</v>
          </cell>
        </row>
        <row r="8868">
          <cell r="D8868" t="str">
            <v>10811662    -    NEW TAILGATE 9 WAY    -    0.452034</v>
          </cell>
        </row>
        <row r="8869">
          <cell r="D8869" t="str">
            <v>12221240    -    ANTENNA-SCU    -    0.452034</v>
          </cell>
        </row>
        <row r="8870">
          <cell r="D8870" t="str">
            <v>9402342    -    RE-V23086/C1021/A502-13.1X12.1X10    -    0.452034</v>
          </cell>
        </row>
        <row r="8871">
          <cell r="D8871" t="str">
            <v>10721233    -    CONNECTOR    -    0.452006</v>
          </cell>
        </row>
        <row r="8872">
          <cell r="D8872" t="str">
            <v>9390323    -    HEADER-12 COND,MA    -    0.45163</v>
          </cell>
        </row>
        <row r="8873">
          <cell r="D8873" t="str">
            <v>12034342    -    ASM CONN 5M W/P TWR SLD    -    0.4514</v>
          </cell>
        </row>
        <row r="8874">
          <cell r="D8874" t="str">
            <v>9356697    -    HEADER-17 COND,ZIF    -    0.45105</v>
          </cell>
        </row>
        <row r="8875">
          <cell r="D8875" t="str">
            <v>15425662    -    CONN 6F    -    0.450602</v>
          </cell>
        </row>
        <row r="8876">
          <cell r="D8876" t="str">
            <v>10721819    -    CONN    -    0.450179</v>
          </cell>
        </row>
        <row r="8877">
          <cell r="D8877" t="str">
            <v>10756850    -    3 WAY CONN BLACK    -    0.450145</v>
          </cell>
        </row>
        <row r="8878">
          <cell r="D8878" t="str">
            <v>15412397    -    CONN 3F    -    0.45</v>
          </cell>
        </row>
        <row r="8879">
          <cell r="D8879" t="str">
            <v>16249258    -    HEADER-18 COND, RT    -    0.45</v>
          </cell>
        </row>
        <row r="8880">
          <cell r="D8880" t="str">
            <v>9354058    -    CONNECTOR-ELASTOME    -    0.45</v>
          </cell>
        </row>
        <row r="8881">
          <cell r="D8881" t="str">
            <v>9396697    -    HEADER-30POS,M,R/A    -    0.45</v>
          </cell>
        </row>
        <row r="8882">
          <cell r="D8882" t="str">
            <v>9397443    -    HEADER-30POS,F,V,.5    -    0.45</v>
          </cell>
        </row>
        <row r="8883">
          <cell r="D8883" t="str">
            <v>9401024    -    HEADER-20POS,M,V,1.    -    0.45</v>
          </cell>
        </row>
        <row r="8884">
          <cell r="D8884" t="str">
            <v>15340885    -    16.984.93 CON 13V/BC AMP 174941-1    -    0.449794</v>
          </cell>
        </row>
        <row r="8885">
          <cell r="D8885" t="str">
            <v>15340895    -    25.864.08 TAPP SIEMENS V23540-M1000-Z119    -    0.449794</v>
          </cell>
        </row>
        <row r="8886">
          <cell r="D8886" t="str">
            <v>10737835    -    611239 ZUENDKERZENSTECKER    -    0.449106</v>
          </cell>
        </row>
        <row r="8887">
          <cell r="D8887" t="str">
            <v>15338457    -    CONN 3 F SOCKET N/A SEALED    -    0.447959</v>
          </cell>
        </row>
        <row r="8888">
          <cell r="D8888" t="str">
            <v>10749530    -    STECKERGEHAEUSE    -    0.44793</v>
          </cell>
        </row>
        <row r="8889">
          <cell r="D8889" t="str">
            <v>12047664    -    '04 TPA M/P 150    -    .0175</v>
          </cell>
        </row>
        <row r="8890">
          <cell r="D8890" t="str">
            <v>12047786    -    '04 CONN 4M    -    0.0834</v>
          </cell>
        </row>
        <row r="8891">
          <cell r="D8891" t="str">
            <v>12047787    -    '04 LOCK 4M    -    0.0268</v>
          </cell>
        </row>
        <row r="8892">
          <cell r="D8892" t="str">
            <v>9396841    -    HEADER-10 POSITION    -    0.44779</v>
          </cell>
        </row>
        <row r="8893">
          <cell r="D8893" t="str">
            <v>10753394    -    6.POL. CE-ZE S ARETACI    -    0.446365</v>
          </cell>
        </row>
        <row r="8894">
          <cell r="D8894" t="str">
            <v>9391916    -    353 HEADER-20 CON    -    0.44626</v>
          </cell>
        </row>
        <row r="8895">
          <cell r="D8895" t="str">
            <v>FRD13069002    -    CONNECTEUR 12 VOIES MQS COUDE BLEU AMP    -    0.445948</v>
          </cell>
        </row>
        <row r="8896">
          <cell r="D8896" t="str">
            <v>15383191    -    CONNECTOR 6W BLACK    -    0.445624</v>
          </cell>
        </row>
        <row r="8897">
          <cell r="D8897" t="str">
            <v>10810747    -    CONN 3F TIMER    -    0.445287</v>
          </cell>
        </row>
        <row r="8898">
          <cell r="D8898" t="str">
            <v>10863919    -    ASM CONN 0 F    -    0.445287</v>
          </cell>
        </row>
        <row r="8899">
          <cell r="D8899" t="str">
            <v>10718670    -    ASSM. CONN    -    0.445085</v>
          </cell>
        </row>
        <row r="8900">
          <cell r="D8900" t="str">
            <v>10756314    -    14.750.96 TAPA KOLB L116272 PARA CONECTO    -    0.44495</v>
          </cell>
        </row>
        <row r="8901">
          <cell r="D8901" t="str">
            <v>10721902    -    609591 BUCHSENLEISTE    -    0.444343</v>
          </cell>
        </row>
        <row r="8902">
          <cell r="D8902" t="str">
            <v>12237292    -    CONN-7COND. GM CIM    -    0.443735</v>
          </cell>
        </row>
        <row r="8903">
          <cell r="D8903" t="str">
            <v>10718590    -    16.A27.96 CO.20V AMP175652-2 NG    -    0.443395</v>
          </cell>
        </row>
        <row r="8904">
          <cell r="D8904" t="str">
            <v>10727038    -    STECKERGEHAEUSE    -    0.442993</v>
          </cell>
        </row>
        <row r="8905">
          <cell r="D8905" t="str">
            <v>10774831    -    STECKERGEHAEUSE    -    0.44296</v>
          </cell>
        </row>
        <row r="8906">
          <cell r="D8906" t="str">
            <v>15404226    -    CONN 3 M WHT    -    0.442602</v>
          </cell>
        </row>
        <row r="8907">
          <cell r="D8907" t="str">
            <v>9397542    -    HEADER-04POS,M,R/A    -    0.44213</v>
          </cell>
        </row>
        <row r="8908">
          <cell r="D8908" t="str">
            <v>12198180    -    ASM CONN 3F MULTI LOCK    -    0.441549</v>
          </cell>
        </row>
        <row r="8909">
          <cell r="D8909" t="str">
            <v>FRD13069102    -    CONNECTEUR 8+3 VOIES INKEY KIA FIAT    -    0.441509</v>
          </cell>
        </row>
        <row r="8910">
          <cell r="D8910" t="str">
            <v>28005569    -    HEADER-22 COND,MALE    -    0.44</v>
          </cell>
        </row>
        <row r="8911">
          <cell r="D8911" t="str">
            <v>10730455    -    15.492.04 CON 5V (GR) J.P.T. 2    -    0.43963</v>
          </cell>
        </row>
        <row r="8912">
          <cell r="D8912" t="str">
            <v>9369271    -    HEADER-14 COND,MA    -    0.4394</v>
          </cell>
        </row>
        <row r="8913">
          <cell r="D8913" t="str">
            <v>10774294    -    STECKERGEHAEUSE    -    0.438675</v>
          </cell>
        </row>
        <row r="8914">
          <cell r="D8914" t="str">
            <v>12227921    -    SMB-STECKER C4610    -    0.43854</v>
          </cell>
        </row>
        <row r="8915">
          <cell r="D8915" t="str">
            <v>9393355    -    HEADER-06POS,F,V    -    0.43854</v>
          </cell>
        </row>
        <row r="8916">
          <cell r="D8916" t="str">
            <v>10779829    -    CONN 16 F TIMER MICRO I BLK    -    0.438363</v>
          </cell>
        </row>
        <row r="8917">
          <cell r="D8917" t="str">
            <v>10787551    -    HOUSING 31 P. M CE    -    0.43835</v>
          </cell>
        </row>
        <row r="8918">
          <cell r="D8918" t="str">
            <v>12110751    -    ASM CONN 7F M/P 280 FLXLK SLD    -    0.438</v>
          </cell>
        </row>
        <row r="8919">
          <cell r="D8919" t="str">
            <v>10721724    -    607838 GEHAEUSE    -    0.437095</v>
          </cell>
        </row>
        <row r="8920">
          <cell r="D8920" t="str">
            <v>12186307    -    ASM CONN 5F    -    0.436651</v>
          </cell>
        </row>
        <row r="8921">
          <cell r="D8921" t="str">
            <v>10717614    -    KUPPLUNGSTRAGEKOERPER    -    0.436462</v>
          </cell>
        </row>
        <row r="8922">
          <cell r="D8922" t="str">
            <v>15383180    -    CONN 10F    -    0.4354</v>
          </cell>
        </row>
        <row r="8923">
          <cell r="D8923" t="str">
            <v>10769351    -    HOUSING 4.P. TES CE    -    0.435132</v>
          </cell>
        </row>
        <row r="8924">
          <cell r="D8924" t="str">
            <v>10751187    -    CX 3 AMARELA 6X097278    -    0.435008</v>
          </cell>
        </row>
        <row r="8925">
          <cell r="D8925" t="str">
            <v>10757631    -    TERM F    -    0.434884</v>
          </cell>
        </row>
        <row r="8926">
          <cell r="D8926" t="str">
            <v>15368880    -    CONNECTOR 40W    -    0.434884</v>
          </cell>
        </row>
        <row r="8927">
          <cell r="D8927" t="str">
            <v>10731422    -    KUPPLUNG    -    0.434641</v>
          </cell>
        </row>
        <row r="8928">
          <cell r="D8928" t="str">
            <v>10731474    -    KUPPLUNG1-POL.    -    0.434641</v>
          </cell>
        </row>
        <row r="8929">
          <cell r="D8929" t="str">
            <v>10820271    -    16 WAY FEMALE CONNECTOR WHITE    -    0.434088</v>
          </cell>
        </row>
        <row r="8930">
          <cell r="D8930" t="str">
            <v>16265316    -    HEADER-24PIN    -    0.434</v>
          </cell>
        </row>
        <row r="8931">
          <cell r="D8931" t="str">
            <v>184640220000    -    ANTENNENWINKEL    -    0.433278</v>
          </cell>
        </row>
        <row r="8932">
          <cell r="D8932" t="str">
            <v>15339573    -    209683071    -    0.433268</v>
          </cell>
        </row>
        <row r="8933">
          <cell r="D8933" t="str">
            <v>10820332    -    CONN 9 F IDC    -    0.433143</v>
          </cell>
        </row>
        <row r="8934">
          <cell r="D8934" t="str">
            <v>10820333    -    CONN 9 F IDC    -    0.433143</v>
          </cell>
        </row>
        <row r="8935">
          <cell r="D8935" t="str">
            <v>12247005    -    PD BASE/HIGH    -    0.432468</v>
          </cell>
        </row>
        <row r="8936">
          <cell r="D8936" t="str">
            <v>15326856    -    ASM CONN 14F GT 150 SLD 4.0    -    0.4322</v>
          </cell>
        </row>
        <row r="8937">
          <cell r="D8937" t="str">
            <v>9401549    -    HEADER-14POS,F,R/A    -    0.432</v>
          </cell>
        </row>
        <row r="8938">
          <cell r="D8938" t="str">
            <v>10420090    -    BOARDMOUNT-SOCKET 20-PIN    -    0.431794</v>
          </cell>
        </row>
        <row r="8939">
          <cell r="D8939" t="str">
            <v>10779800    -    CONN 1 BRN    -    0.431794</v>
          </cell>
        </row>
        <row r="8940">
          <cell r="D8940" t="str">
            <v>15326120    -    ASM CONN 1F MAXI    -    0.43164</v>
          </cell>
        </row>
        <row r="8941">
          <cell r="D8941" t="str">
            <v>10763077    -    CONN 9 F TIMER JR-POWER MULTI    -    0.431405</v>
          </cell>
        </row>
        <row r="8942">
          <cell r="D8942" t="str">
            <v>10740382    -    CONN 6 M TAB 1.5 BLK SEALED    -    0.431254</v>
          </cell>
        </row>
        <row r="8943">
          <cell r="D8943" t="str">
            <v>127010190007    -    ANTENNENBUCHSE KPL    -    0.431254</v>
          </cell>
        </row>
        <row r="8944">
          <cell r="D8944" t="str">
            <v>15342658    -    CONN 8 F GRA DK SEALED    -    0.431</v>
          </cell>
        </row>
        <row r="8945">
          <cell r="D8945" t="str">
            <v>15417297    -    CONN 8 F GRA DK SEALED    -    0.431</v>
          </cell>
        </row>
        <row r="8946">
          <cell r="D8946" t="str">
            <v>10779170    -    CONN 16 F GRA    -    0.430512</v>
          </cell>
        </row>
        <row r="8947">
          <cell r="D8947" t="str">
            <v>10863793    -    CONN 6 F MULTILOCK 040 BLK    -    0.430238</v>
          </cell>
        </row>
        <row r="8948">
          <cell r="D8948" t="str">
            <v>10768794    -    CONN 4 F MT-6 YEL    -    0.429498</v>
          </cell>
        </row>
        <row r="8949">
          <cell r="D8949" t="str">
            <v>10756595    -    4-P.GEH.DELPHI 1-967640-1    -    0.428671</v>
          </cell>
        </row>
        <row r="8950">
          <cell r="D8950" t="str">
            <v>9388288    -    JACK-PIN,3POS,V    -    0.428</v>
          </cell>
        </row>
        <row r="8951">
          <cell r="D8951" t="str">
            <v>15358613    -    STECKERGEHAEUSE    -    0.427801</v>
          </cell>
        </row>
        <row r="8952">
          <cell r="D8952" t="str">
            <v>396152080000    -    SMD STECKBUCHSE 18-POL STEH BTFN18S3SST*    -    0.427678</v>
          </cell>
        </row>
        <row r="8953">
          <cell r="D8953" t="str">
            <v>10723946    -    CX CONNECTOR    -    0.427206</v>
          </cell>
        </row>
        <row r="8954">
          <cell r="D8954" t="str">
            <v>9398441    -    HEADER-20POS,M,V,SM    -    0.427</v>
          </cell>
        </row>
        <row r="8955">
          <cell r="D8955" t="str">
            <v>12084948    -    CONNECTOR    -    0.4268</v>
          </cell>
        </row>
        <row r="8956">
          <cell r="D8956" t="str">
            <v>FRD13069067    -    CONNECTEUR 14 VOIES NOIR P07CN01J    -    0.425047</v>
          </cell>
        </row>
        <row r="8957">
          <cell r="D8957" t="str">
            <v>9389791    -    HEADER-10POS,M,R/A    -    0.425009</v>
          </cell>
        </row>
        <row r="8958">
          <cell r="D8958" t="str">
            <v>12186712    -    ASM CONN 6F    -    0.424237</v>
          </cell>
        </row>
        <row r="8959">
          <cell r="D8959" t="str">
            <v>10811482    -    ASM CONNECTOR    -    0.422739</v>
          </cell>
        </row>
        <row r="8960">
          <cell r="D8960" t="str">
            <v>10768792    -    CONN 6 F MT-6 BLU    -    0.422726</v>
          </cell>
        </row>
        <row r="8961">
          <cell r="D8961" t="str">
            <v>10768341    -    CX 16 VE MQS 8200055752    -    0.422409</v>
          </cell>
        </row>
        <row r="8962">
          <cell r="D8962" t="str">
            <v>15380739    -    STECKERGEHAEUSE    -    0.422348</v>
          </cell>
        </row>
        <row r="8963">
          <cell r="D8963" t="str">
            <v>15383192    -    CONNECTOR 3W    -    0.420189</v>
          </cell>
        </row>
        <row r="8964">
          <cell r="D8964" t="str">
            <v>9396696    -    HEADER-28POS,M,R/A    -    0.42</v>
          </cell>
        </row>
        <row r="8965">
          <cell r="D8965" t="str">
            <v>9396709    -    HEADER-28POS,F,V,SM    -    0.42</v>
          </cell>
        </row>
        <row r="8966">
          <cell r="D8966" t="str">
            <v>10721327    -    KUPPLUNG4-FACH    -    0.41934</v>
          </cell>
        </row>
        <row r="8967">
          <cell r="D8967" t="str">
            <v>PE090371    -    CONNECTOR 16W GRAY    -    0.418855</v>
          </cell>
        </row>
        <row r="8968">
          <cell r="D8968" t="str">
            <v>15326666    -    ASM CONN 16F GT 280 SLD 5.8    -    0.4188</v>
          </cell>
        </row>
        <row r="8969">
          <cell r="D8969" t="str">
            <v>9395605    -    STECKER GO-NO-GO LANG C4610    -    0.41857</v>
          </cell>
        </row>
        <row r="8970">
          <cell r="D8970" t="str">
            <v>10762835    -    KUPPLUNGSG..EINSPRITZVENTIL M2    -    0.417464</v>
          </cell>
        </row>
        <row r="8971">
          <cell r="D8971" t="str">
            <v>10788775    -    MODUL 48POLIG MLK1,2 COD A INCL. DICHTUNG MONTIERT    -    0.417288</v>
          </cell>
        </row>
        <row r="8972">
          <cell r="D8972" t="str">
            <v>10788776    -    MODUL 48POLIG MLK1,2 COD B INCL. DICHTUNG MONTIERT    -    0.417288</v>
          </cell>
        </row>
        <row r="8973">
          <cell r="D8973" t="str">
            <v>9398595    -    HEADER-08POS,MA,V,S    -    0.41705</v>
          </cell>
        </row>
        <row r="8974">
          <cell r="D8974" t="str">
            <v>10768770    -    821977 CONN 4 F SOCKET BLK    -    0.416276</v>
          </cell>
        </row>
        <row r="8975">
          <cell r="D8975" t="str">
            <v>10768839    -    12POL MQSSRS STECKER    -    0.416155</v>
          </cell>
        </row>
        <row r="8976">
          <cell r="D8976" t="str">
            <v>829017852200    -    SMD BUCHSENLEISTE 22-POL STEH 9890S-22J-T IRISO    -    0.412768</v>
          </cell>
        </row>
        <row r="8977">
          <cell r="D8977" t="str">
            <v>10768300    -    CX 3 CAV NAT 6908996.9    -    0.412493</v>
          </cell>
        </row>
        <row r="8978">
          <cell r="D8978" t="str">
            <v>15396361    -    STECKHLSENGEHUSE LSK8, 2-POL.    -    0.412363</v>
          </cell>
        </row>
        <row r="8979">
          <cell r="D8979" t="str">
            <v>10754184    -    633457 CNCN F 5 NA 9 *    -    0.411972</v>
          </cell>
        </row>
        <row r="8980">
          <cell r="D8980" t="str">
            <v>15341016    -    STECKERGEHAEUSE    -    0.411276</v>
          </cell>
        </row>
        <row r="8981">
          <cell r="D8981" t="str">
            <v>10756280    -    POWER-COMBICON 3-POL. PCC 4/3-    -    0.410903</v>
          </cell>
        </row>
        <row r="8982">
          <cell r="D8982" t="str">
            <v>15343574    -    GEHAEUSE AMP 969778-3 RF 3POL WS    -    0.410501</v>
          </cell>
        </row>
        <row r="8983">
          <cell r="D8983" t="str">
            <v>15343575    -    GEHAEUSE AMP 969778-4 RF 3POL GN    -    0.410501</v>
          </cell>
        </row>
        <row r="8984">
          <cell r="D8984" t="str">
            <v>10774878    -    STECKERGEHAEUSE    -    0.410033</v>
          </cell>
        </row>
        <row r="8985">
          <cell r="D8985" t="str">
            <v>15368874    -    FRAME 3'L    -    0.410033</v>
          </cell>
        </row>
        <row r="8986">
          <cell r="D8986" t="str">
            <v>15368909    -    STECKERGEHAEUSE    -    0.410033</v>
          </cell>
        </row>
        <row r="8987">
          <cell r="D8987" t="str">
            <v>15454442    -    CONNECTOR 16M    -    0.41</v>
          </cell>
        </row>
        <row r="8988">
          <cell r="D8988" t="str">
            <v>15454443    -    CONNECTOR 16M    -    0.41</v>
          </cell>
        </row>
        <row r="8989">
          <cell r="D8989" t="str">
            <v>15479382    -    ASM CONN 14M    -    0.41</v>
          </cell>
        </row>
        <row r="8990">
          <cell r="D8990" t="str">
            <v>15479383    -    ASM CONN 11M    -    0.41</v>
          </cell>
        </row>
        <row r="8991">
          <cell r="D8991" t="str">
            <v>15479384    -    ASM CONN 12M    -    0.41</v>
          </cell>
        </row>
        <row r="8992">
          <cell r="D8992" t="str">
            <v>15483868    -    ASM CONN 11M 1.5 2.8 SLD    -    0.41</v>
          </cell>
        </row>
        <row r="8993">
          <cell r="D8993" t="str">
            <v>15483870    -    ASM CONN 10M 1.5 2.8 SLD    -    0.41</v>
          </cell>
        </row>
        <row r="8994">
          <cell r="D8994" t="str">
            <v>15499527    -    16W 1.5/2.8 (CAV 2,3,4,5,6,10 ARE    -    0.41</v>
          </cell>
        </row>
        <row r="8995">
          <cell r="D8995" t="str">
            <v>28010866    -    CONNECTOR-ELASTOMER    -    0.41</v>
          </cell>
        </row>
        <row r="8996">
          <cell r="D8996" t="str">
            <v>829017401800    -    MESSERLEISTE 18-POL LIEG 9892B-18A-T IRISO    -    0.409948</v>
          </cell>
        </row>
        <row r="8997">
          <cell r="D8997" t="str">
            <v>10847562    -    CONN 20 F SOCKET 1.6 SLD    -    0.408855</v>
          </cell>
        </row>
        <row r="8998">
          <cell r="D8998" t="str">
            <v>12052613S    -    ASM CONN 2F M/P 480 SLD    -    0.4081</v>
          </cell>
        </row>
        <row r="8999">
          <cell r="D8999" t="str">
            <v>9397604    -    HEADER-18POS,F,V,ZI    -    0.4074</v>
          </cell>
        </row>
        <row r="9000">
          <cell r="D9000" t="str">
            <v>10776912    -    CONN 2 F ECONOSEAL BLK SLD    -    0.407262</v>
          </cell>
        </row>
        <row r="9001">
          <cell r="D9001" t="str">
            <v>15327729    -    STECKERGEHAEUSE    -    0.406561</v>
          </cell>
        </row>
        <row r="9002">
          <cell r="D9002" t="str">
            <v>16260516    -    HEADER-18 COND,MA    -    0.4059</v>
          </cell>
        </row>
        <row r="9003">
          <cell r="D9003" t="str">
            <v>9386826    -    -EADER-20 COND,MA    -    0.405</v>
          </cell>
        </row>
        <row r="9004">
          <cell r="D9004" t="str">
            <v>10780401    -    CONN 2 F GRA    -    0.404807</v>
          </cell>
        </row>
        <row r="9005">
          <cell r="D9005" t="str">
            <v>10811850    -    CONN 6F    -    0.404807</v>
          </cell>
        </row>
        <row r="9006">
          <cell r="D9006" t="str">
            <v>396105680500    -    SMD-FOLIENSTECKB.18-POL STEH.R1 52610-1890    -    0.404807</v>
          </cell>
        </row>
        <row r="9007">
          <cell r="D9007" t="str">
            <v>10757145    -    809441 CONN 2 M PIN BLK    -    0.404678</v>
          </cell>
        </row>
        <row r="9008">
          <cell r="D9008" t="str">
            <v>10789048    -    MOUN BRACKET CONN    -    0.404631</v>
          </cell>
        </row>
        <row r="9009">
          <cell r="D9009" t="str">
            <v>9398594    -    HEADER-07POS,MA,V,S    -    0.40442</v>
          </cell>
        </row>
        <row r="9010">
          <cell r="D9010" t="str">
            <v>10756515    -    805871 CONN 15 M+F MATE-N-LOK    -    0.404314</v>
          </cell>
        </row>
        <row r="9011">
          <cell r="D9011" t="str">
            <v>10717791    -    GROM SHEET MTL LOOSE PCE    -    0.404193</v>
          </cell>
        </row>
        <row r="9012">
          <cell r="D9012" t="str">
            <v>10779211    -    STIFTGEH?USE 4 POL. LKS 15 CO    -    0.403411</v>
          </cell>
        </row>
        <row r="9013">
          <cell r="D9013" t="str">
            <v>16257651    -    HEADER-10PIN,SM,V    -    0.402</v>
          </cell>
        </row>
        <row r="9014">
          <cell r="D9014" t="str">
            <v>10863918    -    CONN 20 F MULTILOCK 070 WHT    -    0.401885</v>
          </cell>
        </row>
        <row r="9015">
          <cell r="D9015" t="str">
            <v>12110261    -    CONNECTOR-16 PIN    -    0.4017</v>
          </cell>
        </row>
        <row r="9016">
          <cell r="D9016" t="str">
            <v>12704-020    -    ANTENNENBUCHSE KPL.    -    0.401433</v>
          </cell>
        </row>
        <row r="9017">
          <cell r="D9017" t="str">
            <v>10847256    -    CONN 4 F WHT    -    0.401131</v>
          </cell>
        </row>
        <row r="9018">
          <cell r="D9018" t="str">
            <v>10736903    -    TERMINAL GT5-2428/F4-5PCF    -    0.400714</v>
          </cell>
        </row>
        <row r="9019">
          <cell r="D9019" t="str">
            <v>12186361S    -    ASM MOUN CLIP 8.80 NONE ASSEMBLY    -    0.4005</v>
          </cell>
        </row>
        <row r="9020">
          <cell r="D9020" t="str">
            <v>12191435    -    HEADER-12 COND    -    0.4005</v>
          </cell>
        </row>
        <row r="9021">
          <cell r="D9021" t="str">
            <v>10863968    -    CONN 4 F BLK    -    0.400219</v>
          </cell>
        </row>
        <row r="9022">
          <cell r="D9022" t="str">
            <v>15324362    -    CONN 36 F    -    0.400151</v>
          </cell>
        </row>
        <row r="9023">
          <cell r="D9023" t="str">
            <v>15410400    -    PLUG    -    0.4</v>
          </cell>
        </row>
        <row r="9024">
          <cell r="D9024" t="str">
            <v>28004415    -    HEADER-03POS,M,V,1.5M    -    0.4</v>
          </cell>
        </row>
        <row r="9025">
          <cell r="D9025" t="str">
            <v>28019615    -    SOCKET ASM-ANT    -    0.4</v>
          </cell>
        </row>
        <row r="9026">
          <cell r="D9026" t="str">
            <v>9396694    -    HEADER-24POS,M,R/A    -    0.4</v>
          </cell>
        </row>
        <row r="9027">
          <cell r="D9027" t="str">
            <v>9398162    -    HEADER-12POS,FE,R/A    -    0.4</v>
          </cell>
        </row>
        <row r="9028">
          <cell r="D9028" t="str">
            <v>15423410     -     STABILIZER 16M GT 150   -   0.026</v>
          </cell>
        </row>
        <row r="9029">
          <cell r="D9029" t="str">
            <v>10757286    -    CX 7 WAYS GR 6901816.1    -    0.399801</v>
          </cell>
        </row>
        <row r="9030">
          <cell r="D9030" t="str">
            <v>10723394    -    CONNECTOR 4W    -    0.399409</v>
          </cell>
        </row>
        <row r="9031">
          <cell r="D9031" t="str">
            <v>10721944    -    ASSM. CONN. MDK 3 PLUS    -    0.398925</v>
          </cell>
        </row>
        <row r="9032">
          <cell r="D9032" t="str">
            <v>15368868    -    CONN 9 IDC    -    0.397857</v>
          </cell>
        </row>
        <row r="9033">
          <cell r="D9033" t="str">
            <v>10722661    -    KUPPLUNGSGEHAEUSE    -    0.397628</v>
          </cell>
        </row>
        <row r="9034">
          <cell r="D9034" t="str">
            <v>10810611    -    KONTAKTSTIFT AWG20-24 AU GEDRE    -    0.397608</v>
          </cell>
        </row>
        <row r="9035">
          <cell r="D9035" t="str">
            <v>10723308    -    CONN 4 F TIMER BLK    -    0.397115</v>
          </cell>
        </row>
        <row r="9036">
          <cell r="D9036" t="str">
            <v>10721923    -    609622 BUCHSENLEISTE    -    0.396978</v>
          </cell>
        </row>
        <row r="9037">
          <cell r="D9037" t="str">
            <v>15327072    -    36 WAY MALE CONNECTOR NATUREL    -    0.396365</v>
          </cell>
        </row>
        <row r="9038">
          <cell r="D9038" t="str">
            <v>15341132    -    DV TAMPA LARANJA 8D0 972 571    -    0.396365</v>
          </cell>
        </row>
        <row r="9039">
          <cell r="D9039" t="str">
            <v>9375424    -    HEADER-10POS,MA,R/A    -    0.396</v>
          </cell>
        </row>
        <row r="9040">
          <cell r="D9040" t="str">
            <v>10732036    -    KUPPLUNG3-FACH    -    0.395831</v>
          </cell>
        </row>
        <row r="9041">
          <cell r="D9041" t="str">
            <v>10820270    -    16 WAY MALE CONNECTOR WHITE    -    0.395294</v>
          </cell>
        </row>
        <row r="9042">
          <cell r="D9042" t="str">
            <v>10847210    -    CONNECTOR 2W    -    0.39453</v>
          </cell>
        </row>
        <row r="9043">
          <cell r="D9043" t="str">
            <v>15317380    -    CONN 38M GT 150 280 SLD 4.0 5.    -    0.3945</v>
          </cell>
        </row>
        <row r="9044">
          <cell r="D9044" t="str">
            <v>10762353    -    10-POL.STECKHUELSENGEH.    -    0.39388</v>
          </cell>
        </row>
        <row r="9045">
          <cell r="D9045" t="str">
            <v>10793246    -    STECKH?LSENGEH. 5-POL. SLK 28    -    0.39388</v>
          </cell>
        </row>
        <row r="9046">
          <cell r="D9046" t="str">
            <v>10819865    -    CONN.BK 8 WAY VERSION 2/FLAGV    -    0.39388</v>
          </cell>
        </row>
        <row r="9047">
          <cell r="D9047" t="str">
            <v>396222080000    -    STIFTKONTAKT-UNTERT. 18-POL STEH SD-5324    -    0.393742</v>
          </cell>
        </row>
        <row r="9048">
          <cell r="D9048" t="str">
            <v>10757172    -    CONN 4 F RECEPTACLE BLK    -    0.393202</v>
          </cell>
        </row>
        <row r="9049">
          <cell r="D9049" t="str">
            <v>15327947    -    ASSM. CONN GSK    -    0.392588</v>
          </cell>
        </row>
        <row r="9050">
          <cell r="D9050" t="str">
            <v>16219804    -    HEADER-12 COND.,MA    -    0.39188</v>
          </cell>
        </row>
        <row r="9051">
          <cell r="D9051" t="str">
            <v>396223030100    -    BUCHSENLEISTE 13-POL LIEGEND 22-02-1134    -    0.391178</v>
          </cell>
        </row>
        <row r="9052">
          <cell r="D9052" t="str">
            <v>10763202    -    CX P/CJPTJ 5V VE 9635916780    -    0.391159</v>
          </cell>
        </row>
        <row r="9053">
          <cell r="D9053" t="str">
            <v>10780904    -    CONN 6 F ECONOSEAL III BLK    -    0.390936</v>
          </cell>
        </row>
        <row r="9054">
          <cell r="D9054" t="str">
            <v>15327723    -    STECKERGEHAEUSE    -    0.39065</v>
          </cell>
        </row>
        <row r="9055">
          <cell r="D9055" t="str">
            <v>10777525    -    16.I44.03 CONECTOR AMP 282989-1    -    0.390247</v>
          </cell>
        </row>
        <row r="9056">
          <cell r="D9056" t="str">
            <v>10774526    -    COVER MX12054937    -    0.39</v>
          </cell>
        </row>
        <row r="9057">
          <cell r="D9057" t="str">
            <v>10779698    -    CONN 2F    -    0.39</v>
          </cell>
        </row>
        <row r="9058">
          <cell r="D9058" t="str">
            <v>16155183    -    HEADER-ESC    -    0.39</v>
          </cell>
        </row>
        <row r="9059">
          <cell r="D9059" t="str">
            <v>10775752    -    821985 CONN 4 F PIN BLK    -    0.389856</v>
          </cell>
        </row>
        <row r="9060">
          <cell r="D9060" t="str">
            <v>10726780    -    STECKERGEHAEUSE    -    0.389035</v>
          </cell>
        </row>
        <row r="9061">
          <cell r="D9061" t="str">
            <v>12191439    -    HEADER-12 COND    -    0.3885</v>
          </cell>
        </row>
        <row r="9062">
          <cell r="D9062" t="str">
            <v>15394587    -    ASM CONN 5 F 040 III BLK SLD    -    0.38837</v>
          </cell>
        </row>
        <row r="9063">
          <cell r="D9063" t="str">
            <v>10756932    -    808056 COV CONN BLK 1-968    -    0.387879</v>
          </cell>
        </row>
        <row r="9064">
          <cell r="D9064" t="str">
            <v>10748232    -    14.721.98 CARCASA 26 VIAS    -    0.387531</v>
          </cell>
        </row>
        <row r="9065">
          <cell r="D9065" t="str">
            <v>10863786    -    CONN 1 F BLK    -    0.386725</v>
          </cell>
        </row>
        <row r="9066">
          <cell r="D9066" t="str">
            <v>10848201    -    CONN 6 F MQS SLD    -    0.386347</v>
          </cell>
        </row>
        <row r="9067">
          <cell r="D9067" t="str">
            <v>DED734020203    -    STIFTWANNE B5 AU20 4-POLIG KAN    -    0.38632</v>
          </cell>
        </row>
        <row r="9068">
          <cell r="D9068" t="str">
            <v>21002652    -    SOCKET-PLUG, 50PIN C4630    -    0.385916</v>
          </cell>
        </row>
        <row r="9069">
          <cell r="D9069" t="str">
            <v>9372753    -    DSMD8P    -    0.385916</v>
          </cell>
        </row>
        <row r="9070">
          <cell r="D9070" t="str">
            <v>15368973    -    DV COVER COMP. BK 443 972    -    0.385431</v>
          </cell>
        </row>
        <row r="9071">
          <cell r="D9071" t="str">
            <v>10810286    -    CONN 2 F BLK    -    0.385183</v>
          </cell>
        </row>
        <row r="9072">
          <cell r="D9072" t="str">
            <v>9374973    -    HEADER-10 COND,ZIF    -    0.385</v>
          </cell>
        </row>
        <row r="9073">
          <cell r="D9073" t="str">
            <v>10779826    -    COV CONN QUAD BLK    -    0.384796</v>
          </cell>
        </row>
        <row r="9074">
          <cell r="D9074" t="str">
            <v>10810261    -    COV CONN QUAD NAT    -    0.384796</v>
          </cell>
        </row>
        <row r="9075">
          <cell r="D9075" t="str">
            <v>10726456    -    STECKERGEHAEUSE    -    0.384431</v>
          </cell>
        </row>
        <row r="9076">
          <cell r="D9076" t="str">
            <v>15483106    -    CONN 4WAY    -    0.383851</v>
          </cell>
        </row>
        <row r="9077">
          <cell r="D9077" t="str">
            <v>FRD13069135    -    CONNECTEUR 6 VOIES-2.54 MM(SMD)    -    0.383406</v>
          </cell>
        </row>
        <row r="9078">
          <cell r="D9078" t="str">
            <v>12218657    -    CONN-SM,4 PIN    -    0.3825</v>
          </cell>
        </row>
        <row r="9079">
          <cell r="D9079" t="str">
            <v>127040190002    -    ANTENNENBUCHSE KPL    -    0.382137</v>
          </cell>
        </row>
        <row r="9080">
          <cell r="D9080" t="str">
            <v>FRD19000036    -    ONE SET OF THREE DOUBLE PRESS-FIT INTERCONNECTION FOR PSA    -    0.381867</v>
          </cell>
        </row>
        <row r="9081">
          <cell r="D9081" t="str">
            <v>10781119    -    STECKERGEHAEUSE    -    0.381207</v>
          </cell>
        </row>
        <row r="9082">
          <cell r="D9082" t="str">
            <v>PE106019    -    CONNECTOR 3W BLACK    -    0.381107</v>
          </cell>
        </row>
        <row r="9083">
          <cell r="D9083" t="str">
            <v>10769041    -    7/3POL.BUCHSENLEISTE    -    0.380337</v>
          </cell>
        </row>
        <row r="9084">
          <cell r="D9084" t="str">
            <v>10763120    -    CX P/C8NG1AE 2V NR 963544688A    -    0.380213</v>
          </cell>
        </row>
        <row r="9085">
          <cell r="D9085" t="str">
            <v>16222149    -    HEADER-16 PIN    -    0.38</v>
          </cell>
        </row>
        <row r="9086">
          <cell r="D9086" t="str">
            <v>16248531    -    HEADER-25 COND,FE    -    0.38</v>
          </cell>
        </row>
        <row r="9087">
          <cell r="D9087" t="str">
            <v>9360326    -    CONN-ELASTOMERIC    -    0.38</v>
          </cell>
        </row>
        <row r="9088">
          <cell r="D9088" t="str">
            <v>9365787    -    -ELASTOMERIC    -    0.38</v>
          </cell>
        </row>
        <row r="9089">
          <cell r="D9089" t="str">
            <v>9395938    -    HEADER-12POS,MA,R/A    -    0.38</v>
          </cell>
        </row>
        <row r="9090">
          <cell r="D9090" t="str">
            <v>9396707    -    HEADER-24POS,F,V,SM    -    0.38</v>
          </cell>
        </row>
        <row r="9091">
          <cell r="D9091" t="str">
            <v>10724739    -    CONN 10 M GRA LT    -    0.379902</v>
          </cell>
        </row>
        <row r="9092">
          <cell r="D9092" t="str">
            <v>15327459    -    STECKH?LSENGEH?USE LSK82-POL    -    0.379716</v>
          </cell>
        </row>
        <row r="9093">
          <cell r="D9093" t="str">
            <v>15383136    -    MT2 HOUSING 6 POS, ASS    -    0.379591</v>
          </cell>
        </row>
        <row r="9094">
          <cell r="D9094" t="str">
            <v>12239047    -    HOUSING-BASE,FI40BC    -    0.379439</v>
          </cell>
        </row>
        <row r="9095">
          <cell r="D9095" t="str">
            <v>197716101700    -    ANSCHLUSSGEHAEUSE    -    0.379412</v>
          </cell>
        </row>
        <row r="9096">
          <cell r="D9096" t="str">
            <v>16245483    -    HEADER-32PINVS/M6.6    -    0.3781</v>
          </cell>
        </row>
        <row r="9097">
          <cell r="D9097" t="str">
            <v>16245485    -    .EADER-32PINVS/M2.5    -    0.3781</v>
          </cell>
        </row>
        <row r="9098">
          <cell r="D9098" t="str">
            <v>15342509    -    GEHAEUSE AMP 969778-1 RF 3POL    -    0.378001</v>
          </cell>
        </row>
        <row r="9099">
          <cell r="D9099" t="str">
            <v>15342563    -    GEHAEUSE AMP 969778-3 RF 3POL    -    0.378001</v>
          </cell>
        </row>
        <row r="9100">
          <cell r="D9100" t="str">
            <v>16267398    -    CONNECTOR    -    0.378</v>
          </cell>
        </row>
        <row r="9101">
          <cell r="D9101" t="str">
            <v>15324474    -    2 WAY MALE CONNECTOR BLACK    -    0.377305</v>
          </cell>
        </row>
        <row r="9102">
          <cell r="D9102" t="str">
            <v>12196858    -    STECKERGEHAEUSE    -    0.376982</v>
          </cell>
        </row>
        <row r="9103">
          <cell r="D9103" t="str">
            <v>15327150    -    CONNECTOR FOR F 3-23    -    0.376699</v>
          </cell>
        </row>
        <row r="9104">
          <cell r="D9104" t="str">
            <v>12200491    -    HEADER-40 COND,ZIF    -    0.3764</v>
          </cell>
        </row>
        <row r="9105">
          <cell r="D9105" t="str">
            <v>16202568    -    HEADER-15 COND REAR    -    0.376</v>
          </cell>
        </row>
        <row r="9106">
          <cell r="D9106" t="str">
            <v>10779822    -    CONN 9 F WHT    -    0.37593</v>
          </cell>
        </row>
        <row r="9107">
          <cell r="D9107" t="str">
            <v>10768944    -    HOUSING 14.P. CE    -    0.37487</v>
          </cell>
        </row>
        <row r="9108">
          <cell r="D9108" t="str">
            <v>10774422    -    16.H64.92 TAPA AMP 929053-2    -    0.37482</v>
          </cell>
        </row>
        <row r="9109">
          <cell r="D9109" t="str">
            <v>15368482    -    CX " 3 PR ZFW3-15    -    0.37482</v>
          </cell>
        </row>
        <row r="9110">
          <cell r="D9110" t="str">
            <v>10864734    -    10864734 CON 1V NR    -    0.374392</v>
          </cell>
        </row>
        <row r="9111">
          <cell r="D9111" t="str">
            <v>15326910    -    ASM CONN 12F GT 280 SLD 5.8    -    0.374</v>
          </cell>
        </row>
        <row r="9112">
          <cell r="D9112" t="str">
            <v>15326939    -    ASM CONN 12F GT 150 280 SLD 4.    -    0.374</v>
          </cell>
        </row>
        <row r="9113">
          <cell r="D9113" t="str">
            <v>10780327    -    2-POL. GEHAEUSE VOIES 8MM    -    0.373913</v>
          </cell>
        </row>
        <row r="9114">
          <cell r="D9114" t="str">
            <v>10847575    -    4 WAY FEMALE CONN BU ZFW4-35    -    0.372692</v>
          </cell>
        </row>
        <row r="9115">
          <cell r="D9115" t="str">
            <v>10847576    -    4 WAY FEMALE CONN BN ZFW4-36    -    0.372692</v>
          </cell>
        </row>
        <row r="9116">
          <cell r="D9116" t="str">
            <v>12104118    -    ASM CONN 12 F TIMER JUNIOR BLK    -    0.372557</v>
          </cell>
        </row>
        <row r="9117">
          <cell r="D9117" t="str">
            <v>10846592    -    CONN 2 F PLUG BLK SEALED    -    0.371073</v>
          </cell>
        </row>
        <row r="9118">
          <cell r="D9118" t="str">
            <v>12230667    -    STIFTLEISTE 6-POLIG C4630    -    0.371073</v>
          </cell>
        </row>
        <row r="9119">
          <cell r="D9119" t="str">
            <v>16260524    -    HEADER-14 COND,FE    -    0.371</v>
          </cell>
        </row>
        <row r="9120">
          <cell r="D9120" t="str">
            <v>9395036    -    HEADER-20 COND FE    -    0.3705</v>
          </cell>
        </row>
        <row r="9121">
          <cell r="D9121" t="str">
            <v>12203001    -    CONN ASM-SMB,SING    -    0.37</v>
          </cell>
        </row>
        <row r="9122">
          <cell r="D9122" t="str">
            <v>12215503    -    CONN ASM-SMB,SING    -    0.37</v>
          </cell>
        </row>
        <row r="9123">
          <cell r="D9123" t="str">
            <v>12228397    -    CONN-DUALBRKT,SINGL    -    0.37</v>
          </cell>
        </row>
        <row r="9124">
          <cell r="D9124" t="str">
            <v>10820337    -    CONN 4 F SICMA2 GRN    -    0.369378</v>
          </cell>
        </row>
        <row r="9125">
          <cell r="D9125" t="str">
            <v>10769545    -    CONN 4 F RECEPTACLE YEL    -    0.368533</v>
          </cell>
        </row>
        <row r="9126">
          <cell r="D9126" t="str">
            <v>16203903    -    HEADER-16 COND,ZIF    -    0.368</v>
          </cell>
        </row>
        <row r="9127">
          <cell r="D9127" t="str">
            <v>9360324    -    HEADER-20 PIN    -    0.368</v>
          </cell>
        </row>
        <row r="9128">
          <cell r="D9128" t="str">
            <v>10722918    -    CONN 2 M BLK SEALED    -    0.366545</v>
          </cell>
        </row>
        <row r="9129">
          <cell r="D9129" t="str">
            <v>10763258    -    STECKERGEHAEUSE    -    0.366545</v>
          </cell>
        </row>
        <row r="9130">
          <cell r="D9130" t="str">
            <v>15368704    -    16.980.93 CON 20V/BC AMP 17452-1    -    0.365775</v>
          </cell>
        </row>
        <row r="9131">
          <cell r="D9131" t="str">
            <v>15317058    -    KONNEKTR SIYAH 4V    -    0.365729</v>
          </cell>
        </row>
        <row r="9132">
          <cell r="D9132" t="str">
            <v>10721834    -    609100 CNCN F 4 GN 10    -    0.365648</v>
          </cell>
        </row>
        <row r="9133">
          <cell r="D9133" t="str">
            <v>12158455    -    STECKERGEHAEUSE    -    0.365427</v>
          </cell>
        </row>
        <row r="9134">
          <cell r="D9134" t="str">
            <v>15318087    -    STECKERGEHAEUSE    -    0.365427</v>
          </cell>
        </row>
        <row r="9135">
          <cell r="D9135" t="str">
            <v>10763741    -    CX 8200055891 14V CI    -    0.365302</v>
          </cell>
        </row>
        <row r="9136">
          <cell r="D9136" t="str">
            <v>10734078    -    STECKERGEHAEUSE    -    0.36527</v>
          </cell>
        </row>
        <row r="9137">
          <cell r="D9137" t="str">
            <v>10863824    -    CONN 2 M YEL LT    -    0.364339</v>
          </cell>
        </row>
        <row r="9138">
          <cell r="D9138" t="str">
            <v>10723448    -    CONN 2 F BLK SEALED    -    0.363624</v>
          </cell>
        </row>
        <row r="9139">
          <cell r="D9139" t="str">
            <v>10721742    -    ASSM. CONN.    -    0.362233</v>
          </cell>
        </row>
        <row r="9140">
          <cell r="D9140" t="str">
            <v>10768862    -    209680354    -    0.362121</v>
          </cell>
        </row>
        <row r="9141">
          <cell r="D9141" t="str">
            <v>10787826    -    309682141    -    0.362121</v>
          </cell>
        </row>
        <row r="9142">
          <cell r="D9142" t="str">
            <v>28001528    -    SOCKET ASM-ANT    -    0.362</v>
          </cell>
        </row>
        <row r="9143">
          <cell r="D9143" t="str">
            <v>15338201    -    613756 CNCN F BK 2    -    0.361695</v>
          </cell>
        </row>
        <row r="9144">
          <cell r="D9144" t="str">
            <v>10723467    -    CONN    -    0.360332</v>
          </cell>
        </row>
        <row r="9145">
          <cell r="D9145" t="str">
            <v>10865225    -    STECKHLSENGEH. 3-POL. LSK 8 KOD. B    -    0.360278</v>
          </cell>
        </row>
        <row r="9146">
          <cell r="D9146" t="str">
            <v>16208383    -    HEADER-ZIF,22 COND    -    0.36</v>
          </cell>
        </row>
        <row r="9147">
          <cell r="D9147" t="str">
            <v>16214404    -    HEADER-20 COND,ZIF    -    0.36</v>
          </cell>
        </row>
        <row r="9148">
          <cell r="D9148" t="str">
            <v>9401121    -    HEADER-22POS,F,V,SM    -    0.36</v>
          </cell>
        </row>
        <row r="9149">
          <cell r="D9149" t="str">
            <v>9401916    -    HEADER-20POS,F,V,SM    -    0.36</v>
          </cell>
        </row>
        <row r="9150">
          <cell r="D9150" t="str">
            <v>10774657    -    CENT FUSE ELECTRICAL    -    0.359699</v>
          </cell>
        </row>
        <row r="9151">
          <cell r="D9151" t="str">
            <v>10768261    -    COVER 000 545 7830 YELLOW    -    0.359574</v>
          </cell>
        </row>
        <row r="9152">
          <cell r="D9152" t="str">
            <v>12206482    -    HEADER-13 COND,MALE    -    0.359</v>
          </cell>
        </row>
        <row r="9153">
          <cell r="D9153" t="str">
            <v>15339944    -    CONN 30 F 035 ILAG5 GRN    -    0.359</v>
          </cell>
        </row>
        <row r="9154">
          <cell r="D9154" t="str">
            <v>9397110    -    JACK-3.5MM,VERT    -    0.359</v>
          </cell>
        </row>
        <row r="9155">
          <cell r="D9155" t="str">
            <v>10723677    -    626234 CNCN F 4 NA 12    -    0.358985</v>
          </cell>
        </row>
        <row r="9156">
          <cell r="D9156" t="str">
            <v>15363784    -    12.515.26 CON AMP 927397.2 20V    -    0.358754</v>
          </cell>
        </row>
        <row r="9157">
          <cell r="D9157" t="str">
            <v>10863357    -    CONN 2 F SOCKET BLK SLD    -    0.358753</v>
          </cell>
        </row>
        <row r="9158">
          <cell r="D9158" t="str">
            <v>10724005    -    ASM CONN 8 F MDK BLK    -    0.358267</v>
          </cell>
        </row>
        <row r="9159">
          <cell r="D9159" t="str">
            <v>21002736    -    CONN 3 POL    -    0.358254</v>
          </cell>
        </row>
        <row r="9160">
          <cell r="D9160" t="str">
            <v>10768884    -    822758 CONN 6 F WHT    -    0.357845</v>
          </cell>
        </row>
        <row r="9161">
          <cell r="D9161" t="str">
            <v>10864161    -    CONN 12 F GRN    -    0.357579</v>
          </cell>
        </row>
        <row r="9162">
          <cell r="D9162" t="str">
            <v>15339134    -    STECKERGEHAEUSE    -    0.357309</v>
          </cell>
        </row>
        <row r="9163">
          <cell r="D9163" t="str">
            <v>28016815    -    CONNECTOR-6POLIG MQS    -    0.356904</v>
          </cell>
        </row>
        <row r="9164">
          <cell r="D9164" t="str">
            <v>15326667    -    ASM CONN 16M GT 280 SLD 5.8    -    0.3563</v>
          </cell>
        </row>
        <row r="9165">
          <cell r="D9165" t="str">
            <v>10717677    -    BUCHSENGEHAEUSE 4 POL. LKS 15    -    0.35576</v>
          </cell>
        </row>
        <row r="9166">
          <cell r="D9166" t="str">
            <v>10819565    -    COV CONN MQS BLU    -    0.355407</v>
          </cell>
        </row>
        <row r="9167">
          <cell r="D9167" t="str">
            <v>15324351    -    STECKERGEHAEUSE    -    0.354492</v>
          </cell>
        </row>
        <row r="9168">
          <cell r="D9168" t="str">
            <v>10778859    -    STECKERGEHAEUSE    -    0.35412</v>
          </cell>
        </row>
        <row r="9169">
          <cell r="D9169" t="str">
            <v>15339135    -    STECKERGEHAEUSE    -    0.35412</v>
          </cell>
        </row>
        <row r="9170">
          <cell r="D9170" t="str">
            <v>10721921    -    609620 BUCHSENLEISTE    -    0.353234</v>
          </cell>
        </row>
        <row r="9171">
          <cell r="D9171" t="str">
            <v>10779742    -    CONN 12 F BLK    -    0.352778</v>
          </cell>
        </row>
        <row r="9172">
          <cell r="D9172" t="str">
            <v>10814792    -    CONN 6 M QUADLOK MICRO NAT SEAL    -    0.352263</v>
          </cell>
        </row>
        <row r="9173">
          <cell r="D9173" t="str">
            <v>10721367    -    CONN 3 F TIMER JUNIOR WHT SEALED    -    0.352182</v>
          </cell>
        </row>
        <row r="9174">
          <cell r="D9174" t="str">
            <v>10721500    -    ASM CONN 0 F TIMER BLU SLD    -    0.352182</v>
          </cell>
        </row>
        <row r="9175">
          <cell r="D9175" t="str">
            <v>16201724    -    HEADER-13 COND,MALE    -    0.351</v>
          </cell>
        </row>
        <row r="9176">
          <cell r="D9176" t="str">
            <v>16257640    -    HEADER-14PIN,SM,R/A    -    0.351</v>
          </cell>
        </row>
        <row r="9177">
          <cell r="D9177" t="str">
            <v>15326084    -    ASM CONN 16F GT 150 280 SLD 4.    -    0.3508</v>
          </cell>
        </row>
        <row r="9178">
          <cell r="D9178" t="str">
            <v>10722530    -    CONN 2 M+F TIMER BLK    -    0.350678</v>
          </cell>
        </row>
        <row r="9179">
          <cell r="D9179" t="str">
            <v>10811965    -    CONN ASM    -    0.350392</v>
          </cell>
        </row>
        <row r="9180">
          <cell r="D9180" t="str">
            <v>12206898    -    CONNECTOR-COAX    -    0.35</v>
          </cell>
        </row>
        <row r="9181">
          <cell r="D9181" t="str">
            <v>15438958    -    GROMMET BACKSHELL    -    0.35</v>
          </cell>
        </row>
        <row r="9182">
          <cell r="D9182" t="str">
            <v>16137495    -    HEADER-10 COND,MALE    -    0.35</v>
          </cell>
        </row>
        <row r="9183">
          <cell r="D9183" t="str">
            <v>16257655    -    HEADER-14PIN,SM,V    -    0.35</v>
          </cell>
        </row>
        <row r="9184">
          <cell r="D9184" t="str">
            <v>29514043    -    SEC GROMMET    -    0.35</v>
          </cell>
        </row>
        <row r="9185">
          <cell r="D9185" t="str">
            <v>9396695    -    HEADER-26POS,M,R/A    -    0.35</v>
          </cell>
        </row>
        <row r="9186">
          <cell r="D9186" t="str">
            <v>9396708    -    HEADER-26POS,F,V,SM    -    0.35</v>
          </cell>
        </row>
        <row r="9187">
          <cell r="D9187" t="str">
            <v>9396760    -    HEADER-15POS,F,V    -    0.35</v>
          </cell>
        </row>
        <row r="9188">
          <cell r="D9188" t="str">
            <v>9400279    -    HEADER-10POS,M,V,FL    -    0.35</v>
          </cell>
        </row>
        <row r="9189">
          <cell r="D9189" t="str">
            <v>9401197    -    HEADER-10 POS    -    0.35</v>
          </cell>
        </row>
        <row r="9190">
          <cell r="D9190" t="str">
            <v>9401919    -    HEADER-26POS,F,V,SM    -    0.35</v>
          </cell>
        </row>
        <row r="9191">
          <cell r="D9191" t="str">
            <v>10780183    -    CONN 2 FIB/OP BLK    -    0.34941</v>
          </cell>
        </row>
        <row r="9192">
          <cell r="D9192" t="str">
            <v>10793247    -    STECKH?LSENGEH. 3-POL. SLK 28    -    0.34941</v>
          </cell>
        </row>
        <row r="9193">
          <cell r="D9193" t="str">
            <v>10793253    -    STECKH?LSENGEH. 3-POL. SLK 28    -    0.34941</v>
          </cell>
        </row>
        <row r="9194">
          <cell r="D9194" t="str">
            <v>10793261    -    STECKH?LSENGEH. 3-POL. SLK 28    -    0.34941</v>
          </cell>
        </row>
        <row r="9195">
          <cell r="D9195" t="str">
            <v>16213040    -    HEADER-30,COND,90    -    0.349274</v>
          </cell>
        </row>
        <row r="9196">
          <cell r="D9196" t="str">
            <v>9359728    -    HEADER-13 COND    -    0.3492</v>
          </cell>
        </row>
        <row r="9197">
          <cell r="D9197" t="str">
            <v>10774935    -    CONN 6F    -    0.349092</v>
          </cell>
        </row>
        <row r="9198">
          <cell r="D9198" t="str">
            <v>9385522    -    6 PIN HEADER    -    0.349</v>
          </cell>
        </row>
        <row r="9199">
          <cell r="D9199" t="str">
            <v>10846680    -    CONN 4 M MQS BLU    -    0.348628</v>
          </cell>
        </row>
        <row r="9200">
          <cell r="D9200" t="str">
            <v>15326654    -    ASM CONN 8F GT 280 SLD 5.8    -    0.3475</v>
          </cell>
        </row>
        <row r="9201">
          <cell r="D9201" t="str">
            <v>10722262    -    CONN 12 CAV    -    0.3468</v>
          </cell>
        </row>
        <row r="9202">
          <cell r="D9202" t="str">
            <v>10811663    -    NEW TAILGATE 21 WAY    -    0.346784</v>
          </cell>
        </row>
        <row r="9203">
          <cell r="D9203" t="str">
            <v>28008708    -    HEADER-14POS,M,R/A,    -    0.345</v>
          </cell>
        </row>
        <row r="9204">
          <cell r="D9204" t="str">
            <v>10847183    -    CONN 3 F BLK SLD    -    0.344086</v>
          </cell>
        </row>
        <row r="9205">
          <cell r="D9205" t="str">
            <v>9350146    -    HEADER-12 COND,SMT    -    0.344</v>
          </cell>
        </row>
        <row r="9206">
          <cell r="D9206" t="str">
            <v>10864377    -    ASM CONN 2 F VLT    -    0.343573</v>
          </cell>
        </row>
        <row r="9207">
          <cell r="D9207" t="str">
            <v>10820546    -    CONN 2 F MQS BLK SEALED    -    0.343478</v>
          </cell>
        </row>
        <row r="9208">
          <cell r="D9208" t="str">
            <v>10722762    -    CONN 8 F MATE-N-LOK UNIVERSAL VLT    -    0.343404</v>
          </cell>
        </row>
        <row r="9209">
          <cell r="D9209" t="str">
            <v>12124685    -    ASM CONN 3F M/P 630    -    0.3433</v>
          </cell>
        </row>
        <row r="9210">
          <cell r="D9210" t="str">
            <v>12124685S    -    ASM CONN 3F M/P 630    -    0.3433</v>
          </cell>
        </row>
        <row r="9211">
          <cell r="D9211" t="str">
            <v>15363785    -    12.516.26 CON AMP 927396.2 20V NG    -    0.342452</v>
          </cell>
        </row>
        <row r="9212">
          <cell r="D9212" t="str">
            <v>16211109    -    HEADER-14 COND,REAR    -    0.34241</v>
          </cell>
        </row>
        <row r="9213">
          <cell r="D9213" t="str">
            <v>15340654    -    BUCHSENGEHAEUSE 4-FACH    -    0.342196</v>
          </cell>
        </row>
        <row r="9214">
          <cell r="D9214" t="str">
            <v>15338644    -    COV CONN QUAD BLK    -    0.341471</v>
          </cell>
        </row>
        <row r="9215">
          <cell r="D9215" t="str">
            <v>10864389    -    CONN 12 F MULTILOCK 070 GRA    -    0.341468</v>
          </cell>
        </row>
        <row r="9216">
          <cell r="D9216" t="str">
            <v>10864393    -    CONN 12 F MULTILOCK 070 BLU    -    0.341468</v>
          </cell>
        </row>
        <row r="9217">
          <cell r="D9217" t="str">
            <v>10722979    -    619861 CNCO 5    -    0.341244</v>
          </cell>
        </row>
        <row r="9218">
          <cell r="D9218" t="str">
            <v>10811691    -    CONN 4 F WHT    -    0.340961</v>
          </cell>
        </row>
        <row r="9219">
          <cell r="D9219" t="str">
            <v>10721761    -    CX CX. 4 V. 4 PR 4A090623    -    0.3407</v>
          </cell>
        </row>
        <row r="9220">
          <cell r="D9220" t="str">
            <v>15340351    -    5 WAYS SPLASH PROOF CONN    -    0.340104</v>
          </cell>
        </row>
        <row r="9221">
          <cell r="D9221" t="str">
            <v>16258707    -    CONN-ELASTOMERIC    -    0.34</v>
          </cell>
        </row>
        <row r="9222">
          <cell r="D9222" t="str">
            <v>9400734    -    HEADER    -    0.34</v>
          </cell>
        </row>
        <row r="9223">
          <cell r="D9223" t="str">
            <v>10819962    -    CONN 4 F 1.5 BLK SEALED    -    0.33992</v>
          </cell>
        </row>
        <row r="9224">
          <cell r="D9224" t="str">
            <v>15483848    -    ASM CONN 3F RECEPTACLE    -    0.33984</v>
          </cell>
        </row>
        <row r="9225">
          <cell r="D9225" t="str">
            <v>10721670    -    607231 STIFTGEHAEU    -    0.339765</v>
          </cell>
        </row>
        <row r="9226">
          <cell r="D9226" t="str">
            <v>10846250    -    CONN 3F    -    0.339458</v>
          </cell>
        </row>
        <row r="9227">
          <cell r="D9227" t="str">
            <v>10864992    -    5-P GEHAEUSE 2,8 AMP TYCO    -    0.339417</v>
          </cell>
        </row>
        <row r="9228">
          <cell r="D9228" t="str">
            <v>10819344    -    CONN 12 F BLK    -    0.338216</v>
          </cell>
        </row>
        <row r="9229">
          <cell r="D9229" t="str">
            <v>10819927    -    CONN 4F    -    0.338013</v>
          </cell>
        </row>
        <row r="9230">
          <cell r="D9230" t="str">
            <v>15465465    -    ASM CONN    -    0.337967</v>
          </cell>
        </row>
        <row r="9231">
          <cell r="D9231" t="str">
            <v>12103226    -    626236 CNCN M 4 NA 12    -    0.337339</v>
          </cell>
        </row>
        <row r="9232">
          <cell r="D9232" t="str">
            <v>10788017    -    113553801    -    0.337271</v>
          </cell>
        </row>
        <row r="9233">
          <cell r="D9233" t="str">
            <v>10779342    -    2-P GEH.F.ZYLINDERST.PPAP    -    0.336678</v>
          </cell>
        </row>
        <row r="9234">
          <cell r="D9234" t="str">
            <v>10864394    -    CONN 12 F MULTILOCK 070 GRN    -    0.336354</v>
          </cell>
        </row>
        <row r="9235">
          <cell r="D9235" t="str">
            <v>10779815    -    STECKH?LSENGEH?USE 6POL. SLK2    -    0.336041</v>
          </cell>
        </row>
        <row r="9236">
          <cell r="D9236" t="str">
            <v>10820209    -    STECKH?LSENGEH?USE 6POL. SLK2    -    0.336041</v>
          </cell>
        </row>
        <row r="9237">
          <cell r="D9237" t="str">
            <v>9384283    -    HEADER-18 COND,ZIF    -    0.336</v>
          </cell>
        </row>
        <row r="9238">
          <cell r="D9238" t="str">
            <v>9401808    -    HEADER - 18 PIN    -    0.336</v>
          </cell>
        </row>
        <row r="9239">
          <cell r="D9239" t="str">
            <v>16221383    -    HEADER-12 COND,FEM    -    0.3356</v>
          </cell>
        </row>
        <row r="9240">
          <cell r="D9240" t="str">
            <v>10740371    -    STECKERGEHAEUSE    -    0.335482</v>
          </cell>
        </row>
        <row r="9241">
          <cell r="D9241" t="str">
            <v>10810630    -    HOUSING 50 P. F CE    -    0.335482</v>
          </cell>
        </row>
        <row r="9242">
          <cell r="D9242" t="str">
            <v>15339753    -    STECKERGEHAEUSE    -    0.335482</v>
          </cell>
        </row>
        <row r="9243">
          <cell r="D9243" t="str">
            <v>15365614    -    STECKERGEHAEUSE    -    0.335482</v>
          </cell>
        </row>
        <row r="9244">
          <cell r="D9244" t="str">
            <v>15326655    -    ASM CONN 8M GT 280 SLD 5.8    -    0.3354</v>
          </cell>
        </row>
        <row r="9245">
          <cell r="D9245" t="str">
            <v>9396692    -    HEADER-20POS,M,R/A    -    0.335</v>
          </cell>
        </row>
        <row r="9246">
          <cell r="D9246" t="str">
            <v>9396705    -    HEADER-20POS,F,V,SM    -    0.335</v>
          </cell>
        </row>
        <row r="9247">
          <cell r="D9247" t="str">
            <v>9364031    -    HEADER-2COND,MALE    -    0.3347</v>
          </cell>
        </row>
        <row r="9248">
          <cell r="D9248" t="str">
            <v>10721924    -    609623 AUFNAHMEGEHAEUSE    -    0.33439</v>
          </cell>
        </row>
        <row r="9249">
          <cell r="D9249" t="str">
            <v>10722461    -    STECKERGEHAEUSE    -    0.334235</v>
          </cell>
        </row>
        <row r="9250">
          <cell r="D9250" t="str">
            <v>15327814    -    10-POL KUPPLUNG KOD A    -    0.334078</v>
          </cell>
        </row>
        <row r="9251">
          <cell r="D9251" t="str">
            <v>15401069    -    DV POS.2310 BK 210 545 0503    -    0.333531</v>
          </cell>
        </row>
        <row r="9252">
          <cell r="D9252" t="str">
            <v>15336173    -    CONN 24M GT 150 280 SLD 4.0 5.    -    0.3331</v>
          </cell>
        </row>
        <row r="9253">
          <cell r="D9253" t="str">
            <v>9396765    -    HEADER-20POS,F,V    -    0.333</v>
          </cell>
        </row>
        <row r="9254">
          <cell r="D9254" t="str">
            <v>10847318    -    CONNECTOR 16W GRAY    -    0.33151</v>
          </cell>
        </row>
        <row r="9255">
          <cell r="D9255" t="str">
            <v>10781029    -    CONN 9 M MATE-N-LOK MINIUNIVER    -    0.330993</v>
          </cell>
        </row>
        <row r="9256">
          <cell r="D9256" t="str">
            <v>10722566    -    0    -    0.330673</v>
          </cell>
        </row>
        <row r="9257">
          <cell r="D9257" t="str">
            <v>10769279    -    STECKERGEHAEUSE    -    0.330387</v>
          </cell>
        </row>
        <row r="9258">
          <cell r="D9258" t="str">
            <v>10769280    -    STECKERGEHAEUSE    -    0.330387</v>
          </cell>
        </row>
        <row r="9259">
          <cell r="D9259" t="str">
            <v>15341010    -    CX CAIXA 6 4B097257    -    0.330387</v>
          </cell>
        </row>
        <row r="9260">
          <cell r="D9260" t="str">
            <v>15327405    -    CX POS 2481 28 CAV BK 002 545    -    0.33035</v>
          </cell>
        </row>
        <row r="9261">
          <cell r="D9261" t="str">
            <v>15324609    -    RECEPTACLE    -    0.33</v>
          </cell>
        </row>
        <row r="9262">
          <cell r="D9262" t="str">
            <v>15435228    -    LOCK WASHER    -    0.33</v>
          </cell>
        </row>
        <row r="9263">
          <cell r="D9263" t="str">
            <v>16009789    -    CONN ASM-5 PIN    -    0.33</v>
          </cell>
        </row>
        <row r="9264">
          <cell r="D9264" t="str">
            <v>9362857    -    HEADER-10 COND, MA    -    0.33</v>
          </cell>
        </row>
        <row r="9265">
          <cell r="D9265" t="str">
            <v>10787866    -    CONN 9 F MATE-N-LOK MINIUNIVER    -    0.329572</v>
          </cell>
        </row>
        <row r="9266">
          <cell r="D9266" t="str">
            <v>10777034    -    CONN 5 F MULTILOCK BLU    -    0.329013</v>
          </cell>
        </row>
        <row r="9267">
          <cell r="D9267" t="str">
            <v>9396822    -    HEADER-20POS,F,R/A    -    0.32891</v>
          </cell>
        </row>
        <row r="9268">
          <cell r="D9268" t="str">
            <v>10793759    -    CONN 2 M BLK    -    0.327754</v>
          </cell>
        </row>
        <row r="9269">
          <cell r="D9269" t="str">
            <v>9384343    -    HEADER-18POS,FE    -    0.327704</v>
          </cell>
        </row>
        <row r="9270">
          <cell r="D9270" t="str">
            <v>10734412    -    CONNECTOR 9168711    -    0.3271</v>
          </cell>
        </row>
        <row r="9271">
          <cell r="D9271" t="str">
            <v>15342649    -    CONNECTOR VOLVO 9168708    -    0.3271</v>
          </cell>
        </row>
        <row r="9272">
          <cell r="D9272" t="str">
            <v>9399216    -    HEADER-12POS,M,V,2.    -    0.32689</v>
          </cell>
        </row>
        <row r="9273">
          <cell r="D9273" t="str">
            <v>10750569    -    CONNECTOR 6 WAY    -    0.326544</v>
          </cell>
        </row>
        <row r="9274">
          <cell r="D9274" t="str">
            <v>15480721    -    COVER CONNECTOR    -    0.3256</v>
          </cell>
        </row>
        <row r="9275">
          <cell r="D9275" t="str">
            <v>15448603    -    CONNECTOR 16W BLACK    -    0.32488</v>
          </cell>
        </row>
        <row r="9276">
          <cell r="D9276" t="str">
            <v>10718292    -    KUPPLUNG4-FACH    -    0.324473</v>
          </cell>
        </row>
        <row r="9277">
          <cell r="D9277" t="str">
            <v>10721368    -    CX 3 CI 44390623    -    0.324299</v>
          </cell>
        </row>
        <row r="9278">
          <cell r="D9278" t="str">
            <v>15340404    -    STECKERGEHAEUSE    -    0.324299</v>
          </cell>
        </row>
        <row r="9279">
          <cell r="D9279" t="str">
            <v>10726457    -    16.843.93 CON AMP 282372-1 18V BC    -    0.323845</v>
          </cell>
        </row>
        <row r="9280">
          <cell r="D9280" t="str">
            <v>10820323    -    CONN 12 F MCP BLK    -    0.323845</v>
          </cell>
        </row>
        <row r="9281">
          <cell r="D9281" t="str">
            <v>10820324    -    CONN 12 F MCP BLK    -    0.323845</v>
          </cell>
        </row>
        <row r="9282">
          <cell r="D9282" t="str">
            <v>12219813    -    J-DEL-4POL-12219813 KAN    -    0.323845</v>
          </cell>
        </row>
        <row r="9283">
          <cell r="D9283" t="str">
            <v>15342665    -    CONNECTOR HIROSE 3 POZ HEMBRA GT52SHU    -    0.323845</v>
          </cell>
        </row>
        <row r="9284">
          <cell r="D9284" t="str">
            <v>10774887    -    CONN    -    0.323575</v>
          </cell>
        </row>
        <row r="9285">
          <cell r="D9285" t="str">
            <v>10717793    -    GROM CONN LOOSE PCE    -    0.322684</v>
          </cell>
        </row>
        <row r="9286">
          <cell r="D9286" t="str">
            <v>12205776    -    HEADER-12POS,FE,R/A    -    0.32095</v>
          </cell>
        </row>
        <row r="9287">
          <cell r="D9287" t="str">
            <v>184380970003    -    LEITUNG 8-POL    -    0.320708</v>
          </cell>
        </row>
        <row r="9288">
          <cell r="D9288" t="str">
            <v>15368977    -    16-POL.KUPPLUNG    -    0.320696</v>
          </cell>
        </row>
        <row r="9289">
          <cell r="D9289" t="str">
            <v>10814723    -    CONNECTOR 2W GREEN    -    0.320229</v>
          </cell>
        </row>
        <row r="9290">
          <cell r="D9290" t="str">
            <v>10811333    -    RECEPTACLE CONNECTOR    -    0.32</v>
          </cell>
        </row>
        <row r="9291">
          <cell r="D9291" t="str">
            <v>16178477    -    HEADER-17,COND,MA    -    0.32</v>
          </cell>
        </row>
        <row r="9292">
          <cell r="D9292" t="str">
            <v>16265315    -    HEADER-16PIN    -    0.32</v>
          </cell>
        </row>
        <row r="9293">
          <cell r="D9293" t="str">
            <v>9350754    -    HEADER-12 COND.,MA.    -    0.32</v>
          </cell>
        </row>
        <row r="9294">
          <cell r="D9294" t="str">
            <v>9375685    -    HEADER-11 COND,ZIF    -    0.32</v>
          </cell>
        </row>
        <row r="9295">
          <cell r="D9295" t="str">
            <v>12015796    -    ASM CONN 3F W/P TWR SLD    -    0.3189</v>
          </cell>
        </row>
        <row r="9296">
          <cell r="D9296" t="str">
            <v>15332182    -    ASM CONN 16M GT 150    -    0.3187</v>
          </cell>
        </row>
        <row r="9297">
          <cell r="D9297" t="str">
            <v>16260526    -    HEADER-14COND,MA    -    0.3186</v>
          </cell>
        </row>
        <row r="9298">
          <cell r="D9298" t="str">
            <v>10723459    -    CONN 3 F MODU IV BLK    -    0.318565</v>
          </cell>
        </row>
        <row r="9299">
          <cell r="D9299" t="str">
            <v>12186325S    -    ASM MOUN CLIP NONE STRAP    -    0.3181</v>
          </cell>
        </row>
        <row r="9300">
          <cell r="D9300" t="str">
            <v>10779550    -    COV CONN BLK    -    0.317714</v>
          </cell>
        </row>
        <row r="9301">
          <cell r="D9301" t="str">
            <v>15340402    -    STECKERGEHAEUSE    -    0.317589</v>
          </cell>
        </row>
        <row r="9302">
          <cell r="D9302" t="str">
            <v>10846843    -    10846843 CONECTOR AMP 6 VIAS1    -    0.317378</v>
          </cell>
        </row>
        <row r="9303">
          <cell r="D9303" t="str">
            <v>12205439    -    CONNECTOR-12 PIN HD    -    0.317355</v>
          </cell>
        </row>
        <row r="9304">
          <cell r="D9304" t="str">
            <v>9372739    -    CONN-12PIN,AMP    -    0.317355</v>
          </cell>
        </row>
        <row r="9305">
          <cell r="D9305" t="str">
            <v>15339769    -    14POL SLKSTECKERGEHAEUSE    -    0.315992</v>
          </cell>
        </row>
        <row r="9306">
          <cell r="D9306" t="str">
            <v>15368873    -    FRAME 2'LI    -    0.315601</v>
          </cell>
        </row>
        <row r="9307">
          <cell r="D9307" t="str">
            <v>12088061    -    CONN 18 F MULTILOCK 070 NAT    -    0.315547</v>
          </cell>
        </row>
        <row r="9308">
          <cell r="D9308" t="str">
            <v>12084949    -    CONNECTOR-16M    -    0.315</v>
          </cell>
        </row>
        <row r="9309">
          <cell r="D9309" t="str">
            <v>10774852    -    CX 6 PR 7703297341    -    0.31498</v>
          </cell>
        </row>
        <row r="9310">
          <cell r="D9310" t="str">
            <v>12089082    -    16.A50.93 CON AMP 10 VIAS .070 SERIES    -    0.314433</v>
          </cell>
        </row>
        <row r="9311">
          <cell r="D9311" t="str">
            <v>10811900    -    CONN 20 M WHT    -    0.3144</v>
          </cell>
        </row>
        <row r="9312">
          <cell r="D9312" t="str">
            <v>10762530    -    CONN 3 F MINI BLU SEALED    -    0.313641</v>
          </cell>
        </row>
        <row r="9313">
          <cell r="D9313" t="str">
            <v>10775908    -    109654591    -    0.313576</v>
          </cell>
        </row>
        <row r="9314">
          <cell r="D9314" t="str">
            <v>10780435    -    CONNECTOR 3W BLACK    -    0.312806</v>
          </cell>
        </row>
        <row r="9315">
          <cell r="D9315" t="str">
            <v>10762804    -    5-POL. GEHAEUSE 2.8 AMP    -    0.312545</v>
          </cell>
        </row>
        <row r="9316">
          <cell r="D9316" t="str">
            <v>10820460    -    KUPPLUNG 2-POL.    -    0.311923</v>
          </cell>
        </row>
        <row r="9317">
          <cell r="D9317" t="str">
            <v>15336065S    -    ASM CONN 3 F GT 150 BLK SEALED    -    0.3117</v>
          </cell>
        </row>
        <row r="9318">
          <cell r="D9318" t="str">
            <v>10768920    -    KONTAKTSTIFT "QR/P1" 02-05MM    -    0.310756</v>
          </cell>
        </row>
        <row r="9319">
          <cell r="D9319" t="str">
            <v>15452738    -    ASM CONN 14 M TAB 1.5 2.8    -    0.3107</v>
          </cell>
        </row>
        <row r="9320">
          <cell r="D9320" t="str">
            <v>10787975    -    CONN 17 F TIMER JR-POWER BLK    -    0.31046</v>
          </cell>
        </row>
        <row r="9321">
          <cell r="D9321" t="str">
            <v>15317053    -    ASM CONN 6 F MISC PURCH BLU SEALED    -    0.31046</v>
          </cell>
        </row>
        <row r="9322">
          <cell r="D9322" t="str">
            <v>10733397    -    011931 ZLACZE 1/24828/81    -    0.310352</v>
          </cell>
        </row>
        <row r="9323">
          <cell r="D9323" t="str">
            <v>12191423    -    HEADER-10 PIN    -    0.3101</v>
          </cell>
        </row>
        <row r="9324">
          <cell r="D9324" t="str">
            <v>12206486    -    HEADER-26 COND,MALE    -    0.31</v>
          </cell>
        </row>
        <row r="9325">
          <cell r="D9325" t="str">
            <v>9372713    -    CONN-PCB TOP,SMD    -    0.31</v>
          </cell>
        </row>
        <row r="9326">
          <cell r="D9326" t="str">
            <v>9372714    -    CONN-PCB BOTTOM,SM    -    0.31</v>
          </cell>
        </row>
        <row r="9327">
          <cell r="D9327" t="str">
            <v>9393293    -    HEADER-10 COND,MA    -    0.31</v>
          </cell>
        </row>
        <row r="9328">
          <cell r="D9328" t="str">
            <v>9396691    -    HEADER    -    0.31</v>
          </cell>
        </row>
        <row r="9329">
          <cell r="D9329" t="str">
            <v>9398274    -    HEADER-06POS,MA,V,S    -    0.31</v>
          </cell>
        </row>
        <row r="9330">
          <cell r="D9330" t="str">
            <v>9400363    -    HEADER-14POS,F,V,1.    -    0.30999</v>
          </cell>
        </row>
        <row r="9331">
          <cell r="D9331" t="str">
            <v>12176315    -    HEADER-12 PIN    -    0.30963</v>
          </cell>
        </row>
        <row r="9332">
          <cell r="D9332" t="str">
            <v>12185783    -    CONNECTOR    -    0.30954</v>
          </cell>
        </row>
        <row r="9333">
          <cell r="D9333" t="str">
            <v>15363767    -    STECKERGEHAEUSE    -    0.309389</v>
          </cell>
        </row>
        <row r="9334">
          <cell r="D9334" t="str">
            <v>15327584    -    STIFTGEHUSE13XLKS1,5    -    0.308121</v>
          </cell>
        </row>
        <row r="9335">
          <cell r="D9335" t="str">
            <v>15364421    -    CONNEKTOR 3W    -    0.308022</v>
          </cell>
        </row>
        <row r="9336">
          <cell r="D9336" t="str">
            <v>10757207    -    809689 ASM CONN 11 F MT WHT    -    0.307178</v>
          </cell>
        </row>
        <row r="9337">
          <cell r="D9337" t="str">
            <v>10864429    -    COV CONN MQS BLK    -    0.307086</v>
          </cell>
        </row>
        <row r="9338">
          <cell r="D9338" t="str">
            <v>15368413    -    621619 CNCN F 375 BK 2    -    0.305629</v>
          </cell>
        </row>
        <row r="9339">
          <cell r="D9339" t="str">
            <v>15327473    -    ASM CONNECTOR 4 QUADLOCK    -    0.305413</v>
          </cell>
        </row>
        <row r="9340">
          <cell r="D9340" t="str">
            <v>10740366    -    ASSM. CONN. MDK 5 PLUS    -    0.305288</v>
          </cell>
        </row>
        <row r="9341">
          <cell r="D9341" t="str">
            <v>16228172    -    VENT-SNAP,FIT    -    0.305</v>
          </cell>
        </row>
        <row r="9342">
          <cell r="D9342" t="str">
            <v>9399101    -    HEADER-3POS,M,R/A,2    -    0.30478</v>
          </cell>
        </row>
        <row r="9343">
          <cell r="D9343" t="str">
            <v>15365745    -    CONN 14M SLK 2.8 UNSLD NAT    -    0.30468</v>
          </cell>
        </row>
        <row r="9344">
          <cell r="D9344" t="str">
            <v>15380821    -    CONN 14 F SLK 2.8 BLU    -    0.30468</v>
          </cell>
        </row>
        <row r="9345">
          <cell r="D9345" t="str">
            <v>15339756    -    STECKERGEHAEUSE    -    0.304419</v>
          </cell>
        </row>
        <row r="9346">
          <cell r="D9346" t="str">
            <v>10776854    -    CONN 3 F BLK    -    0.304378</v>
          </cell>
        </row>
        <row r="9347">
          <cell r="D9347" t="str">
            <v>10863690    -    HOUSING 26 P. CE    -    0.303605</v>
          </cell>
        </row>
        <row r="9348">
          <cell r="D9348" t="str">
            <v>10810668    -    CONN 6 F SOCKET BLK    -    0.30316</v>
          </cell>
        </row>
        <row r="9349">
          <cell r="D9349" t="str">
            <v>12191403    -    HEADER-10 PIN    -    0.3029</v>
          </cell>
        </row>
        <row r="9350">
          <cell r="D9350" t="str">
            <v>10788958    -    16.T16.04 CO 8V GR 106455-3 AM    -    0.302791</v>
          </cell>
        </row>
        <row r="9351">
          <cell r="D9351" t="str">
            <v>10722954    -    CONN 30 F QUADLOK MICRO BLK    -    0.301946</v>
          </cell>
        </row>
        <row r="9352">
          <cell r="D9352" t="str">
            <v>10775740    -    CX CX 8 PR    -    0.301809</v>
          </cell>
        </row>
        <row r="9353">
          <cell r="D9353" t="str">
            <v>10774423    -    COVER    -    0.300906</v>
          </cell>
        </row>
        <row r="9354">
          <cell r="D9354" t="str">
            <v>16214052    -    HEADER-02 COND    -    0.3</v>
          </cell>
        </row>
        <row r="9355">
          <cell r="D9355" t="str">
            <v>9365067    -    HEADER-24 PIN    -    0.3</v>
          </cell>
        </row>
        <row r="9356">
          <cell r="D9356" t="str">
            <v>9402889    -    HEADER-01POS,M,R/A,    -    0.3</v>
          </cell>
        </row>
        <row r="9357">
          <cell r="D9357" t="str">
            <v>9402890    -    HEADER-01POS,M,R/A,    -    0.3</v>
          </cell>
        </row>
        <row r="9358">
          <cell r="D9358" t="str">
            <v>16221388    -    HEADER-08 COND,FEM    -    0.2997</v>
          </cell>
        </row>
        <row r="9359">
          <cell r="D9359" t="str">
            <v>10810907    -    CONN 16 F IDC NAT    -    0.298579</v>
          </cell>
        </row>
        <row r="9360">
          <cell r="D9360" t="str">
            <v>10811096    -    CONN 16 F IDC NAT    -    0.298579</v>
          </cell>
        </row>
        <row r="9361">
          <cell r="D9361" t="str">
            <v>10811097    -    CONN 16 F IDC BLK    -    0.298579</v>
          </cell>
        </row>
        <row r="9362">
          <cell r="D9362" t="str">
            <v>10740370    -    STECKERGEHAEUSE    -    0.298206</v>
          </cell>
        </row>
        <row r="9363">
          <cell r="D9363" t="str">
            <v>10723780    -    CX 6 PR 7703297402 (627203)    -    0.297883</v>
          </cell>
        </row>
        <row r="9364">
          <cell r="D9364" t="str">
            <v>15338947    -    ASM CONNECTOR    -    0.297659</v>
          </cell>
        </row>
        <row r="9365">
          <cell r="D9365" t="str">
            <v>12186308    -    STECKERGEHAEUSE    -    0.296963</v>
          </cell>
        </row>
        <row r="9366">
          <cell r="D9366" t="str">
            <v>396151680000    -    STIFTLEISTE 18-POL LIEG BTFN18P3RF7 FCI    -    0.296791</v>
          </cell>
        </row>
        <row r="9367">
          <cell r="D9367" t="str">
            <v>15338663    -    9654661    -    0.296678</v>
          </cell>
        </row>
        <row r="9368">
          <cell r="D9368" t="str">
            <v>12066307    -    CONNECTOR    -    0.2965</v>
          </cell>
        </row>
        <row r="9369">
          <cell r="D9369" t="str">
            <v>15368785    -    16.C16.92 CO 1/01514/82 282956-5 AMP 2V    -    0.295187</v>
          </cell>
        </row>
        <row r="9370">
          <cell r="D9370" t="str">
            <v>PG005177    -    CONN 2 F QUADLOK MICRO BLK    -    0.295171</v>
          </cell>
        </row>
        <row r="9371">
          <cell r="D9371" t="str">
            <v>12191407    -    HEADER-10 PIN    -    0.2946</v>
          </cell>
        </row>
        <row r="9372">
          <cell r="D9372" t="str">
            <v>10776856    -    CONN 2 F 070 RED SLD    -    0.29451</v>
          </cell>
        </row>
        <row r="9373">
          <cell r="D9373" t="str">
            <v>15450705    -    CONN 0    -    0.294168</v>
          </cell>
        </row>
        <row r="9374">
          <cell r="D9374" t="str">
            <v>12191405    -    HEADER-10 COND    -    0.2938</v>
          </cell>
        </row>
        <row r="9375">
          <cell r="D9375" t="str">
            <v>12191413    -    HEADER-10 PIN    -    0.2938</v>
          </cell>
        </row>
        <row r="9376">
          <cell r="D9376" t="str">
            <v>12191415    -    HEADER-10 PIN    -    0.2938</v>
          </cell>
        </row>
        <row r="9377">
          <cell r="D9377" t="str">
            <v>12191419    -    HEADER-10 PIN    -    0.2938</v>
          </cell>
        </row>
        <row r="9378">
          <cell r="D9378" t="str">
            <v>12124206    -    CONN 12 M N/A    -    0.293269</v>
          </cell>
        </row>
        <row r="9379">
          <cell r="D9379" t="str">
            <v>10723554    -    ASSM. CONN. MDK 5 PLUS    -    0.293199</v>
          </cell>
        </row>
        <row r="9380">
          <cell r="D9380" t="str">
            <v>15300027    -    ASM CONN 2F M/P 280 SLD    -    0.2928</v>
          </cell>
        </row>
        <row r="9381">
          <cell r="D9381" t="str">
            <v>15368875    -    FRAME 2'LI    -    0.291993</v>
          </cell>
        </row>
        <row r="9382">
          <cell r="D9382" t="str">
            <v>9397282    -    HEADER-14POS,F,V,ZI    -    0.2916</v>
          </cell>
        </row>
        <row r="9383">
          <cell r="D9383" t="str">
            <v>10779411    -    CONN 18 WHT    -    0.290304</v>
          </cell>
        </row>
        <row r="9384">
          <cell r="D9384" t="str">
            <v>15364400    -    MODULE HOUSING MQS 18 V NR * 9627090280    -    0.290304</v>
          </cell>
        </row>
        <row r="9385">
          <cell r="D9385" t="str">
            <v>10776843    -    CONN 26 F MULTILOCK    -    0.290165</v>
          </cell>
        </row>
        <row r="9386">
          <cell r="D9386" t="str">
            <v>15363766    -    STECKERGEHAEUSE    -    0.29013</v>
          </cell>
        </row>
        <row r="9387">
          <cell r="D9387" t="str">
            <v>12185775    -    CONNECTOR 8W BROWN    -    0.290111</v>
          </cell>
        </row>
        <row r="9388">
          <cell r="D9388" t="str">
            <v>9396704    -    HEADER    -    0.29</v>
          </cell>
        </row>
        <row r="9389">
          <cell r="D9389" t="str">
            <v>10774897    -    CONNECTOR 1W BLACK    -    0.289882</v>
          </cell>
        </row>
        <row r="9390">
          <cell r="D9390" t="str">
            <v>10732965    -    CONN 0    -    0.28976</v>
          </cell>
        </row>
        <row r="9391">
          <cell r="D9391" t="str">
            <v>10749696    -    9650111    -    0.28976</v>
          </cell>
        </row>
        <row r="9392">
          <cell r="D9392" t="str">
            <v>10787392    -    CONN 2 BLK    -    0.28976</v>
          </cell>
        </row>
        <row r="9393">
          <cell r="D9393" t="str">
            <v>10787714    -    HOUSING 3.P. SE TES. F    -    0.289322</v>
          </cell>
        </row>
        <row r="9394">
          <cell r="D9394" t="str">
            <v>13507848    -    12 WAY CONNECTOR ASSY.    -    0.28929</v>
          </cell>
        </row>
        <row r="9395">
          <cell r="D9395" t="str">
            <v>13509676    -    ASSM CONN    -    0.28929</v>
          </cell>
        </row>
        <row r="9396">
          <cell r="D9396" t="str">
            <v>13510423    -    ASM CONNECTOR    -    0.28914</v>
          </cell>
        </row>
        <row r="9397">
          <cell r="D9397" t="str">
            <v>15468028    -    CONNECTOR 16W GRAY    -    0.28914</v>
          </cell>
        </row>
        <row r="9398">
          <cell r="D9398" t="str">
            <v>15419459    -    CONN 8 F GRA DK SEALED    -    0.28904</v>
          </cell>
        </row>
        <row r="9399">
          <cell r="D9399" t="str">
            <v>10810465    -    HOUSING 25 P. F SE    -    0.288266</v>
          </cell>
        </row>
        <row r="9400">
          <cell r="D9400" t="str">
            <v>16176100    -    HEADER-32 COND,MA    -    0.288</v>
          </cell>
        </row>
        <row r="9401">
          <cell r="D9401" t="str">
            <v>15364047    -    15.531.06 CON 4V (NG) J.P.T. 282764-1 1/    -    0.287483</v>
          </cell>
        </row>
        <row r="9402">
          <cell r="D9402" t="str">
            <v>10776849    -    CONN 2F 070 SLD BLK    -    0.28744</v>
          </cell>
        </row>
        <row r="9403">
          <cell r="D9403" t="str">
            <v>15339337    -    CONNECTOR    -    0.287</v>
          </cell>
        </row>
        <row r="9404">
          <cell r="D9404" t="str">
            <v>10768477    -    CONN 10 M TIMER JR-POWER NAT    -    0.286981</v>
          </cell>
        </row>
        <row r="9405">
          <cell r="D9405" t="str">
            <v>10762662    -    2POL SLKKUPPLUNG MIT ELA    -    0.286846</v>
          </cell>
        </row>
        <row r="9406">
          <cell r="D9406" t="str">
            <v>9372972    -    CONN-SMB BACK 9,3    -    0.286343</v>
          </cell>
        </row>
        <row r="9407">
          <cell r="D9407" t="str">
            <v>12059985    -    HEADER-2 PIN    -    0.2861</v>
          </cell>
        </row>
        <row r="9408">
          <cell r="D9408" t="str">
            <v>15326678    -    ASM CONN 2M GT 280 SLD 5.8    -    0.286</v>
          </cell>
        </row>
        <row r="9409">
          <cell r="D9409" t="str">
            <v>15363710    -    606725 CNCN F 167 WH 16    -    0.285905</v>
          </cell>
        </row>
        <row r="9410">
          <cell r="D9410" t="str">
            <v>15327687    -    629798 CNCN F 2 NA 6    -    0.28588</v>
          </cell>
        </row>
        <row r="9411">
          <cell r="D9411" t="str">
            <v>15326679    -    ASM CONN 2F GT 280 SLD 5.8    -    0.2856</v>
          </cell>
        </row>
        <row r="9412">
          <cell r="D9412" t="str">
            <v>12160746    -    ASM CONN 6 F M/P 280 GRA LT SL    -    0.2853</v>
          </cell>
        </row>
        <row r="9413">
          <cell r="D9413" t="str">
            <v>15485694    -    CONN 8 WAY SEALED MALE    -    0.28494</v>
          </cell>
        </row>
        <row r="9414">
          <cell r="D9414" t="str">
            <v>10810656    -    HOUSING 16.P. CE ( CU SN )    -    0.284039</v>
          </cell>
        </row>
        <row r="9415">
          <cell r="D9415" t="str">
            <v>15420515    -    CONNECTOR    -    0.28389</v>
          </cell>
        </row>
        <row r="9416">
          <cell r="D9416" t="str">
            <v>12191497    -    BASE 1 MODULE    -    0.2832</v>
          </cell>
        </row>
        <row r="9417">
          <cell r="D9417" t="str">
            <v>15338267    -    HOUSING 26 P. M BLACK    -    0.282886</v>
          </cell>
        </row>
        <row r="9418">
          <cell r="D9418" t="str">
            <v>10787489    -    HOUSING 3.P. CE TES. F    -    0.282612</v>
          </cell>
        </row>
        <row r="9419">
          <cell r="D9419" t="str">
            <v>16190043    -    HEADER-ESC    -    0.28239</v>
          </cell>
        </row>
        <row r="9420">
          <cell r="D9420" t="str">
            <v>15356952    -    CONN-02,MALE    -    0.2823</v>
          </cell>
        </row>
        <row r="9421">
          <cell r="D9421" t="str">
            <v>15405703    -    CONN 10 CAV    -    0.28228</v>
          </cell>
        </row>
        <row r="9422">
          <cell r="D9422" t="str">
            <v>15454021    -    CONNECTOR 2W BLACK    -    0.282245</v>
          </cell>
        </row>
        <row r="9423">
          <cell r="D9423" t="str">
            <v>10810589    -    58-WAY CONN &amp; SEAL    -    0.281678</v>
          </cell>
        </row>
        <row r="9424">
          <cell r="D9424" t="str">
            <v>10810590    -    58-WAY CONN &amp; SEAL    -    0.281678</v>
          </cell>
        </row>
        <row r="9425">
          <cell r="D9425" t="str">
            <v>12040977    -    ASM CONN 3F M/P 280 SLD    -    0.2816</v>
          </cell>
        </row>
        <row r="9426">
          <cell r="D9426" t="str">
            <v>10779643    -    ASM CONN 2M 250 GRA SEALED    -    0.2809</v>
          </cell>
        </row>
        <row r="9427">
          <cell r="D9427" t="str">
            <v>10740393    -    CONN 6 CAV    -    0.28026</v>
          </cell>
        </row>
        <row r="9428">
          <cell r="D9428" t="str">
            <v>16240684    -    HEADER-10 COND,FE    -    0.28</v>
          </cell>
        </row>
        <row r="9429">
          <cell r="D9429" t="str">
            <v>15326085    -    ASM CONN 16M GT 150280 SLD 4.    -    0.2794</v>
          </cell>
        </row>
        <row r="9430">
          <cell r="D9430" t="str">
            <v>10814724    -    CONNECTOR 2W BLACK    -    0.279343</v>
          </cell>
        </row>
        <row r="9431">
          <cell r="D9431" t="str">
            <v>15368658    -    CONNECTOR 2W BLACK    -    0.279343</v>
          </cell>
        </row>
        <row r="9432">
          <cell r="D9432" t="str">
            <v>15383190    -    CONNECTOR 2W BLACK    -    0.279343</v>
          </cell>
        </row>
        <row r="9433">
          <cell r="D9433" t="str">
            <v>10847471    -    COV CONN MQS BRN    -    0.279047</v>
          </cell>
        </row>
        <row r="9434">
          <cell r="D9434" t="str">
            <v>10820565    -    HOUSING 4 P. BLACK    -    0.278385</v>
          </cell>
        </row>
        <row r="9435">
          <cell r="D9435" t="str">
            <v>10722903    -    COV CONN TIMER BLK    -    0.278301</v>
          </cell>
        </row>
        <row r="9436">
          <cell r="D9436" t="str">
            <v>10779311    -    16.J49.93 CONECTOR AMP 20V BC    -    0.278027</v>
          </cell>
        </row>
        <row r="9437">
          <cell r="D9437" t="str">
            <v>12146873    -    HEADER-20 COND    -    0.2772</v>
          </cell>
        </row>
        <row r="9438">
          <cell r="D9438" t="str">
            <v>10768791    -    CONN 4 F MT-6 BLU    -    0.276834</v>
          </cell>
        </row>
        <row r="9439">
          <cell r="D9439" t="str">
            <v>10768608    -    6 WAY CONNECTOR GY    -    0.275619</v>
          </cell>
        </row>
        <row r="9440">
          <cell r="D9440" t="str">
            <v>10769240    -    6-P STECKERGEH. REV.C    -    0.275619</v>
          </cell>
        </row>
        <row r="9441">
          <cell r="D9441" t="str">
            <v>15412241    -    ASM CONN 8 M TAB 2.8 GRA LT    -    0.27493</v>
          </cell>
        </row>
        <row r="9442">
          <cell r="D9442" t="str">
            <v>12196606    -    CONN 8 M WHT    -    0.274864</v>
          </cell>
        </row>
        <row r="9443">
          <cell r="D9443" t="str">
            <v>15465614    -    ASM CONN    -    0.274847</v>
          </cell>
        </row>
        <row r="9444">
          <cell r="D9444" t="str">
            <v>15337232    -    CONN 3 F TIMER JR-POWER BLK SLD    -    0.274837</v>
          </cell>
        </row>
        <row r="9445">
          <cell r="D9445" t="str">
            <v>12124555    -    15.870.98 CON AMP 174046-4    -    0.274834</v>
          </cell>
        </row>
        <row r="9446">
          <cell r="D9446" t="str">
            <v>10723655    -    CONN 15 M QUADLOK MICRO GRA    -    0.274594</v>
          </cell>
        </row>
        <row r="9447">
          <cell r="D9447" t="str">
            <v>15336013    -    ASM CONN 6 WAY    -    0.27435</v>
          </cell>
        </row>
        <row r="9448">
          <cell r="D9448" t="str">
            <v>10738068    -    CONNECTOR 9V JA * 9616467080    -    0.274101</v>
          </cell>
        </row>
        <row r="9449">
          <cell r="D9449" t="str">
            <v>12191399    -    BOITIER    -    0.2741</v>
          </cell>
        </row>
        <row r="9450">
          <cell r="D9450" t="str">
            <v>15338270    -    620243 CNCN M 179 BK 2    -    0.273325</v>
          </cell>
        </row>
        <row r="9451">
          <cell r="D9451" t="str">
            <v>15327468    -    BUCHSENGEHUSE13XLKS1,5    -    0.273182</v>
          </cell>
        </row>
        <row r="9452">
          <cell r="D9452" t="str">
            <v>15401068    -    DV COVER POS.2312 BK 210 545 0803    -    0.273182</v>
          </cell>
        </row>
        <row r="9453">
          <cell r="D9453" t="str">
            <v>10819585    -    15.381.94 CON. 16 V GR AMP 964    -    0.273107</v>
          </cell>
        </row>
        <row r="9454">
          <cell r="D9454" t="str">
            <v>10762334    -    CONN 16 M PIN SOCKET GRN    -    0.273</v>
          </cell>
        </row>
        <row r="9455">
          <cell r="D9455" t="str">
            <v>12237143    -    HEADER-10 POS,MALE    -    0.273</v>
          </cell>
        </row>
        <row r="9456">
          <cell r="D9456" t="str">
            <v>16062531    -    CONNECTOR    -    0.273</v>
          </cell>
        </row>
        <row r="9457">
          <cell r="D9457" t="str">
            <v>9399786    -    HEADER-14POS,F,R/A    -    0.273</v>
          </cell>
        </row>
        <row r="9458">
          <cell r="D9458" t="str">
            <v>9397281    -    HEADER-13POS,F,V,ZI    -    0.2728</v>
          </cell>
        </row>
        <row r="9459">
          <cell r="D9459" t="str">
            <v>10763006    -    16.I42.93 CON AMP 284357-1 8V BC    -    0.272722</v>
          </cell>
        </row>
        <row r="9460">
          <cell r="D9460" t="str">
            <v>12186234    -    ASSM. CONN.    -    0.271852</v>
          </cell>
        </row>
        <row r="9461">
          <cell r="D9461" t="str">
            <v>10864424    -    CONN 18 F MULTILOCK 070 NAT    -    0.27122</v>
          </cell>
        </row>
        <row r="9462">
          <cell r="D9462" t="str">
            <v>15460629    -    2M 1.5 SEALED CONN    -    0.27103</v>
          </cell>
        </row>
        <row r="9463">
          <cell r="D9463" t="str">
            <v>9379446    -    HEADER-7PIN    -    0.271</v>
          </cell>
        </row>
        <row r="9464">
          <cell r="D9464" t="str">
            <v>9398800    -    HEADER-20POS,MA,V    -    0.271</v>
          </cell>
        </row>
        <row r="9465">
          <cell r="D9465" t="str">
            <v>15417294    -    CONN ASM 2 WAY F 1,5 MM SLD BK    -    0.27091</v>
          </cell>
        </row>
        <row r="9466">
          <cell r="D9466" t="str">
            <v>15338389    -    ASM CONNECTOR    -    0.270659</v>
          </cell>
        </row>
        <row r="9467">
          <cell r="D9467" t="str">
            <v>15340016    -    TERMINAL    -    0.27</v>
          </cell>
        </row>
        <row r="9468">
          <cell r="D9468" t="str">
            <v>15405583    -    SEALING PLUG    -    0.27</v>
          </cell>
        </row>
        <row r="9469">
          <cell r="D9469" t="str">
            <v>9391056    -    HEADER-16 COND,MALE    -    0.27</v>
          </cell>
        </row>
        <row r="9470">
          <cell r="D9470" t="str">
            <v>9399742    -    HEADER-17POS,F,R/A    -    0.27</v>
          </cell>
        </row>
        <row r="9471">
          <cell r="D9471" t="str">
            <v>10774418    -    CONN 5 BLK    -    0.269871</v>
          </cell>
        </row>
        <row r="9472">
          <cell r="D9472" t="str">
            <v>10774419    -    CONN 5 RED    -    0.269871</v>
          </cell>
        </row>
        <row r="9473">
          <cell r="D9473" t="str">
            <v>10864957    -    GEHAEUSETRAEGER IP    -    0.269871</v>
          </cell>
        </row>
        <row r="9474">
          <cell r="D9474" t="str">
            <v>16219800    -    HEADER-10 COND.,MA    -    0.26966</v>
          </cell>
        </row>
        <row r="9475">
          <cell r="D9475" t="str">
            <v>10768359    -    PTE MODULE MQS 12V MARRON * 96269771380    -    0.269578</v>
          </cell>
        </row>
        <row r="9476">
          <cell r="D9476" t="str">
            <v>10863916    -    CONN 2 F MCP 2.8 SLD    -    0.269067</v>
          </cell>
        </row>
        <row r="9477">
          <cell r="D9477" t="str">
            <v>10819573    -    KONTAKTTRAEGER    -    0.268926</v>
          </cell>
        </row>
        <row r="9478">
          <cell r="D9478" t="str">
            <v>15368838    -    CONNECTOR 14WAY    -    0.268794</v>
          </cell>
        </row>
        <row r="9479">
          <cell r="D9479" t="str">
            <v>12208994    -    CONN ASM-8 COND,J4    -    0.268</v>
          </cell>
        </row>
        <row r="9480">
          <cell r="D9480" t="str">
            <v>15394005    -    5POL SLKSTECKER    -    0.267503</v>
          </cell>
        </row>
        <row r="9481">
          <cell r="D9481" t="str">
            <v>10733754    -    16.533.96 CON 12V V NG L 35420 AMP 925    -    0.267307</v>
          </cell>
        </row>
        <row r="9482">
          <cell r="D9482" t="str">
            <v>12206989    -    CONN-10P.BERG HUB    -    0.267172</v>
          </cell>
        </row>
        <row r="9483">
          <cell r="D9483" t="str">
            <v>10777109    -    16.D11.96 CON. AMP MULTILOCK .070 1.7 MM    -    0.267143</v>
          </cell>
        </row>
        <row r="9484">
          <cell r="D9484" t="str">
            <v>15368872    -    FRAME 2'LI    -    0.267143</v>
          </cell>
        </row>
        <row r="9485">
          <cell r="D9485" t="str">
            <v>15420649    -    HOUSING    -    0.267</v>
          </cell>
        </row>
        <row r="9486">
          <cell r="D9486" t="str">
            <v>9401018    -    HEADER-14POS,M,V,1.    -    0.267</v>
          </cell>
        </row>
        <row r="9487">
          <cell r="D9487" t="str">
            <v>10762420    -    16-POL KUPPLUNG    -    0.266997</v>
          </cell>
        </row>
        <row r="9488">
          <cell r="D9488" t="str">
            <v>15338638    -    CX POS.2376 5 VIAS PR 029 545    -    0.26682</v>
          </cell>
        </row>
        <row r="9489">
          <cell r="D9489" t="str">
            <v>10723150    -    HOUSING 3 P. F ZL    -    0.26677</v>
          </cell>
        </row>
        <row r="9490">
          <cell r="D9490" t="str">
            <v>15332177    -    ASM CONN 16F GT 150    -    0.2666</v>
          </cell>
        </row>
        <row r="9491">
          <cell r="D9491" t="str">
            <v>10812109    -    SPT-KUPPLUNG1-FACH    -    0.266214</v>
          </cell>
        </row>
        <row r="9492">
          <cell r="D9492" t="str">
            <v>10768921    -    822952 TERM F SLEEVE AU    -    0.266025</v>
          </cell>
        </row>
        <row r="9493">
          <cell r="D9493" t="str">
            <v>15405586    -    HOLDER CONNECTOR    -    0.266</v>
          </cell>
        </row>
        <row r="9494">
          <cell r="D9494" t="str">
            <v>9396787    -    HEADER-14POS,F,R/A    -    0.266</v>
          </cell>
        </row>
        <row r="9495">
          <cell r="D9495" t="str">
            <v>9400390    -    HEADER-12POS,M,R/A    -    0.26589</v>
          </cell>
        </row>
        <row r="9496">
          <cell r="D9496" t="str">
            <v>15338225    -    ASSM. CONN    -    0.265254</v>
          </cell>
        </row>
        <row r="9497">
          <cell r="D9497" t="str">
            <v>15338388    -    ASSM. CONN    -    0.265254</v>
          </cell>
        </row>
        <row r="9498">
          <cell r="D9498" t="str">
            <v>15338451    -    ASSM. CONN    -    0.265254</v>
          </cell>
        </row>
        <row r="9499">
          <cell r="D9499" t="str">
            <v>15340173    -    ASSM. CONN    -    0.265254</v>
          </cell>
        </row>
        <row r="9500">
          <cell r="D9500" t="str">
            <v>15341188    -    ASSM. CONN    -    0.265254</v>
          </cell>
        </row>
        <row r="9501">
          <cell r="D9501" t="str">
            <v>15341189    -    ASSM. CONN    -    0.265254</v>
          </cell>
        </row>
        <row r="9502">
          <cell r="D9502" t="str">
            <v>15341191    -    ASSM. CONN    -    0.265254</v>
          </cell>
        </row>
        <row r="9503">
          <cell r="D9503" t="str">
            <v>15341192    -    ASSM. CONN    -    0.265254</v>
          </cell>
        </row>
        <row r="9504">
          <cell r="D9504" t="str">
            <v>15341193    -    ASSM. CONN    -    0.265254</v>
          </cell>
        </row>
        <row r="9505">
          <cell r="D9505" t="str">
            <v>15339190    -    ASM CONN 2 F ECONOSEAL III BLK SEALED    -    0.264649</v>
          </cell>
        </row>
        <row r="9506">
          <cell r="D9506" t="str">
            <v>10864751    -    2-POL.GEHAEUSE O. KONTAKT    -    0.264393</v>
          </cell>
        </row>
        <row r="9507">
          <cell r="D9507" t="str">
            <v>15338564    -    COV CONN TIMER BLK    -    0.264285</v>
          </cell>
        </row>
        <row r="9508">
          <cell r="D9508" t="str">
            <v>10787359    -    HOUSING 2.P. CE TES.    -    0.263664</v>
          </cell>
        </row>
        <row r="9509">
          <cell r="D9509" t="str">
            <v>15339533    -    ASM CONN 6 F TIMER JR-POWER YE    -    0.263543</v>
          </cell>
        </row>
        <row r="9510">
          <cell r="D9510" t="str">
            <v>15339534    -    ASM CONN 6 F TIMER JR-POWER BR    -    0.263543</v>
          </cell>
        </row>
        <row r="9511">
          <cell r="D9511" t="str">
            <v>15339535    -    ASM CONN 6 F TIMER JR-POWER BL    -    0.263543</v>
          </cell>
        </row>
        <row r="9512">
          <cell r="D9512" t="str">
            <v>15339537    -    ASM CONN 6 F TIMER JR-POWER PN    -    0.263543</v>
          </cell>
        </row>
        <row r="9513">
          <cell r="D9513" t="str">
            <v>16199332    -    HEADER-8 COND,MA,RA    -    0.263288</v>
          </cell>
        </row>
        <row r="9514">
          <cell r="D9514" t="str">
            <v>15364394    -    CONNECTOR    -    0.263105</v>
          </cell>
        </row>
        <row r="9515">
          <cell r="D9515" t="str">
            <v>15342642    -    CONN MISC N/A    -    0.2624</v>
          </cell>
        </row>
        <row r="9516">
          <cell r="D9516" t="str">
            <v>15342648    -    CONN 12 F MISC GRN    -    0.2623</v>
          </cell>
        </row>
        <row r="9517">
          <cell r="D9517" t="str">
            <v>10736048    -    29.905.50 L77702 AL 77033 WKZ 01708    -    0.26218</v>
          </cell>
        </row>
        <row r="9518">
          <cell r="D9518" t="str">
            <v>10736049    -    29.905.40 L77701    -    0.26218</v>
          </cell>
        </row>
        <row r="9519">
          <cell r="D9519" t="str">
            <v>16179504    -    HEADER-10 COND,MALE    -    0.2619</v>
          </cell>
        </row>
        <row r="9520">
          <cell r="D9520" t="str">
            <v>10777539    -    HOUSING 16.P. NAT. ( CU SN )    -    0.261552</v>
          </cell>
        </row>
        <row r="9521">
          <cell r="D9521" t="str">
            <v>15327467    -    BUCHSENGEHUSE13XLKS1,5    -    0.260471</v>
          </cell>
        </row>
        <row r="9522">
          <cell r="D9522" t="str">
            <v>9384265    -    HEADER-08POS,FE,R/A    -    0.26</v>
          </cell>
        </row>
        <row r="9523">
          <cell r="D9523" t="str">
            <v>10717666    -    CONN 6 F N/A    -    0.259953</v>
          </cell>
        </row>
        <row r="9524">
          <cell r="D9524" t="str">
            <v>15326863    -    ASM CONN 16F    -    0.259936</v>
          </cell>
        </row>
        <row r="9525">
          <cell r="D9525" t="str">
            <v>15338563    -    COV CONN TIMER BLK    -    0.259936</v>
          </cell>
        </row>
        <row r="9526">
          <cell r="D9526" t="str">
            <v>15405534    -    ASM CONN 12 M 1.5 GRA LT    -    0.2599</v>
          </cell>
        </row>
        <row r="9527">
          <cell r="D9527" t="str">
            <v>10775746    -    CX 32 CAV BK 8373650.    -    0.259725</v>
          </cell>
        </row>
        <row r="9528">
          <cell r="D9528" t="str">
            <v>12227991    -    J-COM-8POL-SW-12227991    -    0.259211</v>
          </cell>
        </row>
        <row r="9529">
          <cell r="D9529" t="str">
            <v>10726812    -    CONNECTOR 10 WAY    -    0.258024</v>
          </cell>
        </row>
        <row r="9530">
          <cell r="D9530" t="str">
            <v>10847403    -    COV CONN MQS BLK    -    0.257943</v>
          </cell>
        </row>
        <row r="9531">
          <cell r="D9531" t="str">
            <v>10863289    -    COV CONN MQS WHT    -    0.257943</v>
          </cell>
        </row>
        <row r="9532">
          <cell r="D9532" t="str">
            <v>10864431    -    COV CONN MQS    -    0.257943</v>
          </cell>
        </row>
        <row r="9533">
          <cell r="D9533" t="str">
            <v>15358746    -    BRACKET BATT CABLE    -    0.25792</v>
          </cell>
        </row>
        <row r="9534">
          <cell r="D9534" t="str">
            <v>15366095S    -    ASM CONN 2M M/P 280    -    0.2571</v>
          </cell>
        </row>
        <row r="9535">
          <cell r="D9535" t="str">
            <v>10726491    -    ASS. CONN 5F SUPERSEAL    -    0.256377</v>
          </cell>
        </row>
        <row r="9536">
          <cell r="D9536" t="str">
            <v>10864412    -    CONN 3 F MODU YEL    -    0.256377</v>
          </cell>
        </row>
        <row r="9537">
          <cell r="D9537" t="str">
            <v>10778374    -    16.682.94 CONECTOR HIROSE 2 VI    -    0.256084</v>
          </cell>
        </row>
        <row r="9538">
          <cell r="D9538" t="str">
            <v>10864664    -    CONN 2 F BLK SLD    -    0.255325</v>
          </cell>
        </row>
        <row r="9539">
          <cell r="D9539" t="str">
            <v>12232376    -    HEADER-6 PIN    -    0.255</v>
          </cell>
        </row>
        <row r="9540">
          <cell r="D9540" t="str">
            <v>16212327    -    HEADER-08 COND    -    0.255</v>
          </cell>
        </row>
        <row r="9541">
          <cell r="D9541" t="str">
            <v>10787845    -    SICHERUNGSSCHIEBER    -    0.254755</v>
          </cell>
        </row>
        <row r="9542">
          <cell r="D9542" t="str">
            <v>15324236    -    HOUSING 3.P. CE-ZE-SE    -    0.254718</v>
          </cell>
        </row>
        <row r="9543">
          <cell r="D9543" t="str">
            <v>15324398    -    CONN 3 WAY W BK    -    0.254718</v>
          </cell>
        </row>
        <row r="9544">
          <cell r="D9544" t="str">
            <v>15405527    -    CONN 8 F BLK    -    0.254283</v>
          </cell>
        </row>
        <row r="9545">
          <cell r="D9545" t="str">
            <v>15368839    -    CONNEKTOR    -    0.254136</v>
          </cell>
        </row>
        <row r="9546">
          <cell r="D9546" t="str">
            <v>10789108    -    CONN ASM    -    0.254096</v>
          </cell>
        </row>
        <row r="9547">
          <cell r="D9547" t="str">
            <v>15327790    -    STECKERGEHAEUSE    -    0.254096</v>
          </cell>
        </row>
        <row r="9548">
          <cell r="D9548" t="str">
            <v>15411490    -    01.483.08 AMP 1-967590-1 MCP 9.5    -    0.253898</v>
          </cell>
        </row>
        <row r="9549">
          <cell r="D9549" t="str">
            <v>10737967    -    CONNECTOR 7V VRT * 9629742880    -    0.253873</v>
          </cell>
        </row>
        <row r="9550">
          <cell r="D9550" t="str">
            <v>15368849    -    16.D59.96 CO ZFW6-5 AMP 1-9675    -    0.253798</v>
          </cell>
        </row>
        <row r="9551">
          <cell r="D9551" t="str">
            <v>10846971    -    CONNECTOR 12 WAY FEMALE WHITE    -    0.253661</v>
          </cell>
        </row>
        <row r="9552">
          <cell r="D9552" t="str">
            <v>10787663    -    ASM CONN 18 F MCP 2.8 GRA    -    0.253193</v>
          </cell>
        </row>
        <row r="9553">
          <cell r="D9553" t="str">
            <v>10812064    -    CONN BRN    -    0.253018</v>
          </cell>
        </row>
        <row r="9554">
          <cell r="D9554" t="str">
            <v>15326836    -    ASM CONN 8 WAY FEM    -    0.252978</v>
          </cell>
        </row>
        <row r="9555">
          <cell r="D9555" t="str">
            <v>10722770    -    CONN 4 M MATE-N-LOK MINIUNIVER NAT    -    0.252977</v>
          </cell>
        </row>
        <row r="9556">
          <cell r="D9556" t="str">
            <v>9397776    -    HEADER-02POS,M,R/A    -    0.25252</v>
          </cell>
        </row>
        <row r="9557">
          <cell r="D9557" t="str">
            <v>10753921    -    MOUN WASHER 26.80 0.00 NONE    -    0.251736</v>
          </cell>
        </row>
        <row r="9558">
          <cell r="D9558" t="str">
            <v>16230307    -    HEADER-17 COND.,FFC    -    0.25118</v>
          </cell>
        </row>
        <row r="9559">
          <cell r="D9559" t="str">
            <v>15327616    -    DV COVER POS 3709 BK 168 540 1321    -    0.251127</v>
          </cell>
        </row>
        <row r="9560">
          <cell r="D9560" t="str">
            <v>16059425    -    HEADER-16 TERM    -    0.251</v>
          </cell>
        </row>
        <row r="9561">
          <cell r="D9561" t="str">
            <v>10811098    -    CONN 16 F IDC BLK    -    0.25099</v>
          </cell>
        </row>
        <row r="9562">
          <cell r="D9562" t="str">
            <v>10749464    -    STECKH?LSENGEH?USE2X5-POL.SLK2    -    0.25094</v>
          </cell>
        </row>
        <row r="9563">
          <cell r="D9563" t="str">
            <v>10726500    -    15.619.96 CO.AMP 282108-1 6V.NG 1/24535/    -    0.250269</v>
          </cell>
        </row>
        <row r="9564">
          <cell r="D9564" t="str">
            <v>15368870    -    16.E61.93 CONECTOR AMP 6V BC TIPO IDC    -    0.250269</v>
          </cell>
        </row>
        <row r="9565">
          <cell r="D9565" t="str">
            <v>28014026    -    HEADER - 18 POS    -    0.25</v>
          </cell>
        </row>
        <row r="9566">
          <cell r="D9566" t="str">
            <v>9374975    -    HEADER-20 COND,ZIF    -    0.25</v>
          </cell>
        </row>
        <row r="9567">
          <cell r="D9567" t="str">
            <v>9400722    -    HEADER    -    0.25</v>
          </cell>
        </row>
        <row r="9568">
          <cell r="D9568" t="str">
            <v>12020926    -    ASM CONN 6F W/P TWR SLD    -    0.2498</v>
          </cell>
        </row>
        <row r="9569">
          <cell r="D9569" t="str">
            <v>15327488    -    CONN ASM    -    0.249673</v>
          </cell>
        </row>
        <row r="9570">
          <cell r="D9570" t="str">
            <v>15316845    -    STECKERGEHAEUSE    -    0.249499</v>
          </cell>
        </row>
        <row r="9571">
          <cell r="D9571" t="str">
            <v>15364180    -    15.975.96 CO.AMP 344273_1 3V.NG. ECONOSE    -    0.248816</v>
          </cell>
        </row>
        <row r="9572">
          <cell r="D9572" t="str">
            <v>15332150    -    ASM CONN 8M GT 150    -    0.2486</v>
          </cell>
        </row>
        <row r="9573">
          <cell r="D9573" t="str">
            <v>15324955    -    ASM CONN 16 M+F 1.5 GRN    -    0.24814</v>
          </cell>
        </row>
        <row r="9574">
          <cell r="D9574" t="str">
            <v>15414374    -    BOLT-B-PLUS    -    0.248011</v>
          </cell>
        </row>
        <row r="9575">
          <cell r="D9575" t="str">
            <v>10776817    -    CONN 3 M YEL    -    0.247917</v>
          </cell>
        </row>
        <row r="9576">
          <cell r="D9576" t="str">
            <v>10780402    -    CONN 1 F GRA    -    0.247884</v>
          </cell>
        </row>
        <row r="9577">
          <cell r="D9577" t="str">
            <v>10769599    -    CONN ASM    -    0.247759</v>
          </cell>
        </row>
        <row r="9578">
          <cell r="D9578" t="str">
            <v>10775739    -    634289 CNCO 2 BK    -    0.247759</v>
          </cell>
        </row>
        <row r="9579">
          <cell r="D9579" t="str">
            <v>10864395    -    CONN 12 F MULTILOCK 070 WHT    -    0.247391</v>
          </cell>
        </row>
        <row r="9580">
          <cell r="D9580" t="str">
            <v>10763318    -    STECKHLSENGEHUSE 3-POL. LSK 8 KOD. B    -    0.247126</v>
          </cell>
        </row>
        <row r="9581">
          <cell r="D9581" t="str">
            <v>15405808    -    CONN 6 M N/A    -    0.2471</v>
          </cell>
        </row>
        <row r="9582">
          <cell r="D9582" t="str">
            <v>15364161    -    CONECTOR 9V NR * 9615405680    -    0.247051</v>
          </cell>
        </row>
        <row r="9583">
          <cell r="D9583" t="str">
            <v>15419839    -    CONN GRAY 10W SLK    -    0.246824</v>
          </cell>
        </row>
        <row r="9584">
          <cell r="D9584" t="str">
            <v>10733526    -    16.539.96 CO AMP 926097-2 3V NG 57M7092    -    0.246579</v>
          </cell>
        </row>
        <row r="9585">
          <cell r="D9585" t="str">
            <v>15450710    -    CONNECTOR 14 WAY BLACK    -    0.24648</v>
          </cell>
        </row>
        <row r="9586">
          <cell r="D9586" t="str">
            <v>10768342    -    CONNEKTOR    -    0.246392</v>
          </cell>
        </row>
        <row r="9587">
          <cell r="D9587" t="str">
            <v>10811371    -    2-POL.GEHAEUSE    -    0.246244</v>
          </cell>
        </row>
        <row r="9588">
          <cell r="D9588" t="str">
            <v>12184990    -    CONN 24 M TIMER JR-POWER BLK SEALED    -    0.246181</v>
          </cell>
        </row>
        <row r="9589">
          <cell r="D9589" t="str">
            <v>10722251    -    CX 12 VIAS CI 93BG14A4    -    0.24602</v>
          </cell>
        </row>
        <row r="9590">
          <cell r="D9590" t="str">
            <v>9396690    -    HEADER-16POS,M,R/A    -    0.246</v>
          </cell>
        </row>
        <row r="9591">
          <cell r="D9591" t="str">
            <v>9396703    -    HEADER-16POS,F,V,SM    -    0.246</v>
          </cell>
        </row>
        <row r="9592">
          <cell r="D9592" t="str">
            <v>10723287    -    CONN 8 F TIMER JR-POWER BLK    -    0.245983</v>
          </cell>
        </row>
        <row r="9593">
          <cell r="D9593" t="str">
            <v>15327170    -    CONN 15 M N/A    -    0.245678</v>
          </cell>
        </row>
        <row r="9594">
          <cell r="D9594" t="str">
            <v>15336219    -    ASM CONN 16F GT MXD    -    0.245</v>
          </cell>
        </row>
        <row r="9595">
          <cell r="D9595" t="str">
            <v>10787719    -    ASM CONN 16F MIX    -    0.244921</v>
          </cell>
        </row>
        <row r="9596">
          <cell r="D9596" t="str">
            <v>12103020    -    CONNECTOR    -    0.2448</v>
          </cell>
        </row>
        <row r="9597">
          <cell r="D9597" t="str">
            <v>12198462    -    15.883.93 CON. 174930-1 AMP 1/24839/80 6    -    0.24469</v>
          </cell>
        </row>
        <row r="9598">
          <cell r="D9598" t="str">
            <v>10846501    -    CONN ASM    -    0.244529</v>
          </cell>
        </row>
        <row r="9599">
          <cell r="D9599" t="str">
            <v>9393356    -    HEADER-06POS,M,R/AP    -    0.244</v>
          </cell>
        </row>
        <row r="9600">
          <cell r="D9600" t="str">
            <v>9400362    -    HEADER-12POS,F,V,1.    -    0.243963</v>
          </cell>
        </row>
        <row r="9601">
          <cell r="D9601" t="str">
            <v>15368866    -    CONN 9 F    -    0.243846</v>
          </cell>
        </row>
        <row r="9602">
          <cell r="D9602" t="str">
            <v>15368867    -    CONN 9 F IDC WHT    -    0.243846</v>
          </cell>
        </row>
        <row r="9603">
          <cell r="D9603" t="str">
            <v>9398798    -    HEADER-16POS,MA,V    -    0.243</v>
          </cell>
        </row>
        <row r="9604">
          <cell r="D9604" t="str">
            <v>10820319    -    CONN 12 M MCP BLK    -    0.242884</v>
          </cell>
        </row>
        <row r="9605">
          <cell r="D9605" t="str">
            <v>10820320    -    CONN 12 M MCP GRA    -    0.242884</v>
          </cell>
        </row>
        <row r="9606">
          <cell r="D9606" t="str">
            <v>10820321    -    CONN 12 M MCP BLK    -    0.242884</v>
          </cell>
        </row>
        <row r="9607">
          <cell r="D9607" t="str">
            <v>10820322    -    CONN 12 M MCP GRA    -    0.242884</v>
          </cell>
        </row>
        <row r="9608">
          <cell r="D9608" t="str">
            <v>10776858    -    CONN 2 F TIMER JR-POWER BLK SEALED    -    0.242843</v>
          </cell>
        </row>
        <row r="9609">
          <cell r="D9609" t="str">
            <v>12185331    -    STECKERGEHAEUSE    -    0.242789</v>
          </cell>
        </row>
        <row r="9610">
          <cell r="D9610" t="str">
            <v>15339538    -    409681731    -    0.242678</v>
          </cell>
        </row>
        <row r="9611">
          <cell r="D9611" t="str">
            <v>10721331    -    CX 2 VIAS 2 BR 44390623    -    0.242344</v>
          </cell>
        </row>
        <row r="9612">
          <cell r="D9612" t="str">
            <v>10721335    -    CX 2 VIAS 2 AZ 44390923    -    0.242344</v>
          </cell>
        </row>
        <row r="9613">
          <cell r="D9613" t="str">
            <v>10740473    -    STECKERGEHAEUSE    -    0.241547</v>
          </cell>
        </row>
        <row r="9614">
          <cell r="D9614" t="str">
            <v>10847021    -    16-POL.GEHAEUSE TYCO    -    0.241535</v>
          </cell>
        </row>
        <row r="9615">
          <cell r="D9615" t="str">
            <v>15339551    -    9295151    -    0.241467</v>
          </cell>
        </row>
        <row r="9616">
          <cell r="D9616" t="str">
            <v>15404492    -    2 WAY CONN.BLACK    -    0.24141</v>
          </cell>
        </row>
        <row r="9617">
          <cell r="D9617" t="str">
            <v>10733808    -    16.929.96 CON 57M7183 3V NG KOLB    -    0.2414</v>
          </cell>
        </row>
        <row r="9618">
          <cell r="D9618" t="str">
            <v>10769133    -    DV TAMPA 9637943180 PRETA    -    0.241298</v>
          </cell>
        </row>
        <row r="9619">
          <cell r="D9619" t="str">
            <v>10721719    -    607808 BUCHSENGEHAEUSE    -    0.240732</v>
          </cell>
        </row>
        <row r="9620">
          <cell r="D9620" t="str">
            <v>10722430    -    STECKERGEHAEUSE    -    0.240677</v>
          </cell>
        </row>
        <row r="9621">
          <cell r="D9621" t="str">
            <v>10756754    -    STECKERGEHAEUSE    -    0.24005</v>
          </cell>
        </row>
        <row r="9622">
          <cell r="D9622" t="str">
            <v>10848125    -    ASSM CONN    -    0.24005</v>
          </cell>
        </row>
        <row r="9623">
          <cell r="D9623" t="str">
            <v>12048497    -    TERMINAL    -    0.24</v>
          </cell>
        </row>
        <row r="9624">
          <cell r="D9624" t="str">
            <v>15422503    -    ASM CONN 4M    -    0.24</v>
          </cell>
        </row>
        <row r="9625">
          <cell r="D9625" t="str">
            <v>15434308    -    SR PLUG, BLACK    -    0.24</v>
          </cell>
        </row>
        <row r="9626">
          <cell r="D9626" t="str">
            <v>16209129    -    HEADER-06 COND,MA    -    0.24</v>
          </cell>
        </row>
        <row r="9627">
          <cell r="D9627" t="str">
            <v>9352403    -    HEADER-15 COND,ZIF    -    0.24</v>
          </cell>
        </row>
        <row r="9628">
          <cell r="D9628" t="str">
            <v>PG000515    -    #12 GOLD PIN    -    0.24</v>
          </cell>
        </row>
        <row r="9629">
          <cell r="D9629" t="str">
            <v>15326830    -    ASM CONN 6 WAY FEM    -    0.238192</v>
          </cell>
        </row>
        <row r="9630">
          <cell r="D9630" t="str">
            <v>16227218    -    HEADER-12 PIN    -    0.238</v>
          </cell>
        </row>
        <row r="9631">
          <cell r="D9631" t="str">
            <v>10769597    -    10POL SLK/LSKKUPPLUNGSGEH.    -    0.237993</v>
          </cell>
        </row>
        <row r="9632">
          <cell r="D9632" t="str">
            <v>10779922    -    10 WAY CONNECTOR    -    0.237596</v>
          </cell>
        </row>
        <row r="9633">
          <cell r="D9633" t="str">
            <v>10763694    -    TAMPA P/MCMQSF90 18V PR    -    0.237521</v>
          </cell>
        </row>
        <row r="9634">
          <cell r="D9634" t="str">
            <v>10738393    -    15.491.06 CON 3V (NG) J.P.T. 282729-1 1/    -    0.237434</v>
          </cell>
        </row>
        <row r="9635">
          <cell r="D9635" t="str">
            <v>9401770    -    HEADER-14POS,M,V,2M    -    0.237</v>
          </cell>
        </row>
        <row r="9636">
          <cell r="D9636" t="str">
            <v>15336035    -    ASM CONNECTOR 4F    -    0.236701</v>
          </cell>
        </row>
        <row r="9637">
          <cell r="D9637" t="str">
            <v>16221384    -    HEADER-12 COND,MALE    -    0.2367</v>
          </cell>
        </row>
        <row r="9638">
          <cell r="D9638" t="str">
            <v>10820335    -    ASM CONN 6 F TAB 2.8 GRA    -    0.236387</v>
          </cell>
        </row>
        <row r="9639">
          <cell r="D9639" t="str">
            <v>10787992    -    HOUSING 16 P. F CE    -    0.236137</v>
          </cell>
        </row>
        <row r="9640">
          <cell r="D9640" t="str">
            <v>10722618    -    CONN 3 F    -    0.23608</v>
          </cell>
        </row>
        <row r="9641">
          <cell r="D9641" t="str">
            <v>12103301    -    CONN 3 WAY PC    -    0.236</v>
          </cell>
        </row>
        <row r="9642">
          <cell r="D9642" t="str">
            <v>10811973    -    2 WAY CONNECTOR BLACK    -    0.235948</v>
          </cell>
        </row>
        <row r="9643">
          <cell r="D9643" t="str">
            <v>15342662    -    CONN 6 F RECEPTACLE 2.8 BLK SLD    -    0.235624</v>
          </cell>
        </row>
        <row r="9644">
          <cell r="D9644" t="str">
            <v>10781138    -    16.J97.93 CON AMP 282577-1 10VOIES + SEG    -    0.235508</v>
          </cell>
        </row>
        <row r="9645">
          <cell r="D9645" t="str">
            <v>10763136    -    CONN 3 F QUADLOK MICRO BLK    -    0.235086</v>
          </cell>
        </row>
        <row r="9646">
          <cell r="D9646" t="str">
            <v>10781156    -    CONN 2 M RECEPTACLE MULTI SEALED    -    0.234887</v>
          </cell>
        </row>
        <row r="9647">
          <cell r="D9647" t="str">
            <v>10723442    -    CX 15 PR 4B097258    -    0.234464</v>
          </cell>
        </row>
        <row r="9648">
          <cell r="D9648" t="str">
            <v>10723443    -    CX CX 15 CA 4B097258    -    0.234464</v>
          </cell>
        </row>
        <row r="9649">
          <cell r="D9649" t="str">
            <v>10723444    -    CX 15 VIAS 15 AZ 4B097258    -    0.234464</v>
          </cell>
        </row>
        <row r="9650">
          <cell r="D9650" t="str">
            <v>15305292    -    ASM CAP 12M M/P 280 SPLICE SAV    -    0.234</v>
          </cell>
        </row>
        <row r="9651">
          <cell r="D9651" t="str">
            <v>12147805    -    HOUSING 8.P. BLACK    -    0.233843</v>
          </cell>
        </row>
        <row r="9652">
          <cell r="D9652" t="str">
            <v>10757630    -    CX P/CS15DA 16V PR 9636160180    -    0.233756</v>
          </cell>
        </row>
        <row r="9653">
          <cell r="D9653" t="str">
            <v>10775787    -    STECKHLSENGEHUSE2X3-POL.E95NATUR    -    0.233731</v>
          </cell>
        </row>
        <row r="9654">
          <cell r="D9654" t="str">
            <v>10722429    -    STECKERGEHAEUSE    -    0.233098</v>
          </cell>
        </row>
        <row r="9655">
          <cell r="D9655" t="str">
            <v>10723270    -    STECKERGEHAEUSE    -    0.233098</v>
          </cell>
        </row>
        <row r="9656">
          <cell r="D9656" t="str">
            <v>12185007    -    STECKERGEHAEUSE    -    0.233098</v>
          </cell>
        </row>
        <row r="9657">
          <cell r="D9657" t="str">
            <v>15405532    -    ASM CONN 16 F 1.5 GRA LT    -    0.2321</v>
          </cell>
        </row>
        <row r="9658">
          <cell r="D9658" t="str">
            <v>15412242    -    CONNECTOR 16W BLUE    -    0.2321</v>
          </cell>
        </row>
        <row r="9659">
          <cell r="D9659" t="str">
            <v>12207258    -    HEADER-24 COND,MALE    -    0.232</v>
          </cell>
        </row>
        <row r="9660">
          <cell r="D9660" t="str">
            <v>9399561    -    HEADER-8POS,M,R/A,2    -    0.23166</v>
          </cell>
        </row>
        <row r="9661">
          <cell r="D9661" t="str">
            <v>10732759    -    624078 ZLACZE    -    0.231632</v>
          </cell>
        </row>
        <row r="9662">
          <cell r="D9662" t="str">
            <v>12185776    -    CONNECTOR 8W YELLOW    -    0.231118</v>
          </cell>
        </row>
        <row r="9663">
          <cell r="D9663" t="str">
            <v>16246298    -    HEADER-09 COND    -    0.23086</v>
          </cell>
        </row>
        <row r="9664">
          <cell r="D9664" t="str">
            <v>12161186    -    CONN 15F M/P 280 FLXLK SLD    -    0.2307</v>
          </cell>
        </row>
        <row r="9665">
          <cell r="D9665" t="str">
            <v>15326868    -    ASM CONN 16M    -    0.230488</v>
          </cell>
        </row>
        <row r="9666">
          <cell r="D9666" t="str">
            <v>10722496    -    STECKHLSENGEHUSE2X3-POL.E95SW    -    0.230186</v>
          </cell>
        </row>
        <row r="9667">
          <cell r="D9667" t="str">
            <v>12191899    -    CONN-02,MALE    -    0.23</v>
          </cell>
        </row>
        <row r="9668">
          <cell r="D9668" t="str">
            <v>15443858    -    ASM CONN 4M    -    0.23</v>
          </cell>
        </row>
        <row r="9669">
          <cell r="D9669" t="str">
            <v>9400899    -    HEADER-16POS,M,R/A    -    0.23</v>
          </cell>
        </row>
        <row r="9670">
          <cell r="D9670" t="str">
            <v>9401943    -    HEADER-20POS,F,V,1M    -    0.23</v>
          </cell>
        </row>
        <row r="9671">
          <cell r="D9671" t="str">
            <v>PG004730    -    CONN 2W    -    0.23</v>
          </cell>
        </row>
        <row r="9672">
          <cell r="D9672" t="str">
            <v>10726358    -    006698 ZLACZE 1/23377/81    -    0.229971</v>
          </cell>
        </row>
        <row r="9673">
          <cell r="D9673" t="str">
            <v>10768267    -    CONN 25 F QUADLOK MICRO BLU    -    0.229308</v>
          </cell>
        </row>
        <row r="9674">
          <cell r="D9674" t="str">
            <v>15452737    -    ASM CONN 14 F RECEPTACLE 1.5 2.8    -    0.2293</v>
          </cell>
        </row>
        <row r="9675">
          <cell r="D9675" t="str">
            <v>9372617    -    CONNECTOR-6POL,THT    -    0.22908</v>
          </cell>
        </row>
        <row r="9676">
          <cell r="D9676" t="str">
            <v>16231871    -    HEADER-10 PIN    -    0.229</v>
          </cell>
        </row>
        <row r="9677">
          <cell r="D9677" t="str">
            <v>15363711    -    606724 AK 15500    -    0.228749</v>
          </cell>
        </row>
        <row r="9678">
          <cell r="D9678" t="str">
            <v>15332153    -    ASM CONN 10F GT 150    -    0.2286</v>
          </cell>
        </row>
        <row r="9679">
          <cell r="D9679" t="str">
            <v>10780306    -    ASM COV CONN BLK    -    0.228365</v>
          </cell>
        </row>
        <row r="9680">
          <cell r="D9680" t="str">
            <v>10819345    -    CONN 3 F BLK    -    0.22823</v>
          </cell>
        </row>
        <row r="9681">
          <cell r="D9681" t="str">
            <v>15368964    -    CON.12W    -    0.227805</v>
          </cell>
        </row>
        <row r="9682">
          <cell r="D9682" t="str">
            <v>10722274    -    613206 RUNDSTECKERGEHAEUS    -    0.227515</v>
          </cell>
        </row>
        <row r="9683">
          <cell r="D9683" t="str">
            <v>15338870    -    ASM COV    -    0.227258</v>
          </cell>
        </row>
        <row r="9684">
          <cell r="D9684" t="str">
            <v>10793548    -    VIDLICE 12.P. BI    -    0.226388</v>
          </cell>
        </row>
        <row r="9685">
          <cell r="D9685" t="str">
            <v>10737800    -    ASM CONN 9F    -    0.226264</v>
          </cell>
        </row>
        <row r="9686">
          <cell r="D9686" t="str">
            <v>10721478    -    CONN 2 M+F GRA    -    0.226003</v>
          </cell>
        </row>
        <row r="9687">
          <cell r="D9687" t="str">
            <v>12129716S    -    ASM CONN 4F M/P 280 FLXLK *    -    0.226</v>
          </cell>
        </row>
        <row r="9688">
          <cell r="D9688" t="str">
            <v>15354716    -    ASM CONN 4F GT 150 SLD 3.2 X 4    -    0.2259</v>
          </cell>
        </row>
        <row r="9689">
          <cell r="D9689" t="str">
            <v>15368979    -    15.134.26 CO AMP 281844.1 2V N    -    0.224599</v>
          </cell>
        </row>
        <row r="9690">
          <cell r="D9690" t="str">
            <v>15332145    -    ASM CONN 8F GT 150    -    0.2244</v>
          </cell>
        </row>
        <row r="9691">
          <cell r="D9691" t="str">
            <v>10768520    -    DV TAMPA 26 VIAS AZUL    -    0.223655</v>
          </cell>
        </row>
        <row r="9692">
          <cell r="D9692" t="str">
            <v>15364081    -    CONN ASM    -    0.223655</v>
          </cell>
        </row>
        <row r="9693">
          <cell r="D9693" t="str">
            <v>9400968    -    HEADER-15POS,F,V,1M    -    0.2231</v>
          </cell>
        </row>
        <row r="9694">
          <cell r="D9694" t="str">
            <v>10774416    -    16.C16.94 CO AMP 2VI PARA TER2.8 GR 282    -    0.223008</v>
          </cell>
        </row>
        <row r="9695">
          <cell r="D9695" t="str">
            <v>12237144    -    HEADER-8 POS,MALE    -    0.223</v>
          </cell>
        </row>
        <row r="9696">
          <cell r="D9696" t="str">
            <v>16215023    -    TERMINAL STRIP    -    0.223</v>
          </cell>
        </row>
        <row r="9697">
          <cell r="D9697" t="str">
            <v>15342678    -    ASSM. CONN. MDK 5 PLUS    -    0.222834</v>
          </cell>
        </row>
        <row r="9698">
          <cell r="D9698" t="str">
            <v>9354981    -    HEADER-6POS,MA,VERT    -    0.222</v>
          </cell>
        </row>
        <row r="9699">
          <cell r="D9699" t="str">
            <v>10787581    -    ASM CONN    -    0.221915</v>
          </cell>
        </row>
        <row r="9700">
          <cell r="D9700" t="str">
            <v>10769596    -    CONN 8 F TIMER MICRO II BLK SEALED    -    0.221456</v>
          </cell>
        </row>
        <row r="9701">
          <cell r="D9701" t="str">
            <v>10763122    -    CONN 2 M BLK    -    0.221444</v>
          </cell>
        </row>
        <row r="9702">
          <cell r="D9702" t="str">
            <v>15338688    -    STECKERGEHAEUSE    -    0.221045</v>
          </cell>
        </row>
        <row r="9703">
          <cell r="D9703" t="str">
            <v>10779951    -    CONN 10 F WHT    -    0.220754</v>
          </cell>
        </row>
        <row r="9704">
          <cell r="D9704" t="str">
            <v>15363665    -    ASM CONN 9 F BLU    -    0.220754</v>
          </cell>
        </row>
        <row r="9705">
          <cell r="D9705" t="str">
            <v>15364079    -    ASM CENT RELAY CTR BLK    -    0.220754</v>
          </cell>
        </row>
        <row r="9706">
          <cell r="D9706" t="str">
            <v>15368336    -    ASM CONN 9    -    0.220754</v>
          </cell>
        </row>
        <row r="9707">
          <cell r="D9707" t="str">
            <v>15368545    -    ASM CONN 9 F    -    0.220754</v>
          </cell>
        </row>
        <row r="9708">
          <cell r="D9708" t="str">
            <v>15342631    -    STECKERGEHAEUSE    -    0.220175</v>
          </cell>
        </row>
        <row r="9709">
          <cell r="D9709" t="str">
            <v>10768478    -    CONN 12 M GRN    -    0.22008</v>
          </cell>
        </row>
        <row r="9710">
          <cell r="D9710" t="str">
            <v>15365863    -    CONNECTOR 2 WAY DTM SER    -    0.22</v>
          </cell>
        </row>
        <row r="9711">
          <cell r="D9711" t="str">
            <v>15420648    -    HOUSING    -    0.22</v>
          </cell>
        </row>
        <row r="9712">
          <cell r="D9712" t="str">
            <v>15327617    -    CX POS 3709 10 CAV BK 168 540    -    0.219194</v>
          </cell>
        </row>
        <row r="9713">
          <cell r="D9713" t="str">
            <v>10723362    -    STECKERGEHAEUSE    -    0.219181</v>
          </cell>
        </row>
        <row r="9714">
          <cell r="D9714" t="str">
            <v>15364027    -    16.889.90 CON 2V P.HEM. A.M.P.282590-1+S    -    0.218212</v>
          </cell>
        </row>
        <row r="9715">
          <cell r="D9715" t="str">
            <v>15394016    -    2POL MQSSRS STECKER    -    0.218026</v>
          </cell>
        </row>
        <row r="9716">
          <cell r="D9716" t="str">
            <v>15405008    -    CONNECTOR    -    0.218</v>
          </cell>
        </row>
        <row r="9717">
          <cell r="D9717" t="str">
            <v>10756772    -    CX P/MCMQSA 26 AM 9631162480    -    0.217728</v>
          </cell>
        </row>
        <row r="9718">
          <cell r="D9718" t="str">
            <v>10781139    -    16.J98.93 CON 282580-1 AMP 12 VOIES + SE    -    0.217442</v>
          </cell>
        </row>
        <row r="9719">
          <cell r="D9719" t="str">
            <v>16194498    -    CONN-09 COND,MALE    -    0.21728</v>
          </cell>
        </row>
        <row r="9720">
          <cell r="D9720" t="str">
            <v>15417299    -    ASM CONN 4 F RECEPTACLE 0.64 BLK    -    0.216288</v>
          </cell>
        </row>
        <row r="9721">
          <cell r="D9721" t="str">
            <v>15338130    -    CONN 6 M    -    0.216274</v>
          </cell>
        </row>
        <row r="9722">
          <cell r="D9722" t="str">
            <v>10779305    -    COV BLK    -    0.215951</v>
          </cell>
        </row>
        <row r="9723">
          <cell r="D9723" t="str">
            <v>10722617    -    CONNEKTOR 12W    -    0.215802</v>
          </cell>
        </row>
        <row r="9724">
          <cell r="D9724" t="str">
            <v>10864287    -    ASM CONN 0 F BLK SLD BASE 16    -    0.215546</v>
          </cell>
        </row>
        <row r="9725">
          <cell r="D9725" t="str">
            <v>15364149    -    16.Q20.A6 PC 2V CET    -    0.215044</v>
          </cell>
        </row>
        <row r="9726">
          <cell r="D9726" t="str">
            <v>9396785    -    HEADER-10POS,F,R/A    -    0.215</v>
          </cell>
        </row>
        <row r="9727">
          <cell r="D9727" t="str">
            <v>12129565    -    PORTE CLIP 4 VOIES    -    0.2147</v>
          </cell>
        </row>
        <row r="9728">
          <cell r="D9728" t="str">
            <v>15326835    -    ASM CONN 8F GT 150 SLD    -    0.2141</v>
          </cell>
        </row>
        <row r="9729">
          <cell r="D9729" t="str">
            <v>15336029    -    ASM CONN 3F    -    0.21359</v>
          </cell>
        </row>
        <row r="9730">
          <cell r="D9730" t="str">
            <v>16257648    -    HEADER-06PIN,SM,V    -    0.2134</v>
          </cell>
        </row>
        <row r="9731">
          <cell r="D9731" t="str">
            <v>15342383    -    CONNECTOR VOLVO 9130220    -    0.213252</v>
          </cell>
        </row>
        <row r="9732">
          <cell r="D9732" t="str">
            <v>9396808    -    HEADER-06POS,F,R/A    -    0.213204</v>
          </cell>
        </row>
        <row r="9733">
          <cell r="D9733" t="str">
            <v>15401705    -    CONN 12 F MULTILOCK 040 GRN    -    0.213023</v>
          </cell>
        </row>
        <row r="9734">
          <cell r="D9734" t="str">
            <v>10775223    -    KUPPLUNGS-UNTERTEIL    -    0.212919</v>
          </cell>
        </row>
        <row r="9735">
          <cell r="D9735" t="str">
            <v>15454898    -    ASM CONNECTOR    -    0.2129</v>
          </cell>
        </row>
        <row r="9736">
          <cell r="D9736" t="str">
            <v>10788274    -    18 WAY CONNECTOR BLACK    -    0.212726</v>
          </cell>
        </row>
        <row r="9737">
          <cell r="D9737" t="str">
            <v>15405522    -    CONN 10W    -    0.21232</v>
          </cell>
        </row>
        <row r="9738">
          <cell r="D9738" t="str">
            <v>15485697    -    10 WAY CONN 064 F    -    0.21232</v>
          </cell>
        </row>
        <row r="9739">
          <cell r="D9739" t="str">
            <v>10733411    -    CONN 2    -    0.2122</v>
          </cell>
        </row>
        <row r="9740">
          <cell r="D9740" t="str">
            <v>15332166    -    ASM CONN 12M GT 150    -    0.212</v>
          </cell>
        </row>
        <row r="9741">
          <cell r="D9741" t="str">
            <v>15339166    -    SOCKET #16, STAMPED GOLD    -    0.2118</v>
          </cell>
        </row>
        <row r="9742">
          <cell r="D9742" t="str">
            <v>15364022    -    15.538.93 P.R. AMP 282435-1 9V BC    -    0.211764</v>
          </cell>
        </row>
        <row r="9743">
          <cell r="D9743" t="str">
            <v>15364023    -    15.538.96 P.R. AMP 282435-2 9V NG    -    0.211764</v>
          </cell>
        </row>
        <row r="9744">
          <cell r="D9744" t="str">
            <v>15364024    -    15.538.95 P.R. AMP 282435-7 9V MRR    -    0.211764</v>
          </cell>
        </row>
        <row r="9745">
          <cell r="D9745" t="str">
            <v>10723567    -    PIECE 6.35+8 FM KON.4Y SIYAH    -    0.211229</v>
          </cell>
        </row>
        <row r="9746">
          <cell r="D9746" t="str">
            <v>10779384    -    16.J52.97 CON AMP 1V RJ 211076    -    0.211229</v>
          </cell>
        </row>
        <row r="9747">
          <cell r="D9747" t="str">
            <v>10723586    -    CONN 6F MIC/P BLK    -    0.211113</v>
          </cell>
        </row>
        <row r="9748">
          <cell r="D9748" t="str">
            <v>28014159    -    HEADER-30POS, F, R/    -    0.2105</v>
          </cell>
        </row>
        <row r="9749">
          <cell r="D9749" t="str">
            <v>10820522    -    27POL.GEHAEUSE TYCO COD.A    -    0.210418</v>
          </cell>
        </row>
        <row r="9750">
          <cell r="D9750" t="str">
            <v>10820523    -    27POL.GEHAEUSE TYCO COD.B    -    0.210418</v>
          </cell>
        </row>
        <row r="9751">
          <cell r="D9751" t="str">
            <v>15316872    -    TERMINAL    -    0.21</v>
          </cell>
        </row>
        <row r="9752">
          <cell r="D9752" t="str">
            <v>15336205    -    ASM CONN 12F GT    -    0.21</v>
          </cell>
        </row>
        <row r="9753">
          <cell r="D9753" t="str">
            <v>15435259    -    SEAL MISC    -    0.21</v>
          </cell>
        </row>
        <row r="9754">
          <cell r="D9754" t="str">
            <v>16257172    -    HEADER-9PIN-R/A-S/M    -    0.21</v>
          </cell>
        </row>
        <row r="9755">
          <cell r="D9755" t="str">
            <v>10757089    -    STECKH?LSENGEH?USE 2 POL. SLK    -    0.209651</v>
          </cell>
        </row>
        <row r="9756">
          <cell r="D9756" t="str">
            <v>10788433    -    HOUSING 4.P. CE    -    0.209614</v>
          </cell>
        </row>
        <row r="9757">
          <cell r="D9757" t="str">
            <v>10788703    -    HOUSING 10.P. CE    -    0.209614</v>
          </cell>
        </row>
        <row r="9758">
          <cell r="D9758" t="str">
            <v>12124255    -    CX 16 CAV BK 174046-2    -    0.209117</v>
          </cell>
        </row>
        <row r="9759">
          <cell r="D9759" t="str">
            <v>15380395    -    2 WAY FEMALE CONNECTOR YELLOW    -    0.208772</v>
          </cell>
        </row>
        <row r="9760">
          <cell r="D9760" t="str">
            <v>15327253    -    CONN 32 F BLK    -    0.208719</v>
          </cell>
        </row>
        <row r="9761">
          <cell r="D9761" t="str">
            <v>12243877    -    CONN-MQS,3 PIN,CODE    -    0.20871</v>
          </cell>
        </row>
        <row r="9762">
          <cell r="D9762" t="str">
            <v>10768914    -    36 POL.STECKERGEHAEUSE    -    0.208371</v>
          </cell>
        </row>
        <row r="9763">
          <cell r="D9763" t="str">
            <v>10779341    -    2-P ZYLNDERST. PPAP-TEILE    -    0.208354</v>
          </cell>
        </row>
        <row r="9764">
          <cell r="D9764" t="str">
            <v>10768544    -    HOUSING 2.PL. CE    -    0.20647</v>
          </cell>
        </row>
        <row r="9765">
          <cell r="D9765" t="str">
            <v>10769132    -    CX 50 AZ 8200101753 (TYCO)    -    0.206316</v>
          </cell>
        </row>
        <row r="9766">
          <cell r="D9766" t="str">
            <v>10723618    -    HOUSING 4 POL PVC    -    0.206247</v>
          </cell>
        </row>
        <row r="9767">
          <cell r="D9767" t="str">
            <v>10811792    -    HOUSING NATURE    -    0.206247</v>
          </cell>
        </row>
        <row r="9768">
          <cell r="D9768" t="str">
            <v>9381956    -    HEADER-22 COND,MA    -    0.206</v>
          </cell>
        </row>
        <row r="9769">
          <cell r="D9769" t="str">
            <v>15332141    -    ASM CONN 6F GT 150    -    0.2059</v>
          </cell>
        </row>
        <row r="9770">
          <cell r="D9770" t="str">
            <v>12185777    -    CONNECTOR 8W WHITE    -    0.205709</v>
          </cell>
        </row>
        <row r="9771">
          <cell r="D9771" t="str">
            <v>12033950    -    CONN 6 M MATE-N-LOK NAT    -    0.205527</v>
          </cell>
        </row>
        <row r="9772">
          <cell r="D9772" t="str">
            <v>10787688    -    CX 5 VIAS 357 955    -    0.204892</v>
          </cell>
        </row>
        <row r="9773">
          <cell r="D9773" t="str">
            <v>16219799    -    HEADER-05 COND.,MA    -    0.2047</v>
          </cell>
        </row>
        <row r="9774">
          <cell r="D9774" t="str">
            <v>15337827    -    CONN 5 F BLK    -    0.204534</v>
          </cell>
        </row>
        <row r="9775">
          <cell r="D9775" t="str">
            <v>15383018    -    CONNECTOR    -    0.2042</v>
          </cell>
        </row>
        <row r="9776">
          <cell r="D9776" t="str">
            <v>10724330    -    2-POL. GEHAEUSE    -    0.204085</v>
          </cell>
        </row>
        <row r="9777">
          <cell r="D9777" t="str">
            <v>15326631S    -    ASM CONN 4F GT 280 SLD 5.8    -    0.204</v>
          </cell>
        </row>
        <row r="9778">
          <cell r="D9778" t="str">
            <v>15326847    -    ASM CONN 10M    -    0.203774</v>
          </cell>
        </row>
        <row r="9779">
          <cell r="D9779" t="str">
            <v>10810685    -    CONN 2F    -    0.203753</v>
          </cell>
        </row>
        <row r="9780">
          <cell r="D9780" t="str">
            <v>16191259    -    HEADER-10 COND,FEM    -    0.2037</v>
          </cell>
        </row>
        <row r="9781">
          <cell r="D9781" t="str">
            <v>10730461    -    KONTAKTTRAEGER    -    0.20365</v>
          </cell>
        </row>
        <row r="9782">
          <cell r="D9782" t="str">
            <v>15342683    -    KONTAKTTRAEGER    -    0.20365</v>
          </cell>
        </row>
        <row r="9783">
          <cell r="D9783" t="str">
            <v>15342685    -    KONTAKTTRAEGER    -    0.20365</v>
          </cell>
        </row>
        <row r="9784">
          <cell r="D9784" t="str">
            <v>16172445    -    COVER-MODULE,36 PIN    -    0.20362</v>
          </cell>
        </row>
        <row r="9785">
          <cell r="D9785" t="str">
            <v>10757361    -    CONN 10 F QUADLOK MICRO BLK    -    0.203525</v>
          </cell>
        </row>
        <row r="9786">
          <cell r="D9786" t="str">
            <v>10756503    -    CONN ASM    -    0.203277</v>
          </cell>
        </row>
        <row r="9787">
          <cell r="D9787" t="str">
            <v>15329032    -    ASM CONN 9F GT 150 SLD 4.0    -    0.2027</v>
          </cell>
        </row>
        <row r="9788">
          <cell r="D9788" t="str">
            <v>10780721    -    CX 2 VIAS AZ    -    0.202594</v>
          </cell>
        </row>
        <row r="9789">
          <cell r="D9789" t="str">
            <v>10726726    -    009366 ZLACZE 1/24897/82    -    0.202403</v>
          </cell>
        </row>
        <row r="9790">
          <cell r="D9790" t="str">
            <v>15340353    -    15.528.03 CON 2V(BC)J.P.T.282762-3FIAT1/    -    0.202403</v>
          </cell>
        </row>
        <row r="9791">
          <cell r="D9791" t="str">
            <v>15340355    -    011105 ZLACZE 1/24897/88    -    0.202403</v>
          </cell>
        </row>
        <row r="9792">
          <cell r="D9792" t="str">
            <v>10726496    -    CONN 5M SUPERSEAL    -    0.202134</v>
          </cell>
        </row>
        <row r="9793">
          <cell r="D9793" t="str">
            <v>10723314    -    ASSM. CONN. MDK+    -    0.201041</v>
          </cell>
        </row>
        <row r="9794">
          <cell r="D9794" t="str">
            <v>16253059    -    HEADER-08 COND,SMT    -    0.201</v>
          </cell>
        </row>
        <row r="9795">
          <cell r="D9795" t="str">
            <v>16239294    -    HEADER-12 COND,MA    -    0.200973</v>
          </cell>
        </row>
        <row r="9796">
          <cell r="D9796" t="str">
            <v>10763713    -    MODIFICAR DESCRI    -    0.200879</v>
          </cell>
        </row>
        <row r="9797">
          <cell r="D9797" t="str">
            <v>10763720    -    CX P/C6NG1E 3V VE 9630604980    -    0.200879</v>
          </cell>
        </row>
        <row r="9798">
          <cell r="D9798" t="str">
            <v>10763721    -    CONNECTOR 2 V * 9631986180    -    0.200879</v>
          </cell>
        </row>
        <row r="9799">
          <cell r="D9799" t="str">
            <v>16221389    -    HEADER-08 COND,MALE    -    0.2008</v>
          </cell>
        </row>
        <row r="9800">
          <cell r="D9800" t="str">
            <v>10723288    -    CONN 4 F TIMER JR-POWER BLK    -    0.200755</v>
          </cell>
        </row>
        <row r="9801">
          <cell r="D9801" t="str">
            <v>10739983    -    16.D21.91 CON. AMP 2 VIAS PARA TER 2.8 M    -    0.200208</v>
          </cell>
        </row>
        <row r="9802">
          <cell r="D9802" t="str">
            <v>12045696    -    CONN 3M M/P BLK SEALED    -    0.2001</v>
          </cell>
        </row>
        <row r="9803">
          <cell r="D9803" t="str">
            <v>16185328    -    HEADER-MALE,05    -    0.2</v>
          </cell>
        </row>
        <row r="9804">
          <cell r="D9804" t="str">
            <v>15483878    -    MALE CONN SEALED    -    0.19976</v>
          </cell>
        </row>
        <row r="9805">
          <cell r="D9805" t="str">
            <v>10774409    -    14.E32.97 S.LOCK AMP 969546-1 20 VIAS RJ    -    0.199574</v>
          </cell>
        </row>
        <row r="9806">
          <cell r="D9806" t="str">
            <v>15300030    -    ASM CONN 5F M/P 280    -    0.1994</v>
          </cell>
        </row>
        <row r="9807">
          <cell r="D9807" t="str">
            <v>10778256    -    14.679.96 POLARIDAD KOLB 114643 NG PARA    -    0.199367</v>
          </cell>
        </row>
        <row r="9808">
          <cell r="D9808" t="str">
            <v>10811732    -    CONN 4 M TAB 1.5 BLK SEALED    -    0.199177</v>
          </cell>
        </row>
        <row r="9809">
          <cell r="D9809" t="str">
            <v>10781137    -    16.J96.93 CON. AMP 282574-1 9VIAS + SEG.    -    0.198928</v>
          </cell>
        </row>
        <row r="9810">
          <cell r="D9810" t="str">
            <v>10726465    -    CONN ASM    -    0.198804</v>
          </cell>
        </row>
        <row r="9811">
          <cell r="D9811" t="str">
            <v>15448102    -    CONNECTOR F    -    0.1988</v>
          </cell>
        </row>
        <row r="9812">
          <cell r="D9812" t="str">
            <v>15327564    -    KONTAKTTRAEGER 30-FACH    -    0.198593</v>
          </cell>
        </row>
        <row r="9813">
          <cell r="D9813" t="str">
            <v>15326110    -    ASM CONN 12F    -    0.198307</v>
          </cell>
        </row>
        <row r="9814">
          <cell r="D9814" t="str">
            <v>15326829    -    ASM CONN 6F    -    0.19781</v>
          </cell>
        </row>
        <row r="9815">
          <cell r="D9815" t="str">
            <v>15416340    -    CONNECTOR 2W BLACK    -    0.197707</v>
          </cell>
        </row>
        <row r="9816">
          <cell r="D9816" t="str">
            <v>9372971    -    CONN-MQS,3PIN,CODE    -    0.19728</v>
          </cell>
        </row>
        <row r="9817">
          <cell r="D9817" t="str">
            <v>10775737    -    COVER BLACK    -    0.19694</v>
          </cell>
        </row>
        <row r="9818">
          <cell r="D9818" t="str">
            <v>10777263    -    CONN ASM    -    0.19694</v>
          </cell>
        </row>
        <row r="9819">
          <cell r="D9819" t="str">
            <v>10777079    -    15.253.96 CON.AMP 215754.5 VOL    -    0.196555</v>
          </cell>
        </row>
        <row r="9820">
          <cell r="D9820" t="str">
            <v>16194539    -    HEADER-10 COND,MA    -    0.19594</v>
          </cell>
        </row>
        <row r="9821">
          <cell r="D9821" t="str">
            <v>10728130    -    630290 PIERSCIEN USZCZ. 000 546 0522    -    0.195656</v>
          </cell>
        </row>
        <row r="9822">
          <cell r="D9822" t="str">
            <v>15445864    -    RING TERMINAL    -    0.1955</v>
          </cell>
        </row>
        <row r="9823">
          <cell r="D9823" t="str">
            <v>10810749    -    STECKERGEHAEUSE    -    0.195252</v>
          </cell>
        </row>
        <row r="9824">
          <cell r="D9824" t="str">
            <v>12059472    -    ASM CONN 7F M/P 150 480 SLD    -    0.1949</v>
          </cell>
        </row>
        <row r="9825">
          <cell r="D9825" t="str">
            <v>9379713    -    HEADER-06 COND,ZIF    -    0.19469</v>
          </cell>
        </row>
        <row r="9826">
          <cell r="D9826" t="str">
            <v>10727020    -    629889 CNCN 179 BK 24    -    0.194405</v>
          </cell>
        </row>
        <row r="9827">
          <cell r="D9827" t="str">
            <v>10727021    -    629887 ZLACZE 002 545 28 40    -    0.194405</v>
          </cell>
        </row>
        <row r="9828">
          <cell r="D9828" t="str">
            <v>15326181    -    ASM CONN 2F MIC/P 064 SLD    -    0.1941</v>
          </cell>
        </row>
        <row r="9829">
          <cell r="D9829" t="str">
            <v>15405533    -    ASM CONN 12 F 1.5 GRA LT    -    0.1939</v>
          </cell>
        </row>
        <row r="9830">
          <cell r="D9830" t="str">
            <v>10721582    -    CONN 6 F    -    0.193228</v>
          </cell>
        </row>
        <row r="9831">
          <cell r="D9831" t="str">
            <v>10721593    -    CONN 6 F    -    0.193228</v>
          </cell>
        </row>
        <row r="9832">
          <cell r="D9832" t="str">
            <v>10733857    -    16.535.96 CON 8V NG L78202 WKZ 01718    -    0.193228</v>
          </cell>
        </row>
        <row r="9833">
          <cell r="D9833" t="str">
            <v>10721202    -    DICHTUNG MKM    -    0.193174</v>
          </cell>
        </row>
        <row r="9834">
          <cell r="D9834" t="str">
            <v>10820125    -    CONN 2 F YEL    -    0.193174</v>
          </cell>
        </row>
        <row r="9835">
          <cell r="D9835" t="str">
            <v>9372608    -    CONNECTOR-4POL,THT    -    0.19305</v>
          </cell>
        </row>
        <row r="9836">
          <cell r="D9836" t="str">
            <v>15364424    -    CON.4W    -    0.192964</v>
          </cell>
        </row>
        <row r="9837">
          <cell r="D9837" t="str">
            <v>15332135    -    ASM CONN 4F GT 150    -    0.1928</v>
          </cell>
        </row>
        <row r="9838">
          <cell r="D9838" t="str">
            <v>10756291    -    CX CAIXA 10 NAT 6901806.9    -    0.192402</v>
          </cell>
        </row>
        <row r="9839">
          <cell r="D9839" t="str">
            <v>10756293    -    CX CAIXA 10 AZ 6901808.9    -    0.192402</v>
          </cell>
        </row>
        <row r="9840">
          <cell r="D9840" t="str">
            <v>10756296    -    CX CAIXA 10 BORDAUX 6901810.9    -    0.192402</v>
          </cell>
        </row>
        <row r="9841">
          <cell r="D9841" t="str">
            <v>10723683    -    CONNECTOR 6W BLACK    -    0.192324</v>
          </cell>
        </row>
        <row r="9842">
          <cell r="D9842" t="str">
            <v>15317306    -    ASM CONN 7F GT 280 SLD 5.2    -    0.1919</v>
          </cell>
        </row>
        <row r="9843">
          <cell r="D9843" t="str">
            <v>15317305    -    ASM CONN 7F GT 280 SLD 5.2    -    0.1918</v>
          </cell>
        </row>
        <row r="9844">
          <cell r="D9844" t="str">
            <v>15327611    -    CX POS 3759 8 CAV BK 210 545    -    0.191225</v>
          </cell>
        </row>
        <row r="9845">
          <cell r="D9845" t="str">
            <v>10723370    -    622859 CNCN M8    -    0.191055</v>
          </cell>
        </row>
        <row r="9846">
          <cell r="D9846" t="str">
            <v>15342630    -    STECKERGEHAEUSE    -    0.190934</v>
          </cell>
        </row>
        <row r="9847">
          <cell r="D9847" t="str">
            <v>10756261    -    HOUSING 25.P. WHITE    -    0.190603</v>
          </cell>
        </row>
        <row r="9848">
          <cell r="D9848" t="str">
            <v>10780432    -    HOUSING 8.P. BLACK 2,8    -    0.190603</v>
          </cell>
        </row>
        <row r="9849">
          <cell r="D9849" t="str">
            <v>10774880    -    CONN 6 F BLK    -    0.190596</v>
          </cell>
        </row>
        <row r="9850">
          <cell r="D9850" t="str">
            <v>10750565    -    CONN ASM    -    0.190106</v>
          </cell>
        </row>
        <row r="9851">
          <cell r="D9851" t="str">
            <v>15316360    -    TERMINAL    -    0.19</v>
          </cell>
        </row>
        <row r="9852">
          <cell r="D9852" t="str">
            <v>15316569    -    TERM SOCKET #20, GOLD    -    0.19</v>
          </cell>
        </row>
        <row r="9853">
          <cell r="D9853" t="str">
            <v>15405584    -    SEALING PLUG    -    0.19</v>
          </cell>
        </row>
        <row r="9854">
          <cell r="D9854" t="str">
            <v>16185303    -    HEADER-MALE,04    -    0.19</v>
          </cell>
        </row>
        <row r="9855">
          <cell r="D9855" t="str">
            <v>16257643    -    HEADER-02PIN,SM,V    -    0.19</v>
          </cell>
        </row>
        <row r="9856">
          <cell r="D9856" t="str">
            <v>10723379    -    ASSM. CONN. MDK 3 PLUS    -    0.189634</v>
          </cell>
        </row>
        <row r="9857">
          <cell r="D9857" t="str">
            <v>15338324    -    ASSM. CONN. MDK 3 PLUS    -    0.189634</v>
          </cell>
        </row>
        <row r="9858">
          <cell r="D9858" t="str">
            <v>15364007    -    16.A19.96 CO 4 VI AMP(2818522) (7619087)    -    0.189299</v>
          </cell>
        </row>
        <row r="9859">
          <cell r="D9859" t="str">
            <v>10757182    -    CX 12 CAV BK 6906564.9    -    0.189115</v>
          </cell>
        </row>
        <row r="9860">
          <cell r="D9860" t="str">
            <v>10722181    -    007308 ZLACZE 1/24837/80    -    0.18891</v>
          </cell>
        </row>
        <row r="9861">
          <cell r="D9861" t="str">
            <v>10738890    -    CONNECTOR 16V BA * 9631227180    -    0.18891</v>
          </cell>
        </row>
        <row r="9862">
          <cell r="D9862" t="str">
            <v>10810390    -    CONN 16 F GRN SEALED    -    0.18891</v>
          </cell>
        </row>
        <row r="9863">
          <cell r="D9863" t="str">
            <v>10847433    -    40-POL.GEHAEUSE TYCO    -    0.18891</v>
          </cell>
        </row>
        <row r="9864">
          <cell r="D9864" t="str">
            <v>10723898    -    16.794.93 CON AMP640250-6 6V FG14    -    0.188603</v>
          </cell>
        </row>
        <row r="9865">
          <cell r="D9865" t="str">
            <v>12052848    -    CONNECTOR ASM    -    0.1882</v>
          </cell>
        </row>
        <row r="9866">
          <cell r="D9866" t="str">
            <v>15364044    -    CON.9W    -    0.188019</v>
          </cell>
        </row>
        <row r="9867">
          <cell r="D9867" t="str">
            <v>9394839    -    HEADER-16POS,MA-VE    -    0.188</v>
          </cell>
        </row>
        <row r="9868">
          <cell r="D9868" t="str">
            <v>15368721    -    CONN 4F SUPERSEAL 1,5    -    0.187621</v>
          </cell>
        </row>
        <row r="9869">
          <cell r="D9869" t="str">
            <v>15338650    -    CONN 20 F QUADLOK MICRO BLK    -    0.187162</v>
          </cell>
        </row>
        <row r="9870">
          <cell r="D9870" t="str">
            <v>15365651    -    CONN 20 F QUADLOK MICRO BLK    -    0.187162</v>
          </cell>
        </row>
        <row r="9871">
          <cell r="D9871" t="str">
            <v>15326146    -    COVER    -    0.187004</v>
          </cell>
        </row>
        <row r="9872">
          <cell r="D9872" t="str">
            <v>15338357    -    CONN M&amp;F    -    0.186627</v>
          </cell>
        </row>
        <row r="9873">
          <cell r="D9873" t="str">
            <v>10756661    -    CONN ASM    -    0.186379</v>
          </cell>
        </row>
        <row r="9874">
          <cell r="D9874" t="str">
            <v>10774412    -    16.859.98 CO AMP 353465-4 6V VD    -    0.186063</v>
          </cell>
        </row>
        <row r="9875">
          <cell r="D9875" t="str">
            <v>15416908    -    COVER    -    0.185863</v>
          </cell>
        </row>
        <row r="9876">
          <cell r="D9876" t="str">
            <v>10723434    -    HOUSING 3 POL    -    0.185757</v>
          </cell>
        </row>
        <row r="9877">
          <cell r="D9877" t="str">
            <v>15342688    -    CONN MISC N/A    -    0.18515</v>
          </cell>
        </row>
        <row r="9878">
          <cell r="D9878" t="str">
            <v>9395286    -    HEADER-4PIN-R/A-S/M    -    0.185</v>
          </cell>
        </row>
        <row r="9879">
          <cell r="D9879" t="str">
            <v>10864795    -    CONN 8 M MULTILOCK 070    -    0.184862</v>
          </cell>
        </row>
        <row r="9880">
          <cell r="D9880" t="str">
            <v>10726725    -    15.528.01 CON 2V (AM)J.P.T.282762-7FIAT1    -    0.184763</v>
          </cell>
        </row>
        <row r="9881">
          <cell r="D9881" t="str">
            <v>10810665    -    16.R80.96 CNNECTOR AMP 144176-    -    0.184701</v>
          </cell>
        </row>
        <row r="9882">
          <cell r="D9882" t="str">
            <v>28001575    -    MQS-STIFTLEISTE, 3POLIG, KOD. C C4630    -    0.184322</v>
          </cell>
        </row>
        <row r="9883">
          <cell r="D9883" t="str">
            <v>15448510    -    TERMINAL SOCKET    -    0.1842</v>
          </cell>
        </row>
        <row r="9884">
          <cell r="D9884" t="str">
            <v>15326924    -    ASM CONN 8 F    -    0.184018</v>
          </cell>
        </row>
        <row r="9885">
          <cell r="D9885" t="str">
            <v>9396701    -    HEADER-12POS,F,V,SM    -    0.184</v>
          </cell>
        </row>
        <row r="9886">
          <cell r="D9886" t="str">
            <v>10722962    -    CONN ASM    -    0.183894</v>
          </cell>
        </row>
        <row r="9887">
          <cell r="D9887" t="str">
            <v>10777265    -    CONN ASM    -    0.183894</v>
          </cell>
        </row>
        <row r="9888">
          <cell r="D9888" t="str">
            <v>12162826    -    PORTE CLIP 5 VOIES    -    0.1833</v>
          </cell>
        </row>
        <row r="9889">
          <cell r="D9889" t="str">
            <v>10733810    -    16.932.96 CON 57M7528 6V NG AM    -    0.18326</v>
          </cell>
        </row>
        <row r="9890">
          <cell r="D9890" t="str">
            <v>10774905    -    CONN 6 F WHT    -    0.183067</v>
          </cell>
        </row>
        <row r="9891">
          <cell r="D9891" t="str">
            <v>9391886    -    HEADER-06 COND,ZIF    -    0.18236</v>
          </cell>
        </row>
        <row r="9892">
          <cell r="D9892" t="str">
            <v>15339674    -    CONN 15 F TIMER JR-POWER VLT    -    0.182328</v>
          </cell>
        </row>
        <row r="9893">
          <cell r="D9893" t="str">
            <v>15326815    -    ASM CONN 4F    -    0.181533</v>
          </cell>
        </row>
        <row r="9894">
          <cell r="D9894" t="str">
            <v>10734383    -    16.198.91 CON. SIMENES 2 V. AM PORTA-H    -    0.181471</v>
          </cell>
        </row>
        <row r="9895">
          <cell r="D9895" t="str">
            <v>15396178    -    CONN 5 F TIMER STD-POWER BLK    -    0.181434</v>
          </cell>
        </row>
        <row r="9896">
          <cell r="D9896" t="str">
            <v>10723073    -    CONNECTOR    -    0.181359</v>
          </cell>
        </row>
        <row r="9897">
          <cell r="D9897" t="str">
            <v>10769149    -    913554931    -    0.181124</v>
          </cell>
        </row>
        <row r="9898">
          <cell r="D9898" t="str">
            <v>9369178    -    HEADER-11 COND,ZIF    -    0.1811</v>
          </cell>
        </row>
        <row r="9899">
          <cell r="D9899" t="str">
            <v>12020018    -    ASM CONN 6M W/P TWR SLD    -    0.181</v>
          </cell>
        </row>
        <row r="9900">
          <cell r="D9900" t="str">
            <v>15342667    -    CONN 4 F GRN    -    0.18072</v>
          </cell>
        </row>
        <row r="9901">
          <cell r="D9901" t="str">
            <v>15342677    -    CONNECTOR VOLVO GT51SHUA    -    0.180544</v>
          </cell>
        </row>
        <row r="9902">
          <cell r="D9902" t="str">
            <v>15326928    -    ASM CONN 8M    -    0.180415</v>
          </cell>
        </row>
        <row r="9903">
          <cell r="D9903" t="str">
            <v>10779309    -    16.J48.93 CONECTOR 6V AMP 282442-1 BC    -    0.180166</v>
          </cell>
        </row>
        <row r="9904">
          <cell r="D9904" t="str">
            <v>15363863    -    CONN ASM    -    0.180166</v>
          </cell>
        </row>
        <row r="9905">
          <cell r="D9905" t="str">
            <v>12103530    -    SOCKET #16, 14 AWG    -    0.18</v>
          </cell>
        </row>
        <row r="9906">
          <cell r="D9906" t="str">
            <v>16240711    -    HEADER-03 COND,R/A    -    0.18</v>
          </cell>
        </row>
        <row r="9907">
          <cell r="D9907" t="str">
            <v>9396688    -    HEADER-12POS,M,R/A    -    0.18</v>
          </cell>
        </row>
        <row r="9908">
          <cell r="D9908" t="str">
            <v>9396847    -    HEADER-11POS,F,R/A    -    0.18</v>
          </cell>
        </row>
        <row r="9909">
          <cell r="D9909" t="str">
            <v>9401014    -    HEADER-10POS,M,V,1.    -    0.18</v>
          </cell>
        </row>
        <row r="9910">
          <cell r="D9910" t="str">
            <v>9401947    -    HEADER-24POS,F,V,1M    -    0.18</v>
          </cell>
        </row>
        <row r="9911">
          <cell r="D9911" t="str">
            <v>12059290    -    CONNECTOR    -    0.1799</v>
          </cell>
        </row>
        <row r="9912">
          <cell r="D9912" t="str">
            <v>12105064    -    16.A77.93 CO 9V AMP 172496-1 F    -    0.179855</v>
          </cell>
        </row>
        <row r="9913">
          <cell r="D9913" t="str">
            <v>10740477    -    3POL SLKKUPPLUNG MIT ELA    -    0.179734</v>
          </cell>
        </row>
        <row r="9914">
          <cell r="D9914" t="str">
            <v>10863784    -    CONN 3F    -    0.179734</v>
          </cell>
        </row>
        <row r="9915">
          <cell r="D9915" t="str">
            <v>12176441    -    2-POL. AMP STECKER    -    0.179706</v>
          </cell>
        </row>
        <row r="9916">
          <cell r="D9916" t="str">
            <v>15340836    -    16.F01.93 CO AMP 178601-1 2V BC    -    0.179682</v>
          </cell>
        </row>
        <row r="9917">
          <cell r="D9917" t="str">
            <v>10789034    -    CONN 5 F MODU BLK    -    0.179383</v>
          </cell>
        </row>
        <row r="9918">
          <cell r="D9918" t="str">
            <v>12162825    -    PC 5 VOIES    -    0.1793</v>
          </cell>
        </row>
        <row r="9919">
          <cell r="D9919" t="str">
            <v>10775588    -    CONN 5 F POS. LOCK 6.3 RED    -    0.1791</v>
          </cell>
        </row>
        <row r="9920">
          <cell r="D9920" t="str">
            <v>10864403    -    CONN 5 F RECEPTACLE NAT    -    0.1791</v>
          </cell>
        </row>
        <row r="9921">
          <cell r="D9921" t="str">
            <v>PE079715    -    CONNECTOR 16W BLACK    -    0.17904</v>
          </cell>
        </row>
        <row r="9922">
          <cell r="D9922" t="str">
            <v>10847300    -    24-POL.GEHAEUSE TYCO    -    0.178924</v>
          </cell>
        </row>
        <row r="9923">
          <cell r="D9923" t="str">
            <v>10769205    -    BULK 7123-8346-30    -    0.17834</v>
          </cell>
        </row>
        <row r="9924">
          <cell r="D9924" t="str">
            <v>10762817    -    5-POL. GEHAEUSE    -    0.178203</v>
          </cell>
        </row>
        <row r="9925">
          <cell r="D9925" t="str">
            <v>15380665    -    ASM CONN 6 F RECEPTACLE 2.8 BLU    -    0.177993</v>
          </cell>
        </row>
        <row r="9926">
          <cell r="D9926" t="str">
            <v>10723142    -    STECKH?LSENGEH?USE 2 POL. SLK    -    0.17788</v>
          </cell>
        </row>
        <row r="9927">
          <cell r="D9927" t="str">
            <v>12186413    -    15 WAY SOCKET HEADER WHITE    -    0.17788</v>
          </cell>
        </row>
        <row r="9928">
          <cell r="D9928" t="str">
            <v>15340855    -    630643 ZLACZE 172383-1    -    0.177697</v>
          </cell>
        </row>
        <row r="9929">
          <cell r="D9929" t="str">
            <v>10780065    -    CONN ASM    -    0.177681</v>
          </cell>
        </row>
        <row r="9930">
          <cell r="D9930" t="str">
            <v>10810451    -    CONN ASM    -    0.177681</v>
          </cell>
        </row>
        <row r="9931">
          <cell r="D9931" t="str">
            <v>15363675    -    CONN ASM    -    0.177681</v>
          </cell>
        </row>
        <row r="9932">
          <cell r="D9932" t="str">
            <v>12103087    -    CONN 6F    -    0.1776</v>
          </cell>
        </row>
        <row r="9933">
          <cell r="D9933" t="str">
            <v>15335987    -    ASM CONN 2 WAY    -    0.177557</v>
          </cell>
        </row>
        <row r="9934">
          <cell r="D9934" t="str">
            <v>183000990103    -    ANTENNENBUCHSE KPL    -    0.17717</v>
          </cell>
        </row>
        <row r="9935">
          <cell r="D9935" t="str">
            <v>10721323    -    CONNECTOR 6W BLACK    -    0.177097</v>
          </cell>
        </row>
        <row r="9936">
          <cell r="D9936" t="str">
            <v>15364237    -    HOUSING 2.P. 4.8 TES. CE    -    0.176963</v>
          </cell>
        </row>
        <row r="9937">
          <cell r="D9937" t="str">
            <v>15336027    -    ASM CONN 2F    -    0.176687</v>
          </cell>
        </row>
        <row r="9938">
          <cell r="D9938" t="str">
            <v>12015799    -    ASM CONN 6F W/P TWR SLD    -    0.1765</v>
          </cell>
        </row>
        <row r="9939">
          <cell r="D9939" t="str">
            <v>9396783    -    HEADER-08POS,F,R/A    -    0.176</v>
          </cell>
        </row>
        <row r="9940">
          <cell r="D9940" t="str">
            <v>10722393    -    CX 15 VIAS PR 1H0 973    -    0.175917</v>
          </cell>
        </row>
        <row r="9941">
          <cell r="D9941" t="str">
            <v>15342628    -    STECKERGEHAEUSE    -    0.175817</v>
          </cell>
        </row>
        <row r="9942">
          <cell r="D9942" t="str">
            <v>15342629    -    STECKERGEHAEUSE    -    0.175817</v>
          </cell>
        </row>
        <row r="9943">
          <cell r="D9943" t="str">
            <v>15340828    -    CX 3 VIAS AZ 8377072.9    -    0.175718</v>
          </cell>
        </row>
        <row r="9944">
          <cell r="D9944" t="str">
            <v>10722417    -    GRIFFSCHALE    -    0.175693</v>
          </cell>
        </row>
        <row r="9945">
          <cell r="D9945" t="str">
            <v>10847299    -    24-POL.GEHAEUSE    -    0.175416</v>
          </cell>
        </row>
        <row r="9946">
          <cell r="D9946" t="str">
            <v>12131878    -    SEC.LOCK FOR 6 WAY CONN.    -    0.175184</v>
          </cell>
        </row>
        <row r="9947">
          <cell r="D9947" t="str">
            <v>10863558    -    CONN 6 F MULTILOCK GRN    -    0.175119</v>
          </cell>
        </row>
        <row r="9948">
          <cell r="D9948" t="str">
            <v>10769468    -    CONN 4 F TIMER JR-POWER BLK    -    0.175072</v>
          </cell>
        </row>
        <row r="9949">
          <cell r="D9949" t="str">
            <v>16212956    -    HEADER-07 COND,MA    -    0.175</v>
          </cell>
        </row>
        <row r="9950">
          <cell r="D9950" t="str">
            <v>10814630    -    HOUSING 10 P. F CE    -    0.174898</v>
          </cell>
        </row>
        <row r="9951">
          <cell r="D9951" t="str">
            <v>9393926    -    WIRE-FLAT,06 COND    -    0.174782</v>
          </cell>
        </row>
        <row r="9952">
          <cell r="D9952" t="str">
            <v>10768912    -    209684901    -    0.174711</v>
          </cell>
        </row>
        <row r="9953">
          <cell r="D9953" t="str">
            <v>15338645    -    CONN 12 F MICRO 64 BLK    -    0.174711</v>
          </cell>
        </row>
        <row r="9954">
          <cell r="D9954" t="str">
            <v>15338651    -    CONN 12 F QUADLOK MICRO BLK    -    0.174711</v>
          </cell>
        </row>
        <row r="9955">
          <cell r="D9955" t="str">
            <v>10774909    -    ASM CONN 2 F ECONOSEAL EH BLK SLD    -    0.174688</v>
          </cell>
        </row>
        <row r="9956">
          <cell r="D9956" t="str">
            <v>16234369    -    HEADER-08COND.MA,RA    -    0.1746</v>
          </cell>
        </row>
        <row r="9957">
          <cell r="D9957" t="str">
            <v>12103290    -    609633 STECKERGEHAEUSE    -    0.174559</v>
          </cell>
        </row>
        <row r="9958">
          <cell r="D9958" t="str">
            <v>12065426    -    PORTE CLIP 10 VOIES    -    0.1745</v>
          </cell>
        </row>
        <row r="9959">
          <cell r="D9959" t="str">
            <v>12047937    -    ASM CONN 8F M/P 150 SLD *AK 76    -    0.1743</v>
          </cell>
        </row>
        <row r="9960">
          <cell r="D9960" t="str">
            <v>10752124    -    CONNECTOR 6 WAY FEMALE BLK RH0    -    0.174078</v>
          </cell>
        </row>
        <row r="9961">
          <cell r="D9961" t="str">
            <v>15340412    -    CONN 6 F MULTILOCK BLU    -    0.173972</v>
          </cell>
        </row>
        <row r="9962">
          <cell r="D9962" t="str">
            <v>10811206    -    ASM CONN 8 F 090 I GRA LT HD    -    0.173943</v>
          </cell>
        </row>
        <row r="9963">
          <cell r="D9963" t="str">
            <v>9397777    -    HEADER-03POS,M,R/A    -    0.17375</v>
          </cell>
        </row>
        <row r="9964">
          <cell r="D9964" t="str">
            <v>15317307    -    ASM CONN 4F GT 280 SLD 5.2    -    0.1734</v>
          </cell>
        </row>
        <row r="9965">
          <cell r="D9965" t="str">
            <v>15419404    -    TERMINAL    -    0.17332</v>
          </cell>
        </row>
        <row r="9966">
          <cell r="D9966" t="str">
            <v>10769086    -    3POL SLKKUPPLUNG MIT ELA    -    0.173307</v>
          </cell>
        </row>
        <row r="9967">
          <cell r="D9967" t="str">
            <v>10780578    -    15.289.90 CO AMP 0.172494.1 5V TR (1/2    -    0.173196</v>
          </cell>
        </row>
        <row r="9968">
          <cell r="D9968" t="str">
            <v>10723487    -    PC 2V ETANCHE    -    0.172178</v>
          </cell>
        </row>
        <row r="9969">
          <cell r="D9969" t="str">
            <v>10762380    -    814365 CONN 3 F MISC BLK    -    0.171593</v>
          </cell>
        </row>
        <row r="9970">
          <cell r="D9970" t="str">
            <v>15316537    -    629572 CNCN F 179 NA 3    -    0.171593</v>
          </cell>
        </row>
        <row r="9971">
          <cell r="D9971" t="str">
            <v>15327404    -    9655471    -    0.171531</v>
          </cell>
        </row>
        <row r="9972">
          <cell r="D9972" t="str">
            <v>15394012    -    KONTAKTRAEGER 48-POL.    -    0.171531</v>
          </cell>
        </row>
        <row r="9973">
          <cell r="D9973" t="str">
            <v>15338662    -    9652251    -    0.171319</v>
          </cell>
        </row>
        <row r="9974">
          <cell r="D9974" t="str">
            <v>9399780    -    HEADER-08POS,F,R/A    -    0.171</v>
          </cell>
        </row>
        <row r="9975">
          <cell r="D9975" t="str">
            <v>10819579    -    KONTAKTTRAEGER    -    0.170828</v>
          </cell>
        </row>
        <row r="9976">
          <cell r="D9976" t="str">
            <v>10819580    -    KONTAKTTRAEGER    -    0.170828</v>
          </cell>
        </row>
        <row r="9977">
          <cell r="D9977" t="str">
            <v>10864425    -    CONN 12 F MULTILOCK 070 NAT    -    0.170019</v>
          </cell>
        </row>
        <row r="9978">
          <cell r="D9978" t="str">
            <v>16257880    -    HEADER-09PIN,V,S/M    -    0.17</v>
          </cell>
        </row>
        <row r="9979">
          <cell r="D9979" t="str">
            <v>28008243    -    CONTACT-BATTERY    -    0.168669</v>
          </cell>
        </row>
        <row r="9980">
          <cell r="D9980" t="str">
            <v>15338207    -    STECKERGEHAEUSE    -    0.168486</v>
          </cell>
        </row>
        <row r="9981">
          <cell r="D9981" t="str">
            <v>10754059    -    16.R84.93 CON SUMITOMO 3VOIES    -    0.168385</v>
          </cell>
        </row>
        <row r="9982">
          <cell r="D9982" t="str">
            <v>10811297    -    HOUSING 2-P PVC BLACK    -    0.16835</v>
          </cell>
        </row>
        <row r="9983">
          <cell r="D9983" t="str">
            <v>9360596    -    HEADER-12 COND,MA,V    -    0.16815</v>
          </cell>
        </row>
        <row r="9984">
          <cell r="D9984" t="str">
            <v>15364416    -    CON.4W SS ZMW 4-2    -    0.167253</v>
          </cell>
        </row>
        <row r="9985">
          <cell r="D9985" t="str">
            <v>15342663    -    CONNECTOR VOLVO GT51SHU    -    0.16625</v>
          </cell>
        </row>
        <row r="9986">
          <cell r="D9986" t="str">
            <v>10780708    -    CX CAIXA    -    0.165604</v>
          </cell>
        </row>
        <row r="9987">
          <cell r="D9987" t="str">
            <v>10721869    -    CONN 6 M    -    0.165566</v>
          </cell>
        </row>
        <row r="9988">
          <cell r="D9988" t="str">
            <v>10779561    -    16.I03.96 CONECTOR AMP 12 VIAS (NG) C-28    -    0.165566</v>
          </cell>
        </row>
        <row r="9989">
          <cell r="D9989" t="str">
            <v>10814496    -    CONN 6 M MIXED GRA    -    0.165566</v>
          </cell>
        </row>
        <row r="9990">
          <cell r="D9990" t="str">
            <v>15327703    -    CONN 3 F BLK    -    0.165485</v>
          </cell>
        </row>
        <row r="9991">
          <cell r="D9991" t="str">
            <v>10733954    -    16.968.93 CON AMP 282370-1 8 V. BC    -    0.165256</v>
          </cell>
        </row>
        <row r="9992">
          <cell r="D9992" t="str">
            <v>10752893    -    COV BRN    -    0.165132</v>
          </cell>
        </row>
        <row r="9993">
          <cell r="D9993" t="str">
            <v>9375688    -    HEADER-06,F,R/A    -    0.165</v>
          </cell>
        </row>
        <row r="9994">
          <cell r="D9994" t="str">
            <v>12185275    -    26 WAY MALE CONNECTOR    -    0.1641</v>
          </cell>
        </row>
        <row r="9995">
          <cell r="D9995" t="str">
            <v>10721584    -    CONN 6 M    -    0.164055</v>
          </cell>
        </row>
        <row r="9996">
          <cell r="D9996" t="str">
            <v>15342789    -    CONN, 3P JPT HSG ASM BLK    -    0.164</v>
          </cell>
        </row>
        <row r="9997">
          <cell r="D9997" t="str">
            <v>15380793    -    CONN 9 F TIMER JR-POWER YEL    -    0.163901</v>
          </cell>
        </row>
        <row r="9998">
          <cell r="D9998" t="str">
            <v>15327604    -    CX POS 2242 6 CAV BK 210 545    -    0.163653</v>
          </cell>
        </row>
        <row r="9999">
          <cell r="D9999" t="str">
            <v>15326808    -    ASM 3 WAY FEM    -    0.163641</v>
          </cell>
        </row>
        <row r="10000">
          <cell r="D10000" t="str">
            <v>10768911    -    CONN 6 M QUADLOK MICRO BLK    -    0.163305</v>
          </cell>
        </row>
        <row r="10001">
          <cell r="D10001" t="str">
            <v>15410242    -    CONN 25 F SOCKET ORN    -    0.163272</v>
          </cell>
        </row>
        <row r="10002">
          <cell r="D10002" t="str">
            <v>15355362    -    ASM CONNECTOR 1 F M/P 150    -    0.163144</v>
          </cell>
        </row>
        <row r="10003">
          <cell r="D10003" t="str">
            <v>10734561    -    16.307.93 CONECTOR 10V BC YASA    -    0.162994</v>
          </cell>
        </row>
        <row r="10004">
          <cell r="D10004" t="str">
            <v>10721777    -    CONNECT,3-POL,BLACK,ROUND TERM    -    0.162854</v>
          </cell>
        </row>
        <row r="10005">
          <cell r="D10005" t="str">
            <v>15340953    -    630772 MCPC 160 WH *    -    0.162771</v>
          </cell>
        </row>
        <row r="10006">
          <cell r="D10006" t="str">
            <v>15368578    -    CONN ASM    -    0.162771</v>
          </cell>
        </row>
        <row r="10007">
          <cell r="D10007" t="str">
            <v>10762881    -    STECKERGEHUSE 2X4-POL. SLK 2,8 KOD. B    -    0.162647</v>
          </cell>
        </row>
        <row r="10008">
          <cell r="D10008" t="str">
            <v>15339617    -    14POL SLKKUPPLUNGSGEHAEUSE    -    0.162165</v>
          </cell>
        </row>
        <row r="10009">
          <cell r="D10009" t="str">
            <v>15365746    -    14POL SLKKUPPLUNGSGEHAEUSE    -    0.162165</v>
          </cell>
        </row>
        <row r="10010">
          <cell r="D10010" t="str">
            <v>15380683    -    14POL SLKKUPPLUNGSGEHAEUSE    -    0.162165</v>
          </cell>
        </row>
        <row r="10011">
          <cell r="D10011" t="str">
            <v>10846529    -    HOUSING 8 P. BLACK    -    0.161923</v>
          </cell>
        </row>
        <row r="10012">
          <cell r="D10012" t="str">
            <v>15365616    -    CONN 6 F MULTILOCK 070 NAT    -    0.161923</v>
          </cell>
        </row>
        <row r="10013">
          <cell r="D10013" t="str">
            <v>10777088    -    16.A99.93 CO 7V BC AMP172495-1    -    0.161715</v>
          </cell>
        </row>
        <row r="10014">
          <cell r="D10014" t="str">
            <v>15368540    -    CONN ASM    -    0.161528</v>
          </cell>
        </row>
        <row r="10015">
          <cell r="D10015" t="str">
            <v>15338540    -    9652841    -    0.161437</v>
          </cell>
        </row>
        <row r="10016">
          <cell r="D10016" t="str">
            <v>10779940    -    CONN 5 M TAB 1.5 BLK SEALED    -    0.161404</v>
          </cell>
        </row>
        <row r="10017">
          <cell r="D10017" t="str">
            <v>15342650    -    KONTAKTTRAEGER    -    0.161383</v>
          </cell>
        </row>
        <row r="10018">
          <cell r="D10018" t="str">
            <v>15342651    -    KONTAKTTRAEGER    -    0.161383</v>
          </cell>
        </row>
        <row r="10019">
          <cell r="D10019" t="str">
            <v>10847070    -    CONNECTOR 8W BLACK    -    0.161099</v>
          </cell>
        </row>
        <row r="10020">
          <cell r="D10020" t="str">
            <v>10728163    -    630374 KOLANKO PLASTIKOWE    -    0.161006</v>
          </cell>
        </row>
        <row r="10021">
          <cell r="D10021" t="str">
            <v>16214053    -    HEADER-02 COND    -    0.161</v>
          </cell>
        </row>
        <row r="10022">
          <cell r="D10022" t="str">
            <v>9402897    -    HEADER-24POS,F,V,.5    -    0.161</v>
          </cell>
        </row>
        <row r="10023">
          <cell r="D10023" t="str">
            <v>10847214    -    CONN 3 F MQS    -    0.160573</v>
          </cell>
        </row>
        <row r="10024">
          <cell r="D10024" t="str">
            <v>15368787    -    CONN 5 F POS. LOCK 6.3 BLK    -    0.16029</v>
          </cell>
        </row>
        <row r="10025">
          <cell r="D10025" t="str">
            <v>9379581    -    CONNECTOR-M,3PIN,SM    -    0.1602</v>
          </cell>
        </row>
        <row r="10026">
          <cell r="D10026" t="str">
            <v>15316358    -    PIN #12    -    0.16</v>
          </cell>
        </row>
        <row r="10027">
          <cell r="D10027" t="str">
            <v>16201819    -    HEADER-PHONE,JACK    -    0.16</v>
          </cell>
        </row>
        <row r="10028">
          <cell r="D10028" t="str">
            <v>16212955    -    HEADER-02 COND,FE    -    0.16</v>
          </cell>
        </row>
        <row r="10029">
          <cell r="D10029" t="str">
            <v>16240712    -    HEADER-02 COND    -    0.16</v>
          </cell>
        </row>
        <row r="10030">
          <cell r="D10030" t="str">
            <v>16242039    -    HEADER-06 COND,FE    -    0.16</v>
          </cell>
        </row>
        <row r="10031">
          <cell r="D10031" t="str">
            <v>29511366    -    TERMINAL    -    0.16</v>
          </cell>
        </row>
        <row r="10032">
          <cell r="D10032" t="str">
            <v>9370334    -    HEADER-06 COND,RR    -    0.16</v>
          </cell>
        </row>
        <row r="10033">
          <cell r="D10033" t="str">
            <v>9375363    -    HEADER-08 COND,MALE    -    0.16</v>
          </cell>
        </row>
        <row r="10034">
          <cell r="D10034" t="str">
            <v>10768256    -    HOUSING 2.P. CE    -    0.15998</v>
          </cell>
        </row>
        <row r="10035">
          <cell r="D10035" t="str">
            <v>10780292    -    16.204.0N CONECTOR YZK 4 VIAS    -    0.1597</v>
          </cell>
        </row>
        <row r="10036">
          <cell r="D10036" t="str">
            <v>10722557    -    CONN 9F MATE-N-LOCK UNSLD NAT NYLON    -    0.158846</v>
          </cell>
        </row>
        <row r="10037">
          <cell r="D10037" t="str">
            <v>15339539    -    CONN 2 F TIMER JR-POWER NAT    -    0.158684</v>
          </cell>
        </row>
        <row r="10038">
          <cell r="D10038" t="str">
            <v>10769495    -    LOCK 36 WHT    -    0.15868</v>
          </cell>
        </row>
        <row r="10039">
          <cell r="D10039" t="str">
            <v>9398360    -    HEADER-10POS,MA,V,S    -    0.15856</v>
          </cell>
        </row>
        <row r="10040">
          <cell r="D10040" t="str">
            <v>12197049    -    630506 ZLACZE 172134-1    -    0.158387</v>
          </cell>
        </row>
        <row r="10041">
          <cell r="D10041" t="str">
            <v>10722980    -    16.553.06 CON. AMP 966154-1 ID    -    0.158124</v>
          </cell>
        </row>
        <row r="10042">
          <cell r="D10042" t="str">
            <v>15326820    -    ASM CONN 4M    -    0.157676</v>
          </cell>
        </row>
        <row r="10043">
          <cell r="D10043" t="str">
            <v>15338079    -    611102 STIFTSTECKER    -    0.157375</v>
          </cell>
        </row>
        <row r="10044">
          <cell r="D10044" t="str">
            <v>15342654    -    KONTAKTTRAEGER    -    0.157304</v>
          </cell>
        </row>
        <row r="10045">
          <cell r="D10045" t="str">
            <v>12088188    -    ASSEMBLY OF CLIP P/N 8905028    -    0.15711</v>
          </cell>
        </row>
        <row r="10046">
          <cell r="D10046" t="str">
            <v>15326833    -    ASM CONN 6M    -    0.157055</v>
          </cell>
        </row>
        <row r="10047">
          <cell r="D10047" t="str">
            <v>15405518    -    CONNECTOR    -    0.15702</v>
          </cell>
        </row>
        <row r="10048">
          <cell r="D10048" t="str">
            <v>12015797    -    ASM CONN 4F    -    0.157</v>
          </cell>
        </row>
        <row r="10049">
          <cell r="D10049" t="str">
            <v>15380789    -    109675651    -    0.156757</v>
          </cell>
        </row>
        <row r="10050">
          <cell r="D10050" t="str">
            <v>9394484    -    CONN-6 PIN BERG DUB    -    0.156525</v>
          </cell>
        </row>
        <row r="10051">
          <cell r="D10051" t="str">
            <v>10777069    -    15.800.96 CO AMP 174921-2 3V (NG)    -    0.156397</v>
          </cell>
        </row>
        <row r="10052">
          <cell r="D10052" t="str">
            <v>15337918    -    CONN, 2P JPT HSG ASM BLK    -    0.156</v>
          </cell>
        </row>
        <row r="10053">
          <cell r="D10053" t="str">
            <v>12020599    -    ASM CONN 2 F M/P 280 *AK 7669*    -    0.1559</v>
          </cell>
        </row>
        <row r="10054">
          <cell r="D10054" t="str">
            <v>16268100    -    CONNECTOR-3POS    -    0.15567</v>
          </cell>
        </row>
        <row r="10055">
          <cell r="D10055" t="str">
            <v>15365935    -    309683351    -    0.155651</v>
          </cell>
        </row>
        <row r="10056">
          <cell r="D10056" t="str">
            <v>10774293    -    STECKERGEHAEUSE    -    0.155446</v>
          </cell>
        </row>
        <row r="10057">
          <cell r="D10057" t="str">
            <v>15304991    -    ASM CONN 2F GT 150 SLD 4.0    -    0.1547</v>
          </cell>
        </row>
        <row r="10058">
          <cell r="D10058" t="str">
            <v>15327470    -    STECKHLSENGEHUSE1-POL.LSK8    -    0.154694</v>
          </cell>
        </row>
        <row r="10059">
          <cell r="D10059" t="str">
            <v>15405801    -    CONN 6W    -    0.15468</v>
          </cell>
        </row>
        <row r="10060">
          <cell r="D10060" t="str">
            <v>15430435    -    CONN 6F GRAY    -    0.15468</v>
          </cell>
        </row>
        <row r="10061">
          <cell r="D10061" t="str">
            <v>15483877    -    FEMALE CONN SEALED    -    0.15445</v>
          </cell>
        </row>
        <row r="10062">
          <cell r="D10062" t="str">
            <v>15326801    -    ASM CONN 2F    -    0.154446</v>
          </cell>
        </row>
        <row r="10063">
          <cell r="D10063" t="str">
            <v>10781180    -    16.R52.96 CO 4V NG TYCO 2-953729-1 RLT 8    -    0.154384</v>
          </cell>
        </row>
        <row r="10064">
          <cell r="D10064" t="str">
            <v>10811671    -    CONN 4 GRN    -    0.154384</v>
          </cell>
        </row>
        <row r="10065">
          <cell r="D10065" t="str">
            <v>12129946    -    ASM CONN 3F M/P 150 SLD    -    0.1543</v>
          </cell>
        </row>
        <row r="10066">
          <cell r="D10066" t="str">
            <v>12129946S    -    ASM CONN 3F M/P 150 SLD    -    0.1543</v>
          </cell>
        </row>
        <row r="10067">
          <cell r="D10067" t="str">
            <v>15368881    -    CONNECTOR 18W    -    0.154011</v>
          </cell>
        </row>
        <row r="10068">
          <cell r="D10068" t="str">
            <v>15327609    -    CX POS 2391 6 CAV BK 210 545    -    0.153738</v>
          </cell>
        </row>
        <row r="10069">
          <cell r="D10069" t="str">
            <v>10756976    -    HOUSING 8.PL. CE    -    0.153104</v>
          </cell>
        </row>
        <row r="10070">
          <cell r="D10070" t="str">
            <v>9401012    -    HEADER-08POS,M,V,1.    -    0.153</v>
          </cell>
        </row>
        <row r="10071">
          <cell r="D10071" t="str">
            <v>10769508    -    16.201.0N CONECTOR YZK 2 VIAS    -    0.1529</v>
          </cell>
        </row>
        <row r="10072">
          <cell r="D10072" t="str">
            <v>15383313    -    CONNECTOR    -    0.152706</v>
          </cell>
        </row>
        <row r="10073">
          <cell r="D10073" t="str">
            <v>12185753    -    CON.3W 174928-1    -    0.152477</v>
          </cell>
        </row>
        <row r="10074">
          <cell r="D10074" t="str">
            <v>10768517    -    HOUSING CE    -    0.15247</v>
          </cell>
        </row>
        <row r="10075">
          <cell r="D10075" t="str">
            <v>15364096    -    STECKHLSENGEHUSE2X3-POL.FKS2,8    -    0.15247</v>
          </cell>
        </row>
        <row r="10076">
          <cell r="D10076" t="str">
            <v>10779552    -    CONN 36 F RECEPTACLE BLU LT    -    0.152458</v>
          </cell>
        </row>
        <row r="10077">
          <cell r="D10077" t="str">
            <v>10775721    -    CONN 9 F NAT    -    0.152261</v>
          </cell>
        </row>
        <row r="10078">
          <cell r="D10078" t="str">
            <v>10846595    -    CONN 2 M MQS BLK    -    0.151837</v>
          </cell>
        </row>
        <row r="10079">
          <cell r="D10079" t="str">
            <v>10847189    -    CONN 2 F RECEPTACLE 2.8 BLK    -    0.151802</v>
          </cell>
        </row>
        <row r="10080">
          <cell r="D10080" t="str">
            <v>12146045    -    ASM CONN 5 F M/P 150 NAT SLD    -    0.1518</v>
          </cell>
        </row>
        <row r="10081">
          <cell r="D10081" t="str">
            <v>15332139    -    ASM CONN 5M GT 150    -    0.1516</v>
          </cell>
        </row>
        <row r="10082">
          <cell r="D10082" t="str">
            <v>9401765    -    HEADER-09POS,M,V,2M    -    0.15122</v>
          </cell>
        </row>
        <row r="10083">
          <cell r="D10083" t="str">
            <v>9401767    -    HEADER-11POS,M,V,2M    -    0.15122</v>
          </cell>
        </row>
        <row r="10084">
          <cell r="D10084" t="str">
            <v>12065425    -    ASM CONN 10F M/P 150 SLD BLK    -    0.1511</v>
          </cell>
        </row>
        <row r="10085">
          <cell r="D10085" t="str">
            <v>15383337    -    CONNECTOR    -    0.151</v>
          </cell>
        </row>
        <row r="10086">
          <cell r="D10086" t="str">
            <v>10756573    -    CX 27 CA 7701996060    -    0.15078</v>
          </cell>
        </row>
        <row r="10087">
          <cell r="D10087" t="str">
            <v>PE090117    -    CONNECTOR 2W BLACK    -    0.150718</v>
          </cell>
        </row>
        <row r="10088">
          <cell r="D10088" t="str">
            <v>15327896    -    CONN ASM    -    0.150346</v>
          </cell>
        </row>
        <row r="10089">
          <cell r="D10089" t="str">
            <v>15326827    -    ASM CONN 5M GT 150 SLD 4.0    -    0.150221</v>
          </cell>
        </row>
        <row r="10090">
          <cell r="D10090" t="str">
            <v>12020786    -    CONN 6M W/P SHD SLD    -    0.1502</v>
          </cell>
        </row>
        <row r="10091">
          <cell r="D10091" t="str">
            <v>15317231    -    TERM SOC SIZE 20    -    0.15</v>
          </cell>
        </row>
        <row r="10092">
          <cell r="D10092" t="str">
            <v>16212953    -    HEADER-06 COND,MA    -    0.15</v>
          </cell>
        </row>
        <row r="10093">
          <cell r="D10093" t="str">
            <v>16239283    -    HEADER-05 COND,MA    -    0.15</v>
          </cell>
        </row>
        <row r="10094">
          <cell r="D10094" t="str">
            <v>15363698    -    ASSM. CONN AFK    -    0.149861</v>
          </cell>
        </row>
        <row r="10095">
          <cell r="D10095" t="str">
            <v>15342645    -    ASM CONN 2 F GRN    -    0.14915</v>
          </cell>
        </row>
        <row r="10096">
          <cell r="D10096" t="str">
            <v>10768738    -    CONN ASM    -    0.149103</v>
          </cell>
        </row>
        <row r="10097">
          <cell r="D10097" t="str">
            <v>10787625    -    MOUN BRACKET    -    0.149103</v>
          </cell>
        </row>
        <row r="10098">
          <cell r="D10098" t="str">
            <v>10788298    -    CONN ASM    -    0.149103</v>
          </cell>
        </row>
        <row r="10099">
          <cell r="D10099" t="str">
            <v>10787565    -    16.K30.96 CO 6V AMP 964960-1 NG    -    0.148979</v>
          </cell>
        </row>
        <row r="10100">
          <cell r="D10100" t="str">
            <v>10721916    -    609612 AUFNAHMEGEHAEUSE    -    0.148955</v>
          </cell>
        </row>
        <row r="10101">
          <cell r="D10101" t="str">
            <v>16198556    -    821138 CONN 4 F MODU BLK    -    0.148901</v>
          </cell>
        </row>
        <row r="10102">
          <cell r="D10102" t="str">
            <v>12089704    -    KUPPLUNGS-OBERTEIL    -    0.148842</v>
          </cell>
        </row>
        <row r="10103">
          <cell r="D10103" t="str">
            <v>10731701    -    ASM CONN    -    0.148833</v>
          </cell>
        </row>
        <row r="10104">
          <cell r="D10104" t="str">
            <v>16128530    -    CONNECTOR ASM    -    0.14865</v>
          </cell>
        </row>
        <row r="10105">
          <cell r="D10105" t="str">
            <v>15342652    -    KONTAKTTRAEGER    -    0.148606</v>
          </cell>
        </row>
        <row r="10106">
          <cell r="D10106" t="str">
            <v>15342653    -    KONTAKTTRAEGER    -    0.148606</v>
          </cell>
        </row>
        <row r="10107">
          <cell r="D10107" t="str">
            <v>16230023    -    HEADER-16 COND.,MA    -    0.14856</v>
          </cell>
        </row>
        <row r="10108">
          <cell r="D10108" t="str">
            <v>10757626    -    CONN 4 M BLU SEALED    -    0.148456</v>
          </cell>
        </row>
        <row r="10109">
          <cell r="D10109" t="str">
            <v>10811560    -    CONN ASM    -    0.148429</v>
          </cell>
        </row>
        <row r="10110">
          <cell r="D10110" t="str">
            <v>10863811    -    CONN 2 F FI/OP BLK    -    0.148429</v>
          </cell>
        </row>
        <row r="10111">
          <cell r="D10111" t="str">
            <v>10864082    -    12-POL.GEHAEUSE    -    0.148429</v>
          </cell>
        </row>
        <row r="10112">
          <cell r="D10112" t="str">
            <v>10820059    -    15.382.96 CONECTOR 4V NG AMP 925076-3    -    0.14832</v>
          </cell>
        </row>
        <row r="10113">
          <cell r="D10113" t="str">
            <v>9399737    -    HEADER-12POS,F,R/A    -    0.148</v>
          </cell>
        </row>
        <row r="10114">
          <cell r="D10114" t="str">
            <v>10756847    -    CONN ASM    -    0.14786</v>
          </cell>
        </row>
        <row r="10115">
          <cell r="D10115" t="str">
            <v>10762882    -    STECKERGEHUSE 2X4-POL. SLK 2,8 KOD. A    -    0.14786</v>
          </cell>
        </row>
        <row r="10116">
          <cell r="D10116" t="str">
            <v>12131683    -    16.532.91 CON AM 26V 57M7241    -    0.147637</v>
          </cell>
        </row>
        <row r="10117">
          <cell r="D10117" t="str">
            <v>12186745    -    12.455.92 CON AMP 927.689.3(AK-6910)ZF26    -    0.147637</v>
          </cell>
        </row>
        <row r="10118">
          <cell r="D10118" t="str">
            <v>15363802    -    ASM CONN 0 F TIMER MICRO II SLD BASE 3    -    0.14681</v>
          </cell>
        </row>
        <row r="10119">
          <cell r="D10119" t="str">
            <v>9387903    -    CONNECTOR-PLUG,A    -    0.1468</v>
          </cell>
        </row>
        <row r="10120">
          <cell r="D10120" t="str">
            <v>9387904    -    CONNECTOR-PLUG,D    -    0.1468</v>
          </cell>
        </row>
        <row r="10121">
          <cell r="D10121" t="str">
            <v>15327897    -    CONN ASM    -    0.146618</v>
          </cell>
        </row>
        <row r="10122">
          <cell r="D10122" t="str">
            <v>15340015    -    SOCKET #20, STAMPED GOLD    -    0.1465</v>
          </cell>
        </row>
        <row r="10123">
          <cell r="D10123" t="str">
            <v>12184832    -    ASM CONN 3F SUPERSEAL 1,5    -    0.146307</v>
          </cell>
        </row>
        <row r="10124">
          <cell r="D10124" t="str">
            <v>10777467    -    25.995.00 JUNTA ESTANQUEIDAD PARA CONECT    -    0.146257</v>
          </cell>
        </row>
        <row r="10125">
          <cell r="D10125" t="str">
            <v>10781005    -    HOUSING 2.P.CE    -    0.146121</v>
          </cell>
        </row>
        <row r="10126">
          <cell r="D10126" t="str">
            <v>10781007    -    HOUSING 2.P. HN    -    0.146121</v>
          </cell>
        </row>
        <row r="10127">
          <cell r="D10127" t="str">
            <v>10865092    -    CONN 6 F SOCKET YEL    -    0.145973</v>
          </cell>
        </row>
        <row r="10128">
          <cell r="D10128" t="str">
            <v>10811505    -    CONN 1 F SOCKET 4.0 BLK    -    0.14586</v>
          </cell>
        </row>
        <row r="10129">
          <cell r="D10129" t="str">
            <v>10734468    -    CONNECTOR VOLVO 9168651    -    0.1458</v>
          </cell>
        </row>
        <row r="10130">
          <cell r="D10130" t="str">
            <v>10777085    -    16.529.96 CON 3 V NG 57M7088 AMP 180941-    -    0.145736</v>
          </cell>
        </row>
        <row r="10131">
          <cell r="D10131" t="str">
            <v>10722709    -    KUPPLUNGSSTECKER    -    0.14573</v>
          </cell>
        </row>
        <row r="10132">
          <cell r="D10132" t="str">
            <v>15364199    -    611864 ZLACZE 1/24851/80    -    0.14573</v>
          </cell>
        </row>
        <row r="10133">
          <cell r="D10133" t="str">
            <v>10777022    -    CONN 5 F MULTILOCK WHT    -    0.145703</v>
          </cell>
        </row>
        <row r="10134">
          <cell r="D10134" t="str">
            <v>10777023    -    CONN 5 F MULTILOCK BLK    -    0.145703</v>
          </cell>
        </row>
        <row r="10135">
          <cell r="D10135" t="str">
            <v>10777028    -    CONN 5 F MULTILOCK GRN    -    0.145703</v>
          </cell>
        </row>
        <row r="10136">
          <cell r="D10136" t="str">
            <v>12129600    -    CONN 4M M/P 280 SLD    -    0.1454</v>
          </cell>
        </row>
        <row r="10137">
          <cell r="D10137" t="str">
            <v>10779677    -    MOUN BRACKET CONN    -    0.145102</v>
          </cell>
        </row>
        <row r="10138">
          <cell r="D10138" t="str">
            <v>12084470    -    CONNECTOR, BODY &amp; CLIP    -    0.145</v>
          </cell>
        </row>
        <row r="10139">
          <cell r="D10139" t="str">
            <v>16238983    -    HEADER-10 COND    -    0.145</v>
          </cell>
        </row>
        <row r="10140">
          <cell r="D10140" t="str">
            <v>10774604    -    CONN 3 F MATE-N-LOK UNIVERSAL    -    0.144986</v>
          </cell>
        </row>
        <row r="10141">
          <cell r="D10141" t="str">
            <v>PG008527    -    CONN 3 F MODU BLK    -    0.144853</v>
          </cell>
        </row>
        <row r="10142">
          <cell r="D10142" t="str">
            <v>09401447    -    HEADER-16POS,M,V,SM    -    0.144381</v>
          </cell>
        </row>
        <row r="10143">
          <cell r="D10143" t="str">
            <v>9394487    -    CONN-5 PIN BERG DUB    -    0.144381</v>
          </cell>
        </row>
        <row r="10144">
          <cell r="D10144" t="str">
            <v>15364239    -    633461 CNCN M 24 BK 2 *    -    0.144246</v>
          </cell>
        </row>
        <row r="10145">
          <cell r="D10145" t="str">
            <v>12197351    -    CX 6 CAV WH YPC 1027    -    0.144133</v>
          </cell>
        </row>
        <row r="10146">
          <cell r="D10146" t="str">
            <v>15416347    -    CONNECTOR    -    0.14398</v>
          </cell>
        </row>
        <row r="10147">
          <cell r="D10147" t="str">
            <v>396046480000    -    BUCHSENLEISTE 8-POL STEHEND R1,25 BTEM F    -    0.143909</v>
          </cell>
        </row>
        <row r="10148">
          <cell r="D10148" t="str">
            <v>15380552    -    CONN 6 F TIMER JR-POWER BLU    -    0.143574</v>
          </cell>
        </row>
        <row r="10149">
          <cell r="D10149" t="str">
            <v>10846300    -    CONN ASM    -    0.14289</v>
          </cell>
        </row>
        <row r="10150">
          <cell r="D10150" t="str">
            <v>12020832    -    ASM CONN 4F W/P TWR SLD    -    0.1428</v>
          </cell>
        </row>
        <row r="10151">
          <cell r="D10151" t="str">
            <v>15326806    -    ASM CONN 2F    -    0.142518</v>
          </cell>
        </row>
        <row r="10152">
          <cell r="D10152" t="str">
            <v>12066681    -    ASM CONN 2F M/P 630 P2S    -    0.1425</v>
          </cell>
        </row>
        <row r="10153">
          <cell r="D10153" t="str">
            <v>12066681S    -    ASM CONN 2F M/P 630 P2S    -    0.1425</v>
          </cell>
        </row>
        <row r="10154">
          <cell r="D10154" t="str">
            <v>15338632    -    ASSM. CONN. MDK 5    -    0.142468</v>
          </cell>
        </row>
        <row r="10155">
          <cell r="D10155" t="str">
            <v>12162144    -    ASM CONN 4F M/P 150 SLD    -    0.1421</v>
          </cell>
        </row>
        <row r="10156">
          <cell r="D10156" t="str">
            <v>12162144S    -    ASM CONN 4F M/P 150 SLD    -    0.1421</v>
          </cell>
        </row>
        <row r="10157">
          <cell r="D10157" t="str">
            <v>FRD13069041    -    CONNECTEUR 7 VOIES REFUSION MOLEX NEW    -    0.142087</v>
          </cell>
        </row>
        <row r="10158">
          <cell r="D10158" t="str">
            <v>10721917    -    609613 STIFTGEHAEUSE    -    0.14194</v>
          </cell>
        </row>
        <row r="10159">
          <cell r="D10159" t="str">
            <v>15380788    -    CONN 1 M N/A    -    0.141885</v>
          </cell>
        </row>
        <row r="10160">
          <cell r="D10160" t="str">
            <v>10775488    -    628166 CNCN F 4 BK 8    -    0.141673</v>
          </cell>
        </row>
        <row r="10161">
          <cell r="D10161" t="str">
            <v>396225940000    -    STIFTKONTAKT-UNTERT.14-POL STEH 53290-14    -    0.141615</v>
          </cell>
        </row>
        <row r="10162">
          <cell r="D10162" t="str">
            <v>396046460100    -    BUCHSENLEISTE 6-POL STEH R1,25 SW BTEM6*    -    0.141547</v>
          </cell>
        </row>
        <row r="10163">
          <cell r="D10163" t="str">
            <v>10722419    -    615307 BUCHSENGEHAEUSE PO    -    0.141537</v>
          </cell>
        </row>
        <row r="10164">
          <cell r="D10164" t="str">
            <v>10775435    -    CONNECTOR    -    0.141499</v>
          </cell>
        </row>
        <row r="10165">
          <cell r="D10165" t="str">
            <v>10789088    -    CONN 6 F BLU    -    0.141399</v>
          </cell>
        </row>
        <row r="10166">
          <cell r="D10166" t="str">
            <v>15326840    -    ASM CONN 8M GT 150 SLD 4.0    -    0.1412</v>
          </cell>
        </row>
        <row r="10167">
          <cell r="D10167" t="str">
            <v>15405811    -    CONN 4W    -    0.14107</v>
          </cell>
        </row>
        <row r="10168">
          <cell r="D10168" t="str">
            <v>12048039    -    003122 ZLACZE 827551-3 1/23254/87    -    0.140643</v>
          </cell>
        </row>
        <row r="10169">
          <cell r="D10169" t="str">
            <v>10811753    -    ASM CONN    -    0.140405</v>
          </cell>
        </row>
        <row r="10170">
          <cell r="D10170" t="str">
            <v>12185589    -    CONN ASM    -    0.140405</v>
          </cell>
        </row>
        <row r="10171">
          <cell r="D10171" t="str">
            <v>10814372    -    CONN 6 F RED    -    0.140093</v>
          </cell>
        </row>
        <row r="10172">
          <cell r="D10172" t="str">
            <v>9401764    -    HEADER-08POS,M,V,2M    -    0.14007</v>
          </cell>
        </row>
        <row r="10173">
          <cell r="D10173" t="str">
            <v>10775831    -    CONN 4 M BLK    -    0.140052</v>
          </cell>
        </row>
        <row r="10174">
          <cell r="D10174" t="str">
            <v>12103532    -    TERM PIN    -    0.14</v>
          </cell>
        </row>
        <row r="10175">
          <cell r="D10175" t="str">
            <v>15422578    -    CONNECTOR    -    0.14</v>
          </cell>
        </row>
        <row r="10176">
          <cell r="D10176" t="str">
            <v>16120943    -    CONNECTOR-HEADER    -    0.14</v>
          </cell>
        </row>
        <row r="10177">
          <cell r="D10177" t="str">
            <v>16208658    -    HEADER-CONN    -    0.14</v>
          </cell>
        </row>
        <row r="10178">
          <cell r="D10178" t="str">
            <v>16208856    -    HEADER-14 COND,MALE    -    0.14</v>
          </cell>
        </row>
        <row r="10179">
          <cell r="D10179" t="str">
            <v>9395105    -    HEADER-14 COND    -    0.14</v>
          </cell>
        </row>
        <row r="10180">
          <cell r="D10180" t="str">
            <v>10723934    -    CONN 4 M MATE-N-LOK UNIVERSAL    -    0.139777</v>
          </cell>
        </row>
        <row r="10181">
          <cell r="D10181" t="str">
            <v>10723752    -    KUPPLUNGSSTECKER    -    0.139523</v>
          </cell>
        </row>
        <row r="10182">
          <cell r="D10182" t="str">
            <v>10726715    -    KUPPLUNGSSTECKER    -    0.139523</v>
          </cell>
        </row>
        <row r="10183">
          <cell r="D10183" t="str">
            <v>10864401    -    COV CONN BLK    -    0.139375</v>
          </cell>
        </row>
        <row r="10184">
          <cell r="D10184" t="str">
            <v>15336024    -    ASM CONN 2F GT 150 SLD BLK    -    0.1392</v>
          </cell>
        </row>
        <row r="10185">
          <cell r="D10185" t="str">
            <v>15336024S    -    ASM CONN 2F GT 150 SLD BLK    -    0.1392</v>
          </cell>
        </row>
        <row r="10186">
          <cell r="D10186" t="str">
            <v>10787631    -    29-POL. BU-GEHAEUSE    -    0.138673</v>
          </cell>
        </row>
        <row r="10187">
          <cell r="D10187" t="str">
            <v>10774606    -    CONN 4 M N/A    -    0.138579</v>
          </cell>
        </row>
        <row r="10188">
          <cell r="D10188" t="str">
            <v>15326813    -    ASM CONN 3 AWY MALE    -    0.138542</v>
          </cell>
        </row>
        <row r="10189">
          <cell r="D10189" t="str">
            <v>10769319    -    2-P ANTENNENGEH.    -    0.137982</v>
          </cell>
        </row>
        <row r="10190">
          <cell r="D10190" t="str">
            <v>10775830    -    CONN 2 M BLK    -    0.137927</v>
          </cell>
        </row>
        <row r="10191">
          <cell r="D10191" t="str">
            <v>15327965    -    CONN ASM    -    0.13792</v>
          </cell>
        </row>
        <row r="10192">
          <cell r="D10192" t="str">
            <v>10769263    -    CONN ASM    -    0.137634</v>
          </cell>
        </row>
        <row r="10193">
          <cell r="D10193" t="str">
            <v>15343662    -    633263 CNCN M 24 BK 2    -    0.137634</v>
          </cell>
        </row>
        <row r="10194">
          <cell r="D10194" t="str">
            <v>10769117    -    4-POL GEHAEUSE KOD A    -    0.137351</v>
          </cell>
        </row>
        <row r="10195">
          <cell r="D10195" t="str">
            <v>10846545    -    STIFTGEH. MQS 4-POL.    -    0.137351</v>
          </cell>
        </row>
        <row r="10196">
          <cell r="D10196" t="str">
            <v>10723695    -    CONNECTOR 8W GRAY    -    0.136678</v>
          </cell>
        </row>
        <row r="10197">
          <cell r="D10197" t="str">
            <v>10723696    -    CONNECTOR 8W BROWN    -    0.136678</v>
          </cell>
        </row>
        <row r="10198">
          <cell r="D10198" t="str">
            <v>15452735    -    CONNECTOR 4W BLACK    -    0.13665</v>
          </cell>
        </row>
        <row r="10199">
          <cell r="D10199" t="str">
            <v>10735044    -    14.359.96 S.LOOK 2V. NG L112121    -    0.136595</v>
          </cell>
        </row>
        <row r="10200">
          <cell r="D10200" t="str">
            <v>10763040    -    HOUSING ZE    -    0.136591</v>
          </cell>
        </row>
        <row r="10201">
          <cell r="D10201" t="str">
            <v>10763041    -    HOUSING    -    0.136591</v>
          </cell>
        </row>
        <row r="10202">
          <cell r="D10202" t="str">
            <v>10749467    -    9681761    -    0.135733</v>
          </cell>
        </row>
        <row r="10203">
          <cell r="D10203" t="str">
            <v>15405636    -    12-P GEHAEUSE TYCO    -    0.135178</v>
          </cell>
        </row>
        <row r="10204">
          <cell r="D10204" t="str">
            <v>10763692    -    TAMPA P/MCMQSF 2V BR 9632594580    -    0.134936</v>
          </cell>
        </row>
        <row r="10205">
          <cell r="D10205" t="str">
            <v>15404555    -    CONN 40 F BLK    -    0.134936</v>
          </cell>
        </row>
        <row r="10206">
          <cell r="D10206" t="str">
            <v>8290182006    -    FOLIENSTECKBUCHSE 6-POL.    -    0.134936</v>
          </cell>
        </row>
        <row r="10207">
          <cell r="D10207" t="str">
            <v>10819436    -    CONN 12 F QUADLOK MICRO BLK    -    0.134764</v>
          </cell>
        </row>
        <row r="10208">
          <cell r="D10208" t="str">
            <v>10769264    -    CONN 1 FLAT CONN 2.8 BLK    -    0.134533</v>
          </cell>
        </row>
        <row r="10209">
          <cell r="D10209" t="str">
            <v>15339553    -    109689941    -    0.134531</v>
          </cell>
        </row>
        <row r="10210">
          <cell r="D10210" t="str">
            <v>12033769    -    ASM CONN 2F M/P 630 P2S SLD    -    0.1345</v>
          </cell>
        </row>
        <row r="10211">
          <cell r="D10211" t="str">
            <v>10820466    -    CONN 6 F YEL    -    0.134416</v>
          </cell>
        </row>
        <row r="10212">
          <cell r="D10212" t="str">
            <v>811250154000    -    SMD LP-KONTAKT OG-503040 KITAGAWA    -    0.133586</v>
          </cell>
        </row>
        <row r="10213">
          <cell r="D10213" t="str">
            <v>10723243    -    HOUSING 26 P. ZE    -    0.133447</v>
          </cell>
        </row>
        <row r="10214">
          <cell r="D10214" t="str">
            <v>15368562    -    CONN ASM    -    0.133447</v>
          </cell>
        </row>
        <row r="10215">
          <cell r="D10215" t="str">
            <v>10763042    -    HOUSING    -    0.13341</v>
          </cell>
        </row>
        <row r="10216">
          <cell r="D10216" t="str">
            <v>10768602    -    821019 CONN 36 F QUADLOK MICRO    -    0.13341</v>
          </cell>
        </row>
        <row r="10217">
          <cell r="D10217" t="str">
            <v>10810973    -    HOUSING 36 P. F CE    -    0.13341</v>
          </cell>
        </row>
        <row r="10218">
          <cell r="D10218" t="str">
            <v>396044370100    -    BUCHSENLEISTE 7-POL STEHEND    -    0.133114</v>
          </cell>
        </row>
        <row r="10219">
          <cell r="D10219" t="str">
            <v>15363866    -    CONN ASM    -    0.13295</v>
          </cell>
        </row>
        <row r="10220">
          <cell r="D10220" t="str">
            <v>10775489    -    628168 CNCN M 4 BK 8 1-    -    0.132776</v>
          </cell>
        </row>
        <row r="10221">
          <cell r="D10221" t="str">
            <v>10726738    -    15.899.96 CON AMP 3-962581-1 3 VIAS    -    0.132677</v>
          </cell>
        </row>
        <row r="10222">
          <cell r="D10222" t="str">
            <v>10756973    -    HOUSING    -    0.132664</v>
          </cell>
        </row>
        <row r="10223">
          <cell r="D10223" t="str">
            <v>12186550    -    CONNECTOR 2W BLACK    -    0.132237</v>
          </cell>
        </row>
        <row r="10224">
          <cell r="D10224" t="str">
            <v>15341051    -    16.861.93 CON 8V A.M.P.282718-1 FIAT 94.    -    0.132118</v>
          </cell>
        </row>
        <row r="10225">
          <cell r="D10225" t="str">
            <v>9401763    -    HEADER-07POS,M,V,2M    -    0.13191</v>
          </cell>
        </row>
        <row r="10226">
          <cell r="D10226" t="str">
            <v>10820325    -    COV CONN BLK    -    0.131711</v>
          </cell>
        </row>
        <row r="10227">
          <cell r="D10227" t="str">
            <v>15380807    -    CONN 12F    -    0.13167</v>
          </cell>
        </row>
        <row r="10228">
          <cell r="D10228" t="str">
            <v>9368236    -    TERMINAL-STRIP,6PIN    -    0.13148</v>
          </cell>
        </row>
        <row r="10229">
          <cell r="D10229" t="str">
            <v>396225910000    -    STIFTKONTAKT-UNTERT.11-POL STEH 53290-11    -    0.130887</v>
          </cell>
        </row>
        <row r="10230">
          <cell r="D10230" t="str">
            <v>10768916    -    STECKHLSENGEHUSE2X5-POL.SLK2,8 KOD. B    -    0.130689</v>
          </cell>
        </row>
        <row r="10231">
          <cell r="D10231" t="str">
            <v>10723691    -    CONN ASM    -    0.130465</v>
          </cell>
        </row>
        <row r="10232">
          <cell r="D10232" t="str">
            <v>10787363    -    CONN ASM    -    0.130465</v>
          </cell>
        </row>
        <row r="10233">
          <cell r="D10233" t="str">
            <v>10811300    -    CONN ASM    -    0.130465</v>
          </cell>
        </row>
        <row r="10234">
          <cell r="D10234" t="str">
            <v>10774915    -    CONN M&amp;F    -    0.130456</v>
          </cell>
        </row>
        <row r="10235">
          <cell r="D10235" t="str">
            <v>15317041    -    13934295    -    0.130388</v>
          </cell>
        </row>
        <row r="10236">
          <cell r="D10236" t="str">
            <v>10769283    -    STECKERGEHAEUSE    -    0.130217</v>
          </cell>
        </row>
        <row r="10237">
          <cell r="D10237" t="str">
            <v>15395893    -    ZASUVKA    -    0.130092</v>
          </cell>
        </row>
        <row r="10238">
          <cell r="D10238" t="str">
            <v>15339792    -    PIN SIZE#20    -    0.13</v>
          </cell>
        </row>
        <row r="10239">
          <cell r="D10239" t="str">
            <v>15369415    -    SEC LOCK    -    0.13</v>
          </cell>
        </row>
        <row r="10240">
          <cell r="D10240" t="str">
            <v>15369416    -    SEC LOCK    -    0.13</v>
          </cell>
        </row>
        <row r="10241">
          <cell r="D10241" t="str">
            <v>15422579    -    CONNECTOR    -    0.13</v>
          </cell>
        </row>
        <row r="10242">
          <cell r="D10242" t="str">
            <v>15422658    -    TERMINAL    -    0.13</v>
          </cell>
        </row>
        <row r="10243">
          <cell r="D10243" t="str">
            <v>12124819    -    ASM CONN 2F M/P 280 SLD    -    0.1298</v>
          </cell>
        </row>
        <row r="10244">
          <cell r="D10244" t="str">
            <v>12041368    -    CX CAIXA    -    0.129471</v>
          </cell>
        </row>
        <row r="10245">
          <cell r="D10245" t="str">
            <v>15336652    -    WIRE DRESS COVER    -    0.12918</v>
          </cell>
        </row>
        <row r="10246">
          <cell r="D10246" t="str">
            <v>10722124    -    RECEPTACLE    -    0.129173</v>
          </cell>
        </row>
        <row r="10247">
          <cell r="D10247" t="str">
            <v>15369129    -    CONN ASM    -    0.128974</v>
          </cell>
        </row>
        <row r="10248">
          <cell r="D10248" t="str">
            <v>10753784    -    409686962    -    0.128651</v>
          </cell>
        </row>
        <row r="10249">
          <cell r="D10249" t="str">
            <v>10778914    -    KUPPLUNGSSTECKER    -    0.128477</v>
          </cell>
        </row>
        <row r="10250">
          <cell r="D10250" t="str">
            <v>10769390    -    CONN 2 F MULTILOCK 070 YEL    -    0.128472</v>
          </cell>
        </row>
        <row r="10251">
          <cell r="D10251" t="str">
            <v>15326900S    -    ASM CONN 6F GT 280    -    0.1282</v>
          </cell>
        </row>
        <row r="10252">
          <cell r="D10252" t="str">
            <v>15368965    -    15.027.98 CO 6V AMP 281875-5 VD 1/236778    -    0.128189</v>
          </cell>
        </row>
        <row r="10253">
          <cell r="D10253" t="str">
            <v>10721495    -    CONN 6 F MATE-N-LOK RED    -    0.128094</v>
          </cell>
        </row>
        <row r="10254">
          <cell r="D10254" t="str">
            <v>15316483    -    KUPPLUNGS-UNTERTEIL    -    0.128079</v>
          </cell>
        </row>
        <row r="10255">
          <cell r="D10255" t="str">
            <v>15431029    -    CONNECTOR    -    0.128</v>
          </cell>
        </row>
        <row r="10256">
          <cell r="D10256" t="str">
            <v>16170603    -    HEADER-08 COND,FEM    -    0.128</v>
          </cell>
        </row>
        <row r="10257">
          <cell r="D10257" t="str">
            <v>10722955    -    CONN ASM    -    0.12798</v>
          </cell>
        </row>
        <row r="10258">
          <cell r="D10258" t="str">
            <v>10752651    -    TK02FBR CONN.2WAY FEMALE BROWN    -    0.127657</v>
          </cell>
        </row>
        <row r="10259">
          <cell r="D10259" t="str">
            <v>12065062    -    2-P GEH.6098-0001 SUMITO    -    0.127526</v>
          </cell>
        </row>
        <row r="10260">
          <cell r="D10260" t="str">
            <v>396045100000    -    FOLIENSTECKBUCHSE 10-POL STEHEND    -    0.127514</v>
          </cell>
        </row>
        <row r="10261">
          <cell r="D10261" t="str">
            <v>12162834S    -    ASM CONN 4 F M/P 150.2 GRA SEALED    -    0.1273</v>
          </cell>
        </row>
        <row r="10262">
          <cell r="D10262" t="str">
            <v>15489743    -    CONNECTOR W SEAL    -    0.12713</v>
          </cell>
        </row>
        <row r="10263">
          <cell r="D10263" t="str">
            <v>10787872    -    CONN 6 M QUADLOK MICRO BLK    -    0.126738</v>
          </cell>
        </row>
        <row r="10264">
          <cell r="D10264" t="str">
            <v>829099058900    -    CODIERBRUECKE RM2,54 SCHWARZ 11.2110 C*    -    0.12603</v>
          </cell>
        </row>
        <row r="10265">
          <cell r="D10265" t="str">
            <v>15396364    -    CONN    -    0.125967</v>
          </cell>
        </row>
        <row r="10266">
          <cell r="D10266" t="str">
            <v>12065287S    -    ASM CONN 3F M/P 150 P2S SLD *    -    0.1259</v>
          </cell>
        </row>
        <row r="10267">
          <cell r="D10267" t="str">
            <v>12162335    -    CONN 3-WAY    -    0.12583</v>
          </cell>
        </row>
        <row r="10268">
          <cell r="D10268" t="str">
            <v>12162017    -    ASM CONN 2F M/P 150 SLD    -    0.1257</v>
          </cell>
        </row>
        <row r="10269">
          <cell r="D10269" t="str">
            <v>10721410    -    AK 12762    -    0.125625</v>
          </cell>
        </row>
        <row r="10270">
          <cell r="D10270" t="str">
            <v>10769318    -    2-P ANT.GEH. TYCO NEU    -    0.125571</v>
          </cell>
        </row>
        <row r="10271">
          <cell r="D10271" t="str">
            <v>10769320    -    2-P ANT.GEH. TYCO HFM2-2    -    0.125571</v>
          </cell>
        </row>
        <row r="10272">
          <cell r="D10272" t="str">
            <v>12162190    -    ASM CONN 4F M/P 150.2 P2S SLD    -    0.1255</v>
          </cell>
        </row>
        <row r="10273">
          <cell r="D10273" t="str">
            <v>12162190S    -    ASM CONN 4F M/P 150.2 P2S SLD    -    0.1255</v>
          </cell>
        </row>
        <row r="10274">
          <cell r="D10274" t="str">
            <v>12078090S    -    ASM CONN 3F M/P 150 P2S SLD *    -    0.1252</v>
          </cell>
        </row>
        <row r="10275">
          <cell r="D10275" t="str">
            <v>12103492    -    CONN    -    0.125</v>
          </cell>
        </row>
        <row r="10276">
          <cell r="D10276" t="str">
            <v>16255152    -    HEADER-06 COND,ZIF    -    0.125</v>
          </cell>
        </row>
        <row r="10277">
          <cell r="D10277" t="str">
            <v>12162182    -    ASM CONN 3 F M/P 150.2    -    0.1249</v>
          </cell>
        </row>
        <row r="10278">
          <cell r="D10278" t="str">
            <v>15326822    -    ASM CONN 5F GT 150 SLD 4.0    -    0.1249</v>
          </cell>
        </row>
        <row r="10279">
          <cell r="D10279" t="str">
            <v>15336345    -    ASM CONN 4F    -    0.124874</v>
          </cell>
        </row>
        <row r="10280">
          <cell r="D10280" t="str">
            <v>10768259    -    BUCHSENGEHAEUSE 28-POLIG    -    0.124869</v>
          </cell>
        </row>
        <row r="10281">
          <cell r="D10281" t="str">
            <v>396025890000    -    STIFTLEISTE 9-POL LIEG 53015-0910 MOL    -    0.124613</v>
          </cell>
        </row>
        <row r="10282">
          <cell r="D10282" t="str">
            <v>10779941    -    16.R29.00 CON. SUMITOMO 6430-4    -    0.124411</v>
          </cell>
        </row>
        <row r="10283">
          <cell r="D10283" t="str">
            <v>15363864    -    CONN ASM    -    0.124253</v>
          </cell>
        </row>
        <row r="10284">
          <cell r="D10284" t="str">
            <v>15368871    -    CONNECTOR 9W    -    0.124253</v>
          </cell>
        </row>
        <row r="10285">
          <cell r="D10285" t="str">
            <v>10722118    -    CONN 10 M GRN    -    0.124141</v>
          </cell>
        </row>
        <row r="10286">
          <cell r="D10286" t="str">
            <v>10722126    -    CONN 10 M RED    -    0.124141</v>
          </cell>
        </row>
        <row r="10287">
          <cell r="D10287" t="str">
            <v>10722486    -    RUNDSTECKERGEHAEUSE PBTP BL 10 M    -    0.124141</v>
          </cell>
        </row>
        <row r="10288">
          <cell r="D10288" t="str">
            <v>10819842    -    CONN 8 F MQS BLK    -    0.12388</v>
          </cell>
        </row>
        <row r="10289">
          <cell r="D10289" t="str">
            <v>10756730    -    CONNECTOR 4W    -    0.123855</v>
          </cell>
        </row>
        <row r="10290">
          <cell r="D10290" t="str">
            <v>396046260000    -    STIFTLEISTE 6-POL LIEG R1,25 BTEM6P-1R    -    0.123061</v>
          </cell>
        </row>
        <row r="10291">
          <cell r="D10291" t="str">
            <v>10722120    -    CONN 10 M VLT    -    0.123021</v>
          </cell>
        </row>
        <row r="10292">
          <cell r="D10292" t="str">
            <v>15422489    -    CONNECTOR    -    0.123</v>
          </cell>
        </row>
        <row r="10293">
          <cell r="D10293" t="str">
            <v>10768515    -    COVER HOUSING NATUR    -    0.122935</v>
          </cell>
        </row>
        <row r="10294">
          <cell r="D10294" t="str">
            <v>10768516    -    COVER    -    0.122935</v>
          </cell>
        </row>
        <row r="10295">
          <cell r="D10295" t="str">
            <v>12162279    -    ASM CONN 3F M/P 150.2 P2S    -    0.1229</v>
          </cell>
        </row>
        <row r="10296">
          <cell r="D10296" t="str">
            <v>12162185    -    ASM CONN 3F M/P 150.2 P2S    -    0.1228</v>
          </cell>
        </row>
        <row r="10297">
          <cell r="D10297" t="str">
            <v>9394482    -    CONN-4 PIN BERG DUB    -    0.122791</v>
          </cell>
        </row>
        <row r="10298">
          <cell r="D10298" t="str">
            <v>10814371    -    CONN 6 F NAT    -    0.122488</v>
          </cell>
        </row>
        <row r="10299">
          <cell r="D10299" t="str">
            <v>15383327    -    ASM CONN 2 F SLEEVE N/A    -    0.122481</v>
          </cell>
        </row>
        <row r="10300">
          <cell r="D10300" t="str">
            <v>15383338    -    TPA    -    0.122</v>
          </cell>
        </row>
        <row r="10301">
          <cell r="D10301" t="str">
            <v>15368695    -    CONN.4 W    -    0.121833</v>
          </cell>
        </row>
        <row r="10302">
          <cell r="D10302" t="str">
            <v>16164363    -    HEADER-13 COND,MALE    -    0.1217</v>
          </cell>
        </row>
        <row r="10303">
          <cell r="D10303" t="str">
            <v>15305371    -    CONN 32F MIC/P 100W SLD    -    0.1215</v>
          </cell>
        </row>
        <row r="10304">
          <cell r="D10304" t="str">
            <v>10723932    -    CONN 2 F MATE-N-LOK UNIVERSAL WHT SLD    -    0.121442</v>
          </cell>
        </row>
        <row r="10305">
          <cell r="D10305" t="str">
            <v>12065401    -    ASM CONN 3F M/P 150 SLD    -    0.1211</v>
          </cell>
        </row>
        <row r="10306">
          <cell r="D10306" t="str">
            <v>16208154    -    HEADER-04 COND.,MA    -    0.121</v>
          </cell>
        </row>
        <row r="10307">
          <cell r="D10307" t="str">
            <v>10779551    -    CONN 18 F RECEPTACLE BLU LT    -    0.120773</v>
          </cell>
        </row>
        <row r="10308">
          <cell r="D10308" t="str">
            <v>PE093236    -    CONNECTOR 4W GRAY    -    0.120488</v>
          </cell>
        </row>
        <row r="10309">
          <cell r="D10309" t="str">
            <v>12065298    -    ASM CONN 4F M/P 150 SLD    -    0.1204</v>
          </cell>
        </row>
        <row r="10310">
          <cell r="D10310" t="str">
            <v>10724311    -    CX 13 PR 7701996045    -    0.120276</v>
          </cell>
        </row>
        <row r="10311">
          <cell r="D10311" t="str">
            <v>10769598    -    5POL SLKKUPPLUNG    -    0.120255</v>
          </cell>
        </row>
        <row r="10312">
          <cell r="D10312" t="str">
            <v>12103533    -    TERM CONTACT SOCKET    -    0.12</v>
          </cell>
        </row>
        <row r="10313">
          <cell r="D10313" t="str">
            <v>12129228    -    CONN 32F MIC/P 100W SLD    -    0.12</v>
          </cell>
        </row>
        <row r="10314">
          <cell r="D10314" t="str">
            <v>15422521    -    ASM CONN 4M    -    0.12</v>
          </cell>
        </row>
        <row r="10315">
          <cell r="D10315" t="str">
            <v>16212210    -    HEADER-04 COND,MALE    -    0.12</v>
          </cell>
        </row>
        <row r="10316">
          <cell r="D10316" t="str">
            <v>9399609    -    HEADER    -    0.12</v>
          </cell>
        </row>
        <row r="10317">
          <cell r="D10317" t="str">
            <v>10757625    -    CONN 3 M YEL SEALED    -    0.119931</v>
          </cell>
        </row>
        <row r="10318">
          <cell r="D10318" t="str">
            <v>10718308    -    MISC    -    0.119531</v>
          </cell>
        </row>
        <row r="10319">
          <cell r="D10319" t="str">
            <v>15339571    -    CONNECTOR 20W BLACK    -    0.119445</v>
          </cell>
        </row>
        <row r="10320">
          <cell r="D10320" t="str">
            <v>15339572    -    CONNECTOR 20W GRAY    -    0.119445</v>
          </cell>
        </row>
        <row r="10321">
          <cell r="D10321" t="str">
            <v>10768925    -    EINSATZ14POL.MQS    -    0.119369</v>
          </cell>
        </row>
        <row r="10322">
          <cell r="D10322" t="str">
            <v>12162189    -    ASM CONN 4F M/P 150.2 P2S    -    0.1192</v>
          </cell>
        </row>
        <row r="10323">
          <cell r="D10323" t="str">
            <v>12162189S    -    ASM CONN 4F M/P 150.2 P2S    -    0.1192</v>
          </cell>
        </row>
        <row r="10324">
          <cell r="D10324" t="str">
            <v>12110206    -    TAXI CONN    -    0.119</v>
          </cell>
        </row>
        <row r="10325">
          <cell r="D10325" t="str">
            <v>PE090056    -    CONNECTOR 5W WHITE    -    0.118984</v>
          </cell>
        </row>
        <row r="10326">
          <cell r="D10326" t="str">
            <v>15332138    -    ASM CONN 5F GT 150    -    0.1189</v>
          </cell>
        </row>
        <row r="10327">
          <cell r="D10327" t="str">
            <v>10762274    -    CONNECTOR 3W    -    0.118711</v>
          </cell>
        </row>
        <row r="10328">
          <cell r="D10328" t="str">
            <v>15368876    -    CONNECTOR 3W    -    0.118711</v>
          </cell>
        </row>
        <row r="10329">
          <cell r="D10329" t="str">
            <v>15327455    -    109652731    -    0.118662</v>
          </cell>
        </row>
        <row r="10330">
          <cell r="D10330" t="str">
            <v>10726499    -    15.899.06 CON AMP 1-962581-1 3    -    0.118636</v>
          </cell>
        </row>
        <row r="10331">
          <cell r="D10331" t="str">
            <v>12065299    -    ASM CONN 1F M/P 150 SLD    -    0.1186</v>
          </cell>
        </row>
        <row r="10332">
          <cell r="D10332" t="str">
            <v>10723608    -    HOUSING-PVC    -    0.11845</v>
          </cell>
        </row>
        <row r="10333">
          <cell r="D10333" t="str">
            <v>15448508    -    STAMPED CONTACT PIN    -    0.1183</v>
          </cell>
        </row>
        <row r="10334">
          <cell r="D10334" t="str">
            <v>12162188    -    ASM CONN 4F M/P 150.2 P2S    -    0.1181</v>
          </cell>
        </row>
        <row r="10335">
          <cell r="D10335" t="str">
            <v>12162188S    -    ASM CONN 4F M/P 150.2 P2S    -    0.1181</v>
          </cell>
        </row>
        <row r="10336">
          <cell r="D10336" t="str">
            <v>10812069    -    4-POL.ANTENNENGEHAEUSE IP    -    0.117731</v>
          </cell>
        </row>
        <row r="10337">
          <cell r="D10337" t="str">
            <v>10768716    -    2POL-STIFTGEHAEUSE    -    0.117593</v>
          </cell>
        </row>
        <row r="10338">
          <cell r="D10338" t="str">
            <v>15327793    -    DV COVER POS 3738 NT 168 545 17 28    -    0.11753</v>
          </cell>
        </row>
        <row r="10339">
          <cell r="D10339" t="str">
            <v>10768790    -    PC MQS AV 4V NOIR * 9641793780    -    0.117443</v>
          </cell>
        </row>
        <row r="10340">
          <cell r="D10340" t="str">
            <v>10787380    -    STECKERGEHUSE2X2-POL.SLK2,8(O.P.V.,SW)    -    0.117207</v>
          </cell>
        </row>
        <row r="10341">
          <cell r="D10341" t="str">
            <v>12065400    -    ASM CONN 2F M/P 150 SLD    -    0.1171</v>
          </cell>
        </row>
        <row r="10342">
          <cell r="D10342" t="str">
            <v>10722150    -    CONN M+F    -    0.116897</v>
          </cell>
        </row>
        <row r="10343">
          <cell r="D10343" t="str">
            <v>12015798    -    ASM CONN 4F W/P TWR SLD    -    0.1166</v>
          </cell>
        </row>
        <row r="10344">
          <cell r="D10344" t="str">
            <v>12015798S    -    ASM CONN 4F W/P TWR SLD    -    0.1166</v>
          </cell>
        </row>
        <row r="10345">
          <cell r="D10345" t="str">
            <v>DED10420946    -    STIFTL.900 COD.A3 C4360/C4630    -    0.116584</v>
          </cell>
        </row>
        <row r="10346">
          <cell r="D10346" t="str">
            <v>10752583    -    CONN 3 F QUADLOK MICRO BLK    -    0.116206</v>
          </cell>
        </row>
        <row r="10347">
          <cell r="D10347" t="str">
            <v>10781018    -    CONN 3 F QUAD.AMP929-089-4 VLT    -    0.116206</v>
          </cell>
        </row>
        <row r="10348">
          <cell r="D10348" t="str">
            <v>16194857    -    HEADER-15 COND,MALE    -    0.11617</v>
          </cell>
        </row>
        <row r="10349">
          <cell r="D10349" t="str">
            <v>15338140    -    ASM CONN 4 F SOCKET 2.5 NAT    -    0.116085</v>
          </cell>
        </row>
        <row r="10350">
          <cell r="D10350" t="str">
            <v>12245948    -    STECKERBLOCK KOD. A C4610    -    0.116045</v>
          </cell>
        </row>
        <row r="10351">
          <cell r="D10351" t="str">
            <v>10774608    -    CONN 6 F MATE-N-LOK UNIVERSAL    -    0.115964</v>
          </cell>
        </row>
        <row r="10352">
          <cell r="D10352" t="str">
            <v>10756792    -    CONN ASM    -    0.115555</v>
          </cell>
        </row>
        <row r="10353">
          <cell r="D10353" t="str">
            <v>10756729    -    3 WAY CONNEKTOR    -    0.115505</v>
          </cell>
        </row>
        <row r="10354">
          <cell r="D10354" t="str">
            <v>15327612    -    DV COVER POS 3759 BK 210 545 9228    -    0.115194</v>
          </cell>
        </row>
        <row r="10355">
          <cell r="D10355" t="str">
            <v>10775009    -    CONN 002 545 8340 YELLOW    -    0.114983</v>
          </cell>
        </row>
        <row r="10356">
          <cell r="D10356" t="str">
            <v>10846838    -    SEAL PLUG CONN GRA    -    0.114695</v>
          </cell>
        </row>
        <row r="10357">
          <cell r="D10357" t="str">
            <v>10846839    -    SEAL PLUG CONN GRN    -    0.114695</v>
          </cell>
        </row>
        <row r="10358">
          <cell r="D10358" t="str">
            <v>10768603    -    CONN 18 F QUADLOK MICRO BLU    -    0.11435</v>
          </cell>
        </row>
        <row r="10359">
          <cell r="D10359" t="str">
            <v>10810972    -    HOUSING 18 P. F SE    -    0.11435</v>
          </cell>
        </row>
        <row r="10360">
          <cell r="D10360" t="str">
            <v>10788150    -    CONN ASM    -    0.114312</v>
          </cell>
        </row>
        <row r="10361">
          <cell r="D10361" t="str">
            <v>15363737    -    CONN ASM    -    0.114312</v>
          </cell>
        </row>
        <row r="10362">
          <cell r="D10362" t="str">
            <v>10762418    -    8POL MQSKUPPLUNGSGEHAEUSE    -    0.114101</v>
          </cell>
        </row>
        <row r="10363">
          <cell r="D10363" t="str">
            <v>12124898S    -    ASM CONN 4 F M/P MIXED    -    0.114</v>
          </cell>
        </row>
        <row r="10364">
          <cell r="D10364" t="str">
            <v>15380905    -    PIN #12 STAMPED    -    0.114</v>
          </cell>
        </row>
        <row r="10365">
          <cell r="D10365" t="str">
            <v>16210507    -    HEADER-06 COND,ZIF    -    0.114</v>
          </cell>
        </row>
        <row r="10366">
          <cell r="D10366" t="str">
            <v>9401010    -    HEADER-06POS,M,V,1.    -    0.114</v>
          </cell>
        </row>
        <row r="10367">
          <cell r="D10367" t="str">
            <v>10788272    -    COV BLK    -    0.113886</v>
          </cell>
        </row>
        <row r="10368">
          <cell r="D10368" t="str">
            <v>10820215    -    CONN 3 F MQS BLK    -    0.113832</v>
          </cell>
        </row>
        <row r="10369">
          <cell r="D10369" t="str">
            <v>15338085    -    609611 STIFTSTECKER    -    0.113832</v>
          </cell>
        </row>
        <row r="10370">
          <cell r="D10370" t="str">
            <v>10740617    -    1-POL. GEHAEUSE CLIPSEE    -    0.113653</v>
          </cell>
        </row>
        <row r="10371">
          <cell r="D10371" t="str">
            <v>10811370    -    CONN 16 F QUADLOK MICRO GRN    -    0.113653</v>
          </cell>
        </row>
        <row r="10372">
          <cell r="D10372" t="str">
            <v>10762840    -    STECKHLSGEHUSE8POL.SLK2,8CODA    -    0.113592</v>
          </cell>
        </row>
        <row r="10373">
          <cell r="D10373" t="str">
            <v>15337900    -    CONNECTOR    -    0.113418</v>
          </cell>
        </row>
        <row r="10374">
          <cell r="D10374" t="str">
            <v>12224084    -    CONN-2POL,IMMO,SAS    -    0.113346</v>
          </cell>
        </row>
        <row r="10375">
          <cell r="D10375" t="str">
            <v>10775569    -    CX 10 LARANJA 8A097298    -    0.113281</v>
          </cell>
        </row>
        <row r="10376">
          <cell r="D10376" t="str">
            <v>10793549    -    VIDLICE 11.P. SE    -    0.113194</v>
          </cell>
        </row>
        <row r="10377">
          <cell r="D10377" t="str">
            <v>10793550    -    VIDLICE 11.P. SE    -    0.113194</v>
          </cell>
        </row>
        <row r="10378">
          <cell r="D10378" t="str">
            <v>10811877    -    CONN 4 BLK    -    0.113082</v>
          </cell>
        </row>
        <row r="10379">
          <cell r="D10379" t="str">
            <v>15324229    -    CONN 4 F TIMER MICRO I BLK    -    0.112275</v>
          </cell>
        </row>
        <row r="10380">
          <cell r="D10380" t="str">
            <v>396062740000    -    BUCHSENL.4-POL STEH M.VERRIEGELG.0-3380*    -    0.112266</v>
          </cell>
        </row>
        <row r="10381">
          <cell r="D10381" t="str">
            <v>396067060000    -    STIFTLEISTE 2X3-POL STEHEND 826632-3 AMP    -    0.112192</v>
          </cell>
        </row>
        <row r="10382">
          <cell r="D10382" t="str">
            <v>10726492    -    ASM CONN 1F SUPERSEAL 1,5    -    0.112038</v>
          </cell>
        </row>
        <row r="10383">
          <cell r="D10383" t="str">
            <v>12020403    -    ASM W/P CONN 3MTRW    -    0.112</v>
          </cell>
        </row>
        <row r="10384">
          <cell r="D10384" t="str">
            <v>16239298    -    HEADER-15 COND,MA    -    0.112</v>
          </cell>
        </row>
        <row r="10385">
          <cell r="D10385" t="str">
            <v>10863285    -    CONNECTOR    -    0.111996</v>
          </cell>
        </row>
        <row r="10386">
          <cell r="D10386" t="str">
            <v>10769208    -    HOUSING    -    0.111827</v>
          </cell>
        </row>
        <row r="10387">
          <cell r="D10387" t="str">
            <v>10762666    -    STECKHLSGEHUSE10POL.SLK2,8CODA    -    0.111815</v>
          </cell>
        </row>
        <row r="10388">
          <cell r="D10388" t="str">
            <v>10776901    -    CONN POS 2705 - 31 545 6328    -    0.111766</v>
          </cell>
        </row>
        <row r="10389">
          <cell r="D10389" t="str">
            <v>10819924    -    LOCK CONN LK 96 RED    -    0.111511</v>
          </cell>
        </row>
        <row r="10390">
          <cell r="D10390" t="str">
            <v>12212325    -    KONTAKTSTIFT UMSPRITZT C6110    -    0.111457</v>
          </cell>
        </row>
        <row r="10391">
          <cell r="D10391" t="str">
            <v>15365796    -    CONN 1F    -    0.111322</v>
          </cell>
        </row>
        <row r="10392">
          <cell r="D10392" t="str">
            <v>9401761    -    HEADER-05POS,M,V,2M    -    0.11089</v>
          </cell>
        </row>
        <row r="10393">
          <cell r="D10393" t="str">
            <v>10732922    -    109652721    -    0.110672</v>
          </cell>
        </row>
        <row r="10394">
          <cell r="D10394" t="str">
            <v>15398794    -    SHIELD    -    0.1105</v>
          </cell>
        </row>
        <row r="10395">
          <cell r="D10395" t="str">
            <v>10768843    -    6-P BU-GEH.EINREIHIG    -    0.110391</v>
          </cell>
        </row>
        <row r="10396">
          <cell r="D10396" t="str">
            <v>10778938    -    CONNECTOR 2WAY    -    0.110026</v>
          </cell>
        </row>
        <row r="10397">
          <cell r="D10397" t="str">
            <v>15339554    -    CONN 8F QUADLOCK MICRO BRN    -    0.110013</v>
          </cell>
        </row>
        <row r="10398">
          <cell r="D10398" t="str">
            <v>15380412    -    CONN 8 F QUADLOK MICRO BLK    -    0.110013</v>
          </cell>
        </row>
        <row r="10399">
          <cell r="D10399" t="str">
            <v>12103531    -    TERM PIN # 16    -    0.11</v>
          </cell>
        </row>
        <row r="10400">
          <cell r="D10400" t="str">
            <v>12223473    -    CONN-DUMMY,SMALL    -    0.11</v>
          </cell>
        </row>
        <row r="10401">
          <cell r="D10401" t="str">
            <v>16158881    -    HEADER-15 COND,MALE    -    0.11</v>
          </cell>
        </row>
        <row r="10402">
          <cell r="D10402" t="str">
            <v>16235791    -    HEADER-08 COND,MA    -    0.11</v>
          </cell>
        </row>
        <row r="10403">
          <cell r="D10403" t="str">
            <v>16246270    -    HEADER-06 COND,MALE    -    0.11</v>
          </cell>
        </row>
        <row r="10404">
          <cell r="D10404" t="str">
            <v>16254701    -    HEADER-16 POS,MA-VE    -    0.11</v>
          </cell>
        </row>
        <row r="10405">
          <cell r="D10405" t="str">
            <v>9396686    -    HEADER-06POS,M,R/A    -    0.11</v>
          </cell>
        </row>
        <row r="10406">
          <cell r="D10406" t="str">
            <v>9396699    -    HEADER-06POS,F,V,SM    -    0.11</v>
          </cell>
        </row>
        <row r="10407">
          <cell r="D10407" t="str">
            <v>10863635    -    8 POL. GEHAEUSE TYCO    -    0.109972</v>
          </cell>
        </row>
        <row r="10408">
          <cell r="D10408" t="str">
            <v>10768257    -    HOUSING 2.P.    -    0.109901</v>
          </cell>
        </row>
        <row r="10409">
          <cell r="D10409" t="str">
            <v>10788119    -    HOUSING 26.P. CE    -    0.109342</v>
          </cell>
        </row>
        <row r="10410">
          <cell r="D10410" t="str">
            <v>15324308    -    KUPPLUNGSSTECKER    -    0.109342</v>
          </cell>
        </row>
        <row r="10411">
          <cell r="D10411" t="str">
            <v>12010501S    -    ASM CONN 2F W/P TWR SLD    -    0.1093</v>
          </cell>
        </row>
        <row r="10412">
          <cell r="D10412" t="str">
            <v>10763046    -    KRYTKA    -    0.109268</v>
          </cell>
        </row>
        <row r="10413">
          <cell r="D10413" t="str">
            <v>10775847    -    HOUSING 2 POL PVC WHITE    -    0.109268</v>
          </cell>
        </row>
        <row r="10414">
          <cell r="D10414" t="str">
            <v>15327239    -    209638601    -    0.109268</v>
          </cell>
        </row>
        <row r="10415">
          <cell r="D10415" t="str">
            <v>16200676    -    HEADER-12 COND,MA    -    0.10908</v>
          </cell>
        </row>
        <row r="10416">
          <cell r="D10416" t="str">
            <v>10721589    -    CONN 8 F RECEPTACLE YEL    -    0.109001</v>
          </cell>
        </row>
        <row r="10417">
          <cell r="D10417" t="str">
            <v>FRD13077039/G    -    CONTACT PILE PIN IN PASTE E16(EN BANDE)    -    0.108353</v>
          </cell>
        </row>
        <row r="10418">
          <cell r="D10418" t="str">
            <v>15363789    -    CONN ASM    -    0.1081</v>
          </cell>
        </row>
        <row r="10419">
          <cell r="D10419" t="str">
            <v>12110293    -    ASM CONN 3F M/P 150 SLD    -    0.108</v>
          </cell>
        </row>
        <row r="10420">
          <cell r="D10420" t="str">
            <v>16231440    -    HEADER-10 COND,RT    -    0.108</v>
          </cell>
        </row>
        <row r="10421">
          <cell r="D10421" t="str">
            <v>9377455    -    HEADER-04 POS,MA,V    -    0.108</v>
          </cell>
        </row>
        <row r="10422">
          <cell r="D10422" t="str">
            <v>15368694    -    CON.3W    -    0.107926</v>
          </cell>
        </row>
        <row r="10423">
          <cell r="D10423" t="str">
            <v>15339058    -    CONN. 7F M/P 150    -    0.10789</v>
          </cell>
        </row>
        <row r="10424">
          <cell r="D10424" t="str">
            <v>10810345    -    HOUSING 2.P. RU    -    0.106857</v>
          </cell>
        </row>
        <row r="10425">
          <cell r="D10425" t="str">
            <v>10810348    -    ZASUVKA 2.P. HN    -    0.106857</v>
          </cell>
        </row>
        <row r="10426">
          <cell r="D10426" t="str">
            <v>15340690    -    3 WAY CONNECTOR BLACK    -    0.106734</v>
          </cell>
        </row>
        <row r="10427">
          <cell r="D10427" t="str">
            <v>10847432    -    8-POL. GEHAEUSE TH025    -    0.106667</v>
          </cell>
        </row>
        <row r="10428">
          <cell r="D10428" t="str">
            <v>12077900    -    CNCN.ASM F 2 *    -    0.1065</v>
          </cell>
        </row>
        <row r="10429">
          <cell r="D10429" t="str">
            <v>10814373    -    CONN 8 F NAT    -    0.106455</v>
          </cell>
        </row>
        <row r="10430">
          <cell r="D10430" t="str">
            <v>15327613    -    CX POS 3738 4 CAV BK 168 545    -    0.106099</v>
          </cell>
        </row>
        <row r="10431">
          <cell r="D10431" t="str">
            <v>10810672    -    CONN 20 M BLK    -    0.106046</v>
          </cell>
        </row>
        <row r="10432">
          <cell r="D10432" t="str">
            <v>10810673    -    CONN 20 M GRA    -    0.106046</v>
          </cell>
        </row>
        <row r="10433">
          <cell r="D10433" t="str">
            <v>10810674    -    CONN 20 M NAT    -    0.106046</v>
          </cell>
        </row>
        <row r="10434">
          <cell r="D10434" t="str">
            <v>10810675    -    CONN 20 M BLU    -    0.106046</v>
          </cell>
        </row>
        <row r="10435">
          <cell r="D10435" t="str">
            <v>10846831    -    CONNECTOR 2W BLACK    -    0.105843</v>
          </cell>
        </row>
        <row r="10436">
          <cell r="D10436" t="str">
            <v>10723926    -    CONN 2F BLU    -    0.105739</v>
          </cell>
        </row>
        <row r="10437">
          <cell r="D10437" t="str">
            <v>12020740    -    CX 13 VIAS    -    0.105425</v>
          </cell>
        </row>
        <row r="10438">
          <cell r="D10438" t="str">
            <v>10722056    -    ASM CONN 5 WAY PIN    -    0.10525</v>
          </cell>
        </row>
        <row r="10439">
          <cell r="D10439" t="str">
            <v>FRD13069042    -    CONNECTEUR 4 VOIES REFUSION MOLEX NEW    -    0.10525</v>
          </cell>
        </row>
        <row r="10440">
          <cell r="D10440" t="str">
            <v>12059181    -    ASM CONN 2F M/P 280 SLD    -    0.1052</v>
          </cell>
        </row>
        <row r="10441">
          <cell r="D10441" t="str">
            <v>9395886    -    HEADER-08POS,F,V,SM    -    0.105</v>
          </cell>
        </row>
        <row r="10442">
          <cell r="D10442" t="str">
            <v>15363701    -    STECKHLSENGEHUSE FKS 2.8    -    0.104819</v>
          </cell>
        </row>
        <row r="10443">
          <cell r="D10443" t="str">
            <v>15363606    -    CONN ASM    -    0.104757</v>
          </cell>
        </row>
        <row r="10444">
          <cell r="D10444" t="str">
            <v>10846742    -    ASM COV CONN HSG BLU    -    0.104575</v>
          </cell>
        </row>
        <row r="10445">
          <cell r="D10445" t="str">
            <v>10750770    -    AVX 0.5 GREEN/BLACK    -    0.104397</v>
          </cell>
        </row>
        <row r="10446">
          <cell r="D10446" t="str">
            <v>12020813    -    CONNECTOR    -    0.104</v>
          </cell>
        </row>
        <row r="10447">
          <cell r="D10447" t="str">
            <v>9397471    -    HEADER-19 POS    -    0.104</v>
          </cell>
        </row>
        <row r="10448">
          <cell r="D10448" t="str">
            <v>10762247    -    209291741    -    0.103552</v>
          </cell>
        </row>
        <row r="10449">
          <cell r="D10449" t="str">
            <v>15453838    -    CONNECTOR 2 PIN FEMALE    -    0.1034</v>
          </cell>
        </row>
        <row r="10450">
          <cell r="D10450" t="str">
            <v>10811268    -    CONN 12 M FLAT CONN BLU    -    0.103091</v>
          </cell>
        </row>
        <row r="10451">
          <cell r="D10451" t="str">
            <v>10811269    -    CONN 12 M FLAT CONN GRN    -    0.103091</v>
          </cell>
        </row>
        <row r="10452">
          <cell r="D10452" t="str">
            <v>12110207    -    CON 32F MICP 100 AZL    -    0.103</v>
          </cell>
        </row>
        <row r="10453">
          <cell r="D10453" t="str">
            <v>16213032    -    HEADER-14 COND,90    -    0.10297</v>
          </cell>
        </row>
        <row r="10454">
          <cell r="D10454" t="str">
            <v>15327244    -    CX POS 2715 2 VIAS PR 031 545    -    0.102918</v>
          </cell>
        </row>
        <row r="10455">
          <cell r="D10455" t="str">
            <v>15380704    -    6-POL TB KUPPLUNG(A) DC    -    0.102794</v>
          </cell>
        </row>
        <row r="10456">
          <cell r="D10456" t="str">
            <v>DED10651823    -    FLACHST.4,8 UMSPR.    -    0.102146</v>
          </cell>
        </row>
        <row r="10457">
          <cell r="D10457" t="str">
            <v>10768588    -    CONNECTOR 2 V * 9631986180    -    0.1018</v>
          </cell>
        </row>
        <row r="10458">
          <cell r="D10458" t="str">
            <v>10819936    -    18-POL.STECKHGEH.    -    0.101651</v>
          </cell>
        </row>
        <row r="10459">
          <cell r="D10459" t="str">
            <v>15363734    -    STECKHLSENGEHUSE FKS 2.8 8-POL    -    0.101651</v>
          </cell>
        </row>
        <row r="10460">
          <cell r="D10460" t="str">
            <v>16239289    -    HEADER-10 COND,MA    -    0.100486</v>
          </cell>
        </row>
        <row r="10461">
          <cell r="D10461" t="str">
            <v>10726763    -    CONN 8 F TIMER JUNIOR BLK    -    0.100371</v>
          </cell>
        </row>
        <row r="10462">
          <cell r="D10462" t="str">
            <v>10780057    -    HOUSING 6.P. BLACK    -    0.100371</v>
          </cell>
        </row>
        <row r="10463">
          <cell r="D10463" t="str">
            <v>10777577    -    CX 4 VIAS NATURAL    -    0.100309</v>
          </cell>
        </row>
        <row r="10464">
          <cell r="D10464" t="str">
            <v>9398361    -    HEADER-07POS,MA,V,S    -    0.10011</v>
          </cell>
        </row>
        <row r="10465">
          <cell r="D10465" t="str">
            <v>15317006    -    3 PIN WEDGE LOCK    -    0.1</v>
          </cell>
        </row>
        <row r="10466">
          <cell r="D10466" t="str">
            <v>15317007    -    PLUG WEDGE LOCK    -    0.1</v>
          </cell>
        </row>
        <row r="10467">
          <cell r="D10467" t="str">
            <v>15339207    -    SEC. LOCK    -    0.1</v>
          </cell>
        </row>
        <row r="10468">
          <cell r="D10468" t="str">
            <v>15355584    -    CONNECTOR 3F    -    0.1</v>
          </cell>
        </row>
        <row r="10469">
          <cell r="D10469" t="str">
            <v>15409904    -    TPA 12W    -    0.1</v>
          </cell>
        </row>
        <row r="10470">
          <cell r="D10470" t="str">
            <v>16214417    -    HEADER-07 COND,FE    -    0.1</v>
          </cell>
        </row>
        <row r="10471">
          <cell r="D10471" t="str">
            <v>16229591    -    HEADER-08 COND,MALE    -    0.1</v>
          </cell>
        </row>
        <row r="10472">
          <cell r="D10472" t="str">
            <v>9395885    -    HEADER-08POS,M,R/A    -    0.1</v>
          </cell>
        </row>
        <row r="10473">
          <cell r="D10473" t="str">
            <v>9399262    -    HEADER-05POS,HOUSI    -    0.1</v>
          </cell>
        </row>
        <row r="10474">
          <cell r="D10474" t="str">
            <v>PE079726    -    CONNECTOR 5W BLACK    -    0.09975</v>
          </cell>
        </row>
        <row r="10475">
          <cell r="D10475" t="str">
            <v>10769322    -    HFF2-1 2 WAY CONNECTOR BLUE    -    0.099737</v>
          </cell>
        </row>
        <row r="10476">
          <cell r="D10476" t="str">
            <v>10820538    -    HOUSING 2 P. PRIR.    -    0.099717</v>
          </cell>
        </row>
        <row r="10477">
          <cell r="D10477" t="str">
            <v>10820539    -    2-P BU-GEH. COD. C    -    0.099717</v>
          </cell>
        </row>
        <row r="10478">
          <cell r="D10478" t="str">
            <v>396045060000    -    FOLIENSTECKBUCHSE 6-POL STEHEND    -    0.099549</v>
          </cell>
        </row>
        <row r="10479">
          <cell r="D10479" t="str">
            <v>10756765    -    CONNECTOR 9W    -    0.099402</v>
          </cell>
        </row>
        <row r="10480">
          <cell r="D10480" t="str">
            <v>10819421    -    MOUN BRACKET CONN    -    0.099402</v>
          </cell>
        </row>
        <row r="10481">
          <cell r="D10481" t="str">
            <v>15368883    -    CONNECTOR 9W    -    0.099402</v>
          </cell>
        </row>
        <row r="10482">
          <cell r="D10482" t="str">
            <v>15448447    -    8-POL.GEHAEUSE TYCO    -    0.099402</v>
          </cell>
        </row>
        <row r="10483">
          <cell r="D10483" t="str">
            <v>9398473    -    HEADER-04POS,MA,R/A    -    0.09934</v>
          </cell>
        </row>
        <row r="10484">
          <cell r="D10484" t="str">
            <v>10787723    -    CONN 8F TIMER SIM    -    0.099083</v>
          </cell>
        </row>
        <row r="10485">
          <cell r="D10485" t="str">
            <v>10820432    -    CONN 10 F MQS BLU TYCO 3-139 4242-1    -    0.098773</v>
          </cell>
        </row>
        <row r="10486">
          <cell r="D10486" t="str">
            <v>10864159    -    CONN 10 F MQS GRN    -    0.098773</v>
          </cell>
        </row>
        <row r="10487">
          <cell r="D10487" t="str">
            <v>396226030000    -    LP-VERBINDER 3-POL LIEG 52418-0310 MOL    -    0.098503</v>
          </cell>
        </row>
        <row r="10488">
          <cell r="D10488" t="str">
            <v>15327133    -    609606 AUFNAHMEGEHAEUSE    -    0.098449</v>
          </cell>
        </row>
        <row r="10489">
          <cell r="D10489" t="str">
            <v>396044170100    -    STIFTLEISTE 7-POL LIEGEND BTMK07P-1R FCI    -    0.098301</v>
          </cell>
        </row>
        <row r="10490">
          <cell r="D10490" t="str">
            <v>10738093    -    CONNECTOR 12W    -    0.098023</v>
          </cell>
        </row>
        <row r="10491">
          <cell r="D10491" t="str">
            <v>16239293    -    HEADER-11 COND,MA    -    0.098</v>
          </cell>
        </row>
        <row r="10492">
          <cell r="D10492" t="str">
            <v>9355707    -    CONN-8 PIN    -    0.098</v>
          </cell>
        </row>
        <row r="10493">
          <cell r="D10493" t="str">
            <v>16268089    -    CONNECTOR-FLAT    -    0.097963</v>
          </cell>
        </row>
        <row r="10494">
          <cell r="D10494" t="str">
            <v>10846679    -    CONN 4 F MQS BLK    -    0.097501</v>
          </cell>
        </row>
        <row r="10495">
          <cell r="D10495" t="str">
            <v>10811929    -    CONN 4 M QUADLOK MICRO BLK    -    0.097414</v>
          </cell>
        </row>
        <row r="10496">
          <cell r="D10496" t="str">
            <v>12015793    -    ASM CONN 3F W/P TWR SLD    -    0.0974</v>
          </cell>
        </row>
        <row r="10497">
          <cell r="D10497" t="str">
            <v>10774903    -    CX 8 CAV NT 8383296.    -    0.097203</v>
          </cell>
        </row>
        <row r="10498">
          <cell r="D10498" t="str">
            <v>16197931    -    HEADER-15 COND,MALE    -    0.09714</v>
          </cell>
        </row>
        <row r="10499">
          <cell r="D10499" t="str">
            <v>12064770    -    CONNECTOR-10 WAY    -    0.097</v>
          </cell>
        </row>
        <row r="10500">
          <cell r="D10500" t="str">
            <v>12064872    -    CONN BODY-10 CAVITY    -    0.097</v>
          </cell>
        </row>
        <row r="10501">
          <cell r="D10501" t="str">
            <v>12146294    -    CONNECTOR 3M M/P 280    -    0.097</v>
          </cell>
        </row>
        <row r="10502">
          <cell r="D10502" t="str">
            <v>15327606    -    CX POS.2250 2 VIAS PR 21054530    -    0.096569</v>
          </cell>
        </row>
        <row r="10503">
          <cell r="D10503" t="str">
            <v>15327607    -    CX POS 2252 2 CAV BK 210 545    -    0.096569</v>
          </cell>
        </row>
        <row r="10504">
          <cell r="D10504" t="str">
            <v>15327614    -    POS 2251 2 CAV BK 210 545    -    0.096569</v>
          </cell>
        </row>
        <row r="10505">
          <cell r="D10505" t="str">
            <v>10779597    -    STECKER 8POL.    -    0.096482</v>
          </cell>
        </row>
        <row r="10506">
          <cell r="D10506" t="str">
            <v>15364125    -    CONN 2 M BRN SEALED    -    0.096276</v>
          </cell>
        </row>
        <row r="10507">
          <cell r="D10507" t="str">
            <v>10753996    -    CON.3W WHITE    -    0.096258</v>
          </cell>
        </row>
        <row r="10508">
          <cell r="D10508" t="str">
            <v>10787366    -    16.K17.03 CONECTOR AMP 4VIAS 284677-1    -    0.096258</v>
          </cell>
        </row>
        <row r="10509">
          <cell r="D10509" t="str">
            <v>10787367    -    16.K17.06 CONECTOR AMP 4VIAS 284677-2    -    0.096258</v>
          </cell>
        </row>
        <row r="10510">
          <cell r="D10510" t="str">
            <v>12059183    -    ASM CONN 2F M/P 280 SLD    -    0.0961</v>
          </cell>
        </row>
        <row r="10511">
          <cell r="D10511" t="str">
            <v>10812027    -    CONN 4F    -    0.096007</v>
          </cell>
        </row>
        <row r="10512">
          <cell r="D10512" t="str">
            <v>10721931    -    609656 AUFNAHMEGEHAEUSE    -    0.095966</v>
          </cell>
        </row>
        <row r="10513">
          <cell r="D10513" t="str">
            <v>10780371    -    FEDERKONTAKT 014-05MM? RFB-S    -    0.095923</v>
          </cell>
        </row>
        <row r="10514">
          <cell r="D10514" t="str">
            <v>12124037    -    ASM CONN 2F M/P 150 SLD    -    0.0959</v>
          </cell>
        </row>
        <row r="10515">
          <cell r="D10515" t="str">
            <v>15454479    -    2 WAY CONNECTOR FEMALE WHITE    -    0.09589</v>
          </cell>
        </row>
        <row r="10516">
          <cell r="D10516" t="str">
            <v>15327265    -    109682971    -    0.095629</v>
          </cell>
        </row>
        <row r="10517">
          <cell r="D10517" t="str">
            <v>15368443    -    STECKHLSENGEHUSE 2X 5-POL. SLK 2,8 - KOD. D    -    0.095289</v>
          </cell>
        </row>
        <row r="10518">
          <cell r="D10518" t="str">
            <v>15368474    -    STECKHLSENGEHUSE 2X 5-POL. SLK 2,8 - KOD. C    -    0.095289</v>
          </cell>
        </row>
        <row r="10519">
          <cell r="D10519" t="str">
            <v>10732860    -    KUPPLUNG4-POL.REL.EINH./TAKTM.    -    0.095264</v>
          </cell>
        </row>
        <row r="10520">
          <cell r="D10520" t="str">
            <v>12186246    -    609595 STECKERGEHAEUSE    -    0.095069</v>
          </cell>
        </row>
        <row r="10521">
          <cell r="D10521" t="str">
            <v>10787298    -    CX PC10069    -    0.095003</v>
          </cell>
        </row>
        <row r="10522">
          <cell r="D10522" t="str">
            <v>12185784    -    CONNECTOR 14F    -    0.094723</v>
          </cell>
        </row>
        <row r="10523">
          <cell r="D10523" t="str">
            <v>10763064    -    CX POS 2465 6 CAV NT 001 540    -    0.094656</v>
          </cell>
        </row>
        <row r="10524">
          <cell r="D10524" t="str">
            <v>10763746    -    ASM CONNECTOR    -    0.094308</v>
          </cell>
        </row>
        <row r="10525">
          <cell r="D10525" t="str">
            <v>15383185    -    CONN 2 F MULTILOCK 040 GRN    -    0.094225</v>
          </cell>
        </row>
        <row r="10526">
          <cell r="D10526" t="str">
            <v>9400967    -    HEADER-14POS,F,V,1M    -    0.094</v>
          </cell>
        </row>
        <row r="10527">
          <cell r="D10527" t="str">
            <v>396042650000    -    BUCHSENLEISTE 5-POL LP-RANDSTECKUNG    -    0.093787</v>
          </cell>
        </row>
        <row r="10528">
          <cell r="D10528" t="str">
            <v>PE090129    -    CONNECTOR    -    0.093686</v>
          </cell>
        </row>
        <row r="10529">
          <cell r="D10529" t="str">
            <v>9401937    -    HEADER-14POS,F,V,1M    -    0.0936</v>
          </cell>
        </row>
        <row r="10530">
          <cell r="D10530" t="str">
            <v>396225830000    -    STIFTKONTAKT-UNTERT.3-POL STEH 53290-031    -    0.093544</v>
          </cell>
        </row>
        <row r="10531">
          <cell r="D10531" t="str">
            <v>829017534800    -    BUCHSENLEISTE 2-POL STEH RM2,54 MK01-2 *    -    0.093106</v>
          </cell>
        </row>
        <row r="10532">
          <cell r="D10532" t="str">
            <v>12162195    -    CONNECTOR ASM    -    0.0931</v>
          </cell>
        </row>
        <row r="10533">
          <cell r="D10533" t="str">
            <v>9381934    -    HEADER-04 COND,MA    -    0.093</v>
          </cell>
        </row>
        <row r="10534">
          <cell r="D10534" t="str">
            <v>10775728    -    ?ONN 4M (2,8 MM) 2X2 POSN.    -    0.092836</v>
          </cell>
        </row>
        <row r="10535">
          <cell r="D10535" t="str">
            <v>12186271    -    CONN 4M M/P 150 SLD    -    0.0926</v>
          </cell>
        </row>
        <row r="10536">
          <cell r="D10536" t="str">
            <v>15327563    -    18-P KONTAKTTRAEGER    -    0.092494</v>
          </cell>
        </row>
        <row r="10537">
          <cell r="D10537" t="str">
            <v>10732742    -    STECKHLSENGEHUSE7-POL.(2XSPT,5XFKS2,8)    -    0.092121</v>
          </cell>
        </row>
        <row r="10538">
          <cell r="D10538" t="str">
            <v>12162231    -    TERM F    -    0.092</v>
          </cell>
        </row>
        <row r="10539">
          <cell r="D10539" t="str">
            <v>9355706    -    CONN-6 PIN    -    0.092</v>
          </cell>
        </row>
        <row r="10540">
          <cell r="D10540" t="str">
            <v>9399261    -    HEADER-04POS,HOUSI    -    0.092</v>
          </cell>
        </row>
        <row r="10541">
          <cell r="D10541" t="str">
            <v>10820540    -    CONN, ASM 2F MQS PPL    -    0.091823</v>
          </cell>
        </row>
        <row r="10542">
          <cell r="D10542" t="str">
            <v>10756974    -    CONNECTOR MQS 6V * 9626885180    -    0.091756</v>
          </cell>
        </row>
        <row r="10543">
          <cell r="D10543" t="str">
            <v>10788982    -    CONN 6 M WHT SEALED    -    0.091756</v>
          </cell>
        </row>
        <row r="10544">
          <cell r="D10544" t="str">
            <v>10810461    -    CONN 6 F QUADLOK MICRO GRN    -    0.091756</v>
          </cell>
        </row>
        <row r="10545">
          <cell r="D10545" t="str">
            <v>10723312    -    ASSM. CONN. MDK 3    -    0.091475</v>
          </cell>
        </row>
        <row r="10546">
          <cell r="D10546" t="str">
            <v>396225880000    -    STIFTKONTAKT-UNTERT.8-POL STEH 53290-08*    -    0.091081</v>
          </cell>
        </row>
        <row r="10547">
          <cell r="D10547" t="str">
            <v>10768518    -    ARETACE BLUE    -    0.090841</v>
          </cell>
        </row>
        <row r="10548">
          <cell r="D10548" t="str">
            <v>10769486    -    213944502    -    0.090704</v>
          </cell>
        </row>
        <row r="10549">
          <cell r="D10549" t="str">
            <v>9397469    -    HEADER-06 POS    -    0.0905</v>
          </cell>
        </row>
        <row r="10550">
          <cell r="D10550" t="str">
            <v>9397472    -    HEADER-06 POS    -    0.0905</v>
          </cell>
        </row>
        <row r="10551">
          <cell r="D10551" t="str">
            <v>10811400    -    CONN 6 F RECEPTACLE 1.5 MULTI    -    0.090407</v>
          </cell>
        </row>
        <row r="10552">
          <cell r="D10552" t="str">
            <v>10811401    -    CONN 6 F RECEPTACLE 1.5 MULTI    -    0.090407</v>
          </cell>
        </row>
        <row r="10553">
          <cell r="D10553" t="str">
            <v>10812147    -    CONN 6 F RECEPTACLE 1.5 RED    -    0.090407</v>
          </cell>
        </row>
        <row r="10554">
          <cell r="D10554" t="str">
            <v>10769017    -    DV TAMPA AZ 8364640.9    -    0.090307</v>
          </cell>
        </row>
        <row r="10555">
          <cell r="D10555" t="str">
            <v>10724174    -    CONN 6 F NAT    -    0.090083</v>
          </cell>
        </row>
        <row r="10556">
          <cell r="D10556" t="str">
            <v>15337113    -    KUPPLUNGSTRAGEKOERPER    -    0.090058</v>
          </cell>
        </row>
        <row r="10557">
          <cell r="D10557" t="str">
            <v>12052856    -    CONNECTOR-4 WAY    -    0.09</v>
          </cell>
        </row>
        <row r="10558">
          <cell r="D10558" t="str">
            <v>15404426    -    WEDGE    -    0.09</v>
          </cell>
        </row>
        <row r="10559">
          <cell r="D10559" t="str">
            <v>16214416    -    HEADER-06 COND,FE    -    0.09</v>
          </cell>
        </row>
        <row r="10560">
          <cell r="D10560" t="str">
            <v>15364002    -    008175 ZLACZE 1/24835/80    -    0.089835</v>
          </cell>
        </row>
        <row r="10561">
          <cell r="D10561" t="str">
            <v>15364417    -    009909 SPINKA 1/24944/87    -    0.089835</v>
          </cell>
        </row>
        <row r="10562">
          <cell r="D10562" t="str">
            <v>10787633    -    2 WAY FEMALE CONNECTOR GR    -    0.089732</v>
          </cell>
        </row>
        <row r="10563">
          <cell r="D10563" t="str">
            <v>10787635    -    2-P STECKHUEL.GEH.    -    0.089732</v>
          </cell>
        </row>
        <row r="10564">
          <cell r="D10564" t="str">
            <v>10787632    -    2 WAY FEMALE CONNECTOR BK    -    0.089731</v>
          </cell>
        </row>
        <row r="10565">
          <cell r="D10565" t="str">
            <v>10778948    -    CONN 6 BLK    -    0.089692</v>
          </cell>
        </row>
        <row r="10566">
          <cell r="D10566" t="str">
            <v>15383223    -    CONNECTOR 8W GRAY    -    0.08964</v>
          </cell>
        </row>
        <row r="10567">
          <cell r="D10567" t="str">
            <v>10788734    -    KIT CONN 6 F QUADLOK MICRO BLU    -    0.089586</v>
          </cell>
        </row>
        <row r="10568">
          <cell r="D10568" t="str">
            <v>10721351    -    16.489.06 CON YAZ 1 VIA    -    0.089114</v>
          </cell>
        </row>
        <row r="10569">
          <cell r="D10569" t="str">
            <v>12162197S    -    ASM CONN 2F M/P 150.2 P2S    -    0.0889</v>
          </cell>
        </row>
        <row r="10570">
          <cell r="D10570" t="str">
            <v>396045040000    -    FOLIENSTECKBUCHSE 4-POL STEHEND    -    0.088558</v>
          </cell>
        </row>
        <row r="10571">
          <cell r="D10571" t="str">
            <v>10774605    -    CONN 2 F MATE-N-LOK UNIVERSAL    -    0.088383</v>
          </cell>
        </row>
        <row r="10572">
          <cell r="D10572" t="str">
            <v>15324252    -    CONNECTOR 4F    -    0.088</v>
          </cell>
        </row>
        <row r="10573">
          <cell r="D10573" t="str">
            <v>16212952    -    HEADER-04 COND,MA    -    0.088</v>
          </cell>
        </row>
        <row r="10574">
          <cell r="D10574" t="str">
            <v>12077591    -    ASM CONN 5F M/P 150 SLD    -    0.0879</v>
          </cell>
        </row>
        <row r="10575">
          <cell r="D10575" t="str">
            <v>PE090361    -    CONNECTOR 4W GRAY    -    0.087896</v>
          </cell>
        </row>
        <row r="10576">
          <cell r="D10576" t="str">
            <v>16200322    -    HEADER-MALE R/ANGLE    -    0.08783</v>
          </cell>
        </row>
        <row r="10577">
          <cell r="D10577" t="str">
            <v>15327605    -    CX POS.2246 1 CAV BK 210 545    -    0.087673</v>
          </cell>
        </row>
        <row r="10578">
          <cell r="D10578" t="str">
            <v>15343546    -    CX POS 2249 1 CAV BK    -    0.087673</v>
          </cell>
        </row>
        <row r="10579">
          <cell r="D10579" t="str">
            <v>15368992    -    CONNECTOR    -    0.087673</v>
          </cell>
        </row>
        <row r="10580">
          <cell r="D10580" t="str">
            <v>12162194    -    ASM CONN 2F M/P 150.2 P2S SLD    -    0.0876</v>
          </cell>
        </row>
        <row r="10581">
          <cell r="D10581" t="str">
            <v>10721910    -    609605 AUFNAHMEGEHAEUSE    -    0.08751</v>
          </cell>
        </row>
        <row r="10582">
          <cell r="D10582" t="str">
            <v>12052643    -    ASM CONN 2F M/P 150 SLD    -    0.0875</v>
          </cell>
        </row>
        <row r="10583">
          <cell r="D10583" t="str">
            <v>86069    -    REZYSTOR    -    0.08735</v>
          </cell>
        </row>
        <row r="10584">
          <cell r="D10584" t="str">
            <v>15364012    -    008471 ZLACZE 1/24530/87    -    0.087114</v>
          </cell>
        </row>
        <row r="10585">
          <cell r="D10585" t="str">
            <v>10723772    -    HOUSING 26.P.    -    0.086977</v>
          </cell>
        </row>
        <row r="10586">
          <cell r="D10586" t="str">
            <v>10820099    -    COV CONN BLK    -    0.086977</v>
          </cell>
        </row>
        <row r="10587">
          <cell r="D10587" t="str">
            <v>10734339    -    11.048.20 CON PRO P8010085855 1V TR (770    -    0.086952</v>
          </cell>
        </row>
        <row r="10588">
          <cell r="D10588" t="str">
            <v>396022900000    -    STIFTKONTAKT-REIHE 10-POL STEH 50002-811    -    0.08671</v>
          </cell>
        </row>
        <row r="10589">
          <cell r="D10589" t="str">
            <v>DED10651703    -    FLACHSTECKER UMSPR.    -    0.086359</v>
          </cell>
        </row>
        <row r="10590">
          <cell r="D10590" t="str">
            <v>12052641    -    ASM CONN 2F M/P 150 SLD    -    0.0863</v>
          </cell>
        </row>
        <row r="10591">
          <cell r="D10591" t="str">
            <v>10722279    -    CX CONNECTOR    -    0.086206</v>
          </cell>
        </row>
        <row r="10592">
          <cell r="D10592" t="str">
            <v>16197930    -    HEADER-13 COND,MALE    -    0.08618</v>
          </cell>
        </row>
        <row r="10593">
          <cell r="D10593" t="str">
            <v>12162232    -    SOCKET #16, STAMPED    -    0.086</v>
          </cell>
        </row>
        <row r="10594">
          <cell r="D10594" t="str">
            <v>12010717    -    CONN 3M W/P SHD SLD    -    0.0859</v>
          </cell>
        </row>
        <row r="10595">
          <cell r="D10595" t="str">
            <v>12015378    -    ASM CONN 2M W/P TWR SLD    -    0.0859</v>
          </cell>
        </row>
        <row r="10596">
          <cell r="D10596" t="str">
            <v>15364004    -    CONN 4 WAY F MULTILOCK 040 BK    -    0.085883</v>
          </cell>
        </row>
        <row r="10597">
          <cell r="D10597" t="str">
            <v>10811060    -    HOUSING 2.P.    -    0.085734</v>
          </cell>
        </row>
        <row r="10598">
          <cell r="D10598" t="str">
            <v>16084373    -    COVER-MODULE,BLUE    -    0.0854</v>
          </cell>
        </row>
        <row r="10599">
          <cell r="D10599" t="str">
            <v>16127006    -    SOCKET-28 PIN,WHITE    -    0.0854</v>
          </cell>
        </row>
        <row r="10600">
          <cell r="D10600" t="str">
            <v>16266037    -    HEADER-01 POS,MA,RA    -    0.085</v>
          </cell>
        </row>
        <row r="10601">
          <cell r="D10601" t="str">
            <v>10763117    -    CONN 3 M QUADLOK MICRO BLK    -    0.084827</v>
          </cell>
        </row>
        <row r="10602">
          <cell r="D10602" t="str">
            <v>10768556    -    PORTE CLIP MQS AV 3V BLEU * 9637875580    -    0.084827</v>
          </cell>
        </row>
        <row r="10603">
          <cell r="D10603" t="str">
            <v>16197828    -    HEADER-14 COND,MALE    -    0.0848</v>
          </cell>
        </row>
        <row r="10604">
          <cell r="D10604" t="str">
            <v>10749474    -    6POL SLKKUPPLUNGSGEHAEUSE    -    0.084429</v>
          </cell>
        </row>
        <row r="10605">
          <cell r="D10605" t="str">
            <v>16199331    -    HEADER-14 COND,MA    -    0.08429</v>
          </cell>
        </row>
        <row r="10606">
          <cell r="D10606" t="str">
            <v>10811399    -    ASM CONNECTOR    -    0.084243</v>
          </cell>
        </row>
        <row r="10607">
          <cell r="D10607" t="str">
            <v>10811402    -    ASM CONNECTOR    -    0.084243</v>
          </cell>
        </row>
        <row r="10608">
          <cell r="D10608" t="str">
            <v>10811403    -    ASM CONNECTOR    -    0.084243</v>
          </cell>
        </row>
        <row r="10609">
          <cell r="D10609" t="str">
            <v>10775751    -    5-POL.GEHAEUSE KOD.A REV.B    -    0.084173</v>
          </cell>
        </row>
        <row r="10610">
          <cell r="D10610" t="str">
            <v>10723477    -    12.666.66 CON PRONER 84137.02 4V NG 7703    -    0.083883</v>
          </cell>
        </row>
        <row r="10611">
          <cell r="D10611" t="str">
            <v>12052644    -    ASM CONN 2F M/P 150 SLD    -    0.0838</v>
          </cell>
        </row>
        <row r="10612">
          <cell r="D10612" t="str">
            <v>16197381    -    HEADER-12 COND,MALE    -    0.08367</v>
          </cell>
        </row>
        <row r="10613">
          <cell r="D10613" t="str">
            <v>10717747    -    CX 6 CAV BK 180 906-    -    0.083361</v>
          </cell>
        </row>
        <row r="10614">
          <cell r="D10614" t="str">
            <v>12162193    -    ASM CONN 2F M/P 150.2 SLD BLK    -    0.0832</v>
          </cell>
        </row>
        <row r="10615">
          <cell r="D10615" t="str">
            <v>12162193S    -    ASM CONN 2F M/P 150.2 SLD BLK    -    0.0832</v>
          </cell>
        </row>
        <row r="10616">
          <cell r="D10616" t="str">
            <v>12227990    -    J-AMP-3POL-102976-3    -    0.082715</v>
          </cell>
        </row>
        <row r="10617">
          <cell r="D10617" t="str">
            <v>12015092    -    CONN 3M W/P SHD SLD    -    0.0825</v>
          </cell>
        </row>
        <row r="10618">
          <cell r="D10618" t="str">
            <v>12084941    -    CONN 16M MIC/P 3MM    -    0.08215</v>
          </cell>
        </row>
        <row r="10619">
          <cell r="D10619" t="str">
            <v>10739070    -    639163 ZLACZE 002 545 12 28    -    0.082095</v>
          </cell>
        </row>
        <row r="10620">
          <cell r="D10620" t="str">
            <v>10787630    -    8-POL. BU-GEHAEUSE    -    0.082095</v>
          </cell>
        </row>
        <row r="10621">
          <cell r="D10621" t="str">
            <v>12059595    -    ASM CONN 3F M/P 150 SLD BLK    -    0.0818</v>
          </cell>
        </row>
        <row r="10622">
          <cell r="D10622" t="str">
            <v>15364073    -    HOUSING 5.P. RED    -    0.081634</v>
          </cell>
        </row>
        <row r="10623">
          <cell r="D10623" t="str">
            <v>10774586    -    609607 STECKERGEHAEUSE    -    0.081479</v>
          </cell>
        </row>
        <row r="10624">
          <cell r="D10624" t="str">
            <v>15380682    -    CONN 6 F SLK 2.8 BLK    -    0.08141</v>
          </cell>
        </row>
        <row r="10625">
          <cell r="D10625" t="str">
            <v>10749715    -    640271 CNCN M 35 BK 6 1    -    0.081323</v>
          </cell>
        </row>
        <row r="10626">
          <cell r="D10626" t="str">
            <v>10774583    -    634792 CNCN VT 6 *GEHAEUSE    -    0.081323</v>
          </cell>
        </row>
        <row r="10627">
          <cell r="D10627" t="str">
            <v>10768713    -    TB SICHERUNGSMOD 1-F (B)    -    0.081137</v>
          </cell>
        </row>
        <row r="10628">
          <cell r="D10628" t="str">
            <v>10768714    -    TB SICHERUNGSMOD 1-F (A)    -    0.081137</v>
          </cell>
        </row>
        <row r="10629">
          <cell r="D10629" t="str">
            <v>10768715    -    TB SICHERUNGSMOD 1-F (D)    -    0.081137</v>
          </cell>
        </row>
        <row r="10630">
          <cell r="D10630" t="str">
            <v>396226040000    -    LP-VERBINDER 4-POL LIEG 52418-0410 MOL    -    0.080826</v>
          </cell>
        </row>
        <row r="10631">
          <cell r="D10631" t="str">
            <v>9385080    -    CONNECTOR-PROBE    -    0.080814</v>
          </cell>
        </row>
        <row r="10632">
          <cell r="D10632" t="str">
            <v>10787729    -    HOUSING 6P. M CE    -    0.080718</v>
          </cell>
        </row>
        <row r="10633">
          <cell r="D10633" t="str">
            <v>15326806S    -    ASM CONN 2M GT 150    -    0.0807</v>
          </cell>
        </row>
        <row r="10634">
          <cell r="D10634" t="str">
            <v>16164360    -    HEADER-12 COND,MALE    -    0.0805</v>
          </cell>
        </row>
        <row r="10635">
          <cell r="D10635" t="str">
            <v>12064752    -    CONNECTOR BODY    -    0.08</v>
          </cell>
        </row>
        <row r="10636">
          <cell r="D10636" t="str">
            <v>15380401    -    DT SERIES WEDGE LOCK (BLUE)    -    0.08</v>
          </cell>
        </row>
        <row r="10637">
          <cell r="D10637" t="str">
            <v>15401707    -    SEC LOCK    -    0.08</v>
          </cell>
        </row>
        <row r="10638">
          <cell r="D10638" t="str">
            <v>16267267    -    HEADER-05 COND,MALE    -    0.08</v>
          </cell>
        </row>
        <row r="10639">
          <cell r="D10639" t="str">
            <v>12103499    -    CONN. 4 WAY    -    0.0799</v>
          </cell>
        </row>
        <row r="10640">
          <cell r="D10640" t="str">
            <v>10768838    -    12POL MQSSRS KUPPLUNG    -    0.079491</v>
          </cell>
        </row>
        <row r="10641">
          <cell r="D10641" t="str">
            <v>10768844    -    6-P BU-GEH. EINREIHIG    -    0.07941</v>
          </cell>
        </row>
        <row r="10642">
          <cell r="D10642" t="str">
            <v>10820495    -    CONN 2 F NAT    -    0.07924</v>
          </cell>
        </row>
        <row r="10643">
          <cell r="D10643" t="str">
            <v>21002080    -    J-AMP-3POL-21002080    -    0.079221</v>
          </cell>
        </row>
        <row r="10644">
          <cell r="D10644" t="str">
            <v>10721779    -    15.307.95 CO AMP 281867.2 4V MRR 1/23    -    0.079112</v>
          </cell>
        </row>
        <row r="10645">
          <cell r="D10645" t="str">
            <v>10774413    -    CONN 2F MULTILOCK .070 PLUG HSG    -    0.079072</v>
          </cell>
        </row>
        <row r="10646">
          <cell r="D10646" t="str">
            <v>10846361    -    CONN 4 RECEPTACLE NAT    -    0.078856</v>
          </cell>
        </row>
        <row r="10647">
          <cell r="D10647" t="str">
            <v>10788582    -    HOUSING 32.P. NATUR    -    0.078776</v>
          </cell>
        </row>
        <row r="10648">
          <cell r="D10648" t="str">
            <v>10717969    -    STECKERSTIFT 10 (AX) VERGOLDE    -    0.078714</v>
          </cell>
        </row>
        <row r="10649">
          <cell r="D10649" t="str">
            <v>396140700100    -    MESSERLEISTE 10-POL STEHEND    -    0.078418</v>
          </cell>
        </row>
        <row r="10650">
          <cell r="D10650" t="str">
            <v>12015792    -    ASM CONN 2F W/P TWR SLD    -    0.0781</v>
          </cell>
        </row>
        <row r="10651">
          <cell r="D10651" t="str">
            <v>12020398    -    CONN-BODY    -    0.078</v>
          </cell>
        </row>
        <row r="10652">
          <cell r="D10652" t="str">
            <v>396140680100    -    MESSERLEISTE 8-POL STEHEND 90325-0008 MO    -    0.077912</v>
          </cell>
        </row>
        <row r="10653">
          <cell r="D10653" t="str">
            <v>15332132    -    ASM CONN 3F GT 150    -    0.0777</v>
          </cell>
        </row>
        <row r="10654">
          <cell r="D10654" t="str">
            <v>15383224    -    CONNECTOR 8W GRAY    -    0.07762</v>
          </cell>
        </row>
        <row r="10655">
          <cell r="D10655" t="str">
            <v>16200320    -    HEADER-MALE R/ANGLE    -    0.0776</v>
          </cell>
        </row>
        <row r="10656">
          <cell r="D10656" t="str">
            <v>10734571    -    CONN 9 F TIMER JR-POWER BLK    -    0.077571</v>
          </cell>
        </row>
        <row r="10657">
          <cell r="D10657" t="str">
            <v>10741048    -    10-P KUPPLUNG (A)    -    0.077466</v>
          </cell>
        </row>
        <row r="10658">
          <cell r="D10658" t="str">
            <v>12201132    -    HEADER-02POS,MA,VER    -    0.0774</v>
          </cell>
        </row>
        <row r="10659">
          <cell r="D10659" t="str">
            <v>15318294    -    CONECTOR ASSEMBLY    -    0.077</v>
          </cell>
        </row>
        <row r="10660">
          <cell r="D10660" t="str">
            <v>10726854    -    CON.4W WHITE    -    0.076999</v>
          </cell>
        </row>
        <row r="10661">
          <cell r="D10661" t="str">
            <v>10721878    -    609452 FLACHSTECKERGEHAEU    -    0.076664</v>
          </cell>
        </row>
        <row r="10662">
          <cell r="D10662" t="str">
            <v>15364420    -    ASM CONN 0    -    0.076657</v>
          </cell>
        </row>
        <row r="10663">
          <cell r="D10663" t="str">
            <v>10718625    -    FUSE SOCKET    -    0.076428</v>
          </cell>
        </row>
        <row r="10664">
          <cell r="D10664" t="str">
            <v>10775962    -    16.S01.94 CONNECTOR SUMITOMO 6    -    0.076406</v>
          </cell>
        </row>
        <row r="10665">
          <cell r="D10665" t="str">
            <v>12185113    -    FL-STECKER 5,8 AMP CUFEVZ    -    0.076347</v>
          </cell>
        </row>
        <row r="10666">
          <cell r="D10666" t="str">
            <v>15324173    -    12-P GEH.968473-1 DELCO    -    0.076241</v>
          </cell>
        </row>
        <row r="10667">
          <cell r="D10667" t="str">
            <v>15338597    -    KONTAKTBUCHSE 1MMAX    -    0.076241</v>
          </cell>
        </row>
        <row r="10668">
          <cell r="D10668" t="str">
            <v>15339943    -    CONN 5 F 035 ILAG5 GRN    -    0.076</v>
          </cell>
        </row>
        <row r="10669">
          <cell r="D10669" t="str">
            <v>10820547    -    18 POL. GEHAEUSE MQS    -    0.075739</v>
          </cell>
        </row>
        <row r="10670">
          <cell r="D10670" t="str">
            <v>10717671    -    KUPPLUNG1-FACH    -    0.075334</v>
          </cell>
        </row>
        <row r="10671">
          <cell r="D10671" t="str">
            <v>15368717    -    CONN 6 YEL    -    0.075119</v>
          </cell>
        </row>
        <row r="10672">
          <cell r="D10672" t="str">
            <v>12034326    -    CONNECTOR    -    0.075</v>
          </cell>
        </row>
        <row r="10673">
          <cell r="D10673" t="str">
            <v>15422403    -    TERMINAL    -    0.075</v>
          </cell>
        </row>
        <row r="10674">
          <cell r="D10674" t="str">
            <v>10768842    -    HOUSING 6.P?L. CE    -    0.074962</v>
          </cell>
        </row>
        <row r="10675">
          <cell r="D10675" t="str">
            <v>10768847    -    313943322    -    0.074713</v>
          </cell>
        </row>
        <row r="10676">
          <cell r="D10676" t="str">
            <v>10779179    -    413943321    -    0.074713</v>
          </cell>
        </row>
        <row r="10677">
          <cell r="D10677" t="str">
            <v>10780041    -    TB SICHERUNGSMOD 1-F    -    0.074713</v>
          </cell>
        </row>
        <row r="10678">
          <cell r="D10678" t="str">
            <v>10787855    -    313943323    -    0.074713</v>
          </cell>
        </row>
        <row r="10679">
          <cell r="D10679" t="str">
            <v>10810265    -    113943321    -    0.074713</v>
          </cell>
        </row>
        <row r="10680">
          <cell r="D10680" t="str">
            <v>10810266    -    113943323    -    0.074713</v>
          </cell>
        </row>
        <row r="10681">
          <cell r="D10681" t="str">
            <v>10810643    -    ARETACE FI    -    0.074552</v>
          </cell>
        </row>
        <row r="10682">
          <cell r="D10682" t="str">
            <v>10749744    -    4POL SLKSTECKERGEHAEUSE    -    0.074415</v>
          </cell>
        </row>
        <row r="10683">
          <cell r="D10683" t="str">
            <v>16268088    -    CONNECTOR-PROBE    -    0.074349</v>
          </cell>
        </row>
        <row r="10684">
          <cell r="D10684" t="str">
            <v>12020830    -    CONN 4M W/P SHD SLD    -    0.074</v>
          </cell>
        </row>
        <row r="10685">
          <cell r="D10685" t="str">
            <v>10811686    -    CONN 2 F FUSE BLK    -    0.073185</v>
          </cell>
        </row>
        <row r="10686">
          <cell r="D10686" t="str">
            <v>15338996    -    209653892    -    0.07306</v>
          </cell>
        </row>
        <row r="10687">
          <cell r="D10687" t="str">
            <v>10762332    -    TERMINAL HIROSE GT72022SCF    -    0.072563</v>
          </cell>
        </row>
        <row r="10688">
          <cell r="D10688" t="str">
            <v>16211832    -    CONN BODY-04 CAVITY    -    0.072</v>
          </cell>
        </row>
        <row r="10689">
          <cell r="D10689" t="str">
            <v>10748105    -    CONNECTOR MQS 6V * 9626885080    -    0.071632</v>
          </cell>
        </row>
        <row r="10690">
          <cell r="D10690" t="str">
            <v>10768915    -    2POL SLKSTECKERGEHAEUSE    -    0.071543</v>
          </cell>
        </row>
        <row r="10691">
          <cell r="D10691" t="str">
            <v>10727410    -    636168 PLUSKONTAKT CUZN37F37 *61449    -    0.071381</v>
          </cell>
        </row>
        <row r="10692">
          <cell r="D10692" t="str">
            <v>10721528    -    0    -    0.071147</v>
          </cell>
        </row>
        <row r="10693">
          <cell r="D10693" t="str">
            <v>10774421    -    16.H54.96 SEGURIDAD AMP 965662 NG    -    0.071147</v>
          </cell>
        </row>
        <row r="10694">
          <cell r="D10694" t="str">
            <v>10768447    -    CX 8D0 937 733E    -    0.070824</v>
          </cell>
        </row>
        <row r="10695">
          <cell r="D10695" t="str">
            <v>10768448    -    CX 2 CAV BK 8D0 972    -    0.070824</v>
          </cell>
        </row>
        <row r="10696">
          <cell r="D10696" t="str">
            <v>10768449    -    CX 2 CAV BK 8D0 972    -    0.070824</v>
          </cell>
        </row>
        <row r="10697">
          <cell r="D10697" t="str">
            <v>10768450    -    CX 2 CAV BK 8D0 972    -    0.070824</v>
          </cell>
        </row>
        <row r="10698">
          <cell r="D10698" t="str">
            <v>10768451    -    HOUSING 10.P. RU    -    0.070824</v>
          </cell>
        </row>
        <row r="10699">
          <cell r="D10699" t="str">
            <v>10768452    -    CX 8D0 937 733 A    -    0.070824</v>
          </cell>
        </row>
        <row r="10700">
          <cell r="D10700" t="str">
            <v>12185473    -    619564 ZLACZE 0-0180906-0    -    0.070381</v>
          </cell>
        </row>
        <row r="10701">
          <cell r="D10701" t="str">
            <v>12064754    -    CONN BODY-06 CAVITY    -    0.07</v>
          </cell>
        </row>
        <row r="10702">
          <cell r="D10702" t="str">
            <v>15434284    -    WEDGE LOCK    -    0.07</v>
          </cell>
        </row>
        <row r="10703">
          <cell r="D10703" t="str">
            <v>16179499    -    HEADER-10 COND,F    -    0.07</v>
          </cell>
        </row>
        <row r="10704">
          <cell r="D10704" t="str">
            <v>16212954    -    HEADER-02 COND,MA    -    0.07</v>
          </cell>
        </row>
        <row r="10705">
          <cell r="D10705" t="str">
            <v>16212957    -    HEADER-03 COND,MA    -    0.07</v>
          </cell>
        </row>
        <row r="10706">
          <cell r="D10706" t="str">
            <v>15393805    -    CONN 10F MP 630    -    0.06998</v>
          </cell>
        </row>
        <row r="10707">
          <cell r="D10707" t="str">
            <v>10819480    -    12 POL. GEHAEUSE MQS    -    0.069937</v>
          </cell>
        </row>
        <row r="10708">
          <cell r="D10708" t="str">
            <v>15380749    -    CONN 2 M FASTIN/ON 6.3 NAT    -    0.06988</v>
          </cell>
        </row>
        <row r="10709">
          <cell r="D10709" t="str">
            <v>15324627    -    SOCKET #2, STAMPED    -    0.0698</v>
          </cell>
        </row>
        <row r="10710">
          <cell r="D10710" t="str">
            <v>15364326    -    MODULE MQS 18V NR * 9627089780    -    0.069743</v>
          </cell>
        </row>
        <row r="10711">
          <cell r="D10711" t="str">
            <v>10788646    -    6 WAY FEMALE CONNECTOR BROWN    -    0.069681</v>
          </cell>
        </row>
        <row r="10712">
          <cell r="D10712" t="str">
            <v>10847094    -    15.390.96 CON AMP 926101-2 NG    -    0.06901</v>
          </cell>
        </row>
        <row r="10713">
          <cell r="D10713" t="str">
            <v>10774527    -    TERMINAL    -    0.069</v>
          </cell>
        </row>
        <row r="10714">
          <cell r="D10714" t="str">
            <v>10774529    -    TERMINAL    -    0.069</v>
          </cell>
        </row>
        <row r="10715">
          <cell r="D10715" t="str">
            <v>12158591    -    4-P GEH. MODU IV    -    0.068993</v>
          </cell>
        </row>
        <row r="10716">
          <cell r="D10716" t="str">
            <v>10769142    -    2POL SLKSTECKERGEHAEUSE    -    0.068973</v>
          </cell>
        </row>
        <row r="10717">
          <cell r="D10717" t="str">
            <v>10788873    -    CONN 2 M NAT    -    0.06896</v>
          </cell>
        </row>
        <row r="10718">
          <cell r="D10718" t="str">
            <v>15338637    -    9654701    -    0.068935</v>
          </cell>
        </row>
        <row r="10719">
          <cell r="D10719" t="str">
            <v>15316639    -    CONN    -    0.068547</v>
          </cell>
        </row>
        <row r="10720">
          <cell r="D10720" t="str">
            <v>396225840000    -    STIFTKONTAKT-UNTERT.4-POL STEH 53290-041    -    0.068142</v>
          </cell>
        </row>
        <row r="10721">
          <cell r="D10721" t="str">
            <v>16236398    -    HEADER-02 COND,MA    -    0.068</v>
          </cell>
        </row>
        <row r="10722">
          <cell r="D10722" t="str">
            <v>10775866    -    16.H97.90 CON AMP 4 VIAS TRANS C-626056    -    0.067603</v>
          </cell>
        </row>
        <row r="10723">
          <cell r="D10723" t="str">
            <v>10722691    -    CONN 26 WAY W BK    -    0.067468</v>
          </cell>
        </row>
        <row r="10724">
          <cell r="D10724" t="str">
            <v>10787985    -    CONN 2 TIMER JR-POWER BLU    -    0.067267</v>
          </cell>
        </row>
        <row r="10725">
          <cell r="D10725" t="str">
            <v>10788006    -    CONN 2 TIMER JR-POWER BLK    -    0.067267</v>
          </cell>
        </row>
        <row r="10726">
          <cell r="D10726" t="str">
            <v>16239288    -    HEADER-09 COND,MA    -    0.0672</v>
          </cell>
        </row>
        <row r="10727">
          <cell r="D10727" t="str">
            <v>15383388    -    CONNECTOR 3W BLACK    -    0.06717</v>
          </cell>
        </row>
        <row r="10728">
          <cell r="D10728" t="str">
            <v>FRD13069054    -    CONNECTEUR CMS 2 VOIES JST S2B PH SM3 TB    -    0.066995</v>
          </cell>
        </row>
        <row r="10729">
          <cell r="D10729" t="str">
            <v>396096430000    -    STIFTLEISTE 3-POL STEH B3B-XH-AS JST    -    0.066726</v>
          </cell>
        </row>
        <row r="10730">
          <cell r="D10730" t="str">
            <v>10768472    -    CX 8D0937731F    -    0.066724</v>
          </cell>
        </row>
        <row r="10731">
          <cell r="D10731" t="str">
            <v>10768474    -    HOUSING 6.P. RU    -    0.066724</v>
          </cell>
        </row>
        <row r="10732">
          <cell r="D10732" t="str">
            <v>10768475    -    CONN 6 F RECEPTACLE MIXED BRN    -    0.066724</v>
          </cell>
        </row>
        <row r="10733">
          <cell r="D10733" t="str">
            <v>10768476    -    HOUSING 6.P. CE    -    0.066724</v>
          </cell>
        </row>
        <row r="10734">
          <cell r="D10734" t="str">
            <v>15327769    -    KUPPLUNGSTRAGEKOERPER    -    0.066177</v>
          </cell>
        </row>
        <row r="10735">
          <cell r="D10735" t="str">
            <v>10726859    -    109683531    -    0.066065</v>
          </cell>
        </row>
        <row r="10736">
          <cell r="D10736" t="str">
            <v>10762249    -    109291481    -    0.066065</v>
          </cell>
        </row>
        <row r="10737">
          <cell r="D10737" t="str">
            <v>15368863    -    FRAME 1'LI    -    0.065854</v>
          </cell>
        </row>
        <row r="10738">
          <cell r="D10738" t="str">
            <v>FRD13069097    -    CONNECTEUR 5 VOIES CAPTEURS US N6 AMP    -    0.065828</v>
          </cell>
        </row>
        <row r="10739">
          <cell r="D10739" t="str">
            <v>12162486    -    CONN F    -    0.0655</v>
          </cell>
        </row>
        <row r="10740">
          <cell r="D10740" t="str">
            <v>16214412    -    HEADER-03 COND,FE    -    0.065</v>
          </cell>
        </row>
        <row r="10741">
          <cell r="D10741" t="str">
            <v>16238982    -    HEADER-04 COND    -    0.065</v>
          </cell>
        </row>
        <row r="10742">
          <cell r="D10742" t="str">
            <v>10762413    -    109695081    -    0.064798</v>
          </cell>
        </row>
        <row r="10743">
          <cell r="D10743" t="str">
            <v>10811007    -    ASM CONN 18 F    -    0.064634</v>
          </cell>
        </row>
        <row r="10744">
          <cell r="D10744" t="str">
            <v>10811674    -    ASM CONN 18 F FLAT CONN    -    0.064634</v>
          </cell>
        </row>
        <row r="10745">
          <cell r="D10745" t="str">
            <v>10780995    -    HOUSING 6.P. BROWN    -    0.064611</v>
          </cell>
        </row>
        <row r="10746">
          <cell r="D10746" t="str">
            <v>16184720    -    HEADER-04 COND    -    0.064</v>
          </cell>
        </row>
        <row r="10747">
          <cell r="D10747" t="str">
            <v>16197929    -    HEADER-11 COND,MALE    -    0.06351</v>
          </cell>
        </row>
        <row r="10748">
          <cell r="D10748" t="str">
            <v>10788414    -    HOUSING 20.P. CE 8E0 972 420 .01    -    0.063493</v>
          </cell>
        </row>
        <row r="10749">
          <cell r="D10749" t="str">
            <v>10810845    -    CONNECTOR 2 WAY FEMALE BLACK    -    0.06303</v>
          </cell>
        </row>
        <row r="10750">
          <cell r="D10750" t="str">
            <v>10787476    -    1 WAY CONNECTOR F1-29    -    0.062367</v>
          </cell>
        </row>
        <row r="10751">
          <cell r="D10751" t="str">
            <v>10787477    -    1 WAY CONNECTOR F1-30    -    0.062367</v>
          </cell>
        </row>
        <row r="10752">
          <cell r="D10752" t="str">
            <v>10787478    -    1 WAY CONNECTOR F1-31    -    0.062367</v>
          </cell>
        </row>
        <row r="10753">
          <cell r="D10753" t="str">
            <v>10789202    -    1 WAY CONNECTOR F1-20    -    0.062367</v>
          </cell>
        </row>
        <row r="10754">
          <cell r="D10754" t="str">
            <v>15327147    -    625457 ZLACZE    -    0.062367</v>
          </cell>
        </row>
        <row r="10755">
          <cell r="D10755" t="str">
            <v>15327148    -    CONNECTOR FOR F 1-27    -    0.062367</v>
          </cell>
        </row>
        <row r="10756">
          <cell r="D10756" t="str">
            <v>10721928    -    KUPPLUNG1-POL.    -    0.062313</v>
          </cell>
        </row>
        <row r="10757">
          <cell r="D10757" t="str">
            <v>10762856    -    3-POL.STIFTGEHAEUSE KOD.B    -    0.062263</v>
          </cell>
        </row>
        <row r="10758">
          <cell r="D10758" t="str">
            <v>10779178    -    2-POL. STECKERGEH.    -    0.062263</v>
          </cell>
        </row>
        <row r="10759">
          <cell r="D10759" t="str">
            <v>10749472    -    4POL SLKKUPPLUNGSGEHAEUSE    -    0.062205</v>
          </cell>
        </row>
        <row r="10760">
          <cell r="D10760" t="str">
            <v>10847220    -    CONN 4F SLK    -    0.062205</v>
          </cell>
        </row>
        <row r="10761">
          <cell r="D10761" t="str">
            <v>15339541    -    4POL SLKKUPPLUNGSGEHAEUSE    -    0.062205</v>
          </cell>
        </row>
        <row r="10762">
          <cell r="D10762" t="str">
            <v>15465451    -    CONN 4F    -    0.062205</v>
          </cell>
        </row>
        <row r="10763">
          <cell r="D10763" t="str">
            <v>64084    -    STYK    -    0.062126</v>
          </cell>
        </row>
        <row r="10764">
          <cell r="D10764" t="str">
            <v>15422739    -    CONN 2 TIMER JR-POWER BLK    -    0.06194</v>
          </cell>
        </row>
        <row r="10765">
          <cell r="D10765" t="str">
            <v>10820537    -    HOUSING 2 P. MQS CE    -    0.061878</v>
          </cell>
        </row>
        <row r="10766">
          <cell r="D10766" t="str">
            <v>16197928    -    HEADER-09 COND,MALE    -    0.06166</v>
          </cell>
        </row>
        <row r="10767">
          <cell r="D10767" t="str">
            <v>12104215    -    251760 ZLACZE VOLVO 964167    -    0.061468</v>
          </cell>
        </row>
        <row r="10768">
          <cell r="D10768" t="str">
            <v>10726452    -    12-P KONTAKTTRAEGER KOD.B    -    0.061306</v>
          </cell>
        </row>
        <row r="10769">
          <cell r="D10769" t="str">
            <v>10726453    -    12-P KONTAKTTRAEGER KOD.A    -    0.061306</v>
          </cell>
        </row>
        <row r="10770">
          <cell r="D10770" t="str">
            <v>DED10420088    -    SO-2.54MM PIN HEADER STRIP 2X4POL C4630    -    0.061261</v>
          </cell>
        </row>
        <row r="10771">
          <cell r="D10771" t="str">
            <v>12064998    -    CONNECTOR    -    0.061</v>
          </cell>
        </row>
        <row r="10772">
          <cell r="D10772" t="str">
            <v>10717617    -    KUPPLUNG1-POL.    -    0.060971</v>
          </cell>
        </row>
        <row r="10773">
          <cell r="D10773" t="str">
            <v>10724343    -    006168 ZLACZE 1/23671/87    -    0.060627</v>
          </cell>
        </row>
        <row r="10774">
          <cell r="D10774" t="str">
            <v>9400845    -    BUS-BAR,SM    -    0.0605</v>
          </cell>
        </row>
        <row r="10775">
          <cell r="D10775" t="str">
            <v>10819843    -    COV CONN MQS BLK    -    0.060387</v>
          </cell>
        </row>
        <row r="10776">
          <cell r="D10776" t="str">
            <v>15368633    -    123    -    0.060138</v>
          </cell>
        </row>
        <row r="10777">
          <cell r="D10777" t="str">
            <v>10762857    -    CX 3 CAV BL 6905981.9    -    0.060076</v>
          </cell>
        </row>
        <row r="10778">
          <cell r="D10778" t="str">
            <v>10741055    -    TB KUPPLUNG 2-POL (A) DC    -    0.060019</v>
          </cell>
        </row>
        <row r="10779">
          <cell r="D10779" t="str">
            <v>10741056    -    TB KUPPLUNG 2-POL (D) DC    -    0.060019</v>
          </cell>
        </row>
        <row r="10780">
          <cell r="D10780" t="str">
            <v>10777498    -    RECEPTACLE WEDGE, GREEN    -    0.06</v>
          </cell>
        </row>
        <row r="10781">
          <cell r="D10781" t="str">
            <v>15324611    -    LOCK STRIP-TPA WGE    -    0.06</v>
          </cell>
        </row>
        <row r="10782">
          <cell r="D10782" t="str">
            <v>15324918    -    CONNECTOR    -    0.06</v>
          </cell>
        </row>
        <row r="10783">
          <cell r="D10783" t="str">
            <v>15412940    -    CONN 6F ASM    -    0.06</v>
          </cell>
        </row>
        <row r="10784">
          <cell r="D10784" t="str">
            <v>16235652    -    HEADER-04 COND,MALE    -    0.06</v>
          </cell>
        </row>
        <row r="10785">
          <cell r="D10785" t="str">
            <v>PG000460    -    DT WEDGE LOCK    -    0.06</v>
          </cell>
        </row>
        <row r="10786">
          <cell r="D10786" t="str">
            <v>12185045    -    FL-STECKER 2,8 AMP CUFEVZ    -    0.059979</v>
          </cell>
        </row>
        <row r="10787">
          <cell r="D10787" t="str">
            <v>10723475    -    CX 6 PR 7703197446    -    0.059641</v>
          </cell>
        </row>
        <row r="10788">
          <cell r="D10788" t="str">
            <v>10724537    -    01.009.08 TER AMP 154718-4 0,7-2MM S22    -    0.059355</v>
          </cell>
        </row>
        <row r="10789">
          <cell r="D10789" t="str">
            <v>15364410    -    002321 ZLACZE 1/23400/87    -    0.059032</v>
          </cell>
        </row>
        <row r="10790">
          <cell r="D10790" t="str">
            <v>12015791    -    ASM CONN 1F W/P TWR SLD    -    0.059</v>
          </cell>
        </row>
        <row r="10791">
          <cell r="D10791" t="str">
            <v>15448476    -    FERRITE    -    0.059</v>
          </cell>
        </row>
        <row r="10792">
          <cell r="D10792" t="str">
            <v>16194849    -    HEADER-08 COND,MALE    -    0.05898</v>
          </cell>
        </row>
        <row r="10793">
          <cell r="D10793" t="str">
            <v>16197826    -    HEADER-10 COND,MALE    -    0.05882</v>
          </cell>
        </row>
        <row r="10794">
          <cell r="D10794" t="str">
            <v>10779139    -    KONNEKTOR    -    0.058697</v>
          </cell>
        </row>
        <row r="10795">
          <cell r="D10795" t="str">
            <v>10749475    -    2POL SLKKUPPLUNGSGEHAEUSE    -    0.058495</v>
          </cell>
        </row>
        <row r="10796">
          <cell r="D10796" t="str">
            <v>10762763    -    2POL SLKKUPPLUNGSGEHAEUSE    -    0.058495</v>
          </cell>
        </row>
        <row r="10797">
          <cell r="D10797" t="str">
            <v>15364446    -    CONNECTOR MQS 3V *    -    0.058436</v>
          </cell>
        </row>
        <row r="10798">
          <cell r="D10798" t="str">
            <v>15327692    -    KUPPLUNGS-GEHAEUSE    -    0.058212</v>
          </cell>
        </row>
        <row r="10799">
          <cell r="D10799" t="str">
            <v>12084924S    -    CLIP HARN    -    0.0581</v>
          </cell>
        </row>
        <row r="10800">
          <cell r="D10800" t="str">
            <v>12162545    -    CONN ASM.    -    0.057902</v>
          </cell>
        </row>
        <row r="10801">
          <cell r="D10801" t="str">
            <v>10751613    -    801914 CONN 1 F TIMER MAXI-POWE    -    0.05743</v>
          </cell>
        </row>
        <row r="10802">
          <cell r="D10802" t="str">
            <v>10812024    -    CONN 1 F TIMER MAXI-POWER GRA LT    -    0.05743</v>
          </cell>
        </row>
        <row r="10803">
          <cell r="D10803" t="str">
            <v>12184992    -    CONN 1F MAXI POWER TIMER    -    0.05743</v>
          </cell>
        </row>
        <row r="10804">
          <cell r="D10804" t="str">
            <v>15338139    -    HOUSING 2 POL    -    0.05728</v>
          </cell>
        </row>
        <row r="10805">
          <cell r="D10805" t="str">
            <v>15394684    -    TB KUPPLUNG 4-POLIG (A)DC    -    0.057267</v>
          </cell>
        </row>
        <row r="10806">
          <cell r="D10806" t="str">
            <v>15394685    -    CONN 4 F QUADLOK MICRO VLT    -    0.057267</v>
          </cell>
        </row>
        <row r="10807">
          <cell r="D10807" t="str">
            <v>10762855    -    CX 3 CAV BK 6905977.9    -    0.057256</v>
          </cell>
        </row>
        <row r="10808">
          <cell r="D10808" t="str">
            <v>10788410    -    HOUSING 16.P. CE    -    0.057156</v>
          </cell>
        </row>
        <row r="10809">
          <cell r="D10809" t="str">
            <v>9399608    -    HEADER-08POS,M,V,2M    -    0.057</v>
          </cell>
        </row>
        <row r="10810">
          <cell r="D10810" t="str">
            <v>15364203    -    2POL JPTKUPPLUNGSGEHAEUSE    -    0.056538</v>
          </cell>
        </row>
        <row r="10811">
          <cell r="D10811" t="str">
            <v>15368200    -    2POL JPTKUPPLUNGSGEHAEUSE    -    0.056538</v>
          </cell>
        </row>
        <row r="10812">
          <cell r="D10812" t="str">
            <v>10757204    -    209291701    -    0.056535</v>
          </cell>
        </row>
        <row r="10813">
          <cell r="D10813" t="str">
            <v>10769299    -    309291701    -    0.056535</v>
          </cell>
        </row>
        <row r="10814">
          <cell r="D10814" t="str">
            <v>10779655    -    409291701    -    0.056535</v>
          </cell>
        </row>
        <row r="10815">
          <cell r="D10815" t="str">
            <v>15383229    -    CONNECTOR 4F    -    0.05653</v>
          </cell>
        </row>
        <row r="10816">
          <cell r="D10816" t="str">
            <v>15344959    -    CONN 6 F QUADLOK MICRO BLK    -    0.056411</v>
          </cell>
        </row>
        <row r="10817">
          <cell r="D10817" t="str">
            <v>10762762    -    2POL SLKKUPPLUNGSGEHAEUSE    -    0.056398</v>
          </cell>
        </row>
        <row r="10818">
          <cell r="D10818" t="str">
            <v>10780043    -    CONN 2F    -    0.056398</v>
          </cell>
        </row>
        <row r="10819">
          <cell r="D10819" t="str">
            <v>15368646    -    CONNECTOR    -    0.056349</v>
          </cell>
        </row>
        <row r="10820">
          <cell r="D10820" t="str">
            <v>16168186    -    HEADER-08 COND,FEM    -    0.056</v>
          </cell>
        </row>
        <row r="10821">
          <cell r="D10821" t="str">
            <v>10810655    -    ARETACE FI    -    0.055914</v>
          </cell>
        </row>
        <row r="10822">
          <cell r="D10822" t="str">
            <v>10768303    -    HOUSING CE    -    0.055901</v>
          </cell>
        </row>
        <row r="10823">
          <cell r="D10823" t="str">
            <v>PE104930    -    ASS.PARTFORCONN.NS06MW-LCBLACK    -    0.055554</v>
          </cell>
        </row>
        <row r="10824">
          <cell r="D10824" t="str">
            <v>16239287    -    HEAER-08 COND,MA    -    0.05538</v>
          </cell>
        </row>
        <row r="10825">
          <cell r="D10825" t="str">
            <v>15338692    -    9681001    -    0.055268</v>
          </cell>
        </row>
        <row r="10826">
          <cell r="D10826" t="str">
            <v>15368719    -    002269 ZLACZE 1/23667/87    -    0.055108</v>
          </cell>
        </row>
        <row r="10827">
          <cell r="D10827" t="str">
            <v>396096420000    -    STIFTLEISTE 2-POL STEH B2B-XH-AS JST    -    0.054986</v>
          </cell>
        </row>
        <row r="10828">
          <cell r="D10828" t="str">
            <v>10820918    -    CONN3 F AMP 968705-1A SW    -    0.054783</v>
          </cell>
        </row>
        <row r="10829">
          <cell r="D10829" t="str">
            <v>10775590    -    10775590 CON. MATE N LOCK AMP    -    0.054634</v>
          </cell>
        </row>
        <row r="10830">
          <cell r="D10830" t="str">
            <v>10722923    -    15.027.95 CO 6V AMP 281875-2 MRR 1/23744    -    0.054547</v>
          </cell>
        </row>
        <row r="10831">
          <cell r="D10831" t="str">
            <v>10776868    -    CX 191 972    -    0.054</v>
          </cell>
        </row>
        <row r="10832">
          <cell r="D10832" t="str">
            <v>10779180    -    1-P SICHERUNGSMOD. KOD.B    -    0.05365</v>
          </cell>
        </row>
        <row r="10833">
          <cell r="D10833" t="str">
            <v>10779181    -    1-P SICHERUNGSMOD. KOD. A    -    0.05365</v>
          </cell>
        </row>
        <row r="10834">
          <cell r="D10834" t="str">
            <v>10787906    -    1-POL.SICHERUNGSMOD.    -    0.05365</v>
          </cell>
        </row>
        <row r="10835">
          <cell r="D10835" t="str">
            <v>10787907    -    KUPPLUNG 1-FACH COD F    -    0.05365</v>
          </cell>
        </row>
        <row r="10836">
          <cell r="D10836" t="str">
            <v>12092873    -    CPA - COVER ASSY.    -    0.0532</v>
          </cell>
        </row>
        <row r="10837">
          <cell r="D10837" t="str">
            <v>16200317    -    HEADER-MALE R/ANGLE    -    0.05309</v>
          </cell>
        </row>
        <row r="10838">
          <cell r="D10838" t="str">
            <v>16194848    -    HEADER-07 COND,MALE    -    0.05285</v>
          </cell>
        </row>
        <row r="10839">
          <cell r="D10839" t="str">
            <v>10788573    -    413553972    -    0.052733</v>
          </cell>
        </row>
        <row r="10840">
          <cell r="D10840" t="str">
            <v>15363854    -    STECKHLSENGEHUSE3-POL.SLK2,8    -    0.052733</v>
          </cell>
        </row>
        <row r="10841">
          <cell r="D10841" t="str">
            <v>15380888    -    213553971    -    0.052733</v>
          </cell>
        </row>
        <row r="10842">
          <cell r="D10842" t="str">
            <v>10847247    -    4-POL.GEHAEUSE TH025    -    0.052625</v>
          </cell>
        </row>
        <row r="10843">
          <cell r="D10843" t="str">
            <v>10776090    -    RING TERMINAL    -    0.052497</v>
          </cell>
        </row>
        <row r="10844">
          <cell r="D10844" t="str">
            <v>10762665    -    TB KUPPLUNG 3-POLIG (A)    -    0.052436</v>
          </cell>
        </row>
        <row r="10845">
          <cell r="D10845" t="str">
            <v>10769227    -    TB LU KUPPLUNG 3-POL(A)DC    -    0.052436</v>
          </cell>
        </row>
        <row r="10846">
          <cell r="D10846" t="str">
            <v>10847051    -    CONN 2 WAY F OG    -    0.052355</v>
          </cell>
        </row>
        <row r="10847">
          <cell r="D10847" t="str">
            <v>10722281    -    CX 1 VIA BR 191 972    -    0.052099</v>
          </cell>
        </row>
        <row r="10848">
          <cell r="D10848" t="str">
            <v>10769144    -    KONCOWKA VOLVO 956951    -    0.051744</v>
          </cell>
        </row>
        <row r="10849">
          <cell r="D10849" t="str">
            <v>15470179    -    CONN 6 F MQS BLU    -    0.051441</v>
          </cell>
        </row>
        <row r="10850">
          <cell r="D10850" t="str">
            <v>15470181    -    CONN BRN    -    0.051441</v>
          </cell>
        </row>
        <row r="10851">
          <cell r="D10851" t="str">
            <v>15364010    -    SECONDARY LOCK    -    0.051341</v>
          </cell>
        </row>
        <row r="10852">
          <cell r="D10852" t="str">
            <v>15364418    -    CONNECTOR 2 WAY    -    0.051275</v>
          </cell>
        </row>
        <row r="10853">
          <cell r="D10853" t="str">
            <v>10733953    -    16.940.95 CON AMP 281872-2 FIAT 1/23741/    -    0.051267</v>
          </cell>
        </row>
        <row r="10854">
          <cell r="D10854" t="str">
            <v>10788406    -    HOUSING12 P. CE    -    0.050819</v>
          </cell>
        </row>
        <row r="10855">
          <cell r="D10855" t="str">
            <v>10788420    -    HOUSING 6. P. CE    -    0.050819</v>
          </cell>
        </row>
        <row r="10856">
          <cell r="D10856" t="str">
            <v>10763657    -    HOUSING 3.PL. VIOLET    -    0.050509</v>
          </cell>
        </row>
        <row r="10857">
          <cell r="D10857" t="str">
            <v>10775750    -    COVER    -    0.050322</v>
          </cell>
        </row>
        <row r="10858">
          <cell r="D10858" t="str">
            <v>9385079    -    KONTAKTSTIFT UMSPR. C6111    -    0.050061</v>
          </cell>
        </row>
        <row r="10859">
          <cell r="D10859" t="str">
            <v>15365718    -    WEDGE LOCK    -    0.05</v>
          </cell>
        </row>
        <row r="10860">
          <cell r="D10860" t="str">
            <v>15380677    -    LOCK STRIP    -    0.05</v>
          </cell>
        </row>
        <row r="10861">
          <cell r="D10861" t="str">
            <v>10724087    -    CONNECTOR-5 WAY    -    0.049656</v>
          </cell>
        </row>
        <row r="10862">
          <cell r="D10862" t="str">
            <v>10777066    -    409695211    -    0.049552</v>
          </cell>
        </row>
        <row r="10863">
          <cell r="D10863" t="str">
            <v>15316617    -    ARETACE CE    -    0.049415</v>
          </cell>
        </row>
        <row r="10864">
          <cell r="D10864" t="str">
            <v>10779174    -    513948361    -    0.049403</v>
          </cell>
        </row>
        <row r="10865">
          <cell r="D10865" t="str">
            <v>10787905    -    313948361    -    0.049403</v>
          </cell>
        </row>
        <row r="10866">
          <cell r="D10866" t="str">
            <v>16197927    -    HEADER-08 COND,MALE    -    0.0494</v>
          </cell>
        </row>
        <row r="10867">
          <cell r="D10867" t="str">
            <v>10763655    -    CX 3 CAV BL 8377068.    -    0.048918</v>
          </cell>
        </row>
        <row r="10868">
          <cell r="D10868" t="str">
            <v>12089725    -    KUPPLUNG2-FACH    -    0.048893</v>
          </cell>
        </row>
        <row r="10869">
          <cell r="D10869" t="str">
            <v>15450769    -    TERMINAL MAXI FUSE    -    0.04885</v>
          </cell>
        </row>
        <row r="10870">
          <cell r="D10870" t="str">
            <v>10777080    -    15.156.96 CON AMP 925324-1 SAAB 7155112    -    0.048657</v>
          </cell>
        </row>
        <row r="10871">
          <cell r="D10871" t="str">
            <v>10724013    -    CONNECTOR 2W BLACK    -    0.048428</v>
          </cell>
        </row>
        <row r="10872">
          <cell r="D10872" t="str">
            <v>10762459    -    KONTAKTTRAEGER    -    0.048347</v>
          </cell>
        </row>
        <row r="10873">
          <cell r="D10873" t="str">
            <v>10762462    -    KONTAKTTRAEGER    -    0.048347</v>
          </cell>
        </row>
        <row r="10874">
          <cell r="D10874" t="str">
            <v>10722812    -    CONN 1 F POS. LOCK 6.3 BLK    -    0.048334</v>
          </cell>
        </row>
        <row r="10875">
          <cell r="D10875" t="str">
            <v>15368882    -    2 WAY AMP CONNECTOR BLACK    -    0.048293</v>
          </cell>
        </row>
        <row r="10876">
          <cell r="D10876" t="str">
            <v>10768980    -    212413241    -    0.048285</v>
          </cell>
        </row>
        <row r="10877">
          <cell r="D10877" t="str">
            <v>10769228    -    CONN 3 F YEL    -    0.048285</v>
          </cell>
        </row>
        <row r="10878">
          <cell r="D10878" t="str">
            <v>10774854    -    CONN 3 F QUADLOK MICRO VLT    -    0.048285</v>
          </cell>
        </row>
        <row r="10879">
          <cell r="D10879" t="str">
            <v>15368741    -    112413241    -    0.048285</v>
          </cell>
        </row>
        <row r="10880">
          <cell r="D10880" t="str">
            <v>10740588    -    POJISTKA STREDNI NOZOVA 5A HN    -    0.048135</v>
          </cell>
        </row>
        <row r="10881">
          <cell r="D10881" t="str">
            <v>10846581    -    PATIBLACK ZAROVKY    -    0.048098</v>
          </cell>
        </row>
        <row r="10882">
          <cell r="D10882" t="str">
            <v>10721349    -    PIECES 5 FM KON. 2Y SIYAH    -    0.047961</v>
          </cell>
        </row>
        <row r="10883">
          <cell r="D10883" t="str">
            <v>FRD13077002/D    -    BLINDAGE N7 G01BL01-D2 POST TAM    -    0.047902</v>
          </cell>
        </row>
        <row r="10884">
          <cell r="D10884" t="str">
            <v>10763658    -    CX 3 CAV NT 8377066.    -    0.047651</v>
          </cell>
        </row>
        <row r="10885">
          <cell r="D10885" t="str">
            <v>12160482    -    CONNECTOR ASM    -    0.0474</v>
          </cell>
        </row>
        <row r="10886">
          <cell r="D10886" t="str">
            <v>15364445    -    VERRIEGELUNG FUER 3-POL.    -    0.047129</v>
          </cell>
        </row>
        <row r="10887">
          <cell r="D10887" t="str">
            <v>16199330    -    HEADER-7 COND,MA,RA    -    0.04706</v>
          </cell>
        </row>
        <row r="10888">
          <cell r="D10888" t="str">
            <v>396022850000    -    STIFTKONTAKT-REIHE 5-POL STEH 50002-8105    -    0.047005</v>
          </cell>
        </row>
        <row r="10889">
          <cell r="D10889" t="str">
            <v>15412946    -    CONNECTOR    -    0.047</v>
          </cell>
        </row>
        <row r="10890">
          <cell r="D10890" t="str">
            <v>15364423    -    CON.1W PRONER    -    0.046843</v>
          </cell>
        </row>
        <row r="10891">
          <cell r="D10891" t="str">
            <v>10762696    -    KONTAKTTRAEGER    -    0.04662</v>
          </cell>
        </row>
        <row r="10892">
          <cell r="D10892" t="str">
            <v>15368950    -    CONN 2F    -    0.046508</v>
          </cell>
        </row>
        <row r="10893">
          <cell r="D10893" t="str">
            <v>15394015    -    2POL MQSSRS KUPPLUNG    -    0.046323</v>
          </cell>
        </row>
        <row r="10894">
          <cell r="D10894" t="str">
            <v>15317126    -    TERMINAL    -    0.0463</v>
          </cell>
        </row>
        <row r="10895">
          <cell r="D10895" t="str">
            <v>10768376    -    SEAL    -    0.046283</v>
          </cell>
        </row>
        <row r="10896">
          <cell r="D10896" t="str">
            <v>15327251    -    COV CONN MQS BLK    -    0.045865</v>
          </cell>
        </row>
        <row r="10897">
          <cell r="D10897" t="str">
            <v>10754216    -    804431 CONN 2 M* GEHAEUSE 2-POL    -    0.045737</v>
          </cell>
        </row>
        <row r="10898">
          <cell r="D10898" t="str">
            <v>10762441    -    509290801    -    0.045737</v>
          </cell>
        </row>
        <row r="10899">
          <cell r="D10899" t="str">
            <v>10814595    -    CONNECTOR 5W BLACK    -    0.045725</v>
          </cell>
        </row>
        <row r="10900">
          <cell r="D10900" t="str">
            <v>16197827    -    HEADER-7 COND,MALE    -    0.04572</v>
          </cell>
        </row>
        <row r="10901">
          <cell r="D10901" t="str">
            <v>10740478    -    5POL SLKKUPPLUNG    -    0.045476</v>
          </cell>
        </row>
        <row r="10902">
          <cell r="D10902" t="str">
            <v>10763656    -    HOUSING 3.P?L. CE    -    0.045427</v>
          </cell>
        </row>
        <row r="10903">
          <cell r="D10903" t="str">
            <v>16213923    -    HEADER-4 CONT,MA    -    0.045</v>
          </cell>
        </row>
        <row r="10904">
          <cell r="D10904" t="str">
            <v>10733419    -    16.A56.95 CO 4 VIAS AMP 281873-2 MRR    -    0.044917</v>
          </cell>
        </row>
        <row r="10905">
          <cell r="D10905" t="str">
            <v>16136176    -    HEADER-07 COND,MALE    -    0.0446</v>
          </cell>
        </row>
        <row r="10906">
          <cell r="D10906" t="str">
            <v>10793522    -    CONNECTOR-2 WAY NATURAL    -    0.044594</v>
          </cell>
        </row>
        <row r="10907">
          <cell r="D10907" t="str">
            <v>10756565    -    TB KUPPLUNG 2-POL (B) DC    -    0.044529</v>
          </cell>
        </row>
        <row r="10908">
          <cell r="D10908" t="str">
            <v>10756566    -    TB KUPPLUNG 2-POL (C) DC    -    0.044529</v>
          </cell>
        </row>
        <row r="10909">
          <cell r="D10909" t="str">
            <v>10768779    -    CONN 3 F POS. LOCK BLK    -    0.044475</v>
          </cell>
        </row>
        <row r="10910">
          <cell r="D10910" t="str">
            <v>9398877    -    HEADER-05POS,MA,V,2    -    0.0444</v>
          </cell>
        </row>
        <row r="10911">
          <cell r="D10911" t="str">
            <v>9399606    -    HEADER-06POS,M,V,2M    -    0.044</v>
          </cell>
        </row>
        <row r="10912">
          <cell r="D10912" t="str">
            <v>10719497    -    SECONDARY LOCK    -    0.043637</v>
          </cell>
        </row>
        <row r="10913">
          <cell r="D10913" t="str">
            <v>15450905    -    TERMINAL TAB F14    -    0.04349</v>
          </cell>
        </row>
        <row r="10914">
          <cell r="D10914" t="str">
            <v>15450906    -    TERMINAL 10GA    -    0.04349</v>
          </cell>
        </row>
        <row r="10915">
          <cell r="D10915" t="str">
            <v>DED10260184    -    FLACHSTECKER C2709    -    0.043152</v>
          </cell>
        </row>
        <row r="10916">
          <cell r="D10916" t="str">
            <v>15316782    -    PIN #16, STAMPED    -    0.043</v>
          </cell>
        </row>
        <row r="10917">
          <cell r="D10917" t="str">
            <v>16214410    -    HEADER-02 COND,FE    -    0.043</v>
          </cell>
        </row>
        <row r="10918">
          <cell r="D10918" t="str">
            <v>DED10260211    -    WINKELFLACHSTECKER C2709 16245925    -    0.042856</v>
          </cell>
        </row>
        <row r="10919">
          <cell r="D10919" t="str">
            <v>DED10267614    -    WINKELFLACHSTECKER C2709 16268576    -    0.042667</v>
          </cell>
        </row>
        <row r="10920">
          <cell r="D10920" t="str">
            <v>16004455    -    CONN 7 PIN MALE    -    0.042</v>
          </cell>
        </row>
        <row r="10921">
          <cell r="D10921" t="str">
            <v>10788848    -    CONNECTOR NA    -    0.041959</v>
          </cell>
        </row>
        <row r="10922">
          <cell r="D10922" t="str">
            <v>10724322    -    CONN 3F 0.150 SER.    -    0.041817</v>
          </cell>
        </row>
        <row r="10923">
          <cell r="D10923" t="str">
            <v>15368864    -    2 WAY CONNEKTOR    -    0.041817</v>
          </cell>
        </row>
        <row r="10924">
          <cell r="D10924" t="str">
            <v>10811288    -    TERMINAL F    -    0.040885</v>
          </cell>
        </row>
        <row r="10925">
          <cell r="D10925" t="str">
            <v>10811290    -    TERMINAL F    -    0.040825</v>
          </cell>
        </row>
        <row r="10926">
          <cell r="D10926" t="str">
            <v>12242022    -    O RING-SHROUD    -    0.0408</v>
          </cell>
        </row>
        <row r="10927">
          <cell r="D10927" t="str">
            <v>15448612    -    MICRO PIN 1.5 MM TERMINAL    -    0.0408</v>
          </cell>
        </row>
        <row r="10928">
          <cell r="D10928" t="str">
            <v>12103669    -    CONNECTOR 3W BLACK    -    0.040764</v>
          </cell>
        </row>
        <row r="10929">
          <cell r="D10929" t="str">
            <v>10722145    -    CONN M+F    -    0.040616</v>
          </cell>
        </row>
        <row r="10930">
          <cell r="D10930" t="str">
            <v>10756975    -    DV 9626885380 TRAVAO PR    -    0.040481</v>
          </cell>
        </row>
        <row r="10931">
          <cell r="D10931" t="str">
            <v>15318232    -    LOCK TERM    -    0.040382</v>
          </cell>
        </row>
        <row r="10932">
          <cell r="D10932" t="str">
            <v>15318269    -    LOCK TERM    -    0.040382</v>
          </cell>
        </row>
        <row r="10933">
          <cell r="D10933" t="str">
            <v>15380460    -    KUPPLUNG 2-POL KOD.A DC    -    0.040346</v>
          </cell>
        </row>
        <row r="10934">
          <cell r="D10934" t="str">
            <v>15383137    -    VERR.F.ZFW6-16    -    0.040283</v>
          </cell>
        </row>
        <row r="10935">
          <cell r="D10935" t="str">
            <v>15365865    -    WEDGE LOCK    -    0.04</v>
          </cell>
        </row>
        <row r="10936">
          <cell r="D10936" t="str">
            <v>15368803    -    PLUG WEDGE    -    0.04</v>
          </cell>
        </row>
        <row r="10937">
          <cell r="D10937" t="str">
            <v>15380885    -    WEDGE LOCK    -    0.04</v>
          </cell>
        </row>
        <row r="10938">
          <cell r="D10938" t="str">
            <v>29511371    -    CONN PLUG    -    0.04</v>
          </cell>
        </row>
        <row r="10939">
          <cell r="D10939" t="str">
            <v>9399605    -    HEADER-05POS,M,V,2M    -    0.04</v>
          </cell>
        </row>
        <row r="10940">
          <cell r="D10940" t="str">
            <v>10756687    -    CONN 1 M GRA SEALED    -    0.039873</v>
          </cell>
        </row>
        <row r="10941">
          <cell r="D10941" t="str">
            <v>12047948    -    TPA (METRIPACK #12047948)    -    0.039</v>
          </cell>
        </row>
        <row r="10942">
          <cell r="D10942" t="str">
            <v>9403003    -    CONN-02POS,F,SHUNT,    -    0.0388</v>
          </cell>
        </row>
        <row r="10943">
          <cell r="D10943" t="str">
            <v>15337771    -    1 WAY FEMALE CONNECTOR BLACK    -    0.038794</v>
          </cell>
        </row>
        <row r="10944">
          <cell r="D10944" t="str">
            <v>15317059    -    VERROU SEC PIECE 4V    -    0.038742</v>
          </cell>
        </row>
        <row r="10945">
          <cell r="D10945" t="str">
            <v>9392871    -    CONN-02POS,FE,SHUNT    -    0.03865</v>
          </cell>
        </row>
        <row r="10946">
          <cell r="D10946" t="str">
            <v>10780374    -    HOUSING 8.P. BROWN 2,8    -    0.038146</v>
          </cell>
        </row>
        <row r="10947">
          <cell r="D10947" t="str">
            <v>10788965    -    ARETACE FI    -    0.038146</v>
          </cell>
        </row>
        <row r="10948">
          <cell r="D10948" t="str">
            <v>10788971    -    ARETACE FI    -    0.038146</v>
          </cell>
        </row>
        <row r="10949">
          <cell r="D10949" t="str">
            <v>15326817    -    PLR 4W GT 150    -    0.038146</v>
          </cell>
        </row>
        <row r="10950">
          <cell r="D10950" t="str">
            <v>16009584    -    CONN-MALE,6 PIN    -    0.038</v>
          </cell>
        </row>
        <row r="10951">
          <cell r="D10951" t="str">
            <v>9401006    -    HEADER-02POS,M,V,1.    -    0.038</v>
          </cell>
        </row>
        <row r="10952">
          <cell r="D10952" t="str">
            <v>15448600    -    MICRO PIN 1.5MM TERMINAL    -    0.03784</v>
          </cell>
        </row>
        <row r="10953">
          <cell r="D10953" t="str">
            <v>10727051    -    CONNECTOR    -    0.037301</v>
          </cell>
        </row>
        <row r="10954">
          <cell r="D10954" t="str">
            <v>15342511    -    GEHAEUSE AMP 969 778-2 RF 3POL    -    0.037276</v>
          </cell>
        </row>
        <row r="10955">
          <cell r="D10955" t="str">
            <v>10762444    -    312413711    -    0.037152</v>
          </cell>
        </row>
        <row r="10956">
          <cell r="D10956" t="str">
            <v>15368813    -    CX POS 3823 2 CAV NT    -    0.037152</v>
          </cell>
        </row>
        <row r="10957">
          <cell r="D10957" t="str">
            <v>16268094    -    CONN-FLAT,6.3X0.8    -    0.03694</v>
          </cell>
        </row>
        <row r="10958">
          <cell r="D10958" t="str">
            <v>15456911    -    TERMINAL    -    0.03693</v>
          </cell>
        </row>
        <row r="10959">
          <cell r="D10959" t="str">
            <v>10780379    -    CONN 8 F QUAD MICRO BLK    -    0.036903</v>
          </cell>
        </row>
        <row r="10960">
          <cell r="D10960" t="str">
            <v>15383248    -    CONNECTOR 3W BLACK    -    0.03676</v>
          </cell>
        </row>
        <row r="10961">
          <cell r="D10961" t="str">
            <v>10725808    -    TERMINAL F S (CLIP SICMA 3) 1MM-2MM    -    0.03648</v>
          </cell>
        </row>
        <row r="10962">
          <cell r="D10962" t="str">
            <v>16197925    -    HEADER-06 COND,MALE    -    0.03645</v>
          </cell>
        </row>
        <row r="10963">
          <cell r="D10963" t="str">
            <v>10768453    -    CX 2 CAV BK 8D0 972    -    0.036207</v>
          </cell>
        </row>
        <row r="10964">
          <cell r="D10964" t="str">
            <v>16197924    -    HEADER-05 COND,MALE    -    0.03619</v>
          </cell>
        </row>
        <row r="10965">
          <cell r="D10965" t="str">
            <v>9385194    -    SPACER-220 DIC    -    0.036</v>
          </cell>
        </row>
        <row r="10966">
          <cell r="D10966" t="str">
            <v>12089143    -    COVER PLATE - BLACK    -    0.035508</v>
          </cell>
        </row>
        <row r="10967">
          <cell r="D10967" t="str">
            <v>12052743S    -    CLIP HARN *    -    0.0355</v>
          </cell>
        </row>
        <row r="10968">
          <cell r="D10968" t="str">
            <v>15368768    -    16.E32.93 CON AMP 281370-0 4V    -    0.0353</v>
          </cell>
        </row>
        <row r="10969">
          <cell r="D10969" t="str">
            <v>15398701    -    TERMINAL    -    0.035259</v>
          </cell>
        </row>
        <row r="10970">
          <cell r="D10970" t="str">
            <v>15409762    -    TERMINAL    -    0.03519</v>
          </cell>
        </row>
        <row r="10971">
          <cell r="D10971" t="str">
            <v>15355585    -    TPA FOR CONN 3F    -    0.035</v>
          </cell>
        </row>
        <row r="10972">
          <cell r="D10972" t="str">
            <v>16001157    -    CONN-MALE    -    0.035</v>
          </cell>
        </row>
        <row r="10973">
          <cell r="D10973" t="str">
            <v>12131824    -    ECONOSEAL SERI 1.6-2.4MM SIYAH    -    0.034927</v>
          </cell>
        </row>
        <row r="10974">
          <cell r="D10974" t="str">
            <v>10756247    -    ZAJISTOVAC DESTICKA VIOLET    -    0.034915</v>
          </cell>
        </row>
        <row r="10975">
          <cell r="D10975" t="str">
            <v>15393983    -    BOUCHON D'ETANCHEITE (ZFW58-X)    -    0.034813</v>
          </cell>
        </row>
        <row r="10976">
          <cell r="D10976" t="str">
            <v>12047785       -    CONN 4F M/P 150     -     0.0724</v>
          </cell>
        </row>
        <row r="10977">
          <cell r="D10977" t="str">
            <v>15358639S    -    CLIP CONN NAIL HD *    -    0.0345</v>
          </cell>
        </row>
        <row r="10978">
          <cell r="D10978" t="str">
            <v>16001212    -    CONN-4 PIN    -    0.034</v>
          </cell>
        </row>
        <row r="10979">
          <cell r="D10979" t="str">
            <v>10775837    -    KONTAKTFEDER (AG) DC    -    0.03395</v>
          </cell>
        </row>
        <row r="10980">
          <cell r="D10980" t="str">
            <v>15339858    -    TERM    -    0.03394</v>
          </cell>
        </row>
        <row r="10981">
          <cell r="D10981" t="str">
            <v>15339860    -    TERM RELAY 150    -    0.03394</v>
          </cell>
        </row>
        <row r="10982">
          <cell r="D10982" t="str">
            <v>15398797    -    TERMINAL 16 GA    -    0.03394</v>
          </cell>
        </row>
        <row r="10983">
          <cell r="D10983" t="str">
            <v>FRD13069055    -    CONNECTEUR 3 VOIES JST S3BEH    -    0.033801</v>
          </cell>
        </row>
        <row r="10984">
          <cell r="D10984" t="str">
            <v>DED10267076    -    FLACHSTECKER AAR 280    -    0.033639</v>
          </cell>
        </row>
        <row r="10985">
          <cell r="D10985" t="str">
            <v>16225853    -    TERMINAL-MALE    -    0.033</v>
          </cell>
        </row>
        <row r="10986">
          <cell r="D10986" t="str">
            <v>16200312    -    HEADER MALE R/ANGLE    -    0.03299</v>
          </cell>
        </row>
        <row r="10987">
          <cell r="D10987" t="str">
            <v>10768377    -    VD JC8NG1 963721598A    -    0.032877</v>
          </cell>
        </row>
        <row r="10988">
          <cell r="D10988" t="str">
            <v>16199333    -    HEADER-5 COND,MA    -    0.03258</v>
          </cell>
        </row>
        <row r="10989">
          <cell r="D10989" t="str">
            <v>15450667    -    TERMINAL M    -    0.03249</v>
          </cell>
        </row>
        <row r="10990">
          <cell r="D10990" t="str">
            <v>10788125    -    COVER CE    -    0.031809</v>
          </cell>
        </row>
        <row r="10991">
          <cell r="D10991" t="str">
            <v>10788426    -    HOUSING 10.P. CE    -    0.031809</v>
          </cell>
        </row>
        <row r="10992">
          <cell r="D10992" t="str">
            <v>10788972    -    ARETACE FI    -    0.031809</v>
          </cell>
        </row>
        <row r="10993">
          <cell r="D10993" t="str">
            <v>12059160    -    TPA 4-WAY    -    0.0318</v>
          </cell>
        </row>
        <row r="10994">
          <cell r="D10994" t="str">
            <v>12131830    -    VD CI    -    0.031759</v>
          </cell>
        </row>
        <row r="10995">
          <cell r="D10995" t="str">
            <v>16199334    -    HEADER-5 COND,MA    -    0.0315</v>
          </cell>
        </row>
        <row r="10996">
          <cell r="D10996" t="str">
            <v>10812060    -    HOUSING 20 P. BLACK    -    0.031187</v>
          </cell>
        </row>
        <row r="10997">
          <cell r="D10997" t="str">
            <v>10733957    -    CONN 2 F TIMER JUNIOR NAT    -    0.030479</v>
          </cell>
        </row>
        <row r="10998">
          <cell r="D10998" t="str">
            <v>10775835    -    KONTAKTFEDER (AG) DC    -    0.030293</v>
          </cell>
        </row>
        <row r="10999">
          <cell r="D10999" t="str">
            <v>10775836    -    KONTAKTFEDER (AG) DC    -    0.030293</v>
          </cell>
        </row>
        <row r="11000">
          <cell r="D11000" t="str">
            <v>15368726    -    12.077.67 CO 2 VI AMP 926522-3 (1/23372    -    0.030156</v>
          </cell>
        </row>
        <row r="11001">
          <cell r="D11001" t="str">
            <v>10777500    -    LOCK TPA    -    0.03</v>
          </cell>
        </row>
        <row r="11002">
          <cell r="D11002" t="str">
            <v>15316568    -    SEAL PLUG RED    -    0.03</v>
          </cell>
        </row>
        <row r="11003">
          <cell r="D11003" t="str">
            <v>15380664    -    WEDGE LK GREEN    -    0.03</v>
          </cell>
        </row>
        <row r="11004">
          <cell r="D11004" t="str">
            <v>16239282    -    HEADER-04 COND,MA    -    0.03</v>
          </cell>
        </row>
        <row r="11005">
          <cell r="D11005" t="str">
            <v>10788088    -    ASM CONN 18 F    -    0.029821</v>
          </cell>
        </row>
        <row r="11006">
          <cell r="D11006" t="str">
            <v>15326803    -    PLR 2W GT 150 SLD    -    0.029572</v>
          </cell>
        </row>
        <row r="11007">
          <cell r="D11007" t="str">
            <v>16197923    -    HEADER-04 COND,MALE    -    0.0295</v>
          </cell>
        </row>
        <row r="11008">
          <cell r="D11008" t="str">
            <v>16243188    -    HEADER-04 COND,MALE    -    0.0295</v>
          </cell>
        </row>
        <row r="11009">
          <cell r="D11009" t="str">
            <v>FRD19000011    -    CONNECTOR  3 WAYS    -    0.029389</v>
          </cell>
        </row>
        <row r="11010">
          <cell r="D11010" t="str">
            <v>15430436    -    TERMINAL    -    0.02938</v>
          </cell>
        </row>
        <row r="11011">
          <cell r="D11011" t="str">
            <v>15364385    -    007609 ZLACZE 1/23631/81    -    0.029268</v>
          </cell>
        </row>
        <row r="11012">
          <cell r="D11012" t="str">
            <v>16147761    -    HEADER-02 COND,MALE    -    0.029</v>
          </cell>
        </row>
        <row r="11013">
          <cell r="D11013" t="str">
            <v>15383050    -    TERMINAL    -    0.0288</v>
          </cell>
        </row>
        <row r="11014">
          <cell r="D11014" t="str">
            <v>10788771    -    HOUSING 4.P. CE    -    0.028578</v>
          </cell>
        </row>
        <row r="11015">
          <cell r="D11015" t="str">
            <v>10810985    -    HOUSING 4.P. HN    -    0.028578</v>
          </cell>
        </row>
        <row r="11016">
          <cell r="D11016" t="str">
            <v>15324585    -    CONNECTOR    -    0.028417</v>
          </cell>
        </row>
        <row r="11017">
          <cell r="D11017" t="str">
            <v>10762818    -    STANDARD-TIMER AMP    -    0.028156</v>
          </cell>
        </row>
        <row r="11018">
          <cell r="D11018" t="str">
            <v>10762791    -    CONNECTOR    -    0.028118</v>
          </cell>
        </row>
        <row r="11019">
          <cell r="D11019" t="str">
            <v>16137409    -    HEADER-02 COND,MALE    -    0.028</v>
          </cell>
        </row>
        <row r="11020">
          <cell r="D11020" t="str">
            <v>10787360    -    SEAL CE    -    0.027957</v>
          </cell>
        </row>
        <row r="11021">
          <cell r="D11021" t="str">
            <v>15363976    -    TERMINAL    -    0.027878</v>
          </cell>
        </row>
        <row r="11022">
          <cell r="D11022" t="str">
            <v>15316991    -    VD VEDANTE AMARELO YPV100660    -    0.02762</v>
          </cell>
        </row>
        <row r="11023">
          <cell r="D11023" t="str">
            <v>15383491    -    TERMINAL 10, 12    -    0.02739</v>
          </cell>
        </row>
        <row r="11024">
          <cell r="D11024" t="str">
            <v>12186356    -    MOUN SCREW    -    0.027385</v>
          </cell>
        </row>
        <row r="11025">
          <cell r="D11025" t="str">
            <v>15364398    -    PRONER RED    -    0.027176</v>
          </cell>
        </row>
        <row r="11026">
          <cell r="D11026" t="str">
            <v>15398795    -    TERMINAL    -    0.027</v>
          </cell>
        </row>
        <row r="11027">
          <cell r="D11027" t="str">
            <v>15450904    -    TERMINAL TAB 10    -    0.027</v>
          </cell>
        </row>
        <row r="11028">
          <cell r="D11028" t="str">
            <v>10738100    -    CONNECTOR 2V MA * 9631187380    -    0.02695</v>
          </cell>
        </row>
        <row r="11029">
          <cell r="D11029" t="str">
            <v>12015782    -    CONN 2F W/P TWR SLD    -    0.0268</v>
          </cell>
        </row>
        <row r="11030">
          <cell r="D11030" t="str">
            <v>15456910    -    TERMINAL    -    0.02602</v>
          </cell>
        </row>
        <row r="11031">
          <cell r="D11031" t="str">
            <v>15456943    -    TERMINAL    -    0.0258</v>
          </cell>
        </row>
        <row r="11032">
          <cell r="D11032" t="str">
            <v>FRD13077010/D    -    LANGUETTE 1.5X0.8 NORME B12 5210 (S26)    -    0.025773</v>
          </cell>
        </row>
        <row r="11033">
          <cell r="D11033" t="str">
            <v>15339853    -    BUS BAR 16 WAY    -    0.02575</v>
          </cell>
        </row>
        <row r="11034">
          <cell r="D11034" t="str">
            <v>396043240500    -    LEITUNGSZENTRIERGEHAEUSE 4-POL    -    0.025638</v>
          </cell>
        </row>
        <row r="11035">
          <cell r="D11035" t="str">
            <v>15454900    -    TERMINAL    -    0.0255</v>
          </cell>
        </row>
        <row r="11036">
          <cell r="D11036" t="str">
            <v>10788126    -    HOUSING 2.P.CE    -    0.025472</v>
          </cell>
        </row>
        <row r="11037">
          <cell r="D11037" t="str">
            <v>10724539    -    03.P12.08 TER 140 MATE-N-LOCK    -    0.02541</v>
          </cell>
        </row>
        <row r="11038">
          <cell r="D11038" t="str">
            <v>10820272    -    20 WAY FEMALE CONNECTOR WHITE    -    0.025408</v>
          </cell>
        </row>
        <row r="11039">
          <cell r="D11039" t="str">
            <v>15398763    -    TERMINAL TAB    -    0.0254</v>
          </cell>
        </row>
        <row r="11040">
          <cell r="D11040" t="str">
            <v>15345312    -    CONN-PIN, TUNINGFORK 0,65MM    -    0.024963</v>
          </cell>
        </row>
        <row r="11041">
          <cell r="D11041" t="str">
            <v>10720096    -    609452 FLACHSTECKERGEHAEU    -    0.024851</v>
          </cell>
        </row>
        <row r="11042">
          <cell r="D11042" t="str">
            <v>10777081    -    11.002.66 CO AMP 2.180916.5 NG M1-2 79GG    -    0.024639</v>
          </cell>
        </row>
        <row r="11043">
          <cell r="D11043" t="str">
            <v>15363960    -    01.653.02 TER AMP 282117.1 1/23845/44    -    0.024391</v>
          </cell>
        </row>
        <row r="11044">
          <cell r="D11044" t="str">
            <v>15338736    -    KONTAKTTRAEGER 8FACH    -    0.024341</v>
          </cell>
        </row>
        <row r="11045">
          <cell r="D11045" t="str">
            <v>15405009    -    TERMINAL    -    0.02426</v>
          </cell>
        </row>
        <row r="11046">
          <cell r="D11046" t="str">
            <v>10777091    -    11.075.93 CON AMP 281991/1 1V BC 1/23404    -    0.023745</v>
          </cell>
        </row>
        <row r="11047">
          <cell r="D11047" t="str">
            <v>15364008    -    PRONER BLACK POS.LOCK BLACK    -    0.023745</v>
          </cell>
        </row>
        <row r="11048">
          <cell r="D11048" t="str">
            <v>396042430500    -    LEITUNGSZENTRIERGEHAEUSE 3-POL FCI    -    0.023681</v>
          </cell>
        </row>
        <row r="11049">
          <cell r="D11049" t="str">
            <v>12124360    -    TERMINAL - 16 GA    -    0.02365</v>
          </cell>
        </row>
        <row r="11050">
          <cell r="D11050" t="str">
            <v>15339855    -    TERM RELAY    -    0.02358</v>
          </cell>
        </row>
        <row r="11051">
          <cell r="D11051" t="str">
            <v>15339857    -    TERM    -    0.02358</v>
          </cell>
        </row>
        <row r="11052">
          <cell r="D11052" t="str">
            <v>15398798    -    TERMINAL 16GA    -    0.02358</v>
          </cell>
        </row>
        <row r="11053">
          <cell r="D11053" t="str">
            <v>15456936    -    TERMINAL    -    0.02358</v>
          </cell>
        </row>
        <row r="11054">
          <cell r="D11054" t="str">
            <v>10775022    -    CX 2 CAV BK 893 971 632    -    0.023509</v>
          </cell>
        </row>
        <row r="11055">
          <cell r="D11055" t="str">
            <v>10780376    -    CONN 12 F QUAD MICRO BLK    -    0.023484</v>
          </cell>
        </row>
        <row r="11056">
          <cell r="D11056" t="str">
            <v>15441353    -    CONNECTOR 1M    -    0.02312</v>
          </cell>
        </row>
        <row r="11057">
          <cell r="D11057" t="str">
            <v>16197920    -    HEADER-02 COND,MALE    -    0.02299</v>
          </cell>
        </row>
        <row r="11058">
          <cell r="D11058" t="str">
            <v>9398152    -    CONNECTOR-TAB    -    0.02285</v>
          </cell>
        </row>
        <row r="11059">
          <cell r="D11059" t="str">
            <v>15339951    -    TERM FUSE    -    0.02274</v>
          </cell>
        </row>
        <row r="11060">
          <cell r="D11060" t="str">
            <v>15339956    -    TERM FUSE    -    0.02274</v>
          </cell>
        </row>
        <row r="11061">
          <cell r="D11061" t="str">
            <v>15380390    -    RECEPTACLE FUSE PANEL 18 GA    -    0.02274</v>
          </cell>
        </row>
        <row r="11062">
          <cell r="D11062" t="str">
            <v>10810924    -    TERM F    -    0.022291</v>
          </cell>
        </row>
        <row r="11063">
          <cell r="D11063" t="str">
            <v>10820477    -    ASM CONN 57 FUSE MULTI    -    0.022264</v>
          </cell>
        </row>
        <row r="11064">
          <cell r="D11064" t="str">
            <v>396042420500    -    LEITUNGSZENTRIERGEHAEUSE 2-POL FCI    -    0.022062</v>
          </cell>
        </row>
        <row r="11065">
          <cell r="D11065" t="str">
            <v>15383492    -    TERMINAL 14, 16    -    0.02205</v>
          </cell>
        </row>
        <row r="11066">
          <cell r="D11066" t="str">
            <v>16200310    -    HEADER-MALE R/ANGLE    -    0.02125</v>
          </cell>
        </row>
        <row r="11067">
          <cell r="D11067" t="str">
            <v>15345313    -    CONN-PIN, TUNINGFORK 0,8MM    -    0.021185</v>
          </cell>
        </row>
        <row r="11068">
          <cell r="D11068" t="str">
            <v>16197922    -    HEADER-03 COND,MALE    -    0.02118</v>
          </cell>
        </row>
        <row r="11069">
          <cell r="D11069" t="str">
            <v>15451089    -    CONNECTOR 1W BLACK    -    0.020618</v>
          </cell>
        </row>
        <row r="11070">
          <cell r="D11070" t="str">
            <v>396043230500    -    LEITUNGSZENTRIERGEHAEUSE 3-POL FCI    -    0.02051</v>
          </cell>
        </row>
        <row r="11071">
          <cell r="D11071" t="str">
            <v>12103534    -    SEAL CONN    -    0.02</v>
          </cell>
        </row>
        <row r="11072">
          <cell r="D11072" t="str">
            <v>10724078    -    12.077.60 CON AMP 926522.2 2V H TR    -    0.01988</v>
          </cell>
        </row>
        <row r="11073">
          <cell r="D11073" t="str">
            <v>500836    -    LOCK    -    0.0196</v>
          </cell>
        </row>
        <row r="11074">
          <cell r="D11074" t="str">
            <v>12104224    -    CONN FLAG    -    0.019323</v>
          </cell>
        </row>
        <row r="11075">
          <cell r="D11075" t="str">
            <v>FRD13069053    -    CONNECTEUR 2 VOIES JST S2BEH    -    0.018918</v>
          </cell>
        </row>
        <row r="11076">
          <cell r="D11076" t="str">
            <v>FRD19000010    -    CONNECTOR 2 WAYS    -    0.018918</v>
          </cell>
        </row>
        <row r="11077">
          <cell r="D11077" t="str">
            <v>15364402    -    TERMINAL    -    0.01881</v>
          </cell>
        </row>
        <row r="11078">
          <cell r="D11078" t="str">
            <v>15364411    -    000570 KONCOWKA 1/23397/44    -    0.01881</v>
          </cell>
        </row>
        <row r="11079">
          <cell r="D11079" t="str">
            <v>12131259    -    CONN 2 F FASTIN/ON 2.8 NAT    -    0.018621</v>
          </cell>
        </row>
        <row r="11080">
          <cell r="D11080" t="str">
            <v>15405702    -    TERM 18-20    -    0.01843</v>
          </cell>
        </row>
        <row r="11081">
          <cell r="D11081" t="str">
            <v>12041185    -    TM F D.CONTACTO N 017 183 1    -    0.018427</v>
          </cell>
        </row>
        <row r="11082">
          <cell r="D11082" t="str">
            <v>15398804    -    2.8 MM, F, PIN    -    0.01837</v>
          </cell>
        </row>
        <row r="11083">
          <cell r="D11083" t="str">
            <v>15456257    -    TERMINAL F    -    0.01837</v>
          </cell>
        </row>
        <row r="11084">
          <cell r="D11084" t="str">
            <v>9402985    -    HEADER-02POS,M,2.54    -    0.0182</v>
          </cell>
        </row>
        <row r="11085">
          <cell r="D11085" t="str">
            <v>10731011    -    635213 KRONENKONTAKT AGCU3/AU5 *33124    -    0.018081</v>
          </cell>
        </row>
        <row r="11086">
          <cell r="D11086" t="str">
            <v>10810318    -    ASM CONN 4 F BLK    -    0.018081</v>
          </cell>
        </row>
        <row r="11087">
          <cell r="D11087" t="str">
            <v>10810528    -    ASM CONN 4 F    -    0.018081</v>
          </cell>
        </row>
        <row r="11088">
          <cell r="D11088" t="str">
            <v>10864953    -    CONN 1 F BLK    -    0.018081</v>
          </cell>
        </row>
        <row r="11089">
          <cell r="D11089" t="str">
            <v>15324347    -    TERMINAL FEMALE    -    0.018</v>
          </cell>
        </row>
        <row r="11090">
          <cell r="D11090" t="str">
            <v>9392870    -    HEADER-02POS,MA,V    -    0.0175</v>
          </cell>
        </row>
        <row r="11091">
          <cell r="D11091" t="str">
            <v>15380918    -    01.532.02 TER. AMP 2-167301-2    -    0.016687</v>
          </cell>
        </row>
        <row r="11092">
          <cell r="D11092" t="str">
            <v>15414203    -    CONTACT-PIN 2,8MM    -    0.016462</v>
          </cell>
        </row>
        <row r="11093">
          <cell r="D11093" t="str">
            <v>15363607    -    CONN 1 F POS. LOCK 6.3 BRN    -    0.016003</v>
          </cell>
        </row>
        <row r="11094">
          <cell r="D11094" t="str">
            <v>16239278    -    HEADER-02 COND,MA    -    0.016</v>
          </cell>
        </row>
        <row r="11095">
          <cell r="D11095" t="str">
            <v>396042440500    -    LEITUNGSZENTRIERGEHAEUSE 4-POL FCI    -    0.015922</v>
          </cell>
        </row>
        <row r="11096">
          <cell r="D11096" t="str">
            <v>15409823    -    TERM    -    0.01546</v>
          </cell>
        </row>
        <row r="11097">
          <cell r="D11097" t="str">
            <v>15450001    -    TERMINAL    -    0.01535</v>
          </cell>
        </row>
        <row r="11098">
          <cell r="D11098" t="str">
            <v>10723566    -    PIECES 5 ANTIBRIT FM KON.1Y K    -    0.01491</v>
          </cell>
        </row>
        <row r="11099">
          <cell r="D11099" t="str">
            <v>10726232    -    PIECES 5 ANTIBRIT FM KON.1Y S    -    0.01491</v>
          </cell>
        </row>
        <row r="11100">
          <cell r="D11100" t="str">
            <v>10787651    -    ASM CONN 4 F BLK    -    0.014843</v>
          </cell>
        </row>
        <row r="11101">
          <cell r="D11101" t="str">
            <v>FRD19000043    -    TUNING FORKS ATO    -    0.014843</v>
          </cell>
        </row>
        <row r="11102">
          <cell r="D11102" t="str">
            <v>FRD19000044    -    TUNING FORKS MINIFUSE    -    0.014843</v>
          </cell>
        </row>
        <row r="11103">
          <cell r="D11103" t="str">
            <v>16205773    -    TERMINAL    -    0.01471</v>
          </cell>
        </row>
        <row r="11104">
          <cell r="D11104" t="str">
            <v>10724235    -    11.105.96 PRONER AMP 1-925017-5 57M7033    -    0.014612</v>
          </cell>
        </row>
        <row r="11105">
          <cell r="D11105" t="str">
            <v>15450002    -    TERMINAL    -    0.01455</v>
          </cell>
        </row>
        <row r="11106">
          <cell r="D11106" t="str">
            <v>15383494    -    TERM 16, 18    -    0.01402</v>
          </cell>
        </row>
        <row r="11107">
          <cell r="D11107" t="str">
            <v>15452090    -    TERMINAL    -    0.0139</v>
          </cell>
        </row>
        <row r="11108">
          <cell r="D11108" t="str">
            <v>15455997    -    TERMINAL    -    0.01383</v>
          </cell>
        </row>
        <row r="11109">
          <cell r="D11109" t="str">
            <v>15456251    -    TERMINAL    -    0.01383</v>
          </cell>
        </row>
        <row r="11110">
          <cell r="D11110" t="str">
            <v>316101419    -    LANGUETTE 0.635X0.635    -    0.013548</v>
          </cell>
        </row>
        <row r="11111">
          <cell r="D11111" t="str">
            <v>15394496    -    TERMINAL M 14/16GA    -    0.01335</v>
          </cell>
        </row>
        <row r="11112">
          <cell r="D11112" t="str">
            <v>15398806    -    2.8 MM, F, PIN    -    0.01335</v>
          </cell>
        </row>
        <row r="11113">
          <cell r="D11113" t="str">
            <v>15450797    -    TERMINAL    -    0.01332</v>
          </cell>
        </row>
        <row r="11114">
          <cell r="D11114" t="str">
            <v>15450798    -    TERMINAL    -    0.01332</v>
          </cell>
        </row>
        <row r="11115">
          <cell r="D11115" t="str">
            <v>15450800    -    TERMINAL    -    0.01332</v>
          </cell>
        </row>
        <row r="11116">
          <cell r="D11116" t="str">
            <v>15327976    -    FL-STECKER 1,6 VZ    -    0.013133</v>
          </cell>
        </row>
        <row r="11117">
          <cell r="D11117" t="str">
            <v>02973342S    -    CLIP CONN METAL *    -    0.013</v>
          </cell>
        </row>
        <row r="11118">
          <cell r="D11118" t="str">
            <v>12124359    -    TERMINAL - 18/20 GA    -    0.013</v>
          </cell>
        </row>
        <row r="11119">
          <cell r="D11119" t="str">
            <v>12059259    -    ASM SEAL CBL M/P 630DKRED    -    0.0128</v>
          </cell>
        </row>
        <row r="11120">
          <cell r="D11120" t="str">
            <v>12059260    -    ASM SEAL CBL M/P 630 BLU    -    0.0128</v>
          </cell>
        </row>
        <row r="11121">
          <cell r="D11121" t="str">
            <v>FRD13070003    -    PINOCHE D'INSERTION DE FUSIBLE P07TF01G    -    0.012549</v>
          </cell>
        </row>
        <row r="11122">
          <cell r="D11122" t="str">
            <v>12089444    -    ASM SEAL CBL 1W M/P&amp;W/P PPL    -    0.0124</v>
          </cell>
        </row>
        <row r="11123">
          <cell r="D11123" t="str">
            <v>10811372    -    CONNECTOR    -    0.012301</v>
          </cell>
        </row>
        <row r="11124">
          <cell r="D11124" t="str">
            <v>10723474    -    1-P GEH. 6,3    -    0.012275</v>
          </cell>
        </row>
        <row r="11125">
          <cell r="D11125" t="str">
            <v>15452091    -    TERMINAL    -    0.0121</v>
          </cell>
        </row>
        <row r="11126">
          <cell r="D11126" t="str">
            <v>12103019    -    TERM M    -    0.012</v>
          </cell>
        </row>
        <row r="11127">
          <cell r="D11127" t="str">
            <v>15456942    -    TERMINAL    -    0.01171</v>
          </cell>
        </row>
        <row r="11128">
          <cell r="D11128" t="str">
            <v>FRD13070002    -    PINOCHE D'INSERTION DE FUSIBLE P07TF02G    -    0.011335</v>
          </cell>
        </row>
        <row r="11129">
          <cell r="D11129" t="str">
            <v>15398801    -    TERMINAL 10, 12    -    0.01121</v>
          </cell>
        </row>
        <row r="11130">
          <cell r="D11130" t="str">
            <v>15413017    -    TERM    -    0.01119</v>
          </cell>
        </row>
        <row r="11131">
          <cell r="D11131" t="str">
            <v>15450758    -    TERMINAL    -    0.01117</v>
          </cell>
        </row>
        <row r="11132">
          <cell r="D11132" t="str">
            <v>15450762    -    TERMINAL PIN    -    0.01117</v>
          </cell>
        </row>
        <row r="11133">
          <cell r="D11133" t="str">
            <v>15405546    -    TERM    -    0.01103</v>
          </cell>
        </row>
        <row r="11134">
          <cell r="D11134" t="str">
            <v>15405548    -    TERM    -    0.01103</v>
          </cell>
        </row>
        <row r="11135">
          <cell r="D11135" t="str">
            <v>15326096    -    CON MICP 064    -    0.011</v>
          </cell>
        </row>
        <row r="11136">
          <cell r="D11136" t="str">
            <v>15414202    -    CONTACT-PIN 1,5MM    -    0.01093</v>
          </cell>
        </row>
        <row r="11137">
          <cell r="D11137" t="str">
            <v>15327685    -    CX PRONER 1 CAV NT    -    0.01066</v>
          </cell>
        </row>
        <row r="11138">
          <cell r="D11138" t="str">
            <v>15405545    -    TERMINAL    -    0.01065</v>
          </cell>
        </row>
        <row r="11139">
          <cell r="D11139" t="str">
            <v>15405547    -    TERMINAL    -    0.01065</v>
          </cell>
        </row>
        <row r="11140">
          <cell r="D11140" t="str">
            <v>15454016    -    TERMINAL F    -    0.01054</v>
          </cell>
        </row>
        <row r="11141">
          <cell r="D11141" t="str">
            <v>15364426    -    11.013.46 CON. PRONNER AMP 5MM    -    0.010524</v>
          </cell>
        </row>
        <row r="11142">
          <cell r="D11142" t="str">
            <v>15454012    -    TERMINAL F    -    0.00998</v>
          </cell>
        </row>
        <row r="11143">
          <cell r="D11143" t="str">
            <v>10788297    -    CONN ASM    -    0.00994</v>
          </cell>
        </row>
        <row r="11144">
          <cell r="D11144" t="str">
            <v>15456266    -    TERMINAL    -    0.00962</v>
          </cell>
        </row>
        <row r="11145">
          <cell r="D11145" t="str">
            <v>15339457    -    TERMINAL F    -    0.00954</v>
          </cell>
        </row>
        <row r="11146">
          <cell r="D11146" t="str">
            <v>16047529    -    TERMINAL    -    0.0095</v>
          </cell>
        </row>
        <row r="11147">
          <cell r="D11147" t="str">
            <v>12124349    -    TERMINAL    -    0.009</v>
          </cell>
        </row>
        <row r="11148">
          <cell r="D11148" t="str">
            <v>10734353    -    11.098.90 CON PRONER 1544376-1    -    0.008959</v>
          </cell>
        </row>
        <row r="11149">
          <cell r="D11149" t="str">
            <v>12198692    -    TERMINAL-100 SERIES    -    0.00893</v>
          </cell>
        </row>
        <row r="11150">
          <cell r="D11150" t="str">
            <v>15456909    -    TERMINAL    -    0.0089</v>
          </cell>
        </row>
        <row r="11151">
          <cell r="D11151" t="str">
            <v>DED10420093    -    STECKER 6FACH C4630    -    0.008445</v>
          </cell>
        </row>
        <row r="11152">
          <cell r="D11152" t="str">
            <v>15394489    -    TERMINAL M 14/16GA    -    0.00842</v>
          </cell>
        </row>
        <row r="11153">
          <cell r="D11153" t="str">
            <v>15398802    -    TERMINAL 20, 18    -    0.00842</v>
          </cell>
        </row>
        <row r="11154">
          <cell r="D11154" t="str">
            <v>10776952    -    CONN 5    -    0.0081</v>
          </cell>
        </row>
        <row r="11155">
          <cell r="D11155" t="str">
            <v>12103302    -    TERM PC    -    0.00788</v>
          </cell>
        </row>
        <row r="11156">
          <cell r="D11156" t="str">
            <v>15398750    -    LOCKING RETAINER    -    0.00769</v>
          </cell>
        </row>
        <row r="11157">
          <cell r="D11157" t="str">
            <v>10787361    -    SEAL CE    -    0.007455</v>
          </cell>
        </row>
        <row r="11158">
          <cell r="D11158" t="str">
            <v>15364000    -    CONNECTOR 1W RED    -    0.007331</v>
          </cell>
        </row>
        <row r="11159">
          <cell r="D11159" t="str">
            <v>10724080    -    CX 1 TRANSPAR 11197192    -    0.007306</v>
          </cell>
        </row>
        <row r="11160">
          <cell r="D11160" t="str">
            <v>16062268    -    TERMINAL-MALE    -    0.0072</v>
          </cell>
        </row>
        <row r="11161">
          <cell r="D11161" t="str">
            <v>15368706    -    11.066.96 CO AMP 280232.5 1V N    -    0.006884</v>
          </cell>
        </row>
        <row r="11162">
          <cell r="D11162" t="str">
            <v>15398739    -    3 MM, F, TERMINAL    -    0.00672</v>
          </cell>
        </row>
        <row r="11163">
          <cell r="D11163" t="str">
            <v>15428540    -    TERMINAL    -    0.00672</v>
          </cell>
        </row>
        <row r="11164">
          <cell r="D11164" t="str">
            <v>15398773    -    TERMINAL M 14/16GA    -    0.0064</v>
          </cell>
        </row>
        <row r="11165">
          <cell r="D11165" t="str">
            <v>15448614    -    MICRO PIN 1.5 MM TERMINAL    -    0.00625</v>
          </cell>
        </row>
        <row r="11166">
          <cell r="D11166" t="str">
            <v>15324693    -    PIN TERM    -    0.00577</v>
          </cell>
        </row>
        <row r="11167">
          <cell r="D11167" t="str">
            <v>15398740    -    1.5 MM, M, MICROPIN    -    0.00577</v>
          </cell>
        </row>
        <row r="11168">
          <cell r="D11168" t="str">
            <v>15394490    -    TERMINAL M 18/20GA    -    0.00529</v>
          </cell>
        </row>
        <row r="11169">
          <cell r="D11169" t="str">
            <v>15450907    -    TERMINAL PIN W/DRAIN    -    0.00529</v>
          </cell>
        </row>
        <row r="11170">
          <cell r="D11170" t="str">
            <v>10789114    -    CABLE TIE 75 MM WHITE (KL.D)    -    0.004162</v>
          </cell>
        </row>
        <row r="11171">
          <cell r="D11171" t="str">
            <v>12131875    -    CX 1 CAV BK YPC 1051    -    0.003218</v>
          </cell>
        </row>
        <row r="11172">
          <cell r="D11172" t="str">
            <v>10752914    -    CX 5 CINZENTO YPC10829    -    0</v>
          </cell>
        </row>
        <row r="11173">
          <cell r="D11173" t="str">
            <v>10846907    -    COV ELECTR. CTR. BLK    -    0</v>
          </cell>
        </row>
        <row r="11174">
          <cell r="D11174" t="str">
            <v>12105067    -    CONNETTORE 3VIE    -    0</v>
          </cell>
        </row>
        <row r="11175">
          <cell r="D11175" t="str">
            <v>15338360    -    CONN M&amp;F    -    0</v>
          </cell>
        </row>
        <row r="11176">
          <cell r="D11176" t="str">
            <v>396111440000    -    FOLIENSTECKBUCHSE 24-POL LIEGEND    -    0</v>
          </cell>
        </row>
        <row r="11177">
          <cell r="D11177" t="str">
            <v>PG006108    -    CONNETTORE 2VIE YAZAKI    -    0</v>
          </cell>
        </row>
        <row r="11178">
          <cell r="D11178" t="str">
            <v>TYCOREBATE01-A    -    TYCO REBATE 2004    -    -1.242525</v>
          </cell>
        </row>
        <row r="11179">
          <cell r="D11179" t="str">
            <v>13512496    -    CONNECTOR    -    0.1047</v>
          </cell>
        </row>
        <row r="11180">
          <cell r="D11180" t="str">
            <v>13512499    -    ASM CONN    -    0.21882</v>
          </cell>
        </row>
        <row r="11181">
          <cell r="D11181" t="str">
            <v>13512500    -    HSG    -    0.30655</v>
          </cell>
        </row>
        <row r="11182">
          <cell r="D11182" t="str">
            <v>13512518    -    CONNECTOR    -    0.22193</v>
          </cell>
        </row>
        <row r="11183">
          <cell r="D11183" t="str">
            <v>13512607    -    CONN    -    0.2642</v>
          </cell>
        </row>
        <row r="11184">
          <cell r="D11184" t="str">
            <v>13512863    -    MX150 ASSY HYB BLD 2X8 1PR    -    0.54012</v>
          </cell>
        </row>
        <row r="11185">
          <cell r="D11185" t="str">
            <v>13512865    -    MX150 ASSY HYB BLD 2X8 1PR    -    0.54012</v>
          </cell>
        </row>
        <row r="11186">
          <cell r="D11186" t="str">
            <v>13512866    -    MX150 ASSY HYB BLD 2X8 2PR SB YEL H/8    -    0.54012</v>
          </cell>
        </row>
        <row r="11187">
          <cell r="D11187" t="str">
            <v>13512867    -    MX150 ASSY HYB BLD 2X8 1PR SB YEL H/6    -    0.54012</v>
          </cell>
        </row>
        <row r="11188">
          <cell r="D11188" t="str">
            <v>13512868    -    MIX150 ASSY HYB BLD 2X8 3PR    -    0.535</v>
          </cell>
        </row>
        <row r="11189">
          <cell r="D11189" t="str">
            <v>13512881    -    76 W SLD CONN    -    2.119</v>
          </cell>
        </row>
        <row r="11190">
          <cell r="D11190" t="str">
            <v>13512882    -    76 W SLD CONN    -    2.119</v>
          </cell>
        </row>
        <row r="11191">
          <cell r="D11191" t="str">
            <v>13512883    -    50 WAY PLUG    -    0.89</v>
          </cell>
        </row>
        <row r="11192">
          <cell r="D11192" t="str">
            <v>13512926    -    CONN    -    0.0606</v>
          </cell>
        </row>
        <row r="11193">
          <cell r="D11193" t="str">
            <v>13512927    -    COVER    -    0.2821</v>
          </cell>
        </row>
        <row r="11194">
          <cell r="D11194" t="str">
            <v>13512929    -    CONNECTOR    -    0.30447</v>
          </cell>
        </row>
        <row r="11195">
          <cell r="D11195" t="str">
            <v>13512930    -    ASM CONN 18F RECEPTACLE GRA    -    0.33312</v>
          </cell>
        </row>
        <row r="11196">
          <cell r="D11196" t="str">
            <v>13512931    -    ASM CONN 18F RECEPTACLE BLK    -    0.37</v>
          </cell>
        </row>
        <row r="11197">
          <cell r="D11197" t="str">
            <v>13512932    -    14 F UNSEALED CONN. REPLACES    -    0.26686</v>
          </cell>
        </row>
        <row r="11198">
          <cell r="D11198" t="str">
            <v>13512933    -    CONN    -    0.37611</v>
          </cell>
        </row>
        <row r="11199">
          <cell r="D11199" t="str">
            <v>13512960    -    34 W INLINE CONN    -    0.82752</v>
          </cell>
        </row>
        <row r="11200">
          <cell r="D11200" t="str">
            <v>13513015    -    1.5 MM USCAR REC GREY 3 CKT.    -    0.21</v>
          </cell>
        </row>
        <row r="11201">
          <cell r="D11201" t="str">
            <v>13513017    -    11 WAY MALE CONNECTOR    -    0.6298</v>
          </cell>
        </row>
        <row r="11202">
          <cell r="D11202" t="str">
            <v>13513310    -    CONNECTOR    -    0.50697</v>
          </cell>
        </row>
        <row r="11203">
          <cell r="D11203" t="str">
            <v>13513311    -    CONNECTOR F    -    0.585</v>
          </cell>
        </row>
        <row r="11204">
          <cell r="D11204" t="str">
            <v>13513317    -    CONNECTOR    -    0.47014</v>
          </cell>
        </row>
        <row r="11205">
          <cell r="D11205" t="str">
            <v>13513318    -    SDM CONN 25 F    -    1.8</v>
          </cell>
        </row>
        <row r="11206">
          <cell r="D11206" t="str">
            <v>13513330    -    HOUSING    -    0.387443</v>
          </cell>
        </row>
        <row r="11207">
          <cell r="D11207" t="str">
            <v>13513458    -    40 WAY ARM PLUG    -    1.1</v>
          </cell>
        </row>
        <row r="11208">
          <cell r="D11208" t="str">
            <v>13513466    -    CONNECTOR    -    0.1342</v>
          </cell>
        </row>
        <row r="11209">
          <cell r="D11209" t="str">
            <v>13513822    -    LOCK CPA    -    0.0269</v>
          </cell>
        </row>
        <row r="11210">
          <cell r="D11210" t="str">
            <v>13514032    -    4 WAY CONNECTOR    -    0.12</v>
          </cell>
        </row>
        <row r="11211">
          <cell r="D11211" t="str">
            <v>13514033    -    CONNECTOR    -    0.23943</v>
          </cell>
        </row>
        <row r="11212">
          <cell r="D11212" t="str">
            <v>13514115    -    CONN COVER    -    0.13476</v>
          </cell>
        </row>
        <row r="11213">
          <cell r="D11213" t="str">
            <v>13514124    -    ASM BOLT WASHER    -    0.07418</v>
          </cell>
        </row>
        <row r="11214">
          <cell r="D11214" t="str">
            <v>13514127    -    CONNECTOR    -    0.15628</v>
          </cell>
        </row>
        <row r="11215">
          <cell r="D11215" t="str">
            <v>13514204    -    HOUSING    -    0.4845</v>
          </cell>
        </row>
        <row r="11216">
          <cell r="D11216" t="str">
            <v>13514235    -    REAR HOLDER    -    0.05206</v>
          </cell>
        </row>
        <row r="11217">
          <cell r="D11217" t="str">
            <v>13514268    -    SLIDE ASSIST    -    0.33138</v>
          </cell>
        </row>
        <row r="11218">
          <cell r="D11218" t="str">
            <v>13514269    -    LOCK TERMINAL    -    0.23781</v>
          </cell>
        </row>
        <row r="11219">
          <cell r="D11219" t="str">
            <v>13514302    -    CONNECTOR    -    0.47014</v>
          </cell>
        </row>
        <row r="11220">
          <cell r="D11220" t="str">
            <v>13514484    -    47 WAY CONN    -    2.97968</v>
          </cell>
        </row>
        <row r="11221">
          <cell r="D11221" t="str">
            <v>13514485    -    COVER    -    0.32984</v>
          </cell>
        </row>
        <row r="11222">
          <cell r="D11222" t="str">
            <v>13514532    -    PRODUCTION KEY "C"    -    1.8</v>
          </cell>
        </row>
        <row r="11223">
          <cell r="D11223" t="str">
            <v>13514533    -    PRODUCTION KEY "C"    -    1.8</v>
          </cell>
        </row>
        <row r="11224">
          <cell r="D11224" t="str">
            <v>13515286    -    ABS CONNECTOR    -    1.1017</v>
          </cell>
        </row>
        <row r="11225">
          <cell r="D11225" t="str">
            <v>13515642    -    COVER CONN    -    4.520339</v>
          </cell>
        </row>
        <row r="11226">
          <cell r="D11226" t="str">
            <v>13515645    -    HOUSING    -    0.18109</v>
          </cell>
        </row>
        <row r="11227">
          <cell r="D11227" t="str">
            <v>13515725    -    CONN    -    0.2488</v>
          </cell>
        </row>
        <row r="11228">
          <cell r="D11228" t="str">
            <v>13515726    -    CONN    -    0.25</v>
          </cell>
        </row>
        <row r="11229">
          <cell r="D11229" t="str">
            <v>13515727    -    CONN    -    0.298</v>
          </cell>
        </row>
        <row r="11230">
          <cell r="D11230" t="str">
            <v>13516382    -    TPA    -    0.0143</v>
          </cell>
        </row>
        <row r="11231">
          <cell r="D11231" t="str">
            <v>13516456    -    SHORT CONNECTOR    -    0.15709</v>
          </cell>
        </row>
        <row r="11232">
          <cell r="D11232" t="str">
            <v>13516467    -    CHANNEL BASE    -    0.471</v>
          </cell>
        </row>
        <row r="11233">
          <cell r="D11233" t="str">
            <v>13516468    -    CHANNEL COVER    -    0.231</v>
          </cell>
        </row>
        <row r="11234">
          <cell r="D11234" t="str">
            <v>13516641    -    JUMPSTART CENTER COVER    -    0.42172</v>
          </cell>
        </row>
        <row r="11235">
          <cell r="D11235" t="str">
            <v>13516642    -    JUMPSTART CENTER HSG    -    0.42467</v>
          </cell>
        </row>
        <row r="11236">
          <cell r="D11236" t="str">
            <v>13516875    -    CLIP    -    0.16</v>
          </cell>
        </row>
        <row r="11237">
          <cell r="D11237" t="str">
            <v>13517242    -    CONN 13F ASM    -    1.1</v>
          </cell>
        </row>
        <row r="11238">
          <cell r="D11238" t="str">
            <v>13517244    -    CONN 26F ASM    -    1.05</v>
          </cell>
        </row>
        <row r="11239">
          <cell r="D11239" t="str">
            <v>13517601    -    CONN 16F 064 UNSLD NAT    -    0.12218</v>
          </cell>
        </row>
        <row r="11240">
          <cell r="D11240" t="str">
            <v>13517602    -    CONN 26F UNSLD    -    0.20971</v>
          </cell>
        </row>
        <row r="11241">
          <cell r="D11241" t="str">
            <v>13517836    -    CONN 24F    -    2.33</v>
          </cell>
        </row>
        <row r="11242">
          <cell r="D11242" t="str">
            <v>13517837    -    CONN 24F    -    2.33</v>
          </cell>
        </row>
        <row r="11243">
          <cell r="D11243" t="str">
            <v>13518075    -    50 WAY CONN    -    0.89</v>
          </cell>
        </row>
        <row r="11244">
          <cell r="D11244" t="str">
            <v>13518480    -    76 WAY CONNECTOR    -    2.119</v>
          </cell>
        </row>
        <row r="11245">
          <cell r="D11245" t="str">
            <v>13518483    -    76 WAY CONNECTOR    -    2.119</v>
          </cell>
        </row>
        <row r="11246">
          <cell r="D11246" t="str">
            <v>13518485    -    76 WAY CONNECTOR    -    2.119</v>
          </cell>
        </row>
        <row r="11247">
          <cell r="D11247" t="str">
            <v>13518486    -    76 WAY CONNECTOR    -    2.119</v>
          </cell>
        </row>
        <row r="11248">
          <cell r="D11248" t="str">
            <v>13518547    -    COVER CONN    -    0.2821</v>
          </cell>
        </row>
        <row r="11249">
          <cell r="D11249" t="str">
            <v>13518782    -    6WAY CONN    -    0.64351</v>
          </cell>
        </row>
        <row r="11250">
          <cell r="D11250" t="str">
            <v>13518967    -    76 WAY CONNECTOR    -    2.119</v>
          </cell>
        </row>
        <row r="11251">
          <cell r="D11251" t="str">
            <v>13518968    -    76 WAY CONNECTOR    -    2.119</v>
          </cell>
        </row>
        <row r="11252">
          <cell r="D11252" t="str">
            <v>13518969    -    76 WAY CONNECTOR    -    2.119</v>
          </cell>
        </row>
        <row r="11253">
          <cell r="D11253" t="str">
            <v>13551457    -    ASM CONN    -    3.29</v>
          </cell>
        </row>
        <row r="11254">
          <cell r="D11254" t="str">
            <v>13551613    -    CONN COVER    -    0.155</v>
          </cell>
        </row>
        <row r="11255">
          <cell r="D11255" t="str">
            <v>13551654    -    CONN 12 WAY MIXE    -    0.33984</v>
          </cell>
        </row>
        <row r="11256">
          <cell r="D11256" t="str">
            <v>13551659    -    COVER    -    0.07</v>
          </cell>
        </row>
        <row r="11257">
          <cell r="D11257" t="str">
            <v>13551663    -    CONNECTOR    -    4.65511</v>
          </cell>
        </row>
        <row r="11258">
          <cell r="D11258" t="str">
            <v>13552250    -    COVER CONN WIRE DRESS 40W    -    0.1795</v>
          </cell>
        </row>
        <row r="11259">
          <cell r="D11259" t="str">
            <v>13552251    -    CONN    -    0.1843</v>
          </cell>
        </row>
        <row r="11260">
          <cell r="D11260" t="str">
            <v>1355365-1    -    CONNECTOR    -    0.134934</v>
          </cell>
        </row>
        <row r="11261">
          <cell r="D11261" t="str">
            <v>1355525-2    -    CONNECTOR    -    0.065862</v>
          </cell>
        </row>
        <row r="11262">
          <cell r="D11262" t="str">
            <v>1355526-2    -    CONNECTOR    -    0.179653</v>
          </cell>
        </row>
        <row r="11263">
          <cell r="D11263" t="str">
            <v>1355528-2    -    CONNECTOR    -    0.107031</v>
          </cell>
        </row>
        <row r="11264">
          <cell r="D11264" t="str">
            <v>13571349    -    CONN    -    0.1793</v>
          </cell>
        </row>
        <row r="11265">
          <cell r="D11265" t="str">
            <v>13571350    -    CONN    -    0.12597</v>
          </cell>
        </row>
        <row r="11266">
          <cell r="D11266" t="str">
            <v>13621-2    -    CONNECTOR-COVER/9699-4    -    0.62519</v>
          </cell>
        </row>
        <row r="11267">
          <cell r="D11267" t="str">
            <v>1-368434-2S    -    CONNECTOR    -    1.9733</v>
          </cell>
        </row>
        <row r="11268">
          <cell r="D11268" t="str">
            <v>1393392-2    -    CLIP    -    0.175416</v>
          </cell>
        </row>
        <row r="11269">
          <cell r="D11269" t="str">
            <v>1393393-5    -    CLIP    -    1.370945</v>
          </cell>
        </row>
        <row r="11270">
          <cell r="D11270" t="str">
            <v>1393398-1    -    CONNECTOR    -    0.289707</v>
          </cell>
        </row>
        <row r="11271">
          <cell r="D11271" t="str">
            <v>1393429-3    -    CONNECTOR    -    0.114695</v>
          </cell>
        </row>
        <row r="11272">
          <cell r="D11272" t="str">
            <v>1393429-3S    -    CONNECTOR    -    0.153988</v>
          </cell>
        </row>
        <row r="11273">
          <cell r="D11273" t="str">
            <v>1393436-4    -    CONNECTOR    -    1.345307</v>
          </cell>
        </row>
        <row r="11274">
          <cell r="D11274" t="str">
            <v>1393439-1    -    CONNECTOR    -    0.03036</v>
          </cell>
        </row>
        <row r="11275">
          <cell r="D11275" t="str">
            <v>1393439-5    -    CONNECTOR    -    0.07443</v>
          </cell>
        </row>
        <row r="11276">
          <cell r="D11276" t="str">
            <v>1393450-5    -    CONNECTOR    -    1.669557</v>
          </cell>
        </row>
        <row r="11277">
          <cell r="D11277" t="str">
            <v>1393454-5    -    CONNECTOR    -    0.141682</v>
          </cell>
        </row>
        <row r="11278">
          <cell r="D11278" t="str">
            <v>1393454-9    -    CONNECTOR    -    0.141682</v>
          </cell>
        </row>
        <row r="11279">
          <cell r="D11279" t="str">
            <v>1394871-1    -    PLUG    -    0.008096</v>
          </cell>
        </row>
        <row r="11280">
          <cell r="D11280" t="str">
            <v>1394872-1    -    PLUG    -    0.161923</v>
          </cell>
        </row>
        <row r="11281">
          <cell r="D11281" t="str">
            <v>1394909-1    -    CONNECTOR    -    0.230875</v>
          </cell>
        </row>
        <row r="11282">
          <cell r="D11282" t="str">
            <v>1401701    -    SECOND LOCK    -    0.096052</v>
          </cell>
        </row>
        <row r="11283">
          <cell r="D11283" t="str">
            <v>1402205    -    CLIP    -    0.096052</v>
          </cell>
        </row>
        <row r="11284">
          <cell r="D11284" t="str">
            <v>1418775-1    -    CONNECTOR    -    0.121442</v>
          </cell>
        </row>
        <row r="11285">
          <cell r="D11285" t="str">
            <v>1418776-1    -    CONNECTOR    -    0.107948</v>
          </cell>
        </row>
        <row r="11286">
          <cell r="D11286" t="str">
            <v>1418779-1    -    CONNECTOR    -    0.161923</v>
          </cell>
        </row>
        <row r="11287">
          <cell r="D11287" t="str">
            <v>1418782-1    -    CONNECTOR    -    0.377819</v>
          </cell>
        </row>
        <row r="11288">
          <cell r="D11288" t="str">
            <v>1418785-1    -    CONNECTOR    -    0.141682</v>
          </cell>
        </row>
        <row r="11289">
          <cell r="D11289" t="str">
            <v>1418786-1    -    CONNECTOR    -    0.215897</v>
          </cell>
        </row>
        <row r="11290">
          <cell r="D11290" t="str">
            <v>1418786-5    -    CONNECTOR    -    0.215897</v>
          </cell>
        </row>
        <row r="11291">
          <cell r="D11291" t="str">
            <v>1418789-1    -    CONNECTOR    -    0.303605</v>
          </cell>
        </row>
        <row r="11292">
          <cell r="D11292" t="str">
            <v>1418790-1    -    CONNECTOR    -    0.236137</v>
          </cell>
        </row>
        <row r="11293">
          <cell r="D11293" t="str">
            <v>1420000-1    -    CONNECTOR    -    0.085549</v>
          </cell>
        </row>
        <row r="11294">
          <cell r="D11294" t="str">
            <v>1420001-1    -    CONNECTOR    -    0.028336</v>
          </cell>
        </row>
        <row r="11295">
          <cell r="D11295" t="str">
            <v>1420003-1    -    CONNECTOR    -    0.25179</v>
          </cell>
        </row>
        <row r="11296">
          <cell r="D11296" t="str">
            <v>1420003-2    -    CONNECTOR    -    0.25179</v>
          </cell>
        </row>
        <row r="11297">
          <cell r="D11297" t="str">
            <v>1420003-4    -    CONNECTOR    -    0.25179</v>
          </cell>
        </row>
        <row r="11298">
          <cell r="D11298" t="str">
            <v>142680-1    -    CONNECTOR    -    0.027053</v>
          </cell>
        </row>
        <row r="11299">
          <cell r="D11299" t="str">
            <v>142680-9    -    CONNECTOR    -    0.029268</v>
          </cell>
        </row>
        <row r="11300">
          <cell r="D11300" t="str">
            <v>142681-0    -    CONNECTOR    -    0.030918</v>
          </cell>
        </row>
        <row r="11301">
          <cell r="D11301" t="str">
            <v>144172-2    -    CONNECTOR    -    0.136528</v>
          </cell>
        </row>
        <row r="11302">
          <cell r="D11302" t="str">
            <v>144172-3    -    CONNECTOR    -    0.223008</v>
          </cell>
        </row>
        <row r="11303">
          <cell r="D11303" t="str">
            <v>144-32010    -    CLIP    -    0.03036</v>
          </cell>
        </row>
        <row r="11304">
          <cell r="D11304" t="str">
            <v>144471-6    -    CONNECTOR    -    0.251493</v>
          </cell>
        </row>
        <row r="11305">
          <cell r="D11305" t="str">
            <v>144473-5    -    CONNECTOR    -    0.233533</v>
          </cell>
        </row>
        <row r="11306">
          <cell r="D11306" t="str">
            <v>144934-1    -    COVER    -    0.117895</v>
          </cell>
        </row>
        <row r="11307">
          <cell r="D11307" t="str">
            <v>144934-2    -    COVER    -    0.117895</v>
          </cell>
        </row>
        <row r="11308">
          <cell r="D11308" t="str">
            <v>144936-1    -    REAR HOLDER    -    0.018421</v>
          </cell>
        </row>
        <row r="11309">
          <cell r="D11309" t="str">
            <v>144998-5    -    CONN-CONNECTOR    -    0.36246</v>
          </cell>
        </row>
        <row r="11310">
          <cell r="D11310" t="str">
            <v>14745-1    -    CONNECTOR 6-WAY MALE RT ANGLE    -    0.43384</v>
          </cell>
        </row>
        <row r="11311">
          <cell r="D11311" t="str">
            <v>1-480435-0    -    CONNECTOR    -    0.025542</v>
          </cell>
        </row>
        <row r="11312">
          <cell r="D11312" t="str">
            <v>1-480487-2    -    SLEEVE    -    0.051211</v>
          </cell>
        </row>
        <row r="11313">
          <cell r="D11313" t="str">
            <v>1490594    -    BC CONN-CONNECTOR    -    0.173716</v>
          </cell>
        </row>
        <row r="11314">
          <cell r="D11314" t="str">
            <v>15.06675    -    TERMINAL    -    0.760901</v>
          </cell>
        </row>
        <row r="11315">
          <cell r="D11315" t="str">
            <v>15031613    -    CONNECTOR RETAINER    -    1.6374</v>
          </cell>
        </row>
        <row r="11316">
          <cell r="D11316" t="str">
            <v>15051963    -    CONNECTOR RETAINER    -    1.438</v>
          </cell>
        </row>
        <row r="11317">
          <cell r="D11317" t="str">
            <v>152-77098    -    CONNECTOR ASSEMBLY    -    0.19568</v>
          </cell>
        </row>
        <row r="11318">
          <cell r="D11318" t="str">
            <v>15300002    -    CONENCTOR    -    0.1056</v>
          </cell>
        </row>
        <row r="11319">
          <cell r="D11319" t="str">
            <v>15300014    -    TPA    -    0.0438</v>
          </cell>
        </row>
        <row r="11320">
          <cell r="D11320" t="str">
            <v>15300027    -    CONN SLD    -    0.2928</v>
          </cell>
        </row>
        <row r="11321">
          <cell r="D11321" t="str">
            <v>15303567    -    COMB    -    0.029669</v>
          </cell>
        </row>
        <row r="11322">
          <cell r="D11322" t="str">
            <v>15304604    -    COUPLING CONN 2F M/P 630    -    0.05468</v>
          </cell>
        </row>
        <row r="11323">
          <cell r="D11323" t="str">
            <v>15304741    -    (A015) CONN BODY    -    0.065288</v>
          </cell>
        </row>
        <row r="11324">
          <cell r="D11324" t="str">
            <v>15304748    -    CLIP/WIRE TIE    -    0.0349</v>
          </cell>
        </row>
        <row r="11325">
          <cell r="D11325" t="str">
            <v>15304837    -    CONNECTOR    -    0.113</v>
          </cell>
        </row>
        <row r="11326">
          <cell r="D11326" t="str">
            <v>15304844    -    150 MP - 2F P2S    -    0.085</v>
          </cell>
        </row>
        <row r="11327">
          <cell r="D11327" t="str">
            <v>15304903    -    TPA 20M GT MXD    -    0.05468</v>
          </cell>
        </row>
        <row r="11328">
          <cell r="D11328" t="str">
            <v>15304904    -    TPA 20F GT MXD    -    0.05932</v>
          </cell>
        </row>
        <row r="11329">
          <cell r="D11329" t="str">
            <v>15304911    -    STABILIZER M 30W    -    0.072261</v>
          </cell>
        </row>
        <row r="11330">
          <cell r="D11330" t="str">
            <v>15304912    -    TPA M 30W    -    0.0445</v>
          </cell>
        </row>
        <row r="11331">
          <cell r="D11331" t="str">
            <v>15304913    -    TPA 30F GT MXD    -    0.04088</v>
          </cell>
        </row>
        <row r="11332">
          <cell r="D11332" t="str">
            <v>15304966    -    (A028) CONN 22F M/P    -    0.42796</v>
          </cell>
        </row>
        <row r="11333">
          <cell r="D11333" t="str">
            <v>15304998    -    STRAIN RELIEF    -    0.447066</v>
          </cell>
        </row>
        <row r="11334">
          <cell r="D11334" t="str">
            <v>15305083    -    BC CLIP-TPA    -    0.0334</v>
          </cell>
        </row>
        <row r="11335">
          <cell r="D11335" t="str">
            <v>15305086    -    CONNECTOR 2F    -    0.11728</v>
          </cell>
        </row>
        <row r="11336">
          <cell r="D11336" t="str">
            <v>15305155    -    STRAIN RELIEF    -    0.22589</v>
          </cell>
        </row>
        <row r="11337">
          <cell r="D11337" t="str">
            <v>15305170    -    CAV.PLUG.WHITE,M/P280    -    0.0082</v>
          </cell>
        </row>
        <row r="11338">
          <cell r="D11338" t="str">
            <v>15305170S    -    PLUG    -    0.00762</v>
          </cell>
        </row>
        <row r="11339">
          <cell r="D11339" t="str">
            <v>15305171    -    CAV.PLUG,GREE,4.0DIA ROUND,SILICON    -    0.007</v>
          </cell>
        </row>
        <row r="11340">
          <cell r="D11340" t="str">
            <v>15305171S    -    PLUG CAV GT 150 GRN    -    0.0055</v>
          </cell>
        </row>
        <row r="11341">
          <cell r="D11341" t="str">
            <v>15305566    -    ASM CONN 2F FAST IN-ON    -    0.03749</v>
          </cell>
        </row>
        <row r="11342">
          <cell r="D11342" t="str">
            <v>15316301    -    PROTECTOR COVER    -    0.02618</v>
          </cell>
        </row>
        <row r="11343">
          <cell r="D11343" t="str">
            <v>15316305    -    CONNECTOR 1F    -    0.256</v>
          </cell>
        </row>
        <row r="11344">
          <cell r="D11344" t="str">
            <v>15316306    -    CONNECTOR    -    0.520645</v>
          </cell>
        </row>
        <row r="11345">
          <cell r="D11345" t="str">
            <v>15316312    -    CONN 12F 090II UNSEAL    -    0.12655</v>
          </cell>
        </row>
        <row r="11346">
          <cell r="D11346" t="str">
            <v>15316313    -    CLAMP    -    0.042</v>
          </cell>
        </row>
        <row r="11347">
          <cell r="D11347" t="str">
            <v>15316314    -    CLIP CDT    -    0.0273</v>
          </cell>
        </row>
        <row r="11348">
          <cell r="D11348" t="str">
            <v>15316316    -    CONN    -    0.13418</v>
          </cell>
        </row>
        <row r="11349">
          <cell r="D11349" t="str">
            <v>15316318    -    RETAINER    -    0.414</v>
          </cell>
        </row>
        <row r="11350">
          <cell r="D11350" t="str">
            <v>15316319    -    TPA    -    0.0758</v>
          </cell>
        </row>
        <row r="11351">
          <cell r="D11351" t="str">
            <v>15316325S    -    CONNECTOR    -    0.026555</v>
          </cell>
        </row>
        <row r="11352">
          <cell r="D11352" t="str">
            <v>15316328    -    CONN HOLDER    -    0.10353</v>
          </cell>
        </row>
        <row r="11353">
          <cell r="D11353" t="str">
            <v>15316329    -    CONN HOLDER    -    0.14335</v>
          </cell>
        </row>
        <row r="11354">
          <cell r="D11354" t="str">
            <v>15316331    -    CONN    -    0.06902</v>
          </cell>
        </row>
        <row r="11355">
          <cell r="D11355" t="str">
            <v>15316332    -    COVER    -    0.1311</v>
          </cell>
        </row>
        <row r="11356">
          <cell r="D11356" t="str">
            <v>15316335    -    CONN 2M    -    0.13671</v>
          </cell>
        </row>
        <row r="11357">
          <cell r="D11357" t="str">
            <v>15316337    -    CONN 12M    -    0.24555</v>
          </cell>
        </row>
        <row r="11358">
          <cell r="D11358" t="str">
            <v>15316339    -    CONN 12F    -    0.16193</v>
          </cell>
        </row>
        <row r="11359">
          <cell r="D11359" t="str">
            <v>15316340    -    CLIP    -    0.1091</v>
          </cell>
        </row>
        <row r="11360">
          <cell r="D11360" t="str">
            <v>15316341    -    CLIP    -    0.03818</v>
          </cell>
        </row>
        <row r="11361">
          <cell r="D11361" t="str">
            <v>15316342    -    CONN 8F 187 U NA    -    0.2983</v>
          </cell>
        </row>
        <row r="11362">
          <cell r="D11362" t="str">
            <v>15316346    -    CONN    -    0.236145</v>
          </cell>
        </row>
        <row r="11363">
          <cell r="D11363" t="str">
            <v>15316348    -    CONN    -    0.195631</v>
          </cell>
        </row>
        <row r="11364">
          <cell r="D11364" t="str">
            <v>15316349    -    COVER    -    0.055091</v>
          </cell>
        </row>
        <row r="11365">
          <cell r="D11365" t="str">
            <v>15316361    -    PLUG CONNECTOR    -    7.91</v>
          </cell>
        </row>
        <row r="11366">
          <cell r="D11366" t="str">
            <v>15316366    -    R/B    -    1.10296</v>
          </cell>
        </row>
        <row r="11367">
          <cell r="D11367" t="str">
            <v>15316368    -    R/B    -    1.34055</v>
          </cell>
        </row>
        <row r="11368">
          <cell r="D11368" t="str">
            <v>15326874    -   CONN 2M   -    0.132</v>
          </cell>
        </row>
        <row r="11369">
          <cell r="D11369" t="str">
            <v>15316374    -    CONN, 12M FW SLD    -    0.3648</v>
          </cell>
        </row>
        <row r="11370">
          <cell r="D11370" t="str">
            <v>15326935    -    ASM CONN 10W MALE GT 280   -   0.17619</v>
          </cell>
        </row>
        <row r="11371">
          <cell r="D11371" t="str">
            <v>15316379    -    CONN, ASM 2F 090 SLD    -    0.222071</v>
          </cell>
        </row>
        <row r="11372">
          <cell r="D11372" t="str">
            <v>12052446   -   SECONDARY LOCK - 8 WAY   -   0.1291</v>
          </cell>
        </row>
        <row r="11373">
          <cell r="D11373" t="str">
            <v>12084176    -   CONN 2W M/P 280   -    0.0499</v>
          </cell>
        </row>
        <row r="11374">
          <cell r="D11374" t="str">
            <v>12052444   -   INSULATOR - 8 W MICRO PACK   -   0.1304</v>
          </cell>
        </row>
        <row r="11375">
          <cell r="D11375" t="str">
            <v>15316380    -    CONN, ASM 3F 090II UNSLD BLK    -    0.921458</v>
          </cell>
        </row>
        <row r="11376">
          <cell r="D11376" t="str">
            <v>12065523    -   ASM CLIP HARNESS   -   0.1245</v>
          </cell>
        </row>
        <row r="11377">
          <cell r="D11377" t="str">
            <v>15418417    -   MOUNTING CLIP    -    0.28</v>
          </cell>
        </row>
        <row r="11378">
          <cell r="D11378" t="str">
            <v>15316408    -    CONN 10F    -    0.407878</v>
          </cell>
        </row>
        <row r="11379">
          <cell r="D11379" t="str">
            <v>15316411    -    CONN 25F    -    2.30045</v>
          </cell>
        </row>
        <row r="11380">
          <cell r="D11380" t="str">
            <v>15316413    -    COVER WIRE    -    0.26318</v>
          </cell>
        </row>
        <row r="11381">
          <cell r="D11381" t="str">
            <v>15316417    -    CONN    -    0.181557</v>
          </cell>
        </row>
        <row r="11382">
          <cell r="D11382" t="str">
            <v>12064749    -     CONN 2F M/P 480    -    0.0319</v>
          </cell>
        </row>
        <row r="11383">
          <cell r="D11383" t="str">
            <v>12186374   -  TPA M/P 480   -   0.0661</v>
          </cell>
        </row>
        <row r="11384">
          <cell r="D11384" t="str">
            <v>15300016   -   TPA M/P 280   -   0.0371</v>
          </cell>
        </row>
        <row r="11385">
          <cell r="D11385" t="str">
            <v>15316418    -    CONN 11M    -    0.789864</v>
          </cell>
        </row>
        <row r="11386">
          <cell r="D11386" t="str">
            <v>15316423    -    CONN 28F 040III    -    0.484526</v>
          </cell>
        </row>
        <row r="11387">
          <cell r="D11387" t="str">
            <v>15316425    -    CONN    -    0.39096</v>
          </cell>
        </row>
        <row r="11388">
          <cell r="D11388" t="str">
            <v>15316430    -    PROTECTOR, SET W/15316431    -    1.05305</v>
          </cell>
        </row>
        <row r="11389">
          <cell r="D11389" t="str">
            <v>15316438    -    CONN 2F    -    0.10582</v>
          </cell>
        </row>
        <row r="11390">
          <cell r="D11390" t="str">
            <v>15316441    -    CONNECTOR 48F    -    0.59844</v>
          </cell>
        </row>
        <row r="11391">
          <cell r="D11391" t="str">
            <v>15316443    -    CONN 15F    -    1.4909</v>
          </cell>
        </row>
        <row r="11392">
          <cell r="D11392" t="str">
            <v>15316462    -    PROTECTOR    -    0.46837</v>
          </cell>
        </row>
        <row r="11393">
          <cell r="D11393" t="str">
            <v>15316463    -    PROTECTOR    -    0.1265</v>
          </cell>
        </row>
        <row r="11394">
          <cell r="D11394" t="str">
            <v>15316464    -    PROTECTOR    -    0.06371</v>
          </cell>
        </row>
        <row r="11395">
          <cell r="D11395" t="str">
            <v>15316469    -    STECHLSENGEHUSE7-POL.(4XLSK8,3XFKS2,8)    -    0.758904</v>
          </cell>
        </row>
        <row r="11396">
          <cell r="D11396" t="str">
            <v>15316488    -    CONN 5F    -    0.295622</v>
          </cell>
        </row>
        <row r="11397">
          <cell r="D11397" t="str">
            <v>15316493    -    CONN    -    0.490787</v>
          </cell>
        </row>
        <row r="11398">
          <cell r="D11398" t="str">
            <v>15316499    -    CONN, ASM 4F 062 SLD    -    0.460528</v>
          </cell>
        </row>
        <row r="11399">
          <cell r="D11399" t="str">
            <v>15316500    -    ACC1, TPA    -    0.052376</v>
          </cell>
        </row>
        <row r="11400">
          <cell r="D11400" t="str">
            <v>15316503    -    CLIP    -    0.0421</v>
          </cell>
        </row>
        <row r="11401">
          <cell r="D11401" t="str">
            <v>15316523    -    CONN 28F 040III &amp; 040IV U N    -    0.40478</v>
          </cell>
        </row>
        <row r="11402">
          <cell r="D11402" t="str">
            <v>15316524    -    CONN 22F 040III &amp; 040IV U N    -    0.48058</v>
          </cell>
        </row>
        <row r="11403">
          <cell r="D11403" t="str">
            <v>15316537    -    CONN    -    0.18729</v>
          </cell>
        </row>
        <row r="11404">
          <cell r="D11404" t="str">
            <v>15316538    -    CONNECTOR    -    1.606</v>
          </cell>
        </row>
        <row r="11405">
          <cell r="D11405" t="str">
            <v>15316540    -    CLAMP    -    0.111</v>
          </cell>
        </row>
        <row r="11406">
          <cell r="D11406" t="str">
            <v>15316541    -    PROTECTOR    -    0.1291</v>
          </cell>
        </row>
        <row r="11407">
          <cell r="D11407" t="str">
            <v>15316542    -    PROTECTOR    -    0.1684</v>
          </cell>
        </row>
        <row r="11408">
          <cell r="D11408" t="str">
            <v>15316545    -    CONNECTOR    -    0.09486</v>
          </cell>
        </row>
        <row r="11409">
          <cell r="D11409" t="str">
            <v>15316546    -    CABLE SEAL    -    0.020005</v>
          </cell>
        </row>
        <row r="11410">
          <cell r="D11410" t="str">
            <v>15316551    -    CONN 4F 040III SLD Y    -    0.339892</v>
          </cell>
        </row>
        <row r="11411">
          <cell r="D11411" t="str">
            <v>15316552    -    CONN 2F 040III SLD Y    -    0.320977</v>
          </cell>
        </row>
        <row r="11412">
          <cell r="D11412" t="str">
            <v>15316553    -    CONN 2M 040III U Y    -    0.126033</v>
          </cell>
        </row>
        <row r="11413">
          <cell r="D11413" t="str">
            <v>15316554    -    CONN 2F 040III U Y    -    0.237592</v>
          </cell>
        </row>
        <row r="11414">
          <cell r="D11414" t="str">
            <v>15316555    -    PLASTIC 2POS SEALED CONNECTOR    -    0.47782</v>
          </cell>
        </row>
        <row r="11415">
          <cell r="D11415" t="str">
            <v>15316556    -    CLAMP    -    0.06631</v>
          </cell>
        </row>
        <row r="11416">
          <cell r="D11416" t="str">
            <v>15316557    -    CLAMP    -    0.12571</v>
          </cell>
        </row>
        <row r="11417">
          <cell r="D11417" t="str">
            <v>15316558    -    COVER    -    0.117821</v>
          </cell>
        </row>
        <row r="11418">
          <cell r="D11418" t="str">
            <v>15316559    -    CAP    -    0.057805</v>
          </cell>
        </row>
        <row r="11419">
          <cell r="D11419" t="str">
            <v>15316573    -    CONN    -    0.61645</v>
          </cell>
        </row>
        <row r="11420">
          <cell r="D11420" t="str">
            <v>15316581    -    CONN COVER    -    0.03053</v>
          </cell>
        </row>
        <row r="11421">
          <cell r="D11421" t="str">
            <v>15316591    -    CONNECTOR    -    0.328131</v>
          </cell>
        </row>
        <row r="11422">
          <cell r="D11422" t="str">
            <v>15316599    -    CONN, ASM 40F-SLD    -    3.14398</v>
          </cell>
        </row>
        <row r="11423">
          <cell r="D11423" t="str">
            <v>15316600    -    CONN, ASM 40F-SLD    -    3.143977</v>
          </cell>
        </row>
        <row r="11424">
          <cell r="D11424" t="str">
            <v>15316601    -    CONN, ASM 6F    -    0.3673</v>
          </cell>
        </row>
        <row r="11425">
          <cell r="D11425" t="str">
            <v>15316606    -    CONNECTOR 2P MALE    -    0.22962</v>
          </cell>
        </row>
        <row r="11426">
          <cell r="D11426" t="str">
            <v>15316607    -    CONNECTOR 2P F    -    0.22691</v>
          </cell>
        </row>
        <row r="11427">
          <cell r="D11427" t="str">
            <v>15316608    -    COVER CAP CONN M    -    0.07831</v>
          </cell>
        </row>
        <row r="11428">
          <cell r="D11428" t="str">
            <v>15316609    -    COVER CAP    -    0.02945</v>
          </cell>
        </row>
        <row r="11429">
          <cell r="D11429" t="str">
            <v>15316613    -    COVER    -    0.07399</v>
          </cell>
        </row>
        <row r="11430">
          <cell r="D11430" t="str">
            <v>15316617    -    LOCK    -    0.05895</v>
          </cell>
        </row>
        <row r="11431">
          <cell r="D11431" t="str">
            <v>15316619    -    CONN 6W    -    0.21498</v>
          </cell>
        </row>
        <row r="11432">
          <cell r="D11432" t="str">
            <v>15316621    -    CONNECTOR    -    1.606</v>
          </cell>
        </row>
        <row r="11433">
          <cell r="D11433" t="str">
            <v>15316636    -    CONNECTOR    -    0.306</v>
          </cell>
        </row>
        <row r="11434">
          <cell r="D11434" t="str">
            <v>15316637    -    LOCK    -    0.092</v>
          </cell>
        </row>
        <row r="11435">
          <cell r="D11435" t="str">
            <v>15316639    -    CONNECTOR    -    0.06283</v>
          </cell>
        </row>
        <row r="11436">
          <cell r="D11436" t="str">
            <v>15316694    -    CONNECTOR    -    0.204</v>
          </cell>
        </row>
        <row r="11437">
          <cell r="D11437" t="str">
            <v>15316747    -    CONNECTOR VOLVO 978309    -    0.29</v>
          </cell>
        </row>
        <row r="11438">
          <cell r="D11438" t="str">
            <v>15316779    -    CONN 16W    -    0.193</v>
          </cell>
        </row>
        <row r="11439">
          <cell r="D11439" t="str">
            <v>15316780    -    CONNECTOR    -    0.129985</v>
          </cell>
        </row>
        <row r="11440">
          <cell r="D11440" t="str">
            <v>15316781    -    CONNECTOR    -    0.376384</v>
          </cell>
        </row>
        <row r="11441">
          <cell r="D11441" t="str">
            <v>15316801    -    CONN    -    0.0369</v>
          </cell>
        </row>
        <row r="11442">
          <cell r="D11442" t="str">
            <v>15316811    -    CONN 2W    -    0.10924</v>
          </cell>
        </row>
        <row r="11443">
          <cell r="D11443" t="str">
            <v>15316819    -    CONN 2F    -    0.239915</v>
          </cell>
        </row>
        <row r="11444">
          <cell r="D11444" t="str">
            <v>15316820    -    COVER    -    0.03185</v>
          </cell>
        </row>
        <row r="11445">
          <cell r="D11445" t="str">
            <v>15316842    -    CONN 2F 090II SLD B    -    0.354268</v>
          </cell>
        </row>
        <row r="11446">
          <cell r="D11446" t="str">
            <v>15316844    -    JUNCTION BLOCK    -    7.4505</v>
          </cell>
        </row>
        <row r="11447">
          <cell r="D11447" t="str">
            <v>15316847    -    CONN    -    0.22033</v>
          </cell>
        </row>
        <row r="11448">
          <cell r="D11448" t="str">
            <v>15316848    -    COVER    -    0.313955</v>
          </cell>
        </row>
        <row r="11449">
          <cell r="D11449" t="str">
            <v>15316860    -    CONN 4F    -    0.13665</v>
          </cell>
        </row>
        <row r="11450">
          <cell r="D11450" t="str">
            <v>15316895    -    ASSY CONN    -    0.42</v>
          </cell>
        </row>
        <row r="11451">
          <cell r="D11451" t="str">
            <v>15316899    -    CONN 3W    -    0.103226</v>
          </cell>
        </row>
        <row r="11452">
          <cell r="D11452" t="str">
            <v>15316930    -    CLAMP    -    0.0575</v>
          </cell>
        </row>
        <row r="11453">
          <cell r="D11453" t="str">
            <v>15316934    -    PROTECTOR    -    0.01091</v>
          </cell>
        </row>
        <row r="11454">
          <cell r="D11454" t="str">
            <v>15316935    -    CONN 2F 040III S Y    -    0.26182</v>
          </cell>
        </row>
        <row r="11455">
          <cell r="D11455" t="str">
            <v>15316941    -    ACC2, COVER CONN    -    0.852193</v>
          </cell>
        </row>
        <row r="11456">
          <cell r="D11456" t="str">
            <v>15316942    -    ACC2, COVER CONN    -    0.768451</v>
          </cell>
        </row>
        <row r="11457">
          <cell r="D11457" t="str">
            <v>15316943    -    CONNECTOR 5 WAY    -    0.985</v>
          </cell>
        </row>
        <row r="11458">
          <cell r="D11458" t="str">
            <v>15316962    -    CLIP    -    0.0237</v>
          </cell>
        </row>
        <row r="11459">
          <cell r="D11459" t="str">
            <v>15316989    -    CONNECTOR 2 WAY    -    0.215229</v>
          </cell>
        </row>
        <row r="11460">
          <cell r="D11460" t="str">
            <v>15316991    -    DUMMY PLUG    -    0.025032</v>
          </cell>
        </row>
        <row r="11461">
          <cell r="D11461" t="str">
            <v>15317026    -    CAVITY PLUG    -    0.01283</v>
          </cell>
        </row>
        <row r="11462">
          <cell r="D11462" t="str">
            <v>15317028    -    CONN 4F    -    0.222171</v>
          </cell>
        </row>
        <row r="11463">
          <cell r="D11463" t="str">
            <v>15317029    -    SEC LOCK    -    0.047249</v>
          </cell>
        </row>
        <row r="11464">
          <cell r="D11464" t="str">
            <v>15317041    -    CONN 2F    -    0.13105</v>
          </cell>
        </row>
        <row r="11465">
          <cell r="D11465" t="str">
            <v>15317053    -    CONN 6F    -    0.31204</v>
          </cell>
        </row>
        <row r="11466">
          <cell r="D11466" t="str">
            <v>15317056    -    CONN, ASM 10F 090II, 187 SL    -    3.088583</v>
          </cell>
        </row>
        <row r="11467">
          <cell r="D11467" t="str">
            <v>15317058    -    CONN    -    0.36758</v>
          </cell>
        </row>
        <row r="11468">
          <cell r="D11468" t="str">
            <v>15317059    -    SEC LOCK    -    0.04646</v>
          </cell>
        </row>
        <row r="11469">
          <cell r="D11469" t="str">
            <v>15317061    -    CLIP    -    0.069265</v>
          </cell>
        </row>
        <row r="11470">
          <cell r="D11470" t="str">
            <v>15317063    -    CONN, ASM 2F 090II SLD,GRA LT    -    0.492295</v>
          </cell>
        </row>
        <row r="11471">
          <cell r="D11471" t="str">
            <v>15317064    -    COVER HVY DUTY B    -    0.09424</v>
          </cell>
        </row>
        <row r="11472">
          <cell r="D11472" t="str">
            <v>15317065    -    COVER HVY DUTY B    -    0.09822</v>
          </cell>
        </row>
        <row r="11473">
          <cell r="D11473" t="str">
            <v>15317070    -    CLAMP    -    0.0733</v>
          </cell>
        </row>
        <row r="11474">
          <cell r="D11474" t="str">
            <v>15317101    -    CONN 8 F QUADLOK MICRO BLK    -    0.062759</v>
          </cell>
        </row>
        <row r="11475">
          <cell r="D11475" t="str">
            <v>15317102    -    CONN    -    0.0778</v>
          </cell>
        </row>
        <row r="11476">
          <cell r="D11476" t="str">
            <v>15317110    -    CONNECTOR 5 WAY FEMALE GRAY    -    0.356749</v>
          </cell>
        </row>
        <row r="11477">
          <cell r="D11477" t="str">
            <v>15317120    -    CONN 2F    -    0.204</v>
          </cell>
        </row>
        <row r="11478">
          <cell r="D11478" t="str">
            <v>15317131    -    CONN 18 W    -    0.3262</v>
          </cell>
        </row>
        <row r="11479">
          <cell r="D11479" t="str">
            <v>15317133    -    CONN 15W    -    0.1801</v>
          </cell>
        </row>
        <row r="11480">
          <cell r="D11480" t="str">
            <v>15317134    -    CONN 9W    -    0.18833</v>
          </cell>
        </row>
        <row r="11481">
          <cell r="D11481" t="str">
            <v>15317136    -    BLACK MODULE    -    0.4864</v>
          </cell>
        </row>
        <row r="11482">
          <cell r="D11482" t="str">
            <v>15317138    -    MODULE RELAY    -    0.26809</v>
          </cell>
        </row>
        <row r="11483">
          <cell r="D11483" t="str">
            <v>15317190    -    CONN 26M    -    0.54545</v>
          </cell>
        </row>
        <row r="11484">
          <cell r="D11484" t="str">
            <v>15317191    -    CLIP    -    0.0411</v>
          </cell>
        </row>
        <row r="11485">
          <cell r="D11485" t="str">
            <v>15317227    -    CONN    -    0.42</v>
          </cell>
        </row>
        <row r="11486">
          <cell r="D11486" t="str">
            <v>15317236    -    U/F PROTECTOR    -    0.060318</v>
          </cell>
        </row>
        <row r="11487">
          <cell r="D11487" t="str">
            <v>15317237    -    CONN 8-WAY BLUE    -    0.92</v>
          </cell>
        </row>
        <row r="11488">
          <cell r="D11488" t="str">
            <v>15317238    -    CONN 8-WAY GREEN    -    0.92</v>
          </cell>
        </row>
        <row r="11489">
          <cell r="D11489" t="str">
            <v>15317250    -    CONN    -    0.57688</v>
          </cell>
        </row>
        <row r="11490">
          <cell r="D11490" t="str">
            <v>15317251    -    CONN    -    0.52959</v>
          </cell>
        </row>
        <row r="11491">
          <cell r="D11491" t="str">
            <v>15317252    -    CONNECTOR    -    0.70574</v>
          </cell>
        </row>
        <row r="11492">
          <cell r="D11492" t="str">
            <v>15317256    -    CONNECTOR    -    0.0235</v>
          </cell>
        </row>
        <row r="11493">
          <cell r="D11493" t="str">
            <v>15317257    -    CONNECTOR    -    0.0327</v>
          </cell>
        </row>
        <row r="11494">
          <cell r="D11494" t="str">
            <v>15317261    -    CONNECTOR    -    2.4</v>
          </cell>
        </row>
        <row r="11495">
          <cell r="D11495" t="str">
            <v>15317262    -    CONN    -    0.22</v>
          </cell>
        </row>
        <row r="11496">
          <cell r="D11496" t="str">
            <v>15317263    -    SPACER    -    0.05799</v>
          </cell>
        </row>
        <row r="11497">
          <cell r="D11497" t="str">
            <v>15317264    -    CONN    -    0.04875</v>
          </cell>
        </row>
        <row r="11498">
          <cell r="D11498" t="str">
            <v>15317270    -    CONN    -    0.03923</v>
          </cell>
        </row>
        <row r="11499">
          <cell r="D11499" t="str">
            <v>15317275    -    CONNECTOR    -    0.38</v>
          </cell>
        </row>
        <row r="11500">
          <cell r="D11500" t="str">
            <v>15317276    -    CONN    -    0.11927</v>
          </cell>
        </row>
        <row r="11501">
          <cell r="D11501" t="str">
            <v>15317278    -    WEDGE    -    0.05133</v>
          </cell>
        </row>
        <row r="11502">
          <cell r="D11502" t="str">
            <v>15317323    -    TPA M 22W    -    0.02873</v>
          </cell>
        </row>
        <row r="11503">
          <cell r="D11503" t="str">
            <v>15317327    -    CONN 7M M/P 280 (A122)    -    0.19908</v>
          </cell>
        </row>
        <row r="11504">
          <cell r="D11504" t="str">
            <v>15317329    -    CAP CONN 7F    -    0.11286</v>
          </cell>
        </row>
        <row r="11505">
          <cell r="D11505" t="str">
            <v>15317352    -    MYLAR    -    0.02251</v>
          </cell>
        </row>
        <row r="11506">
          <cell r="D11506" t="str">
            <v>15317380    -    CONN 40M GT 150-280 SEALED    -    0.34099</v>
          </cell>
        </row>
        <row r="11507">
          <cell r="D11507" t="str">
            <v>15317511    -    CONN HOUSING 37M    -    0.238</v>
          </cell>
        </row>
        <row r="11508">
          <cell r="D11508" t="str">
            <v>15317513    -    SECONDARY LOCK MIC/P    -    0.02524</v>
          </cell>
        </row>
        <row r="11509">
          <cell r="D11509" t="str">
            <v>15317513S    -    TPA    -    0.02817</v>
          </cell>
        </row>
        <row r="11510">
          <cell r="D11510" t="str">
            <v>15317516    -    STRAIN RELEIF 33 100W    -    0.02848</v>
          </cell>
        </row>
        <row r="11511">
          <cell r="D11511" t="str">
            <v>15317516S    -    CONNECTOR    -    0.02906</v>
          </cell>
        </row>
        <row r="11512">
          <cell r="D11512" t="str">
            <v>15317617    -    CNVLT CDT BRAKE LINE    -    0.0721</v>
          </cell>
        </row>
        <row r="11513">
          <cell r="D11513" t="str">
            <v>15317766    -    TERMINAL    -    0.0087</v>
          </cell>
        </row>
        <row r="11514">
          <cell r="D11514" t="str">
            <v>15317807    -    CONN 2M M/P 280    -    0.05616</v>
          </cell>
        </row>
        <row r="11515">
          <cell r="D11515" t="str">
            <v>15317948    -    CLIP    -    0.05238</v>
          </cell>
        </row>
        <row r="11516">
          <cell r="D11516" t="str">
            <v>15318012    -    CLIP-CONN LK NAIL H    -    0.031</v>
          </cell>
        </row>
        <row r="11517">
          <cell r="D11517" t="str">
            <v>15318083    -    CONN    -    0.37445</v>
          </cell>
        </row>
        <row r="11518">
          <cell r="D11518" t="str">
            <v>15318085    -    CONN    -    0.27079</v>
          </cell>
        </row>
        <row r="11519">
          <cell r="D11519" t="str">
            <v>15318087    -    CONN 3F    -    0.396845</v>
          </cell>
        </row>
        <row r="11520">
          <cell r="D11520" t="str">
            <v>15318087S    -    CONNECTOR    -    0.396845</v>
          </cell>
        </row>
        <row r="11521">
          <cell r="D11521" t="str">
            <v>15318094    -    CONN    -    0.29933</v>
          </cell>
        </row>
        <row r="11522">
          <cell r="D11522" t="str">
            <v>15318135    -    MYLAR RETAINER FILM MIC/P 100 2.54CL    -    0.05384</v>
          </cell>
        </row>
        <row r="11523">
          <cell r="D11523" t="str">
            <v>15318156    -    STRAIN RLF 34F MIC/P 100W 2.5    -    0.14744</v>
          </cell>
        </row>
        <row r="11524">
          <cell r="D11524" t="str">
            <v>15318265S    -    BC TERMINAL    -    0.024153</v>
          </cell>
        </row>
        <row r="11525">
          <cell r="D11525" t="str">
            <v>15324038    -    CONNECTOR    -    0.03993</v>
          </cell>
        </row>
        <row r="11526">
          <cell r="D11526" t="str">
            <v>15324070    -    TPA-CONNECTOR 2 WAY    -    0.0089</v>
          </cell>
        </row>
        <row r="11527">
          <cell r="D11527" t="str">
            <v>15324207    -    CONNECTOR 10F    -    0.198</v>
          </cell>
        </row>
        <row r="11528">
          <cell r="D11528" t="str">
            <v>15324236    -    CONNECTOR    -    0.25356</v>
          </cell>
        </row>
        <row r="11529">
          <cell r="D11529" t="str">
            <v>15324238    -    CONNECTOR    -    0.06365</v>
          </cell>
        </row>
        <row r="11530">
          <cell r="D11530" t="str">
            <v>15324240    -    ADAPTER    -    0.2344</v>
          </cell>
        </row>
        <row r="11531">
          <cell r="D11531" t="str">
            <v>15324241    -    STRAIN    -    0.2344</v>
          </cell>
        </row>
        <row r="11532">
          <cell r="D11532" t="str">
            <v>15324258    -    CONNECTOR    -    0.20088</v>
          </cell>
        </row>
        <row r="11533">
          <cell r="D11533" t="str">
            <v>15324308    -    CONNECTOR 4W    -    0.118743</v>
          </cell>
        </row>
        <row r="11534">
          <cell r="D11534" t="str">
            <v>15324351    -    CONNECTOR    -    0.384971</v>
          </cell>
        </row>
        <row r="11535">
          <cell r="D11535" t="str">
            <v>15324363    -    VERR. F. ZF36-1/2 DELCO    -    0.110391</v>
          </cell>
        </row>
        <row r="11536">
          <cell r="D11536" t="str">
            <v>15324398    -    CONNECTOR    -    0.26707</v>
          </cell>
        </row>
        <row r="11537">
          <cell r="D11537" t="str">
            <v>15324398S    -    CONNECTOR    -    0.300137</v>
          </cell>
        </row>
        <row r="11538">
          <cell r="D11538" t="str">
            <v>15324422    -    CLIP    -    0.152</v>
          </cell>
        </row>
        <row r="11539">
          <cell r="D11539" t="str">
            <v>15324433    -    CONNECTOR    -    0.5484</v>
          </cell>
        </row>
        <row r="11540">
          <cell r="D11540" t="str">
            <v>15324447    -    CONNECTOR ASSM    -    0.50182</v>
          </cell>
        </row>
        <row r="11541">
          <cell r="D11541" t="str">
            <v>15324466    -    ASM COVER    -    0.07527</v>
          </cell>
        </row>
        <row r="11542">
          <cell r="D11542" t="str">
            <v>15324467    -    ASM CONNECTOR    -    0.05239</v>
          </cell>
        </row>
        <row r="11543">
          <cell r="D11543" t="str">
            <v>15324474    -    CONN, 2F RECEPT. 6.3 SLD BLK    -    0.409745</v>
          </cell>
        </row>
        <row r="11544">
          <cell r="D11544" t="str">
            <v>15324524    -    3-P STECKHUELG.    -    0.059493</v>
          </cell>
        </row>
        <row r="11545">
          <cell r="D11545" t="str">
            <v>15324545    -    ASM CONN    -    0.5449</v>
          </cell>
        </row>
        <row r="11546">
          <cell r="D11546" t="str">
            <v>15324546    -    ASM CONN    -    0.42625</v>
          </cell>
        </row>
        <row r="11547">
          <cell r="D11547" t="str">
            <v>15324547    -    CONN F 040    -    0.60609</v>
          </cell>
        </row>
        <row r="11548">
          <cell r="D11548" t="str">
            <v>15324574    -    TPA    -    0.0179</v>
          </cell>
        </row>
        <row r="11549">
          <cell r="D11549" t="str">
            <v>15324585S    -    CONNECTOR    -    0.025372</v>
          </cell>
        </row>
        <row r="11550">
          <cell r="D11550" t="str">
            <v>15324630    -    VERRIEGELUNG    -    0.234518</v>
          </cell>
        </row>
        <row r="11551">
          <cell r="D11551" t="str">
            <v>15324653    -    7 WAY CONNECTOR    -    0.2259</v>
          </cell>
        </row>
        <row r="11552">
          <cell r="D11552" t="str">
            <v>15324655    -    CONN 3FR    -    0.047</v>
          </cell>
        </row>
        <row r="11553">
          <cell r="D11553" t="str">
            <v>15324740    -    PLUG    -    0.01283</v>
          </cell>
        </row>
        <row r="11554">
          <cell r="D11554" t="str">
            <v>15324742    -    CONNECTOR BODY - 280 METRIPACK - 2F    -    0.17503</v>
          </cell>
        </row>
        <row r="11555">
          <cell r="D11555" t="str">
            <v>15324764    -    SECONDARY LOCK    -    0.01863</v>
          </cell>
        </row>
        <row r="11556">
          <cell r="D11556" t="str">
            <v>15324764S    -    COMB    -    0.01863</v>
          </cell>
        </row>
        <row r="11557">
          <cell r="D11557" t="str">
            <v>15324771    -    CONN 7 F M/P 280 BLU    -    0.092137</v>
          </cell>
        </row>
        <row r="11558">
          <cell r="D11558" t="str">
            <v>15324800    -    CONNECTOR    -    0.25458</v>
          </cell>
        </row>
        <row r="11559">
          <cell r="D11559" t="str">
            <v>15324803    -    CONN 4 WAY FEM    -    0.24</v>
          </cell>
        </row>
        <row r="11560">
          <cell r="D11560" t="str">
            <v>15324805    -    CONN 10 WAY    -    0.09</v>
          </cell>
        </row>
        <row r="11561">
          <cell r="D11561" t="str">
            <v>15324806    -    CONN 6 WAY    -    0.07</v>
          </cell>
        </row>
        <row r="11562">
          <cell r="D11562" t="str">
            <v>15324833    -    PLR LK    -    0.04914</v>
          </cell>
        </row>
        <row r="11563">
          <cell r="D11563" t="str">
            <v>15324841    -    COVER    -    0.57</v>
          </cell>
        </row>
        <row r="11564">
          <cell r="D11564" t="str">
            <v>15324871    -    CONNECTOR    -    0.444</v>
          </cell>
        </row>
        <row r="11565">
          <cell r="D11565" t="str">
            <v>15324916    -    LOCK TPA JPT MT3 NAT    -    0.029011</v>
          </cell>
        </row>
        <row r="11566">
          <cell r="D11566" t="str">
            <v>15324950    -    CONNECTOR    -    0.174</v>
          </cell>
        </row>
        <row r="11567">
          <cell r="D11567" t="str">
            <v>15324955    -    CONNECTOR    -    0.26118</v>
          </cell>
        </row>
        <row r="11568">
          <cell r="D11568" t="str">
            <v>15324956    -    CONN 16 M TAB 1.5 BLU    -    0.25828</v>
          </cell>
        </row>
        <row r="11569">
          <cell r="D11569" t="str">
            <v>15324960    -    CONNECTOR    -    0.444</v>
          </cell>
        </row>
        <row r="11570">
          <cell r="D11570" t="str">
            <v>15324966    -    CONNECTOR    -    0.18955</v>
          </cell>
        </row>
        <row r="11571">
          <cell r="D11571" t="str">
            <v>15324967    -    CLIP    -    0.0436</v>
          </cell>
        </row>
        <row r="11572">
          <cell r="D11572" t="str">
            <v>15326007    -    COVER HOUSING M/P 280    -    0.22115</v>
          </cell>
        </row>
        <row r="11573">
          <cell r="D11573" t="str">
            <v>15326096    -    ACC1, CPA AXIAL MIC/P    -    0.0197</v>
          </cell>
        </row>
        <row r="11574">
          <cell r="D11574" t="str">
            <v>15326116    -    CPA AXIAL    -    0.0503</v>
          </cell>
        </row>
        <row r="11575">
          <cell r="D11575" t="str">
            <v>15326118    -    TPA MAXI    -    0.089</v>
          </cell>
        </row>
        <row r="11576">
          <cell r="D11576" t="str">
            <v>15326119    -    CONN 1M MAXI    -    0.1594</v>
          </cell>
        </row>
        <row r="11577">
          <cell r="D11577" t="str">
            <v>15326166    -    PLUG WEDGE    -    0.09</v>
          </cell>
        </row>
        <row r="11578">
          <cell r="D11578" t="str">
            <v>15326177    -    LOCK REAR HOLDER    -    0.0462</v>
          </cell>
        </row>
        <row r="11579">
          <cell r="D11579" t="str">
            <v>15326180    -    CONN 2F MIC/P 064 SLD    -    0.13128</v>
          </cell>
        </row>
        <row r="11580">
          <cell r="D11580" t="str">
            <v>15326181    -    BC CONN-CONNECTOR    -    0.1941</v>
          </cell>
        </row>
        <row r="11581">
          <cell r="D11581" t="str">
            <v>15326242    -    CONNECTOR 16M M/P280    -    0.14458</v>
          </cell>
        </row>
        <row r="11582">
          <cell r="D11582" t="str">
            <v>15326243    -    CONN 16/M    -    0.06067</v>
          </cell>
        </row>
        <row r="11583">
          <cell r="D11583" t="str">
            <v>15326272    -    BRACKET    -    0.63273</v>
          </cell>
        </row>
        <row r="11584">
          <cell r="D11584" t="str">
            <v>15326381    -    ASSM CONN 2 F/F M/P    -    0.38952</v>
          </cell>
        </row>
        <row r="11585">
          <cell r="D11585" t="str">
            <v>15326555    -    PLR3 F GT150    -    0.024274</v>
          </cell>
        </row>
        <row r="11586">
          <cell r="D11586" t="str">
            <v>15326557    -    CONN 4F GT150    -    0.05472</v>
          </cell>
        </row>
        <row r="11587">
          <cell r="D11587" t="str">
            <v>15326594    -    CONN 37W SOC MXD    -    0.25</v>
          </cell>
        </row>
        <row r="11588">
          <cell r="D11588" t="str">
            <v>15326595    -    CONN 21W SOC MXD    -    0.24</v>
          </cell>
        </row>
        <row r="11589">
          <cell r="D11589" t="str">
            <v>15326596    -    CONN ABS I/P    -    2.753224</v>
          </cell>
        </row>
        <row r="11590">
          <cell r="D11590" t="str">
            <v>15326598    -    COVER CAP    -    0.5</v>
          </cell>
        </row>
        <row r="11591">
          <cell r="D11591" t="str">
            <v>15326601    -    CONNECTOR    -    0.09249</v>
          </cell>
        </row>
        <row r="11592">
          <cell r="D11592" t="str">
            <v>15326604    -    TPA 30F GT 150-280    -    0.03474</v>
          </cell>
        </row>
        <row r="11593">
          <cell r="D11593" t="str">
            <v>15326610    -    CONN    -    0.11169</v>
          </cell>
        </row>
        <row r="11594">
          <cell r="D11594" t="str">
            <v>15326611    -    PLR GT 280 SLD 3W    -    0.032</v>
          </cell>
        </row>
        <row r="11595">
          <cell r="D11595" t="str">
            <v>15326613    -    CONN    -    0.15407</v>
          </cell>
        </row>
        <row r="11596">
          <cell r="D11596" t="str">
            <v>15326631    -    BC CONN-CONNECTOR    -    0.315</v>
          </cell>
        </row>
        <row r="11597">
          <cell r="D11597" t="str">
            <v>15326634    -    CONN 6F GT 280 SLD 5.8    -    0.11809</v>
          </cell>
        </row>
        <row r="11598">
          <cell r="D11598" t="str">
            <v>15326637    -    PLR GT 280 SLD 6W    -    0.03561</v>
          </cell>
        </row>
        <row r="11599">
          <cell r="D11599" t="str">
            <v>15326641    -    CONN    -    0.11501</v>
          </cell>
        </row>
        <row r="11600">
          <cell r="D11600" t="str">
            <v>15326644    -    PLR GT 280 SLD 5W    -    0.0358</v>
          </cell>
        </row>
        <row r="11601">
          <cell r="D11601" t="str">
            <v>15326658    -    PLR GT 280 SLD 10W    -    0.03648</v>
          </cell>
        </row>
        <row r="11602">
          <cell r="D11602" t="str">
            <v>15326660    -    CONNECTOR    -    0.311</v>
          </cell>
        </row>
        <row r="11603">
          <cell r="D11603" t="str">
            <v>15326661    -    CONNECTOR    -    0.279</v>
          </cell>
        </row>
        <row r="11604">
          <cell r="D11604" t="str">
            <v>15326662    -    CONN    -    0.18882</v>
          </cell>
        </row>
        <row r="11605">
          <cell r="D11605" t="str">
            <v>15326664    -    PLR GT 280 SLD 16W    -    0.04516</v>
          </cell>
        </row>
        <row r="11606">
          <cell r="D11606" t="str">
            <v>15326666    -    CONNECTOR    -    0.4188</v>
          </cell>
        </row>
        <row r="11607">
          <cell r="D11607" t="str">
            <v>15326667    -    CONNECTOR    -    0.3563</v>
          </cell>
        </row>
        <row r="11608">
          <cell r="D11608" t="str">
            <v>15326687    -    CLIP HARNESS    -    0.092022</v>
          </cell>
        </row>
        <row r="11609">
          <cell r="D11609" t="str">
            <v>15326717    -    30F 280MP FLEX    -    0.22347</v>
          </cell>
        </row>
        <row r="11610">
          <cell r="D11610" t="str">
            <v>15326727    -    CONN 2F    -    0.09708</v>
          </cell>
        </row>
        <row r="11611">
          <cell r="D11611" t="str">
            <v>15326729    -    CONN FASTENER (A073)    -    0.24891</v>
          </cell>
        </row>
        <row r="11612">
          <cell r="D11612" t="str">
            <v>15326730    -    CONN FASTENER (A073)    -    0.360219</v>
          </cell>
        </row>
        <row r="11613">
          <cell r="D11613" t="str">
            <v>15326742    -    E-BOX ASSEMBLY    -    15.114079</v>
          </cell>
        </row>
        <row r="11614">
          <cell r="D11614" t="str">
            <v>15326795    -    CLIP    -    0.03765</v>
          </cell>
        </row>
        <row r="11615">
          <cell r="D11615" t="str">
            <v>15326821    -    CONN 5F GT 150 SLD    -    0.09754</v>
          </cell>
        </row>
        <row r="11616">
          <cell r="D11616" t="str">
            <v>15326893    -    ASM CONN 5 F GT 280 BLK    -    0.358254</v>
          </cell>
        </row>
        <row r="11617">
          <cell r="D11617" t="str">
            <v>15326909    -    12F GT 280 SLD 5.8    -    0.123409</v>
          </cell>
        </row>
        <row r="11618">
          <cell r="D11618" t="str">
            <v>15326912    -    PLR 12W GT 280 SLD    -    0.03463</v>
          </cell>
        </row>
        <row r="11619">
          <cell r="D11619" t="str">
            <v>15326914    -    12M GT 280 SLD 5.8    -    0.09894</v>
          </cell>
        </row>
        <row r="11620">
          <cell r="D11620" t="str">
            <v>15326916    -    CONN 14F GT 280 SLD    -    0.11445</v>
          </cell>
        </row>
        <row r="11621">
          <cell r="D11621" t="str">
            <v>15326919    -    PLR 14W GT 280 SLD    -    0.03698</v>
          </cell>
        </row>
        <row r="11622">
          <cell r="D11622" t="str">
            <v>15326921    -    CONN 14M GT 280 SLD    -    0.1281</v>
          </cell>
        </row>
        <row r="11623">
          <cell r="D11623" t="str">
            <v>15326923    -    CONNECTOR    -    0.2217</v>
          </cell>
        </row>
        <row r="11624">
          <cell r="D11624" t="str">
            <v>15326938    -    CONN 12F GT 280 MXD SLD    -    0.1273</v>
          </cell>
        </row>
        <row r="11625">
          <cell r="D11625" t="str">
            <v>15326952    -    CONNECTOR    -    0.209</v>
          </cell>
        </row>
        <row r="11626">
          <cell r="D11626" t="str">
            <v>15327028    -    CONNECTOR 2W    -    0.17287</v>
          </cell>
        </row>
        <row r="11627">
          <cell r="D11627" t="str">
            <v>15327029    -    SPACER    -    0.0298</v>
          </cell>
        </row>
        <row r="11628">
          <cell r="D11628" t="str">
            <v>15327045    -    CONN 8 F    -    0.08</v>
          </cell>
        </row>
        <row r="11629">
          <cell r="D11629" t="str">
            <v>15327048    -    CONN 9F    -    0.18833</v>
          </cell>
        </row>
        <row r="11630">
          <cell r="D11630" t="str">
            <v>15327073    -    SECONDARY LOCK RED    -    0.192148</v>
          </cell>
        </row>
        <row r="11631">
          <cell r="D11631" t="str">
            <v>15327076    -    ZFW 20-6 LOCKING COMB    -    0.096587</v>
          </cell>
        </row>
        <row r="11632">
          <cell r="D11632" t="str">
            <v>15327077    -    COVER OF ZFW 20-6    -    0.179383</v>
          </cell>
        </row>
        <row r="11633">
          <cell r="D11633" t="str">
            <v>15327093    -    CONN, 2F SWP 070 SLD GRA    -    0.145769</v>
          </cell>
        </row>
        <row r="11634">
          <cell r="D11634" t="str">
            <v>15327094    -    TPA    -    0.0396</v>
          </cell>
        </row>
        <row r="11635">
          <cell r="D11635" t="str">
            <v>15327100    -    CONNECTOR F    -    0.094</v>
          </cell>
        </row>
        <row r="11636">
          <cell r="D11636" t="str">
            <v>15327101S    -    CONNECTOR    -    0.106461</v>
          </cell>
        </row>
        <row r="11637">
          <cell r="D11637" t="str">
            <v>15327103-L    -    BC CONNECTOR[NAT]    -    1.071951</v>
          </cell>
        </row>
        <row r="11638">
          <cell r="D11638" t="str">
            <v>15327115    -    TUELLE    -    0.359603</v>
          </cell>
        </row>
        <row r="11639">
          <cell r="D11639" t="str">
            <v>15327120    -    KABELFUEHRUNG    -    1.322638</v>
          </cell>
        </row>
        <row r="11640">
          <cell r="D11640" t="str">
            <v>15327129    -    VERRIEGELUNG    -    0.109433</v>
          </cell>
        </row>
        <row r="11641">
          <cell r="D11641" t="str">
            <v>15327130    -    VERRIEGELUNG    -    0.109433</v>
          </cell>
        </row>
        <row r="11642">
          <cell r="D11642" t="str">
            <v>15327135    -    BACK COVER FOR YC1T14489JA    -    0.125477</v>
          </cell>
        </row>
        <row r="11643">
          <cell r="D11643" t="str">
            <v>15327148    -    CONN, 1F MPT UNSLD GRN    -    0.062367</v>
          </cell>
        </row>
        <row r="11644">
          <cell r="D11644" t="str">
            <v>15327150    -    CONN, 3F MPT UNSLD BLU    -    0.376699</v>
          </cell>
        </row>
        <row r="11645">
          <cell r="D11645" t="str">
            <v>15327197    -    GEH.TRAEGER T-3000 ZUH-90    -    1.959358</v>
          </cell>
        </row>
        <row r="11646">
          <cell r="D11646" t="str">
            <v>15327237S    -    BC TERMINAL    -    0.012884</v>
          </cell>
        </row>
        <row r="11647">
          <cell r="D11647" t="str">
            <v>15327239    -    CONN 3F    -    0.11927</v>
          </cell>
        </row>
        <row r="11648">
          <cell r="D11648" t="str">
            <v>15327243    -    627255 CNCN F 4 BK 4    -    0.136609</v>
          </cell>
        </row>
        <row r="11649">
          <cell r="D11649" t="str">
            <v>15327247    -    16.K24.96 CARCASA NEGRA COD.1-    -    0.077413</v>
          </cell>
        </row>
        <row r="11650">
          <cell r="D11650" t="str">
            <v>15327249    -    DV COVER POS. 2345 BK 0005454630    -    0.140306</v>
          </cell>
        </row>
        <row r="11651">
          <cell r="D11651" t="str">
            <v>15327250    -    VERSCHLUPLATTE    -    0.047497</v>
          </cell>
        </row>
        <row r="11652">
          <cell r="D11652" t="str">
            <v>15327251    -    CONNECTOR COVER    -    0.0461</v>
          </cell>
        </row>
        <row r="11653">
          <cell r="D11653" t="str">
            <v>15327252    -    CX POS2345/2466 10 CAV BK 001 545    -    0.106437</v>
          </cell>
        </row>
        <row r="11654">
          <cell r="D11654" t="str">
            <v>15327253    -    CONN 32F    -    0.22782</v>
          </cell>
        </row>
        <row r="11655">
          <cell r="D11655" t="str">
            <v>15327255    -    COV CONN BLK    -    0.375795</v>
          </cell>
        </row>
        <row r="11656">
          <cell r="D11656" t="str">
            <v>15327265    -    BACK UP BATTERY M-CONN    -    0.0961</v>
          </cell>
        </row>
        <row r="11657">
          <cell r="D11657" t="str">
            <v>15327269    -    CONN 6F    -    0.105466</v>
          </cell>
        </row>
        <row r="11658">
          <cell r="D11658" t="str">
            <v>15327283    -    CONN    -    0.478117</v>
          </cell>
        </row>
        <row r="11659">
          <cell r="D11659" t="str">
            <v>15327401    -    ABDECKKUPPLUNG 2-FACH    -    0.101418</v>
          </cell>
        </row>
        <row r="11660">
          <cell r="D11660" t="str">
            <v>15327404    -    CONN 48F    -    0.18723</v>
          </cell>
        </row>
        <row r="11661">
          <cell r="D11661" t="str">
            <v>15327410    -    2-P. GEH    -    0.101418</v>
          </cell>
        </row>
        <row r="11662">
          <cell r="D11662" t="str">
            <v>15327411    -    CX POS:2692 15 CAV BK    -    1.42558</v>
          </cell>
        </row>
        <row r="11663">
          <cell r="D11663" t="str">
            <v>15327412    -    KUPPLUNG 2-POLIG DC    -    0.14488</v>
          </cell>
        </row>
        <row r="11664">
          <cell r="D11664" t="str">
            <v>15327414    -    CX POS 2479 10 CAV BK 031 545    -    0.282865</v>
          </cell>
        </row>
        <row r="11665">
          <cell r="D11665" t="str">
            <v>15327415    -    CONNECTOR    -    0.111484</v>
          </cell>
        </row>
        <row r="11666">
          <cell r="D11666" t="str">
            <v>15327447    -    CX DB 2315 4 CAV BK 028 545    -    0.115289</v>
          </cell>
        </row>
        <row r="11667">
          <cell r="D11667" t="str">
            <v>15327451    -    BUCHSENGEHAEUSE 2POL.    -    0.155176</v>
          </cell>
        </row>
        <row r="11668">
          <cell r="D11668" t="str">
            <v>15327452    -    629960 CNCN M 180 BK 2    -    0.382542</v>
          </cell>
        </row>
        <row r="11669">
          <cell r="D11669" t="str">
            <v>15327453    -    DV POS2481 BK 210 545 1003    -    0.073821</v>
          </cell>
        </row>
        <row r="11670">
          <cell r="D11670" t="str">
            <v>15327454    -    CX POS 2253 2 CAV BK 210 545    -    0.104866</v>
          </cell>
        </row>
        <row r="11671">
          <cell r="D11671" t="str">
            <v>15327455    -    CONN 3 F    -    0.11927</v>
          </cell>
        </row>
        <row r="11672">
          <cell r="D11672" t="str">
            <v>15327456    -    DV POS 3707 BK 168 540 1281    -    0.683015</v>
          </cell>
        </row>
        <row r="11673">
          <cell r="D11673" t="str">
            <v>15327458    -    UMLENKKAPPEFR09432500    -    0.371869</v>
          </cell>
        </row>
        <row r="11674">
          <cell r="D11674" t="str">
            <v>15327469    -    STECKHLSENGEHUSE7-POL.(4XLSK8)    -    1.161741</v>
          </cell>
        </row>
        <row r="11675">
          <cell r="D11675" t="str">
            <v>15327470    -    CONNECTOR    -    0.167995</v>
          </cell>
        </row>
        <row r="11676">
          <cell r="D11676" t="str">
            <v>15327471    -    BUCHSENGEHUSE5-POL.LKS1,5    -    1.683388</v>
          </cell>
        </row>
        <row r="11677">
          <cell r="D11677" t="str">
            <v>15327488    -    CONNECTOR SEALED BLECK    -    0.271085</v>
          </cell>
        </row>
        <row r="11678">
          <cell r="D11678" t="str">
            <v>15327534    -    CONN MISC BLK    -    0.148834</v>
          </cell>
        </row>
        <row r="11679">
          <cell r="D11679" t="str">
            <v>15327557    -    6-P BUCHSENGEH.    -    0.310352</v>
          </cell>
        </row>
        <row r="11680">
          <cell r="D11680" t="str">
            <v>15327560    -    ABDECKKAPPE 12 POL.    -    0.238026</v>
          </cell>
        </row>
        <row r="11681">
          <cell r="D11681" t="str">
            <v>15327561    -    CONN HOUSING 18W F    -    0.24408</v>
          </cell>
        </row>
        <row r="11682">
          <cell r="D11682" t="str">
            <v>15327562    -    12-POL HUELSENGEH.    -    0.084173</v>
          </cell>
        </row>
        <row r="11683">
          <cell r="D11683" t="str">
            <v>15327564    -    CONN 30 W    -    0.21677</v>
          </cell>
        </row>
        <row r="11684">
          <cell r="D11684" t="str">
            <v>15327566    -    DV POS 2466 BK 005 545 2930    -    0.157294</v>
          </cell>
        </row>
        <row r="11685">
          <cell r="D11685" t="str">
            <v>15327585    -    CX POS 2463 3 CAV YE 030 545    -    0.071745</v>
          </cell>
        </row>
        <row r="11686">
          <cell r="D11686" t="str">
            <v>15327586    -    GEH. F. KUPPLUNG 30-POL A    -    0.621607</v>
          </cell>
        </row>
        <row r="11687">
          <cell r="D11687" t="str">
            <v>15327590    -    CX POS 2521 12 CAV BK 168 540    -    0.430876</v>
          </cell>
        </row>
        <row r="11688">
          <cell r="D11688" t="str">
            <v>15327591    -    DV COVER POS 2523 BK 168 545 0073    -    0.195936</v>
          </cell>
        </row>
        <row r="11689">
          <cell r="D11689" t="str">
            <v>15327593    -    POS 2523 17 CAV BK 168 545    -    0.140743</v>
          </cell>
        </row>
        <row r="11690">
          <cell r="D11690" t="str">
            <v>15327594    -    4WAY CONN    -    0.414495</v>
          </cell>
        </row>
        <row r="11691">
          <cell r="D11691" t="str">
            <v>15327595    -    CX POS 3767 2 CAV BK 168 540    -    0.296664</v>
          </cell>
        </row>
        <row r="11692">
          <cell r="D11692" t="str">
            <v>15327596    -    BUCHSENGEHUSE12-POL.LKS1,5    -    0.918209</v>
          </cell>
        </row>
        <row r="11693">
          <cell r="D11693" t="str">
            <v>15327597    -    DV POS 3810 YE 168 540 4128    -    0.425681</v>
          </cell>
        </row>
        <row r="11694">
          <cell r="D11694" t="str">
            <v>15327602    -    CX POS 2224 8 CAV BK 202 545    -    0.30011</v>
          </cell>
        </row>
        <row r="11695">
          <cell r="D11695" t="str">
            <v>15327603    -    CONN 10F    -    0.56862</v>
          </cell>
        </row>
        <row r="11696">
          <cell r="D11696" t="str">
            <v>15327608    -    10-WAY CONNECTOR    -    0.236164</v>
          </cell>
        </row>
        <row r="11697">
          <cell r="D11697" t="str">
            <v>15327639    -    DV COVER POS 2337 BK 028 545 8328    -    0.057267</v>
          </cell>
        </row>
        <row r="11698">
          <cell r="D11698" t="str">
            <v>15327640    -    CX DB 2337 8 CAV BK 028 545    -    0.06485</v>
          </cell>
        </row>
        <row r="11699">
          <cell r="D11699" t="str">
            <v>15327687    -    CONN 6F    -    0.31205</v>
          </cell>
        </row>
        <row r="11700">
          <cell r="D11700" t="str">
            <v>15327705    -    MOUN CLAMP 8.50    -    0.166915</v>
          </cell>
        </row>
        <row r="11701">
          <cell r="D11701" t="str">
            <v>15327706    -    DV POS 3654 METAL 000 545 3838    -    0.634737</v>
          </cell>
        </row>
        <row r="11702">
          <cell r="D11702" t="str">
            <v>15327710    -    2-P STECKHUELG. NEU    -    0.269061</v>
          </cell>
        </row>
        <row r="11703">
          <cell r="D11703" t="str">
            <v>15327723    -    6-WAY CONN    -    0.424237</v>
          </cell>
        </row>
        <row r="11704">
          <cell r="D11704" t="str">
            <v>15327724    -    CLIP    -    0.082311</v>
          </cell>
        </row>
        <row r="11705">
          <cell r="D11705" t="str">
            <v>15327730    -    CLIP    -    0.081636</v>
          </cell>
        </row>
        <row r="11706">
          <cell r="D11706" t="str">
            <v>15327731    -    TUELLE    -    0.404941</v>
          </cell>
        </row>
        <row r="11707">
          <cell r="D11707" t="str">
            <v>15327736    -    COVER CAP BLACK ZFW 1-3    -    0.13109</v>
          </cell>
        </row>
        <row r="11708">
          <cell r="D11708" t="str">
            <v>15327738    -    CONN,F,81-W,BLACK    -    2.955087</v>
          </cell>
        </row>
        <row r="11709">
          <cell r="D11709" t="str">
            <v>15327739    -    DECKEL    -    0.275943</v>
          </cell>
        </row>
        <row r="11710">
          <cell r="D11710" t="str">
            <v>15327744    -    DECKEL    -    0.2414</v>
          </cell>
        </row>
        <row r="11711">
          <cell r="D11711" t="str">
            <v>15327745    -    VERRIEGELUNG    -    0.103361</v>
          </cell>
        </row>
        <row r="11712">
          <cell r="D11712" t="str">
            <v>15327759    -    ACC1, SEC LK NAT    -    0.028971</v>
          </cell>
        </row>
        <row r="11713">
          <cell r="D11713" t="str">
            <v>15327794    -    CLIP    -    0.059372</v>
          </cell>
        </row>
        <row r="11714">
          <cell r="D11714" t="str">
            <v>15327796    -    CLIP    -    0.043854</v>
          </cell>
        </row>
        <row r="11715">
          <cell r="D11715" t="str">
            <v>15327797    -    TUELLE    -    0.236812</v>
          </cell>
        </row>
        <row r="11716">
          <cell r="D11716" t="str">
            <v>15327814    -    CONNECTOR QUAD LOCK    -    0.36466</v>
          </cell>
        </row>
        <row r="11717">
          <cell r="D11717" t="str">
            <v>15327820    -    RECEPT CONN    -    0.53475</v>
          </cell>
        </row>
        <row r="11718">
          <cell r="D11718" t="str">
            <v>15327825    -    CONNECTOR 4WAY    -    0.846599</v>
          </cell>
        </row>
        <row r="11719">
          <cell r="D11719" t="str">
            <v>15327833    -    CX POS 2342 8 CAV BK 210 545    -    0.168251</v>
          </cell>
        </row>
        <row r="11720">
          <cell r="D11720" t="str">
            <v>15327834    -    CX POS 3810 50 CAV YE 001 545    -    1.284626</v>
          </cell>
        </row>
        <row r="11721">
          <cell r="D11721" t="str">
            <v>15327836    -    CX MTE CONN+COVER 5 CAV    -    0.620973</v>
          </cell>
        </row>
        <row r="11722">
          <cell r="D11722" t="str">
            <v>15327838    -    CX MTE MOD+COVER 10 CAV WH 8L097298    -    0.372554</v>
          </cell>
        </row>
        <row r="11723">
          <cell r="D11723" t="str">
            <v>15327843S    -    BC TERMINAL    -    0.017641</v>
          </cell>
        </row>
        <row r="11724">
          <cell r="D11724" t="str">
            <v>15327844S    -    BC TERMINAL    -    0.017861</v>
          </cell>
        </row>
        <row r="11725">
          <cell r="D11725" t="str">
            <v>15327886S    -    BC TERMINAL    -    0.017231</v>
          </cell>
        </row>
        <row r="11726">
          <cell r="D11726" t="str">
            <v>15327901    -    HOUSING 10.P. CE    -    0.22263</v>
          </cell>
        </row>
        <row r="11727">
          <cell r="D11727" t="str">
            <v>15327929    -    621809 CNCN.ASM F 52    -    0.717452</v>
          </cell>
        </row>
        <row r="11728">
          <cell r="D11728" t="str">
            <v>15327931    -    621863 CNCO 24 BK 52    -    0.089732</v>
          </cell>
        </row>
        <row r="11729">
          <cell r="D11729" t="str">
            <v>15327935    -    12.799.60 CO AMP 926.539.1 VW 111.971.92    -    0.007273</v>
          </cell>
        </row>
        <row r="11730">
          <cell r="D11730" t="str">
            <v>15327949    -    CONN. MDK    -    0.05921</v>
          </cell>
        </row>
        <row r="11731">
          <cell r="D11731" t="str">
            <v>15327995    -    CONN 2 F BLK    -    0.124181</v>
          </cell>
        </row>
        <row r="11732">
          <cell r="D11732" t="str">
            <v>15327996    -    613233 FLACHSTECKHUELSENG    -    0.372557</v>
          </cell>
        </row>
        <row r="11733">
          <cell r="D11733" t="str">
            <v>15328643    -    COVER ELEC CENTER    -    0.76112</v>
          </cell>
        </row>
        <row r="11734">
          <cell r="D11734" t="str">
            <v>15328644    -    COVER ELEC CTR BATT    -    0.17511</v>
          </cell>
        </row>
        <row r="11735">
          <cell r="D11735" t="str">
            <v>15328733    -    COVER 68F WIRE DRESS    -    0.15895</v>
          </cell>
        </row>
        <row r="11736">
          <cell r="D11736" t="str">
            <v>15328973    -    RETAINER CONN 68 W M/P 280    -    0.87234</v>
          </cell>
        </row>
        <row r="11737">
          <cell r="D11737" t="str">
            <v>15328993    -    MYLAR 24M GT280 - MISC OPT    -    0.0445</v>
          </cell>
        </row>
        <row r="11738">
          <cell r="D11738" t="str">
            <v>15328997    -    CPA PERP M/P    -    0.0447</v>
          </cell>
        </row>
        <row r="11739">
          <cell r="D11739" t="str">
            <v>15329006    -    CONNECTOR    -    0.35625</v>
          </cell>
        </row>
        <row r="11740">
          <cell r="D11740" t="str">
            <v>15329007    -    CONNECTOR    -    0.35625</v>
          </cell>
        </row>
        <row r="11741">
          <cell r="D11741" t="str">
            <v>15329008    -    CONNECTOR    -    0.35625</v>
          </cell>
        </row>
        <row r="11742">
          <cell r="D11742" t="str">
            <v>15329009    -    CONNECTOR    -    0.35625</v>
          </cell>
        </row>
        <row r="11743">
          <cell r="D11743" t="str">
            <v>15329013    -    WIRE DRESS COVER    -    0.02139</v>
          </cell>
        </row>
        <row r="11744">
          <cell r="D11744" t="str">
            <v>15329035    -    STRAIN RLF - 18F    -    0.12303</v>
          </cell>
        </row>
        <row r="11745">
          <cell r="D11745" t="str">
            <v>15329035S    -    STRAIN RLF    -    0.129165</v>
          </cell>
        </row>
        <row r="11746">
          <cell r="D11746" t="str">
            <v>15329050    -    COVER WIRE DRESS    -    0.24175</v>
          </cell>
        </row>
        <row r="11747">
          <cell r="D11747" t="str">
            <v>15329051    -    COVER WIRE DRESS    -    0.15818</v>
          </cell>
        </row>
        <row r="11748">
          <cell r="D11748" t="str">
            <v>15329073    -    CONN 10 F GT 150 BLK    -    0.138849</v>
          </cell>
        </row>
        <row r="11749">
          <cell r="D11749" t="str">
            <v>15329095    -    CONN    -    0.3588</v>
          </cell>
        </row>
        <row r="11750">
          <cell r="D11750" t="str">
            <v>15329096    -    CONN    -    0.37111</v>
          </cell>
        </row>
        <row r="11751">
          <cell r="D11751" t="str">
            <v>15329097    -    COMB M/P 280 68F    -    0.03165</v>
          </cell>
        </row>
        <row r="11752">
          <cell r="D11752" t="str">
            <v>15329098    -    COVER CONN    -    0.1442</v>
          </cell>
        </row>
        <row r="11753">
          <cell r="D11753" t="str">
            <v>15329099    -    COVER CONN    -    0.1442</v>
          </cell>
        </row>
        <row r="11754">
          <cell r="D11754" t="str">
            <v>15332106    -    CONN    -    0.06743</v>
          </cell>
        </row>
        <row r="11755">
          <cell r="D11755" t="str">
            <v>15332107    -    TPA    -    0.038663</v>
          </cell>
        </row>
        <row r="11756">
          <cell r="D11756" t="str">
            <v>15332108    -    CONN-2M-GT-150    -    0.06855</v>
          </cell>
        </row>
        <row r="11757">
          <cell r="D11757" t="str">
            <v>15332111    -    CONN    -    0.039565</v>
          </cell>
        </row>
        <row r="11758">
          <cell r="D11758" t="str">
            <v>15332113    -    TPA    -    0.05829</v>
          </cell>
        </row>
        <row r="11759">
          <cell r="D11759" t="str">
            <v>15332114    -    CONN    -    0.07608</v>
          </cell>
        </row>
        <row r="11760">
          <cell r="D11760" t="str">
            <v>15332115    -    CONN    -    0.040467</v>
          </cell>
        </row>
        <row r="11761">
          <cell r="D11761" t="str">
            <v>15332116    -    CONN RMGT 150    -    0.07351</v>
          </cell>
        </row>
        <row r="11762">
          <cell r="D11762" t="str">
            <v>15332117    -    TPA    -    0.06263</v>
          </cell>
        </row>
        <row r="11763">
          <cell r="D11763" t="str">
            <v>15332119    -    SLC 5F 150    -    0.027098</v>
          </cell>
        </row>
        <row r="11764">
          <cell r="D11764" t="str">
            <v>15332120    -    CONN 5M GT 150    -    0.0822</v>
          </cell>
        </row>
        <row r="11765">
          <cell r="D11765" t="str">
            <v>15332121    -    SLC 5M 150    -    0.0292</v>
          </cell>
        </row>
        <row r="11766">
          <cell r="D11766" t="str">
            <v>15332122    -    CONN-6F GT150    -    0.08277</v>
          </cell>
        </row>
        <row r="11767">
          <cell r="D11767" t="str">
            <v>15332123    -    TPA    -    0.04136</v>
          </cell>
        </row>
        <row r="11768">
          <cell r="D11768" t="str">
            <v>15332124    -    CONN    -    0.08068</v>
          </cell>
        </row>
        <row r="11769">
          <cell r="D11769" t="str">
            <v>15332125    -    TPA    -    0.06379</v>
          </cell>
        </row>
        <row r="11770">
          <cell r="D11770" t="str">
            <v>15332144    -    CONN 8F GT 150    -    0.09698</v>
          </cell>
        </row>
        <row r="11771">
          <cell r="D11771" t="str">
            <v>15332148    -    TPA    -    0.04136</v>
          </cell>
        </row>
        <row r="11772">
          <cell r="D11772" t="str">
            <v>15332149    -    CONN 8M GT150    -    0.08862</v>
          </cell>
        </row>
        <row r="11773">
          <cell r="D11773" t="str">
            <v>15332150    -    CONNECTOR    -    0.155</v>
          </cell>
        </row>
        <row r="11774">
          <cell r="D11774" t="str">
            <v>15332151    -    TPA    -    0.0661</v>
          </cell>
        </row>
        <row r="11775">
          <cell r="D11775" t="str">
            <v>15332152    -    CONN-6F GT150    -    0.09698</v>
          </cell>
        </row>
        <row r="11776">
          <cell r="D11776" t="str">
            <v>15332156    -    TPA    -    0.042262</v>
          </cell>
        </row>
        <row r="11777">
          <cell r="D11777" t="str">
            <v>15332157    -    CONN    -    0.09782</v>
          </cell>
        </row>
        <row r="11778">
          <cell r="D11778" t="str">
            <v>15332159    -    TPA    -    0.06408</v>
          </cell>
        </row>
        <row r="11779">
          <cell r="D11779" t="str">
            <v>15332160    -    CONN 12F GT 150    -    0.1122</v>
          </cell>
        </row>
        <row r="11780">
          <cell r="D11780" t="str">
            <v>15332164    -    SLC 12F 150    -    0.028922</v>
          </cell>
        </row>
        <row r="11781">
          <cell r="D11781" t="str">
            <v>15332165    -    CONN 12M GT 150    -    0.11454</v>
          </cell>
        </row>
        <row r="11782">
          <cell r="D11782" t="str">
            <v>15332167    -    SLC 12M 150    -    0.0308</v>
          </cell>
        </row>
        <row r="11783">
          <cell r="D11783" t="str">
            <v>15332168    -    CONN 14F GT 150    -    0.12397</v>
          </cell>
        </row>
        <row r="11784">
          <cell r="D11784" t="str">
            <v>15332172    -    SLC 14F 150    -    0.030794</v>
          </cell>
        </row>
        <row r="11785">
          <cell r="D11785" t="str">
            <v>15332173    -    CONN 14M GT 150    -    0.12101</v>
          </cell>
        </row>
        <row r="11786">
          <cell r="D11786" t="str">
            <v>15332175    -    SLC 14M 150    -    0.037</v>
          </cell>
        </row>
        <row r="11787">
          <cell r="D11787" t="str">
            <v>15332181    -    CONN 16M GT150    -    0.12374</v>
          </cell>
        </row>
        <row r="11788">
          <cell r="D11788" t="str">
            <v>15332186    -    CONN 2F M/P 280 SLO    -    0.10641</v>
          </cell>
        </row>
        <row r="11789">
          <cell r="D11789" t="str">
            <v>15332188    -    TPA 2 M/P 280    -    0.07654</v>
          </cell>
        </row>
        <row r="11790">
          <cell r="D11790" t="str">
            <v>15336027    -    CONN,F,2-W,GREY GT150S(SEALED)    -    0.1422</v>
          </cell>
        </row>
        <row r="11791">
          <cell r="D11791" t="str">
            <v>15336029    -    CONN,F,3-W,BLACK GT150S(SEALED)    -    0.1719</v>
          </cell>
        </row>
        <row r="11792">
          <cell r="D11792" t="str">
            <v>15336031    -    CONNECTOR    -    0.030245</v>
          </cell>
        </row>
        <row r="11793">
          <cell r="D11793" t="str">
            <v>15336035    -    CONN,F,4-W,BLACK GT150S    -    0.1935</v>
          </cell>
        </row>
        <row r="11794">
          <cell r="D11794" t="str">
            <v>15336036    -    CONN 14F GT 280 MXD SLD    -    0.12825</v>
          </cell>
        </row>
        <row r="11795">
          <cell r="D11795" t="str">
            <v>15336039    -    PLR 14W MXD SLD    -    0.03719</v>
          </cell>
        </row>
        <row r="11796">
          <cell r="D11796" t="str">
            <v>15336067    -    CONN 3F GT 150 SLD    -    0.152</v>
          </cell>
        </row>
        <row r="11797">
          <cell r="D11797" t="str">
            <v>15336070    -    CONN 3F GT 150 SLD    -    0.152</v>
          </cell>
        </row>
        <row r="11798">
          <cell r="D11798" t="str">
            <v>15336075    -    CONDUIT CLIP    -    0.0815</v>
          </cell>
        </row>
        <row r="11799">
          <cell r="D11799" t="str">
            <v>15336159    -    CLIP    -    0.08227</v>
          </cell>
        </row>
        <row r="11800">
          <cell r="D11800" t="str">
            <v>15336173    -    CONN 24M GT 150,280 SLD    -    0.28285</v>
          </cell>
        </row>
        <row r="11801">
          <cell r="D11801" t="str">
            <v>15336184    -    CONNECTOR    -    0.1625</v>
          </cell>
        </row>
        <row r="11802">
          <cell r="D11802" t="str">
            <v>15336186    -    CONNECTOR    -    0.2945</v>
          </cell>
        </row>
        <row r="11803">
          <cell r="D11803" t="str">
            <v>15336191    -    CONNECTOR    -    0.1396</v>
          </cell>
        </row>
        <row r="11804">
          <cell r="D11804" t="str">
            <v>15336207    -    SLC 12F 150/280    -    0.029455</v>
          </cell>
        </row>
        <row r="11805">
          <cell r="D11805" t="str">
            <v>15336210    -    SLC 12M 150/280    -    0.026933</v>
          </cell>
        </row>
        <row r="11806">
          <cell r="D11806" t="str">
            <v>15336211    -    GT CONN    -    0.10875</v>
          </cell>
        </row>
        <row r="11807">
          <cell r="D11807" t="str">
            <v>15336214    -    SLC 14F GT    -    0.03333</v>
          </cell>
        </row>
        <row r="11808">
          <cell r="D11808" t="str">
            <v>15336217    -    SLC 14M    -    0.03149</v>
          </cell>
        </row>
        <row r="11809">
          <cell r="D11809" t="str">
            <v>15336218    -    CONN 14F GT 280 MXD    -    0.09949</v>
          </cell>
        </row>
        <row r="11810">
          <cell r="D11810" t="str">
            <v>15336222    -    SLC 16F 150/280    -    0.033239</v>
          </cell>
        </row>
        <row r="11811">
          <cell r="D11811" t="str">
            <v>15336223    -    CONN 14M GT 280 MXD    -    0.12982</v>
          </cell>
        </row>
        <row r="11812">
          <cell r="D11812" t="str">
            <v>15336225    -    SLC 16M 150/280    -    0.028776</v>
          </cell>
        </row>
        <row r="11813">
          <cell r="D11813" t="str">
            <v>15336387    -    CONNECTOR    -    0.103</v>
          </cell>
        </row>
        <row r="11814">
          <cell r="D11814" t="str">
            <v>15336396    -    CONN 6F JPT SLD    -    0.481045</v>
          </cell>
        </row>
        <row r="11815">
          <cell r="D11815" t="str">
            <v>15336417    -    CONN 40M    -    0.1753</v>
          </cell>
        </row>
        <row r="11816">
          <cell r="D11816" t="str">
            <v>15336418    -    CONN 40F GT 150-280 SEALED    -    0.30425</v>
          </cell>
        </row>
        <row r="11817">
          <cell r="D11817" t="str">
            <v>15336479    -    ASM CONN 4F M/P 280    -    0.466</v>
          </cell>
        </row>
        <row r="11818">
          <cell r="D11818" t="str">
            <v>15336514    -    SLD CONNECTOR 2F    -    0.19615</v>
          </cell>
        </row>
        <row r="11819">
          <cell r="D11819" t="str">
            <v>15336536    -    CLIP HARNESS    -    0.12909</v>
          </cell>
        </row>
        <row r="11820">
          <cell r="D11820" t="str">
            <v>15336542    -    BASE FUSE BLK    -    1.23712</v>
          </cell>
        </row>
        <row r="11821">
          <cell r="D11821" t="str">
            <v>15336544    -    CLIP CONN OFFSET    -    0.107</v>
          </cell>
        </row>
        <row r="11822">
          <cell r="D11822" t="str">
            <v>15336559    -    STRAIN RELIEF    -    0.15163</v>
          </cell>
        </row>
        <row r="11823">
          <cell r="D11823" t="str">
            <v>15336588    -    CONN 10M M/P 280 MLDD    -    0.542</v>
          </cell>
        </row>
        <row r="11824">
          <cell r="D11824" t="str">
            <v>15336594    -    INSULATOR - MP 3MM SERIES    -    0.04143</v>
          </cell>
        </row>
        <row r="11825">
          <cell r="D11825" t="str">
            <v>15336635    -    CONNECTOR    -    0.168</v>
          </cell>
        </row>
        <row r="11826">
          <cell r="D11826" t="str">
            <v>15336667    -    CLIP CNVLT COT 6MM    -    0.028301</v>
          </cell>
        </row>
        <row r="11827">
          <cell r="D11827" t="str">
            <v>15336697    -    COVER CONNECTOR    -    0.27</v>
          </cell>
        </row>
        <row r="11828">
          <cell r="D11828" t="str">
            <v>15336753    -    SLIDE BAR    -    0.07718</v>
          </cell>
        </row>
        <row r="11829">
          <cell r="D11829" t="str">
            <v>15336755    -    CLIP TAPE ON ROSEBUD    -    0.01837</v>
          </cell>
        </row>
        <row r="11830">
          <cell r="D11830" t="str">
            <v>15336783    -    STRAIN RELIEF 28F MIC/P 100W    -    0.09833</v>
          </cell>
        </row>
        <row r="11831">
          <cell r="D11831" t="str">
            <v>15336784    -    COVER WIRE DRESS    -    0.0687</v>
          </cell>
        </row>
        <row r="11832">
          <cell r="D11832" t="str">
            <v>15336796    -    HOUSING 80F MIC/P 100W    -    0.3153</v>
          </cell>
        </row>
        <row r="11833">
          <cell r="D11833" t="str">
            <v>15336800    -    STR RLF 32F MIC/P    -    0.450761</v>
          </cell>
        </row>
        <row r="11834">
          <cell r="D11834" t="str">
            <v>15336807    -    (A102) STRAIN RELIEF - CERAMIC    -    0.067</v>
          </cell>
        </row>
        <row r="11835">
          <cell r="D11835" t="str">
            <v>15336847    -    PLASTIC CONN    -    0.048549</v>
          </cell>
        </row>
        <row r="11836">
          <cell r="D11836" t="str">
            <v>15336852    -    CONN 20F GT MXD    -    0.30324</v>
          </cell>
        </row>
        <row r="11837">
          <cell r="D11837" t="str">
            <v>15336853    -    CONN 32F GT MXD    -    0.16065</v>
          </cell>
        </row>
        <row r="11838">
          <cell r="D11838" t="str">
            <v>15337105    -    CONN 7 CAVITIES    -    1.120356</v>
          </cell>
        </row>
        <row r="11839">
          <cell r="D11839" t="str">
            <v>15337113    -    CONN 2F    -    0.097801</v>
          </cell>
        </row>
        <row r="11840">
          <cell r="D11840" t="str">
            <v>15337242    -    24 WAY MALE CONNECTOR BLACK    -    0.72034</v>
          </cell>
        </row>
        <row r="11841">
          <cell r="D11841" t="str">
            <v>15337302    -    CONNECTOR    -    0.015582</v>
          </cell>
        </row>
        <row r="11842">
          <cell r="D11842" t="str">
            <v>15337329    -    CONN,F,4-W,NATURAL 250S    -    0.02349</v>
          </cell>
        </row>
        <row r="11843">
          <cell r="D11843" t="str">
            <v>15337528    -    CONN, 2M 090II GRA LT    -    0.292341</v>
          </cell>
        </row>
        <row r="11844">
          <cell r="D11844" t="str">
            <v>15337730    -    CONN, 2M SWD    -    0.733869</v>
          </cell>
        </row>
        <row r="11845">
          <cell r="D11845" t="str">
            <v>15337734    -    ACC1, TPA HOLDER M FRONT    -    0.458417</v>
          </cell>
        </row>
        <row r="11846">
          <cell r="D11846" t="str">
            <v>15337735    -    CONN, 52M SWP GRA    -    0.80424</v>
          </cell>
        </row>
        <row r="11847">
          <cell r="D11847" t="str">
            <v>15337745    -    CONN,M,4-W,NATURAL,090S SEALED    -    0.136836</v>
          </cell>
        </row>
        <row r="11848">
          <cell r="D11848" t="str">
            <v>15337746    -    CONN,F,4-W,NATURAL,090S SEALED    -    0.086663</v>
          </cell>
        </row>
        <row r="11849">
          <cell r="D11849" t="str">
            <v>15337747    -    CONN,M,1-W,NATURAL,090RT UNSEALED    -    0.021666</v>
          </cell>
        </row>
        <row r="11850">
          <cell r="D11850" t="str">
            <v>15337748    -    CONN,M,1-W,NATURAL,305S LOSE    -    0.027367</v>
          </cell>
        </row>
        <row r="11851">
          <cell r="D11851" t="str">
            <v>15337749    -    CONN,M,4-W,NATURAL 250S,LOSE    -    0.028508</v>
          </cell>
        </row>
        <row r="11852">
          <cell r="D11852" t="str">
            <v>15337750    -    CONN,F,6-W,NATURAL,090 SEALED,LOSE    -    0.11403</v>
          </cell>
        </row>
        <row r="11853">
          <cell r="D11853" t="str">
            <v>15337751    -    CONN,M,2-W,NATURAL,090RT LOSE    -    0.026227</v>
          </cell>
        </row>
        <row r="11854">
          <cell r="D11854" t="str">
            <v>15337752    -    CONN,F,6-W,NATURAL,250S LOSE    -    0.03763</v>
          </cell>
        </row>
        <row r="11855">
          <cell r="D11855" t="str">
            <v>15337753    -    CONN,M,4-W,NATURAL,110S LOSE    -    0.021666</v>
          </cell>
        </row>
        <row r="11856">
          <cell r="D11856" t="str">
            <v>15337754    -    CONN,F,2-W,NATURAL,250 (WL),UNSEALED    -    0.021666</v>
          </cell>
        </row>
        <row r="11857">
          <cell r="D11857" t="str">
            <v>15337756    -    CONN, 6F BLK    -    0.79</v>
          </cell>
        </row>
        <row r="11858">
          <cell r="D11858" t="str">
            <v>15337758S    -    BC CONNECTOR    -    0.157795</v>
          </cell>
        </row>
        <row r="11859">
          <cell r="D11859" t="str">
            <v>15337760S    -    BC PLUG ASSY    -    0.88073</v>
          </cell>
        </row>
        <row r="11860">
          <cell r="D11860" t="str">
            <v>15337761S    -    BC INSERT A    -    0.15024</v>
          </cell>
        </row>
        <row r="11861">
          <cell r="D11861" t="str">
            <v>15337762S    -    BC INSERT B    -    0.14938</v>
          </cell>
        </row>
        <row r="11862">
          <cell r="D11862" t="str">
            <v>15337763S    -    BC RETAINER    -    0.07339</v>
          </cell>
        </row>
        <row r="11863">
          <cell r="D11863" t="str">
            <v>15337764S    -    BC COVER    -    0.16233</v>
          </cell>
        </row>
        <row r="11864">
          <cell r="D11864" t="str">
            <v>15337765    -    ASM CONN 2 F TIMER JR-POWER BLK    -    0.203361</v>
          </cell>
        </row>
        <row r="11865">
          <cell r="D11865" t="str">
            <v>15337765S    -    BC CONNECTOR    -    0.203307</v>
          </cell>
        </row>
        <row r="11866">
          <cell r="D11866" t="str">
            <v>15337769    -    CONN, 16M FW SLD    -    0.488576</v>
          </cell>
        </row>
        <row r="11867">
          <cell r="D11867" t="str">
            <v>15337771    -    CONN [174090-2]    -    0.031548</v>
          </cell>
        </row>
        <row r="11868">
          <cell r="D11868" t="str">
            <v>15337772    -    CLIP, BRACKET    -    0.150795</v>
          </cell>
        </row>
        <row r="11869">
          <cell r="D11869" t="str">
            <v>15337775    -    CONN, 12M 090 FW SLD, BLK    -    0.455501</v>
          </cell>
        </row>
        <row r="11870">
          <cell r="D11870" t="str">
            <v>15337776    -    ACC1,TPA 12M YEL    -    0.071</v>
          </cell>
        </row>
        <row r="11871">
          <cell r="D11871" t="str">
            <v>15337777    -    CONN 1M    -    0.38603</v>
          </cell>
        </row>
        <row r="11872">
          <cell r="D11872" t="str">
            <v>15337778    -    CONNECTOR    -    0.222435</v>
          </cell>
        </row>
        <row r="11873">
          <cell r="D11873" t="str">
            <v>15337779    -    CONN 1W    -    0.15003</v>
          </cell>
        </row>
        <row r="11874">
          <cell r="D11874" t="str">
            <v>15337781    -    CLIP, ROS    -    0.112996</v>
          </cell>
        </row>
        <row r="11875">
          <cell r="D11875" t="str">
            <v>15337783    -    ACC2, SLEEVE BOOT *7120-8012    -    0.00754</v>
          </cell>
        </row>
        <row r="11876">
          <cell r="D11876" t="str">
            <v>15337784    -    ACC2, HOLDER FRT    -    0.036291</v>
          </cell>
        </row>
        <row r="11877">
          <cell r="D11877" t="str">
            <v>15337785    -    ACC1, TPA RR 2W 58W/110 BRN    -    0.032471</v>
          </cell>
        </row>
        <row r="11878">
          <cell r="D11878" t="str">
            <v>15337786    -    ACC1, LOCK 16W SWP 070 BRN    -    0.165573</v>
          </cell>
        </row>
        <row r="11879">
          <cell r="D11879" t="str">
            <v>15337788    -    CONN, 16M SWP 070 SLD,GRA    -    1.558215</v>
          </cell>
        </row>
        <row r="11880">
          <cell r="D11880" t="str">
            <v>15337790    -    CONN, 05W RELAY F BK    -    0.144975</v>
          </cell>
        </row>
        <row r="11881">
          <cell r="D11881" t="str">
            <v>15337793-L    -    BC CONNECTOR[BLK]    -    0.456607</v>
          </cell>
        </row>
        <row r="11882">
          <cell r="D11882" t="str">
            <v>15337797-L    -    BC CONN    -    0.149778</v>
          </cell>
        </row>
        <row r="11883">
          <cell r="D11883" t="str">
            <v>15337801    -    CONN, ASM 40F SLD    -    7.221411</v>
          </cell>
        </row>
        <row r="11884">
          <cell r="D11884" t="str">
            <v>15337802    -    CONN, ASM 40F SLD    -    7.221411</v>
          </cell>
        </row>
        <row r="11885">
          <cell r="D11885" t="str">
            <v>15337813    -    CONN, 3F GRA    -    0.213827</v>
          </cell>
        </row>
        <row r="11886">
          <cell r="D11886" t="str">
            <v>15337815    -    CONN, 2F GRA LT    -    0.396792</v>
          </cell>
        </row>
        <row r="11887">
          <cell r="D11887" t="str">
            <v>15337824    -    LOCK RETAINER ORN    -    0.078011</v>
          </cell>
        </row>
        <row r="11888">
          <cell r="D11888" t="str">
            <v>15337825    -    CONN, 3F RY PBT BLK    -    0.613736</v>
          </cell>
        </row>
        <row r="11889">
          <cell r="D11889" t="str">
            <v>15337826    -    CONN 24 F MULTILOCK NAT    -    0.180962</v>
          </cell>
        </row>
        <row r="11890">
          <cell r="D11890" t="str">
            <v>15337826S    -    CONNECTOR    -    0.471411</v>
          </cell>
        </row>
        <row r="11891">
          <cell r="D11891" t="str">
            <v>15337827S    -    CONNECTOR    -    0.208354</v>
          </cell>
        </row>
        <row r="11892">
          <cell r="D11892" t="str">
            <v>15337829S    -    CONNECTOR    -    0.766542</v>
          </cell>
        </row>
        <row r="11893">
          <cell r="D11893" t="str">
            <v>15337837S    -    CONNECTOR    -    0.339791</v>
          </cell>
        </row>
        <row r="11894">
          <cell r="D11894" t="str">
            <v>15337844    -    CONN, 6F 090 SLD GRN    -    0.240367</v>
          </cell>
        </row>
        <row r="11895">
          <cell r="D11895" t="str">
            <v>15337866    -    CONN, 16M FW SLD    -    0.488576</v>
          </cell>
        </row>
        <row r="11896">
          <cell r="D11896" t="str">
            <v>15337867    -    CONN, 16M MXD SLD    -    0.492195</v>
          </cell>
        </row>
        <row r="11897">
          <cell r="D11897" t="str">
            <v>15337868    -    CLIP, MOUN    -    0.13471</v>
          </cell>
        </row>
        <row r="11898">
          <cell r="D11898" t="str">
            <v>15337869    -    CONN, 16M FW SLD    -    0.488576</v>
          </cell>
        </row>
        <row r="11899">
          <cell r="D11899" t="str">
            <v>15337871    -    CONN    -    0.284399</v>
          </cell>
        </row>
        <row r="11900">
          <cell r="D11900" t="str">
            <v>15337872    -    CONN    -    0.307823</v>
          </cell>
        </row>
        <row r="11901">
          <cell r="D11901" t="str">
            <v>15337873    -    CLIP    -    0.036191</v>
          </cell>
        </row>
        <row r="11902">
          <cell r="D11902" t="str">
            <v>15337875    -    CONN, 8F SDL UNSLD, NAT    -    0.168488</v>
          </cell>
        </row>
        <row r="11903">
          <cell r="D11903" t="str">
            <v>15337876    -    CONN, F SWP 070 SLD,BLK    -    0.472893</v>
          </cell>
        </row>
        <row r="11904">
          <cell r="D11904" t="str">
            <v>15337877    -    CONN, 16F    -    0.533513</v>
          </cell>
        </row>
        <row r="11905">
          <cell r="D11905" t="str">
            <v>15337879    -    CONN, 2F 090II GRA    -    0.611826</v>
          </cell>
        </row>
        <row r="11906">
          <cell r="D11906" t="str">
            <v>15337881    -    CONN, ASM 3F MT 090 SLD, BLK    -    0.305611</v>
          </cell>
        </row>
        <row r="11907">
          <cell r="D11907" t="str">
            <v>15337882    -    CONN, 3F 090II SLD GRA    -    0.33376</v>
          </cell>
        </row>
        <row r="11908">
          <cell r="D11908" t="str">
            <v>15337884    -    CONN, ASM  2F 090II SLD    -    0.416194</v>
          </cell>
        </row>
        <row r="11909">
          <cell r="D11909" t="str">
            <v>15337889    -    CONN, 12M SLD GRA    -    1.643666</v>
          </cell>
        </row>
        <row r="11910">
          <cell r="D11910" t="str">
            <v>15337890    -    ACC1,REAR HOLDER    -    0.18397</v>
          </cell>
        </row>
        <row r="11911">
          <cell r="D11911" t="str">
            <v>15337891    -    CONN, 3F 090 SLD GRA LT    -    0.568598</v>
          </cell>
        </row>
        <row r="11912">
          <cell r="D11912" t="str">
            <v>15337895    -    ACC1, SECLOCK LK HOLDER 62Z LT GRN    -    0.085451</v>
          </cell>
        </row>
        <row r="11913">
          <cell r="D11913" t="str">
            <v>15337899    -    CONN,8F 090II SLD GRA    -    0.631831</v>
          </cell>
        </row>
        <row r="11914">
          <cell r="D11914" t="str">
            <v>15337902    -    CONN 2M    -    0.17131</v>
          </cell>
        </row>
        <row r="11915">
          <cell r="D11915" t="str">
            <v>15337903    -    LOCK TPA 2 YEL    -    0.09077</v>
          </cell>
        </row>
        <row r="11916">
          <cell r="D11916" t="str">
            <v>15337907    -    CONN,8-W,BLACK    -    0.07865</v>
          </cell>
        </row>
        <row r="11917">
          <cell r="D11917" t="str">
            <v>15337909    -    CONN, 2F .070 MULTILOCK    -    0.0432</v>
          </cell>
        </row>
        <row r="11918">
          <cell r="D11918" t="str">
            <v>15337910    -    CONN, 6F .070 MULTILOCK    -    0.0689</v>
          </cell>
        </row>
        <row r="11919">
          <cell r="D11919" t="str">
            <v>15337911    -    CONN, 6M .070 MULTILOCK    -    0.0699</v>
          </cell>
        </row>
        <row r="11920">
          <cell r="D11920" t="str">
            <v>15337912    -    CONN, 6M .070 MULTILOCK    -    0.0699</v>
          </cell>
        </row>
        <row r="11921">
          <cell r="D11921" t="str">
            <v>15337913    -    CONN, 6F .070 MULTILOCK    -    0.0586</v>
          </cell>
        </row>
        <row r="11922">
          <cell r="D11922" t="str">
            <v>15337914    -    CONN, 4F 250 SER NAT    -    0.0668</v>
          </cell>
        </row>
        <row r="11923">
          <cell r="D11923" t="str">
            <v>15337915    -    CONN,    -    0.3493</v>
          </cell>
        </row>
        <row r="11924">
          <cell r="D11924" t="str">
            <v>15337916    -    CONN,    -    0.2199</v>
          </cell>
        </row>
        <row r="11925">
          <cell r="D11925" t="str">
            <v>15337917    -    CONN, 15F .070/.250 HYBRID WHT    -    0.091</v>
          </cell>
        </row>
        <row r="11926">
          <cell r="D11926" t="str">
            <v>15337919    -    CONN, 12P 090 III CAP ASSY    -    0.1362</v>
          </cell>
        </row>
        <row r="11927">
          <cell r="D11927" t="str">
            <v>15337921    -    CONN, 12P 090 III CAP ASSY    -    0.0855</v>
          </cell>
        </row>
        <row r="11928">
          <cell r="D11928" t="str">
            <v>15337922    -    CONN, 8P 090 III CAP ASSY    -    0.0694</v>
          </cell>
        </row>
        <row r="11929">
          <cell r="D11929" t="str">
            <v>15337923    -    CONN,     -    0.2774</v>
          </cell>
        </row>
        <row r="11930">
          <cell r="D11930" t="str">
            <v>15337924    -    CONN,     -    0.3952</v>
          </cell>
        </row>
        <row r="11931">
          <cell r="D11931" t="str">
            <v>15337925    -    CONN,     -    1.7887</v>
          </cell>
        </row>
        <row r="11932">
          <cell r="D11932" t="str">
            <v>15337927    -    ACC1, REAR HOLDER    -    0.0133</v>
          </cell>
        </row>
        <row r="11933">
          <cell r="D11933" t="str">
            <v>15337928    -    ACC1, REAR HOLDER    -    0.0266</v>
          </cell>
        </row>
        <row r="11934">
          <cell r="D11934" t="str">
            <v>15337929    -    ACC1, REAR HOLDER 2F SWP    -    0.0095</v>
          </cell>
        </row>
        <row r="11935">
          <cell r="D11935" t="str">
            <v>15337930    -    ACC1, REAR HOLDER 3F SWP    -    0.0108</v>
          </cell>
        </row>
        <row r="11936">
          <cell r="D11936" t="str">
            <v>15337931    -    ACC1, SPACER 12F SP    -    0.0083</v>
          </cell>
        </row>
        <row r="11937">
          <cell r="D11937" t="str">
            <v>15337932    -    ACC1, TPA    -    0.021</v>
          </cell>
        </row>
        <row r="11938">
          <cell r="D11938" t="str">
            <v>15337933    -    ACC1, TPA 10F SSD    -    0.0334</v>
          </cell>
        </row>
        <row r="11939">
          <cell r="D11939" t="str">
            <v>15337934    -    ACC1, TPA HYBRID    -    0.0319</v>
          </cell>
        </row>
        <row r="11940">
          <cell r="D11940" t="str">
            <v>15337935    -    CLIP, CONN    -    0.0276</v>
          </cell>
        </row>
        <row r="11941">
          <cell r="D11941" t="str">
            <v>15337936    -    CLIP, CONN    -    0.0353</v>
          </cell>
        </row>
        <row r="11942">
          <cell r="D11942" t="str">
            <v>15337937    -    CLIP, CONN    -    0.0432</v>
          </cell>
        </row>
        <row r="11943">
          <cell r="D11943" t="str">
            <v>15337938    -    CONN,     -    0.1025</v>
          </cell>
        </row>
        <row r="11944">
          <cell r="D11944" t="str">
            <v>15337939    -    CONN, .070 PCB    -    0.0811</v>
          </cell>
        </row>
        <row r="11945">
          <cell r="D11945" t="str">
            <v>15337940    -    CONN, .070 PCB    -    0.0811</v>
          </cell>
        </row>
        <row r="11946">
          <cell r="D11946" t="str">
            <v>15337941    -    CONN, 10F 090 II    -    0.077</v>
          </cell>
        </row>
        <row r="11947">
          <cell r="D11947" t="str">
            <v>15337942    -    CONN, 10F SSD    -    0.2161</v>
          </cell>
        </row>
        <row r="11948">
          <cell r="D11948" t="str">
            <v>15337943    -    CONN, 11F 1809    -    0.2723</v>
          </cell>
        </row>
        <row r="11949">
          <cell r="D11949" t="str">
            <v>15337944    -    CONN, 12F SP    -    0.0411</v>
          </cell>
        </row>
        <row r="11950">
          <cell r="D11950" t="str">
            <v>15337945    -    CONN, 14F 090 II    -    0.0776</v>
          </cell>
        </row>
        <row r="11951">
          <cell r="D11951" t="str">
            <v>15337946    -    CONN, 16F 060 II    -    0.2063</v>
          </cell>
        </row>
        <row r="11952">
          <cell r="D11952" t="str">
            <v>15337947    -    CONN, 16F 060 II    -    0.2063</v>
          </cell>
        </row>
        <row r="11953">
          <cell r="D11953" t="str">
            <v>15337948    -    CONN, 16F 060 II    -    0.2063</v>
          </cell>
        </row>
        <row r="11954">
          <cell r="D11954" t="str">
            <v>15337949    -    CONN, 1F 250    -    0.0213</v>
          </cell>
        </row>
        <row r="11955">
          <cell r="D11955" t="str">
            <v>15337950    -    CONN, 1F 250 WP    -    0.0768</v>
          </cell>
        </row>
        <row r="11956">
          <cell r="D11956" t="str">
            <v>15337951    -    CONN, 1F P-LOCK    -    0.0148</v>
          </cell>
        </row>
        <row r="11957">
          <cell r="D11957" t="str">
            <v>15337952    -    CONN, 20F 090 II    -    0.1288</v>
          </cell>
        </row>
        <row r="11958">
          <cell r="D11958" t="str">
            <v>15337953    -    CONN, 20F SP    -    0.0767</v>
          </cell>
        </row>
        <row r="11959">
          <cell r="D11959" t="str">
            <v>15337954    -    CONN, 21F HYBRID    -    0.2576</v>
          </cell>
        </row>
        <row r="11960">
          <cell r="D11960" t="str">
            <v>15337955    -    CONN, 22F .2507    -    0.141</v>
          </cell>
        </row>
        <row r="11961">
          <cell r="D11961" t="str">
            <v>15337956    -    CONN, 22M .2507    -    0.1268</v>
          </cell>
        </row>
        <row r="11962">
          <cell r="D11962" t="str">
            <v>15337957    -    CONN, 23F 050    -    0.1945</v>
          </cell>
        </row>
        <row r="11963">
          <cell r="D11963" t="str">
            <v>15337958    -    CONN, 24F HYBRID    -    0.3493</v>
          </cell>
        </row>
        <row r="11964">
          <cell r="D11964" t="str">
            <v>15337959    -    CONN, 26F PCB    -    0.1277</v>
          </cell>
        </row>
        <row r="11965">
          <cell r="D11965" t="str">
            <v>15337960    -    CONN, 2F 090    -    0.0295</v>
          </cell>
        </row>
        <row r="11966">
          <cell r="D11966" t="str">
            <v>15337961    -    CONN, 2F 090    -    0.0515</v>
          </cell>
        </row>
        <row r="11967">
          <cell r="D11967" t="str">
            <v>15337962    -    CONN, 2F 090 II    -    0.0547</v>
          </cell>
        </row>
        <row r="11968">
          <cell r="D11968" t="str">
            <v>15337963    -    CONN, 2F 090 II    -    0.0484</v>
          </cell>
        </row>
        <row r="11969">
          <cell r="D11969" t="str">
            <v>15337964    -    CONN, 2F 090 II WP    -    0.1913</v>
          </cell>
        </row>
        <row r="11970">
          <cell r="D11970" t="str">
            <v>15337965    -    CONN, 2F 090 II WP    -    0.1913</v>
          </cell>
        </row>
        <row r="11971">
          <cell r="D11971" t="str">
            <v>15337966    -    CONN, 2F 090 WP    -    0.1012</v>
          </cell>
        </row>
        <row r="11972">
          <cell r="D11972" t="str">
            <v>15337968    -    CONN, 2F 090 WP    -    0.101</v>
          </cell>
        </row>
        <row r="11973">
          <cell r="D11973" t="str">
            <v>15337969    -    CONN, 2F 250    -    0.0226</v>
          </cell>
        </row>
        <row r="11974">
          <cell r="D11974" t="str">
            <v>15337970    -    CONN, 2F 250    -    0.0411</v>
          </cell>
        </row>
        <row r="11975">
          <cell r="D11975" t="str">
            <v>15337971    -    CONN, 2F SDL    -    0.0315</v>
          </cell>
        </row>
        <row r="11976">
          <cell r="D11976" t="str">
            <v>15337972    -    CONN, 2F SWP    -    0.055</v>
          </cell>
        </row>
        <row r="11977">
          <cell r="D11977" t="str">
            <v>15337973    -    CONN, 2F SWP    -    0.055</v>
          </cell>
        </row>
        <row r="11978">
          <cell r="D11978" t="str">
            <v>15337974    -    CONN, 2M SWP    -    0.0737</v>
          </cell>
        </row>
        <row r="11979">
          <cell r="D11979" t="str">
            <v>15337975    -    CONN, 3F 090 II    -    0.0556</v>
          </cell>
        </row>
        <row r="11980">
          <cell r="D11980" t="str">
            <v>15337976    -    CONN, 3F 250    -    0.0295</v>
          </cell>
        </row>
        <row r="11981">
          <cell r="D11981" t="str">
            <v>15337977    -    CONN, 3F SDL    -    0.0325</v>
          </cell>
        </row>
        <row r="11982">
          <cell r="D11982" t="str">
            <v>15337978    -    CONN, 3M ITC    -    0.0983</v>
          </cell>
        </row>
        <row r="11983">
          <cell r="D11983" t="str">
            <v>15337979    -    CONN, 3M SWP    -    0.0973</v>
          </cell>
        </row>
        <row r="11984">
          <cell r="D11984" t="str">
            <v>15337980    -    CONN, 4F 090 II WP    -    0.1823</v>
          </cell>
        </row>
        <row r="11985">
          <cell r="D11985" t="str">
            <v>15337981    -    CONN, 4F 250    -    0.0325</v>
          </cell>
        </row>
        <row r="11986">
          <cell r="D11986" t="str">
            <v>15337982    -    CONN, 4F 250 D/L    -    0.058</v>
          </cell>
        </row>
        <row r="11987">
          <cell r="D11987" t="str">
            <v>15337983    -    CONN, 4F 312-II    -    0.1965</v>
          </cell>
        </row>
        <row r="11988">
          <cell r="D11988" t="str">
            <v>15337984    -    CONN, 4F SDL    -    0.0481</v>
          </cell>
        </row>
        <row r="11989">
          <cell r="D11989" t="str">
            <v>15337985    -    CONN, 4M 090 II WP    -    0.0866</v>
          </cell>
        </row>
        <row r="11990">
          <cell r="D11990" t="str">
            <v>15337986    -    CONN, 4M 250    -    0.0354</v>
          </cell>
        </row>
        <row r="11991">
          <cell r="D11991" t="str">
            <v>15337987    -    CONN, 4M SWP    -    0.1149</v>
          </cell>
        </row>
        <row r="11992">
          <cell r="D11992" t="str">
            <v>15337988    -    CONNECTOR    -    0.0602</v>
          </cell>
        </row>
        <row r="11993">
          <cell r="D11993" t="str">
            <v>15337989    -    CONN, 6F 250 III    -    0.1517</v>
          </cell>
        </row>
        <row r="11994">
          <cell r="D11994" t="str">
            <v>15337990    -    CONN, 6F SDL    -    0.056</v>
          </cell>
        </row>
        <row r="11995">
          <cell r="D11995" t="str">
            <v>15337991    -    CONN, 7F 118 (PA)    -    0.0364</v>
          </cell>
        </row>
        <row r="11996">
          <cell r="D11996" t="str">
            <v>15337992    -    CONN, 8F 090    -    0.0442</v>
          </cell>
        </row>
        <row r="11997">
          <cell r="D11997" t="str">
            <v>15337993    -    CONN, 8F 090 II    -    0.0621</v>
          </cell>
        </row>
        <row r="11998">
          <cell r="D11998" t="str">
            <v>15337994    -    CONN, 9F 118 (PA)    -    0.0472</v>
          </cell>
        </row>
        <row r="11999">
          <cell r="D11999" t="str">
            <v>15338002    -    CONN, FEMALE 26 WAY    -    0.43159</v>
          </cell>
        </row>
        <row r="12000">
          <cell r="D12000" t="str">
            <v>15338004    -    COVER, PLASTIC 10 WAY    -    0.09215</v>
          </cell>
        </row>
        <row r="12001">
          <cell r="D12001" t="str">
            <v>15338005    -    CONN, FEMALE 10 WAY    -    0.09576</v>
          </cell>
        </row>
        <row r="12002">
          <cell r="D12002" t="str">
            <v>15338006    -    CX 4 VIAS PR 1387173.    -    0.096344</v>
          </cell>
        </row>
        <row r="12003">
          <cell r="D12003" t="str">
            <v>15338009    -    CONNECTOR    -    0.600315</v>
          </cell>
        </row>
        <row r="12004">
          <cell r="D12004" t="str">
            <v>15338012    -    CX CAIXA 6 SW 1378123.    -    0.216113</v>
          </cell>
        </row>
        <row r="12005">
          <cell r="D12005" t="str">
            <v>15338013    -    CONN, MALE    -    0.12448</v>
          </cell>
        </row>
        <row r="12006">
          <cell r="D12006" t="str">
            <v>15338015    -    CONNECTOR    -    0.165296</v>
          </cell>
        </row>
        <row r="12007">
          <cell r="D12007" t="str">
            <v>15338016    -    CONNECTOR    -    0.569954</v>
          </cell>
        </row>
        <row r="12008">
          <cell r="D12008" t="str">
            <v>15338022    -    INSULATING HOUSING 1 WAY FEMALE    -    0.01363</v>
          </cell>
        </row>
        <row r="12009">
          <cell r="D12009" t="str">
            <v>15338027    -    CONN,MALE 30 WAY    -    0.47596</v>
          </cell>
        </row>
        <row r="12010">
          <cell r="D12010" t="str">
            <v>15338028    -    CONNECTOR    -    0.219567</v>
          </cell>
        </row>
        <row r="12011">
          <cell r="D12011" t="str">
            <v>15338031    -    CONN, MALE 26 WAY    -    0.60984</v>
          </cell>
        </row>
        <row r="12012">
          <cell r="D12012" t="str">
            <v>15338034    -    CX 6 CAV BK 1387194.    -    0.210459</v>
          </cell>
        </row>
        <row r="12013">
          <cell r="D12013" t="str">
            <v>15338035    -    CONNECTOR    -    0.262827</v>
          </cell>
        </row>
        <row r="12014">
          <cell r="D12014" t="str">
            <v>15338036    -    CONNECTOR    -    0.711286</v>
          </cell>
        </row>
        <row r="12015">
          <cell r="D12015" t="str">
            <v>15338040    -    ACC2, COVER BLK    -    0.207936</v>
          </cell>
        </row>
        <row r="12016">
          <cell r="D12016" t="str">
            <v>15338041    -    CONN 30M    -    0.47559</v>
          </cell>
        </row>
        <row r="12017">
          <cell r="D12017" t="str">
            <v>15338043    -    COVER    -    0.207936</v>
          </cell>
        </row>
        <row r="12018">
          <cell r="D12018" t="str">
            <v>15338045    -    CONN, 10F ELO BLK    -    0.095899</v>
          </cell>
        </row>
        <row r="12019">
          <cell r="D12019" t="str">
            <v>15338127    -    CONN, FEMALE 30 WAY    -    0.30628</v>
          </cell>
        </row>
        <row r="12020">
          <cell r="D12020" t="str">
            <v>15338128    -    HOUSING 8 POL    -    0.185415</v>
          </cell>
        </row>
        <row r="12021">
          <cell r="D12021" t="str">
            <v>15338130    -    CONN 6M    -    0.23606</v>
          </cell>
        </row>
        <row r="12022">
          <cell r="D12022" t="str">
            <v>15338131    -    HOUSING 12 POL    -    0.254259</v>
          </cell>
        </row>
        <row r="12023">
          <cell r="D12023" t="str">
            <v>15338133    -    CONN 4 WAY    -    0.73029</v>
          </cell>
        </row>
        <row r="12024">
          <cell r="D12024" t="str">
            <v>15338134    -    CONN, MALE 25 WAY    -    0.96644</v>
          </cell>
        </row>
        <row r="12025">
          <cell r="D12025" t="str">
            <v>15338137    -    ACC2, COVER BLK    -    0.215155</v>
          </cell>
        </row>
        <row r="12026">
          <cell r="D12026" t="str">
            <v>15338138    -    CONN, FEMALE 30 WAY    -    0.30625</v>
          </cell>
        </row>
        <row r="12027">
          <cell r="D12027" t="str">
            <v>15338139    -    CONN, FEMALE 2 WAY    -    0.06206</v>
          </cell>
        </row>
        <row r="12028">
          <cell r="D12028" t="str">
            <v>15338140    -    CONN, FEMALE 4 WAY    -    0.11669</v>
          </cell>
        </row>
        <row r="12029">
          <cell r="D12029" t="str">
            <v>15338141    -    CX 12 CAV NT 1378137.    -    0.25295</v>
          </cell>
        </row>
        <row r="12030">
          <cell r="D12030" t="str">
            <v>15338143    -    CONN, MALE 25 WAY    -    0.96898</v>
          </cell>
        </row>
        <row r="12031">
          <cell r="D12031" t="str">
            <v>15338144    -    CONN F 2-WAY    -    0.27352</v>
          </cell>
        </row>
        <row r="12032">
          <cell r="D12032" t="str">
            <v>15338171    -    CONN 15-WAY F    -    1.03833</v>
          </cell>
        </row>
        <row r="12033">
          <cell r="D12033" t="str">
            <v>15338173    -    CONN, FEMALE 5 WAY    -    0.21427</v>
          </cell>
        </row>
        <row r="12034">
          <cell r="D12034" t="str">
            <v>15338174    -    604642 AK 13979    -    0.034112</v>
          </cell>
        </row>
        <row r="12035">
          <cell r="D12035" t="str">
            <v>15338176    -    CONNECTOR    -    0.067562</v>
          </cell>
        </row>
        <row r="12036">
          <cell r="D12036" t="str">
            <v>15338178    -    MQS DECKEL    -    0.03974</v>
          </cell>
        </row>
        <row r="12037">
          <cell r="D12037" t="str">
            <v>15338179    -    CONN    -    0.25492</v>
          </cell>
        </row>
        <row r="12038">
          <cell r="D12038" t="str">
            <v>15338180    -    CONN, FEMALE - SEALED    -    1.25005</v>
          </cell>
        </row>
        <row r="12039">
          <cell r="D12039" t="str">
            <v>15338182    -    HOUSING 3 POL    -    0.11232</v>
          </cell>
        </row>
        <row r="12040">
          <cell r="D12040" t="str">
            <v>15338183    -    CONN, FEMALE    -    0.22795</v>
          </cell>
        </row>
        <row r="12041">
          <cell r="D12041" t="str">
            <v>15338186    -    CONN, FEMALE 6 WAY    -    0.08993</v>
          </cell>
        </row>
        <row r="12042">
          <cell r="D12042" t="str">
            <v>15338187    -    CONNECTOR    -    0.03721</v>
          </cell>
        </row>
        <row r="12043">
          <cell r="D12043" t="str">
            <v>15338191    -    CONN, FEMALE 26 WAY    -    0.43159</v>
          </cell>
        </row>
        <row r="12044">
          <cell r="D12044" t="str">
            <v>15338196    -    CONN, FEMALE 4 WAY    -    0.0497</v>
          </cell>
        </row>
        <row r="12045">
          <cell r="D12045" t="str">
            <v>15338201    -    CONN, FEMALE 2 WAY    -    0.36354</v>
          </cell>
        </row>
        <row r="12046">
          <cell r="D12046" t="str">
            <v>15338202    -    LATCH    -    0.06234</v>
          </cell>
        </row>
        <row r="12047">
          <cell r="D12047" t="str">
            <v>15338207    -    CONN, 2F MINITIMER BLK SEALED    -    0.182973</v>
          </cell>
        </row>
        <row r="12048">
          <cell r="D12048" t="str">
            <v>15338209    -    COMPONENT    -    0.188788</v>
          </cell>
        </row>
        <row r="12049">
          <cell r="D12049" t="str">
            <v>15338238    -    COVER    -    0.31406</v>
          </cell>
        </row>
        <row r="12050">
          <cell r="D12050" t="str">
            <v>15338242    -    COVER    -    0.04161</v>
          </cell>
        </row>
        <row r="12051">
          <cell r="D12051" t="str">
            <v>15338244    -    COVER    -    0.236</v>
          </cell>
        </row>
        <row r="12052">
          <cell r="D12052" t="str">
            <v>15338258    -    HOUSING 1 P PVC BLACK    -    0.152329</v>
          </cell>
        </row>
        <row r="12053">
          <cell r="D12053" t="str">
            <v>15338260    -    CX 20 CAV BK 1383502.    -    0.935872</v>
          </cell>
        </row>
        <row r="12054">
          <cell r="D12054" t="str">
            <v>15338261    -    CX 2 CAV PR 1-927507-1    -    0.101458</v>
          </cell>
        </row>
        <row r="12055">
          <cell r="D12055" t="str">
            <v>15338264    -    COVER 6-WAY INDEXING    -    0.09514</v>
          </cell>
        </row>
        <row r="12056">
          <cell r="D12056" t="str">
            <v>15338265    -    HOUSING 11 POL    -    0.477496</v>
          </cell>
        </row>
        <row r="12057">
          <cell r="D12057" t="str">
            <v>15338269    -    HOUSING 2 P PVC BLACK    -    0.340672</v>
          </cell>
        </row>
        <row r="12058">
          <cell r="D12058" t="str">
            <v>15338272    -    COVER HOUSING-PVC BLACK    -    0.120362</v>
          </cell>
        </row>
        <row r="12059">
          <cell r="D12059" t="str">
            <v>15338273    -    HOUSING 18 P. CE    -    0.153489</v>
          </cell>
        </row>
        <row r="12060">
          <cell r="D12060" t="str">
            <v>15338275    -    CONN 15 F SOCKET 2.5 NAT    -    0.691625</v>
          </cell>
        </row>
        <row r="12061">
          <cell r="D12061" t="str">
            <v>15338285    -    COVER HOUSING CE    -    0.227758</v>
          </cell>
        </row>
        <row r="12062">
          <cell r="D12062" t="str">
            <v>15338287    -    CX 12 CAV BK YPC 1117    -    0.060343</v>
          </cell>
        </row>
        <row r="12063">
          <cell r="D12063" t="str">
            <v>15338290    -    HOUSING 1 P PVC BLACK-WHITE    -    0.371073</v>
          </cell>
        </row>
        <row r="12064">
          <cell r="D12064" t="str">
            <v>15338291    -    HOUSING 2 P-PVC GREY    -    0.22881</v>
          </cell>
        </row>
        <row r="12065">
          <cell r="D12065" t="str">
            <v>15338292    -    HOUSING 13 POLOV-PVC CERNU    -    0.096425</v>
          </cell>
        </row>
        <row r="12066">
          <cell r="D12066" t="str">
            <v>15338300    -    COVER    -    0.236</v>
          </cell>
        </row>
        <row r="12067">
          <cell r="D12067" t="str">
            <v>15338301    -    COVER BLU    -    0.24941</v>
          </cell>
        </row>
        <row r="12068">
          <cell r="D12068" t="str">
            <v>15338306    -    RELAY    -    1.098375</v>
          </cell>
        </row>
        <row r="12069">
          <cell r="D12069" t="str">
            <v>15338307    -    LOCK    -    0.031292</v>
          </cell>
        </row>
        <row r="12070">
          <cell r="D12070" t="str">
            <v>15338310    -    CONNECTOR 2-WAY AIRBAG    -    1.12174</v>
          </cell>
        </row>
        <row r="12071">
          <cell r="D12071" t="str">
            <v>15338311    -    LOCK    -    0.07443</v>
          </cell>
        </row>
        <row r="12072">
          <cell r="D12072" t="str">
            <v>15338312    -    SECONDARY LOCK    -    0.05362</v>
          </cell>
        </row>
        <row r="12073">
          <cell r="D12073" t="str">
            <v>15338313    -    CONNECTOR 2-WAY    -    0.31042</v>
          </cell>
        </row>
        <row r="12074">
          <cell r="D12074" t="str">
            <v>15338314    -    CONNECTOR    -    0.11552</v>
          </cell>
        </row>
        <row r="12075">
          <cell r="D12075" t="str">
            <v>15338315    -    COVER    -    0.236</v>
          </cell>
        </row>
        <row r="12076">
          <cell r="D12076" t="str">
            <v>15338316    -    COVER    -    0.18491</v>
          </cell>
        </row>
        <row r="12077">
          <cell r="D12077" t="str">
            <v>15338319    -    COVER 50 WAY    -    0.91611</v>
          </cell>
        </row>
        <row r="12078">
          <cell r="D12078" t="str">
            <v>15338320    -    COVER BLK    -    0.35376</v>
          </cell>
        </row>
        <row r="12079">
          <cell r="D12079" t="str">
            <v>15338352    -    CONN FEMALE 2 WAY STRAIGHT    -    0.173662</v>
          </cell>
        </row>
        <row r="12080">
          <cell r="D12080" t="str">
            <v>15338353    -    CONN F 2 WAY RIGHT ANGLE    -    0.11483</v>
          </cell>
        </row>
        <row r="12081">
          <cell r="D12081" t="str">
            <v>15338354    -    CONN FEMALE 2 WAY STRAIGHT    -    0.173662</v>
          </cell>
        </row>
        <row r="12082">
          <cell r="D12082" t="str">
            <v>15338357    -    CONN FEMALE 3 WAY STRAIGHT    -    0.202673</v>
          </cell>
        </row>
        <row r="12083">
          <cell r="D12083" t="str">
            <v>15338361    -    CONN F 3 WAY RIGHT ANGLE    -    0.12576</v>
          </cell>
        </row>
        <row r="12084">
          <cell r="D12084" t="str">
            <v>15338363    -    CONN, F 3 WAY RIGHT ANGLE    -    0.128324</v>
          </cell>
        </row>
        <row r="12085">
          <cell r="D12085" t="str">
            <v>15338367    -    CONN F 2 WAY RIGHT STRAIGHT    -    0.124141</v>
          </cell>
        </row>
        <row r="12086">
          <cell r="D12086" t="str">
            <v>15338385    -    CONNECTOR    -    0.062232</v>
          </cell>
        </row>
        <row r="12087">
          <cell r="D12087" t="str">
            <v>15338410    -    COVER    -    0.09606</v>
          </cell>
        </row>
        <row r="12088">
          <cell r="D12088" t="str">
            <v>15338414    -    609716 VERSCHLUSS 0-962    -    0.067481</v>
          </cell>
        </row>
        <row r="12089">
          <cell r="D12089" t="str">
            <v>15338415    -    LOCK    -    0.09022</v>
          </cell>
        </row>
        <row r="12090">
          <cell r="D12090" t="str">
            <v>15338431    -    CONN M    -    0.05195</v>
          </cell>
        </row>
        <row r="12091">
          <cell r="D12091" t="str">
            <v>15338432    -    CONN 12-WAY    -    0.2274</v>
          </cell>
        </row>
        <row r="12092">
          <cell r="D12092" t="str">
            <v>15338433    -    CONN 6F    -    0.46004</v>
          </cell>
        </row>
        <row r="12093">
          <cell r="D12093" t="str">
            <v>15338457    -    CONNECTOR    -    0.45025</v>
          </cell>
        </row>
        <row r="12094">
          <cell r="D12094" t="str">
            <v>15338490    -    ASM CONN 2F    -    0.1699</v>
          </cell>
        </row>
        <row r="12095">
          <cell r="D12095" t="str">
            <v>15338540    -    CONN 12F    -    0.16227</v>
          </cell>
        </row>
        <row r="12096">
          <cell r="D12096" t="str">
            <v>15338549    -    CONNECTOR    -    0.025788</v>
          </cell>
        </row>
        <row r="12097">
          <cell r="D12097" t="str">
            <v>15338561    -    109681011    -    0.093132</v>
          </cell>
        </row>
        <row r="12098">
          <cell r="D12098" t="str">
            <v>15338563    -    COVER CONNECTOR    -    0.29125</v>
          </cell>
        </row>
        <row r="12099">
          <cell r="D12099" t="str">
            <v>15338564    -    COVER CONNECTOR    -    0.29818</v>
          </cell>
        </row>
        <row r="12100">
          <cell r="D12100" t="str">
            <v>15338568    -    CONN 0 F MISC PURCH BLK    -    0.430714</v>
          </cell>
        </row>
        <row r="12101">
          <cell r="D12101" t="str">
            <v>15338586    -    ACC2, COVER PPL    -    0.036093</v>
          </cell>
        </row>
        <row r="12102">
          <cell r="D12102" t="str">
            <v>15338593    -    V3    -    0.198355</v>
          </cell>
        </row>
        <row r="12103">
          <cell r="D12103" t="str">
            <v>15338596    -    CONN 2F TIMER    -    0.24005</v>
          </cell>
        </row>
        <row r="12104">
          <cell r="D12104" t="str">
            <v>15338610    -    CONN 12FCDT    -    1.762177</v>
          </cell>
        </row>
        <row r="12105">
          <cell r="D12105" t="str">
            <v>15338627    -    CONN 4 WAY    -    0.12891</v>
          </cell>
        </row>
        <row r="12106">
          <cell r="D12106" t="str">
            <v>15338628    -    CX 4 VIAS NT YPIECE11207    -    0.127271</v>
          </cell>
        </row>
        <row r="12107">
          <cell r="D12107" t="str">
            <v>15338637    -    TPA    -    0.07524</v>
          </cell>
        </row>
        <row r="12108">
          <cell r="D12108" t="str">
            <v>15338644    -    COVER    -    0.37273</v>
          </cell>
        </row>
        <row r="12109">
          <cell r="D12109" t="str">
            <v>15338645    -    CONECTOR    -    0.19069</v>
          </cell>
        </row>
        <row r="12110">
          <cell r="D12110" t="str">
            <v>15338648    -    CONN, 6F ELA BLK SEALED    -    0.330501</v>
          </cell>
        </row>
        <row r="12111">
          <cell r="D12111" t="str">
            <v>15338650    -    CONNECTOR    -    0.20428</v>
          </cell>
        </row>
        <row r="12112">
          <cell r="D12112" t="str">
            <v>15338651    -    CONNECTOR    -    0.19069</v>
          </cell>
        </row>
        <row r="12113">
          <cell r="D12113" t="str">
            <v>15338652    -    ABDECKKAPPE KOD.B    -    0.280666</v>
          </cell>
        </row>
        <row r="12114">
          <cell r="D12114" t="str">
            <v>15338661    -    CX CORE POS2309 18 CAV BK 210 545    -    0.288978</v>
          </cell>
        </row>
        <row r="12115">
          <cell r="D12115" t="str">
            <v>15338662    -    CONNECTOR    -    0.187</v>
          </cell>
        </row>
        <row r="12116">
          <cell r="D12116" t="str">
            <v>15338665    -    CX POS.2312 12 CAV BK 210 545    -    0.219756</v>
          </cell>
        </row>
        <row r="12117">
          <cell r="D12117" t="str">
            <v>15338670    -    STIFTGEHUSE4XLKS1,5AXIALKOD.A    -    0.391313</v>
          </cell>
        </row>
        <row r="12118">
          <cell r="D12118" t="str">
            <v>15338692    -    CONN 12F    -    0.06033</v>
          </cell>
        </row>
        <row r="12119">
          <cell r="D12119" t="str">
            <v>15338693    -    CONN, MALE 2 WAY    -    0.06197</v>
          </cell>
        </row>
        <row r="12120">
          <cell r="D12120" t="str">
            <v>15338698    -    CONN    -    0.391893</v>
          </cell>
        </row>
        <row r="12121">
          <cell r="D12121" t="str">
            <v>15338703    -    CONNECTOR    -    0.59428</v>
          </cell>
        </row>
        <row r="12122">
          <cell r="D12122" t="str">
            <v>15338712    -    KABELABDECKUNGNAG    -    0.182136</v>
          </cell>
        </row>
        <row r="12123">
          <cell r="D12123" t="str">
            <v>15338731S    -    CONNECTOR    -    0.137735</v>
          </cell>
        </row>
        <row r="12124">
          <cell r="D12124" t="str">
            <v>15338750    -    CONNECTOR    -    0.023614</v>
          </cell>
        </row>
        <row r="12125">
          <cell r="D12125" t="str">
            <v>15338751    -    CONN, 9MXD SPLICE ACC2, COVER BLK    -    0.054109</v>
          </cell>
        </row>
        <row r="12126">
          <cell r="D12126" t="str">
            <v>15338874    -    CONN 2F    -    0.100149</v>
          </cell>
        </row>
        <row r="12127">
          <cell r="D12127" t="str">
            <v>15338881    -    LOCK    -    0.04401</v>
          </cell>
        </row>
        <row r="12128">
          <cell r="D12128" t="str">
            <v>15338907    -    CONNECTOR 2W BLACK    -    0.029011</v>
          </cell>
        </row>
        <row r="12129">
          <cell r="D12129" t="str">
            <v>15338908    -    CONN 4 F DFK 1 BLU    -    0.129133</v>
          </cell>
        </row>
        <row r="12130">
          <cell r="D12130" t="str">
            <v>15338909    -    CONN M+F    -    0.124411</v>
          </cell>
        </row>
        <row r="12131">
          <cell r="D12131" t="str">
            <v>15338980    -    CONNECTOR    -    0.03649</v>
          </cell>
        </row>
        <row r="12132">
          <cell r="D12132" t="str">
            <v>15338981    -    CONNECTOR    -    0.04196</v>
          </cell>
        </row>
        <row r="12133">
          <cell r="D12133" t="str">
            <v>15338993    -    FLAG CONN    -    0.046833</v>
          </cell>
        </row>
        <row r="12134">
          <cell r="D12134" t="str">
            <v>15338996    -    CONN    -    0.07974</v>
          </cell>
        </row>
        <row r="12135">
          <cell r="D12135" t="str">
            <v>15339016    -    CONN 2M M/P 150    -    0.094</v>
          </cell>
        </row>
        <row r="12136">
          <cell r="D12136" t="str">
            <v>15339096    -    CONN 7F M/P 150    -    0.10713</v>
          </cell>
        </row>
        <row r="12137">
          <cell r="D12137" t="str">
            <v>15339127    -    KON.ADP GPL INFR    -    0.368924</v>
          </cell>
        </row>
        <row r="12138">
          <cell r="D12138" t="str">
            <v>15339135    -    CONNECTOR    -    0.384566</v>
          </cell>
        </row>
        <row r="12139">
          <cell r="D12139" t="str">
            <v>15339137    -    TUELLE    -    0.340982</v>
          </cell>
        </row>
        <row r="12140">
          <cell r="D12140" t="str">
            <v>15339142    -    CLIP    -    0.098503</v>
          </cell>
        </row>
        <row r="12141">
          <cell r="D12141" t="str">
            <v>15339177    -    TERMINAL    -    0.00741</v>
          </cell>
        </row>
        <row r="12142">
          <cell r="D12142" t="str">
            <v>15339207    -    SR PLUG WEDGE, GREEN    -    0.11</v>
          </cell>
        </row>
        <row r="12143">
          <cell r="D12143" t="str">
            <v>15339213    -    CONNECTOR    -    0.02307</v>
          </cell>
        </row>
        <row r="12144">
          <cell r="D12144" t="str">
            <v>15339215    -    CONNECTOR    -    0.02</v>
          </cell>
        </row>
        <row r="12145">
          <cell r="D12145" t="str">
            <v>15339250    -    PROTECTOR L    -    1.8785</v>
          </cell>
        </row>
        <row r="12146">
          <cell r="D12146" t="str">
            <v>15339251    -    PROTECTOR R    -    1.2039</v>
          </cell>
        </row>
        <row r="12147">
          <cell r="D12147" t="str">
            <v>15339272    -    CONN 4F 040 III UN    -    0.265895</v>
          </cell>
        </row>
        <row r="12148">
          <cell r="D12148" t="str">
            <v>15339276    -    CONN 6-WAY    -    0.0769</v>
          </cell>
        </row>
        <row r="12149">
          <cell r="D12149" t="str">
            <v>15339291    -    CONNECTOR    -    0.0322</v>
          </cell>
        </row>
        <row r="12150">
          <cell r="D12150" t="str">
            <v>15339293    -    CONN 1 M 375 58 GRA SEALED    -    0.287898</v>
          </cell>
        </row>
        <row r="12151">
          <cell r="D12151" t="str">
            <v>15339302    -    CONN 6M09011SGR    -    0.545086</v>
          </cell>
        </row>
        <row r="12152">
          <cell r="D12152" t="str">
            <v>15339303    -    PROTECTOR    -    1.8265</v>
          </cell>
        </row>
        <row r="12153">
          <cell r="D12153" t="str">
            <v>15339304    -    PROTECTOR    -    1.8306</v>
          </cell>
        </row>
        <row r="12154">
          <cell r="D12154" t="str">
            <v>15339305    -    CONNECTOR 1 PIN    -    0.359194</v>
          </cell>
        </row>
        <row r="12155">
          <cell r="D12155" t="str">
            <v>15339334    -    CONNECTOR    -    4.4</v>
          </cell>
        </row>
        <row r="12156">
          <cell r="D12156" t="str">
            <v>15339341    -    CONNECTOR    -    8.43</v>
          </cell>
        </row>
        <row r="12157">
          <cell r="D12157" t="str">
            <v>15339343    -    CAVITY PLUG    -    0.11</v>
          </cell>
        </row>
        <row r="12158">
          <cell r="D12158" t="str">
            <v>15339383    -    SPACER    -    0.01371</v>
          </cell>
        </row>
        <row r="12159">
          <cell r="D12159" t="str">
            <v>15339390    -    CONN 12 F TIMER JR-POWER GRN    -    0.180071</v>
          </cell>
        </row>
        <row r="12160">
          <cell r="D12160" t="str">
            <v>15339436    -    LOCK TERM LK TPA 12 GRN    -    0.044151</v>
          </cell>
        </row>
        <row r="12161">
          <cell r="D12161" t="str">
            <v>15339438    -    CONNECTOR 2W    -    0.14095</v>
          </cell>
        </row>
        <row r="12162">
          <cell r="D12162" t="str">
            <v>15339445    -    CONNECTOR    -    0.395636</v>
          </cell>
        </row>
        <row r="12163">
          <cell r="D12163" t="str">
            <v>15339465    -    CONN 2F    -    0.38324</v>
          </cell>
        </row>
        <row r="12164">
          <cell r="D12164" t="str">
            <v>15339492    -    CONN 4M    -    0.379466</v>
          </cell>
        </row>
        <row r="12165">
          <cell r="D12165" t="str">
            <v>15339512    -    DUST COVER    -    0.06545</v>
          </cell>
        </row>
        <row r="12166">
          <cell r="D12166" t="str">
            <v>15339513    -    CONN 4F 040111UY    -    0.58691</v>
          </cell>
        </row>
        <row r="12167">
          <cell r="D12167" t="str">
            <v>15339533    -    CONN 6F    -    0.2649</v>
          </cell>
        </row>
        <row r="12168">
          <cell r="D12168" t="str">
            <v>15339534    -    CONN 6F    -    0.2649</v>
          </cell>
        </row>
        <row r="12169">
          <cell r="D12169" t="str">
            <v>15339535    -    CONN 6F    -    0.2649</v>
          </cell>
        </row>
        <row r="12170">
          <cell r="D12170" t="str">
            <v>15339537    -    CONN 6F    -    0.2649</v>
          </cell>
        </row>
        <row r="12171">
          <cell r="D12171" t="str">
            <v>15339538    -    CONN 6F    -    0.2649</v>
          </cell>
        </row>
        <row r="12172">
          <cell r="D12172" t="str">
            <v>15339539    -    CONN 6F    -    0.1595</v>
          </cell>
        </row>
        <row r="12173">
          <cell r="D12173" t="str">
            <v>15339540    -    CONN 20F    -    0.509</v>
          </cell>
        </row>
        <row r="12174">
          <cell r="D12174" t="str">
            <v>15339541    -    CONN    -    0.062205</v>
          </cell>
        </row>
        <row r="12175">
          <cell r="D12175" t="str">
            <v>15339550    -    CONN 21F    -    0.6657</v>
          </cell>
        </row>
        <row r="12176">
          <cell r="D12176" t="str">
            <v>15339551    -    COVER    -    0.24271</v>
          </cell>
        </row>
        <row r="12177">
          <cell r="D12177" t="str">
            <v>15339553    -    CONN 2F    -    0.13522</v>
          </cell>
        </row>
        <row r="12178">
          <cell r="D12178" t="str">
            <v>15339554    -    CONN 8F    -    0.114101</v>
          </cell>
        </row>
        <row r="12179">
          <cell r="D12179" t="str">
            <v>15339556    -    CLAMP    -    0.0412</v>
          </cell>
        </row>
        <row r="12180">
          <cell r="D12180" t="str">
            <v>15339557    -    CONN 6    -    1.05402</v>
          </cell>
        </row>
        <row r="12181">
          <cell r="D12181" t="str">
            <v>15339561    -    CONN 2W    -    0.27257</v>
          </cell>
        </row>
        <row r="12182">
          <cell r="D12182" t="str">
            <v>15339562    -    STECKHLSENGEHUSE5-POL.SPT    -    0.566729</v>
          </cell>
        </row>
        <row r="12183">
          <cell r="D12183" t="str">
            <v>15339563    -    CONNECTOR 9W BLACK    -    0.47052</v>
          </cell>
        </row>
        <row r="12184">
          <cell r="D12184" t="str">
            <v>15339564    -    628057 CNCO F 179 BK 24    -    0.340523</v>
          </cell>
        </row>
        <row r="12185">
          <cell r="D12185" t="str">
            <v>15339565    -    628058 CNCN F 179 BK 12    -    0.120039</v>
          </cell>
        </row>
        <row r="12186">
          <cell r="D12186" t="str">
            <v>15339566    -    628055 CNCN F 179 GY 12    -    0.120039</v>
          </cell>
        </row>
        <row r="12187">
          <cell r="D12187" t="str">
            <v>15339567    -    627562 CNCO F 179 BK 52    -    0.395901</v>
          </cell>
        </row>
        <row r="12188">
          <cell r="D12188" t="str">
            <v>15339568    -    CONNECTOR 26W BLACK    -    0.158617</v>
          </cell>
        </row>
        <row r="12189">
          <cell r="D12189" t="str">
            <v>15339569    -    CONNECTOR 26W GRAY    -    0.158617</v>
          </cell>
        </row>
        <row r="12190">
          <cell r="D12190" t="str">
            <v>15339570    -    COVER BLACK    -    0.341549</v>
          </cell>
        </row>
        <row r="12191">
          <cell r="D12191" t="str">
            <v>15339571    -    CONN 40W    -    0.13419</v>
          </cell>
        </row>
        <row r="12192">
          <cell r="D12192" t="str">
            <v>15339572    -    CONN 40W    -    0.13419</v>
          </cell>
        </row>
        <row r="12193">
          <cell r="D12193" t="str">
            <v>15339574    -    CAP    -    0.114403</v>
          </cell>
        </row>
        <row r="12194">
          <cell r="D12194" t="str">
            <v>15339582    -    CONN 2F    -    0.740755</v>
          </cell>
        </row>
        <row r="12195">
          <cell r="D12195" t="str">
            <v>15339585    -    STECKHLSENGEHUSE4POL.ELA2*SLK2,8UND2*LSK8    -    0.512539</v>
          </cell>
        </row>
        <row r="12196">
          <cell r="D12196" t="str">
            <v>15339589    -    CONN-10-WAY    -    0.4</v>
          </cell>
        </row>
        <row r="12197">
          <cell r="D12197" t="str">
            <v>15339617    -    CONNECTOR    -    0.162165</v>
          </cell>
        </row>
        <row r="12198">
          <cell r="D12198" t="str">
            <v>15339657    -    6-POL. STECKER COD G    -    0.267685</v>
          </cell>
        </row>
        <row r="12199">
          <cell r="D12199" t="str">
            <v>15339666    -    HOUSING-SOCKET, 16 WAY    -    0.71176</v>
          </cell>
        </row>
        <row r="12200">
          <cell r="D12200" t="str">
            <v>15339667    -    COVERING CAP    -    0.46541</v>
          </cell>
        </row>
        <row r="12201">
          <cell r="D12201" t="str">
            <v>15339672    -    HOUSING-FEM,21 WAY    -    0.25589</v>
          </cell>
        </row>
        <row r="12202">
          <cell r="D12202" t="str">
            <v>15339673    -    HOUSING-FEM, 18 WAY    -    0.2226</v>
          </cell>
        </row>
        <row r="12203">
          <cell r="D12203" t="str">
            <v>15339674    -    HOUSING-FEM, 15WAY    -    0.19901</v>
          </cell>
        </row>
        <row r="12204">
          <cell r="D12204" t="str">
            <v>15339678    -    TB LU KUPPLUNG 2-POL(B)DC    -    0.155176</v>
          </cell>
        </row>
        <row r="12205">
          <cell r="D12205" t="str">
            <v>15339684    -    CONN 3 W    -    0.33</v>
          </cell>
        </row>
        <row r="12206">
          <cell r="D12206" t="str">
            <v>15339686    -    CONN    -    0.55299</v>
          </cell>
        </row>
        <row r="12207">
          <cell r="D12207" t="str">
            <v>15339689    -    CONN 2F    -    0.03292</v>
          </cell>
        </row>
        <row r="12208">
          <cell r="D12208" t="str">
            <v>15339705    -    PLUG,70PIN CONN    -    8.28</v>
          </cell>
        </row>
        <row r="12209">
          <cell r="D12209" t="str">
            <v>15339750    -    SEAL CONN    -    0.259616</v>
          </cell>
        </row>
        <row r="12210">
          <cell r="D12210" t="str">
            <v>15339753    -    CONNECTOR 3F MISC BLK    -    0.364326</v>
          </cell>
        </row>
        <row r="12211">
          <cell r="D12211" t="str">
            <v>15339769    -    CONN 14W    -    0.315992</v>
          </cell>
        </row>
        <row r="12212">
          <cell r="D12212" t="str">
            <v>15339780    -    CONN 12 WAY    -    0.24</v>
          </cell>
        </row>
        <row r="12213">
          <cell r="D12213" t="str">
            <v>15339786    -    CONNECTOR 6 WAY FEMALE GRAY    -    0.155822</v>
          </cell>
        </row>
        <row r="12214">
          <cell r="D12214" t="str">
            <v>15339803    -    ASM CONN 2 F 090 II GRA LT SEAL    -    0.37987</v>
          </cell>
        </row>
        <row r="12215">
          <cell r="D12215" t="str">
            <v>15339828    -    15 WAY CONNECTOR    -    0.41325</v>
          </cell>
        </row>
        <row r="12216">
          <cell r="D12216" t="str">
            <v>15339837    -    CONN 4M 090II NAT    -    0.100631</v>
          </cell>
        </row>
        <row r="12217">
          <cell r="D12217" t="str">
            <v>15339839    -    CLAMP    -    0.036</v>
          </cell>
        </row>
        <row r="12218">
          <cell r="D12218" t="str">
            <v>15339841    -    CONN 12 WAY    -    0.3908</v>
          </cell>
        </row>
        <row r="12219">
          <cell r="D12219" t="str">
            <v>15339842    -    CONN 12 WAY    -    0.5048</v>
          </cell>
        </row>
        <row r="12220">
          <cell r="D12220" t="str">
            <v>15339875    -    CONN 16M    -    0.142897</v>
          </cell>
        </row>
        <row r="12221">
          <cell r="D12221" t="str">
            <v>15339890    -    CONN 12-WAY WHT    -    0.24</v>
          </cell>
        </row>
        <row r="12222">
          <cell r="D12222" t="str">
            <v>15339891    -    CONN 12-WAY YEL    -    0.24</v>
          </cell>
        </row>
        <row r="12223">
          <cell r="D12223" t="str">
            <v>15339897    -    CONN 9F    -    0.252856</v>
          </cell>
        </row>
        <row r="12224">
          <cell r="D12224" t="str">
            <v>15339898    -    CONN 30F    -    0.763</v>
          </cell>
        </row>
        <row r="12225">
          <cell r="D12225" t="str">
            <v>15339902    -    CONN 12 F    -    0.391313</v>
          </cell>
        </row>
        <row r="12226">
          <cell r="D12226" t="str">
            <v>15339919    -    CONN, 3W    -    0.697779</v>
          </cell>
        </row>
        <row r="12227">
          <cell r="D12227" t="str">
            <v>15339943    -    CONN 5 WAY F 035 ILAG5 GN    -    0.075936</v>
          </cell>
        </row>
        <row r="12228">
          <cell r="D12228" t="str">
            <v>15339944    -    CONNECTOR VOLVO 978310    -    0.359358</v>
          </cell>
        </row>
        <row r="12229">
          <cell r="D12229" t="str">
            <v>15339965    -    STECKHLSENGEHUSE2-POL.SLK2,8ELA-COD.A-VERR.2    -    0.249631</v>
          </cell>
        </row>
        <row r="12230">
          <cell r="D12230" t="str">
            <v>15339984    -    TUBING    -    0.79504</v>
          </cell>
        </row>
        <row r="12231">
          <cell r="D12231" t="str">
            <v>15339986    -    CONN 84W    -    0.38815</v>
          </cell>
        </row>
        <row r="12232">
          <cell r="D12232" t="str">
            <v>15339987    -    CONN 56W    -    1.3585</v>
          </cell>
        </row>
        <row r="12233">
          <cell r="D12233" t="str">
            <v>15339988    -    CONN 28W    -    0.24965</v>
          </cell>
        </row>
        <row r="12234">
          <cell r="D12234" t="str">
            <v>15339997    -    CONN 2 WAY    -    0.466631</v>
          </cell>
        </row>
        <row r="12235">
          <cell r="D12235" t="str">
            <v>15340000    -    CONN 5 WAY YELL    -    0.248092</v>
          </cell>
        </row>
        <row r="12236">
          <cell r="D12236" t="str">
            <v>15340033    -    CONNECTOR    -    0.01178</v>
          </cell>
        </row>
        <row r="12237">
          <cell r="D12237" t="str">
            <v>15340035    -    STECKHLSENGEHUSE3-POL.SLK2,8ELA-COD.A-VERR.3    -    0.269871</v>
          </cell>
        </row>
        <row r="12238">
          <cell r="D12238" t="str">
            <v>15340076    -    SECONDARY LOCK 21 POS    -    0.05478</v>
          </cell>
        </row>
        <row r="12239">
          <cell r="D12239" t="str">
            <v>15340096    -    CLIP    -    0.0655</v>
          </cell>
        </row>
        <row r="12240">
          <cell r="D12240" t="str">
            <v>15340157    -    CX " 4 VD 96224808    -    0.532267</v>
          </cell>
        </row>
        <row r="12241">
          <cell r="D12241" t="str">
            <v>15340164    -    CONN 2 F BLU    -    0.221294</v>
          </cell>
        </row>
        <row r="12242">
          <cell r="D12242" t="str">
            <v>15340166    -    CONN 3 F WHT    -    0.264339</v>
          </cell>
        </row>
        <row r="12243">
          <cell r="D12243" t="str">
            <v>1534026-1    -    CONNECTOR    -    0.158684</v>
          </cell>
        </row>
        <row r="12244">
          <cell r="D12244" t="str">
            <v>1534026-2    -    CONNECTOR    -    0.158684</v>
          </cell>
        </row>
        <row r="12245">
          <cell r="D12245" t="str">
            <v>1534027-1    -    CONNECTOR    -    0.031035</v>
          </cell>
        </row>
        <row r="12246">
          <cell r="D12246" t="str">
            <v>1534027-2    -    CONNECTOR    -    0.031035</v>
          </cell>
        </row>
        <row r="12247">
          <cell r="D12247" t="str">
            <v>15340315    -    CONN 1 F BLK    -    0.171705</v>
          </cell>
        </row>
        <row r="12248">
          <cell r="D12248" t="str">
            <v>15340316    -    COVER    -    0.09275</v>
          </cell>
        </row>
        <row r="12249">
          <cell r="D12249" t="str">
            <v>15340351    -    CONN,5-W    -    0.404429</v>
          </cell>
        </row>
        <row r="12250">
          <cell r="D12250" t="str">
            <v>15340361    -    CONN,F,6-W,BLACK    -    0.839393</v>
          </cell>
        </row>
        <row r="12251">
          <cell r="D12251" t="str">
            <v>15340393    -    CONN 3 F TIMER GRA    -    0.294591</v>
          </cell>
        </row>
        <row r="12252">
          <cell r="D12252" t="str">
            <v>15340411    -    VERRIEGELUNG    -    0.155851</v>
          </cell>
        </row>
        <row r="12253">
          <cell r="D12253" t="str">
            <v>15340498    -    STECKHLSENGEHUSE4-POL.SLK2,8ELA    -    0.517437</v>
          </cell>
        </row>
        <row r="12254">
          <cell r="D12254" t="str">
            <v>15340542    -    SPLI, CAP GRN/TRANS    -    0.014937</v>
          </cell>
        </row>
        <row r="12255">
          <cell r="D12255" t="str">
            <v>15340543    -    SPLI, CAP YEL/TRANS    -    0.018338</v>
          </cell>
        </row>
        <row r="12256">
          <cell r="D12256" t="str">
            <v>15340545    -    SPLI, CAP NATUR/TRANS    -    0.019916</v>
          </cell>
        </row>
        <row r="12257">
          <cell r="D12257" t="str">
            <v>15340567    -    DECKEL    -    0.136285</v>
          </cell>
        </row>
        <row r="12258">
          <cell r="D12258" t="str">
            <v>15340573    -    PUFFER    -    0.198814</v>
          </cell>
        </row>
        <row r="12259">
          <cell r="D12259" t="str">
            <v>15340575    -    CONNECTOR    -    0.1908</v>
          </cell>
        </row>
        <row r="12260">
          <cell r="D12260" t="str">
            <v>15340648    -    CONNECTOR    -    2.06646</v>
          </cell>
        </row>
        <row r="12261">
          <cell r="D12261" t="str">
            <v>15340652    -    CONNECTOR 4W WHITE    -    0.0433</v>
          </cell>
        </row>
        <row r="12262">
          <cell r="D12262" t="str">
            <v>15340654    -    CONNECTOR 4F    -    0.2947</v>
          </cell>
        </row>
        <row r="12263">
          <cell r="D12263" t="str">
            <v>15340668    -    CONN    -    0.34902</v>
          </cell>
        </row>
        <row r="12264">
          <cell r="D12264" t="str">
            <v>15340669    -    CONN,F,8-W,WHITE    -    0.199475</v>
          </cell>
        </row>
        <row r="12265">
          <cell r="D12265" t="str">
            <v>15340671    -    SHGEH. 5-POL. SLK 2,8 ELA COD B VER. 2 (HFM 5)    -    0.427746</v>
          </cell>
        </row>
        <row r="12266">
          <cell r="D12266" t="str">
            <v>15340674    -    16.971.93 CON.7V/BC YZAKI 7228-6073    -    1.043537</v>
          </cell>
        </row>
        <row r="12267">
          <cell r="D12267" t="str">
            <v>15340675    -    COVER 1/02955/87    -    0.249631</v>
          </cell>
        </row>
        <row r="12268">
          <cell r="D12268" t="str">
            <v>15340739    -    COVER 1/02787/87    -    0.249631</v>
          </cell>
        </row>
        <row r="12269">
          <cell r="D12269" t="str">
            <v>15340806    -    STIFTGEHUSE4XLKS1,5AXIALKOD.B    -    0.391313</v>
          </cell>
        </row>
        <row r="12270">
          <cell r="D12270" t="str">
            <v>15340815    -    CONNECTOR 16W BLACK    -    0.28914</v>
          </cell>
        </row>
        <row r="12271">
          <cell r="D12271" t="str">
            <v>15340816    -    SPACER    -    0.040562</v>
          </cell>
        </row>
        <row r="12272">
          <cell r="D12272" t="str">
            <v>15340817    -    CONNECTOR 16W BLACK    -    0.20963</v>
          </cell>
        </row>
        <row r="12273">
          <cell r="D12273" t="str">
            <v>15340819    -    HOUSING 4 POL    -    0.0679</v>
          </cell>
        </row>
        <row r="12274">
          <cell r="D12274" t="str">
            <v>15340820    -    HOUSING 4 POL    -    0.071988</v>
          </cell>
        </row>
        <row r="12275">
          <cell r="D12275" t="str">
            <v>15340821    -    CONN 4F    -    0.07234</v>
          </cell>
        </row>
        <row r="12276">
          <cell r="D12276" t="str">
            <v>15340822    -    HOUSING 4 P-PVC VIOLET    -    0.071988</v>
          </cell>
        </row>
        <row r="12277">
          <cell r="D12277" t="str">
            <v>15340823    -    HOUSING    -    0.103644</v>
          </cell>
        </row>
        <row r="12278">
          <cell r="D12278" t="str">
            <v>15340828    -    CONN 3W BLU    -    0.1918</v>
          </cell>
        </row>
        <row r="12279">
          <cell r="D12279" t="str">
            <v>15340833    -    CONN,F,3-W,NATURAL MICROSWITCH    -    0.073513</v>
          </cell>
        </row>
        <row r="12280">
          <cell r="D12280" t="str">
            <v>15340837    -    CONN,F,3-W,WHITE    -    0.099852</v>
          </cell>
        </row>
        <row r="12281">
          <cell r="D12281" t="str">
            <v>15340850    -    CONN. 28WAY SIEMENS    -    1.345307</v>
          </cell>
        </row>
        <row r="12282">
          <cell r="D12282" t="str">
            <v>15340895    -    CAVITY PLUG    -    0.01382</v>
          </cell>
        </row>
        <row r="12283">
          <cell r="D12283" t="str">
            <v>15340896    -    CAVITY PLUG    -    0.01173</v>
          </cell>
        </row>
        <row r="12284">
          <cell r="D12284" t="str">
            <v>15340929    -    VERBINDER    -    0.751996</v>
          </cell>
        </row>
        <row r="12285">
          <cell r="D12285" t="str">
            <v>1534093-1    -    CONNECTOR    -    0.068952</v>
          </cell>
        </row>
        <row r="12286">
          <cell r="D12286" t="str">
            <v>15340938    -    630749 CNCO __ 8 103 __    -    2.152491</v>
          </cell>
        </row>
        <row r="12287">
          <cell r="D12287" t="str">
            <v>15340939    -    630750 CNCO __ 8 103 __    -    3.394437</v>
          </cell>
        </row>
        <row r="12288">
          <cell r="D12288" t="str">
            <v>1534094-1    -    CONNECTOR    -    0.079084</v>
          </cell>
        </row>
        <row r="12289">
          <cell r="D12289" t="str">
            <v>15340947    -    CONNECTOR 6189-0035    -    0.464916</v>
          </cell>
        </row>
        <row r="12290">
          <cell r="D12290" t="str">
            <v>1534095-1    -    CONNECTOR    -    0.08285</v>
          </cell>
        </row>
        <row r="12291">
          <cell r="D12291" t="str">
            <v>1534095-2    -    CONNECTOR    -    0.08285</v>
          </cell>
        </row>
        <row r="12292">
          <cell r="D12292" t="str">
            <v>15340958    -    CONN,F,6-W,BLACK    -    0.042505</v>
          </cell>
        </row>
        <row r="12293">
          <cell r="D12293" t="str">
            <v>1534096-1    -    CONNECTOR    -    0.103496</v>
          </cell>
        </row>
        <row r="12294">
          <cell r="D12294" t="str">
            <v>1534096-2    -    CONNECTOR    -    0.155513</v>
          </cell>
        </row>
        <row r="12295">
          <cell r="D12295" t="str">
            <v>1534097-1    -    CONNECTOR    -    0.117259</v>
          </cell>
        </row>
        <row r="12296">
          <cell r="D12296" t="str">
            <v>15340986    -    CONNECTOR AFK    -    0.047862</v>
          </cell>
        </row>
        <row r="12297">
          <cell r="D12297" t="str">
            <v>1534099-1    -    CONNECTOR    -    0.131022</v>
          </cell>
        </row>
        <row r="12298">
          <cell r="D12298" t="str">
            <v>1534100-1    -    CONNECTOR    -    0.055189</v>
          </cell>
        </row>
        <row r="12299">
          <cell r="D12299" t="str">
            <v>1534101-1    -    CONNECTOR    -    0.064708</v>
          </cell>
        </row>
        <row r="12300">
          <cell r="D12300" t="str">
            <v>1534102-1    -    CONNECTOR    -    0.068952</v>
          </cell>
        </row>
        <row r="12301">
          <cell r="D12301" t="str">
            <v>15341033    -    CONN,F,4-W,BLACK    -    0.036581</v>
          </cell>
        </row>
        <row r="12302">
          <cell r="D12302" t="str">
            <v>15341035    -    CONN,M,29-W,BLACK    -    0.393</v>
          </cell>
        </row>
        <row r="12303">
          <cell r="D12303" t="str">
            <v>15341042    -    CLIP,BODY,BLACK    -    0.035</v>
          </cell>
        </row>
        <row r="12304">
          <cell r="D12304" t="str">
            <v>15341072    -    LOCK    -    3.470271</v>
          </cell>
        </row>
        <row r="12305">
          <cell r="D12305" t="str">
            <v>15341086    -    CONNECTOR    -    0.321</v>
          </cell>
        </row>
        <row r="12306">
          <cell r="D12306" t="str">
            <v>1534112-1    -    CONNECTOR    -    0.034543</v>
          </cell>
        </row>
        <row r="12307">
          <cell r="D12307" t="str">
            <v>1534113-1    -    CONNECTOR    -    0.027662</v>
          </cell>
        </row>
        <row r="12308">
          <cell r="D12308" t="str">
            <v>15341134    -    COV WHT    -    0.430444</v>
          </cell>
        </row>
        <row r="12309">
          <cell r="D12309" t="str">
            <v>15341137    -    CX MODULE 56 CAV WH 8D0 972    -    1.370945</v>
          </cell>
        </row>
        <row r="12310">
          <cell r="D12310" t="str">
            <v>15341156    -    CONNECTOR AFS    -    0.050817</v>
          </cell>
        </row>
        <row r="12311">
          <cell r="D12311" t="str">
            <v>1534120-1    -    CONNECTOR    -    0.055189</v>
          </cell>
        </row>
        <row r="12312">
          <cell r="D12312" t="str">
            <v>1534121-1    -    CONNECTOR    -    0.068952</v>
          </cell>
        </row>
        <row r="12313">
          <cell r="D12313" t="str">
            <v>1534121-2    -    CONNECTOR    -    0.068952</v>
          </cell>
        </row>
        <row r="12314">
          <cell r="D12314" t="str">
            <v>1534121-3    -    CONNECTOR    -    0.068952</v>
          </cell>
        </row>
        <row r="12315">
          <cell r="D12315" t="str">
            <v>1534121-6    -    CONNECTOR    -    0.068952</v>
          </cell>
        </row>
        <row r="12316">
          <cell r="D12316" t="str">
            <v>15341246    -    STECKERHAUBE F?R MISCHPOLLEIST    -    1.807596</v>
          </cell>
        </row>
        <row r="12317">
          <cell r="D12317" t="str">
            <v>15341247    -    CX " 3 PR 7703297856    -    0.551927</v>
          </cell>
        </row>
        <row r="12318">
          <cell r="D12318" t="str">
            <v>1534125-1    -    CONNECTOR    -    0.035956</v>
          </cell>
        </row>
        <row r="12319">
          <cell r="D12319" t="str">
            <v>15341290    -    CONNECTOR    -    0.31654</v>
          </cell>
        </row>
        <row r="12320">
          <cell r="D12320" t="str">
            <v>15341291    -    CX 3 CAV BK YPC11685    -    0.30687</v>
          </cell>
        </row>
        <row r="12321">
          <cell r="D12321" t="str">
            <v>15341294    -    CONN 4F    -    0.42623</v>
          </cell>
        </row>
        <row r="12322">
          <cell r="D12322" t="str">
            <v>15341295    -    HOUSING 4 POL    -    0.327974</v>
          </cell>
        </row>
        <row r="12323">
          <cell r="D12323" t="str">
            <v>15341296    -    HOUSING 4 POL    -    0.316829</v>
          </cell>
        </row>
        <row r="12324">
          <cell r="D12324" t="str">
            <v>1534130-1    -    CONNECTOR    -    0.227636</v>
          </cell>
        </row>
        <row r="12325">
          <cell r="D12325" t="str">
            <v>1534131-1    -    CONNECTOR    -    0.037917</v>
          </cell>
        </row>
        <row r="12326">
          <cell r="D12326" t="str">
            <v>15341334    -    HOUSING 2.P?L. BLUE    -    0.278277</v>
          </cell>
        </row>
        <row r="12327">
          <cell r="D12327" t="str">
            <v>15341348    -    CONNECTOR    -    0.127298</v>
          </cell>
        </row>
        <row r="12328">
          <cell r="D12328" t="str">
            <v>15341349    -    CONNECTOR    -    0.1572</v>
          </cell>
        </row>
        <row r="12329">
          <cell r="D12329" t="str">
            <v>1534149-1    -    CONNECTOR    -    0.03348</v>
          </cell>
        </row>
        <row r="12330">
          <cell r="D12330" t="str">
            <v>1534149-2    -    CONNECTOR    -    0.037917</v>
          </cell>
        </row>
        <row r="12331">
          <cell r="D12331" t="str">
            <v>1534150-1    -    CONNECTOR    -    0.031035</v>
          </cell>
        </row>
        <row r="12332">
          <cell r="D12332" t="str">
            <v>1534150-2    -    CONNECTOR    -    0.031035</v>
          </cell>
        </row>
        <row r="12333">
          <cell r="D12333" t="str">
            <v>15341525    -    CONNECTOR    -    0.407046</v>
          </cell>
        </row>
        <row r="12334">
          <cell r="D12334" t="str">
            <v>1534157-1    -    CONNECTOR    -    0.155176</v>
          </cell>
        </row>
        <row r="12335">
          <cell r="D12335" t="str">
            <v>15341574    -    CONNECTOR AFK    -    0.046148</v>
          </cell>
        </row>
        <row r="12336">
          <cell r="D12336" t="str">
            <v>15341575    -    CONNECTOR    -    0.13248</v>
          </cell>
        </row>
        <row r="12337">
          <cell r="D12337" t="str">
            <v>1534165-1    -    CONNECTOR    -    0.093106</v>
          </cell>
        </row>
        <row r="12338">
          <cell r="D12338" t="str">
            <v>1534170-1    -    CONNECTOR    -    0.071903</v>
          </cell>
        </row>
        <row r="12339">
          <cell r="D12339" t="str">
            <v>1534181-1    -    CONNECTOR    -    0.227636</v>
          </cell>
        </row>
        <row r="12340">
          <cell r="D12340" t="str">
            <v>1534184-1    -    CONNECTOR    -    1.000412</v>
          </cell>
        </row>
        <row r="12341">
          <cell r="D12341" t="str">
            <v>15342078    -    HOUSING 2 POL    -    0.089894</v>
          </cell>
        </row>
        <row r="12342">
          <cell r="D12342" t="str">
            <v>15342079    -    CONN 6    -    0.23491</v>
          </cell>
        </row>
        <row r="12343">
          <cell r="D12343" t="str">
            <v>15342080    -    COVER    -    0.08726</v>
          </cell>
        </row>
        <row r="12344">
          <cell r="D12344" t="str">
            <v>15342083    -    HOUSING 2.P BLACK    -    0.094522</v>
          </cell>
        </row>
        <row r="12345">
          <cell r="D12345" t="str">
            <v>15342085    -    1 WAY CONNECTOR F1-32    -    0.062367</v>
          </cell>
        </row>
        <row r="12346">
          <cell r="D12346" t="str">
            <v>15342130    -    CONNECTOR MFK    -    0.098476</v>
          </cell>
        </row>
        <row r="12347">
          <cell r="D12347" t="str">
            <v>15342131    -    TERMINAL 4,8    -    0.03932</v>
          </cell>
        </row>
        <row r="12348">
          <cell r="D12348" t="str">
            <v>15342316    -    MISC. SUBHARNESS    -    12.958112</v>
          </cell>
        </row>
        <row r="12349">
          <cell r="D12349" t="str">
            <v>15342333    -    CONN,16-W,M,090S,NAT    -    0.194535</v>
          </cell>
        </row>
        <row r="12350">
          <cell r="D12350" t="str">
            <v>15342334    -    14.663.96 SEG. AMP 174397-2 5V    -    0.090596</v>
          </cell>
        </row>
        <row r="12351">
          <cell r="D12351" t="str">
            <v>15342350    -    CONNECTOR 7V MA * 9631941580    -    0.373528</v>
          </cell>
        </row>
        <row r="12352">
          <cell r="D12352" t="str">
            <v>15342400    -    CONN 2M    -    0.201</v>
          </cell>
        </row>
        <row r="12353">
          <cell r="D12353" t="str">
            <v>15342416    -    SOCKET HOUSING 50 POLE    -    1.310831</v>
          </cell>
        </row>
        <row r="12354">
          <cell r="D12354" t="str">
            <v>15342597    -    LOCK    -    0.0128</v>
          </cell>
        </row>
        <row r="12355">
          <cell r="D12355" t="str">
            <v>15342610X    -    SEAL CONN CAVITY PLUG GRN    -    0.01066</v>
          </cell>
        </row>
        <row r="12356">
          <cell r="D12356" t="str">
            <v>15342619    -    CONNECTOR VOLVO GT51PSR    -    0.096479</v>
          </cell>
        </row>
        <row r="12357">
          <cell r="D12357" t="str">
            <v>15342620    -    SECONDARY LOCK VOLVO GT52PSR    -    0.130753</v>
          </cell>
        </row>
        <row r="12358">
          <cell r="D12358" t="str">
            <v>15342621    -    RAHMEN    -    4.412661</v>
          </cell>
        </row>
        <row r="12359">
          <cell r="D12359" t="str">
            <v>15342624    -    COV BLK    -    0.0858</v>
          </cell>
        </row>
        <row r="12360">
          <cell r="D12360" t="str">
            <v>15342632    -    CONNECTOR VOLVO 6849549    -    0.28</v>
          </cell>
        </row>
        <row r="12361">
          <cell r="D12361" t="str">
            <v>15342634    -    10-WAY, FM GRAY    -    0.1836</v>
          </cell>
        </row>
        <row r="12362">
          <cell r="D12362" t="str">
            <v>15342635    -    CONN 14-WAY    -    0.16929</v>
          </cell>
        </row>
        <row r="12363">
          <cell r="D12363" t="str">
            <v>15342636    -    CONNECTOR 2 WAY    -    0.19722</v>
          </cell>
        </row>
        <row r="12364">
          <cell r="D12364" t="str">
            <v>15342638    -    CONNECTOR VOLVO 9168553    -    0.1529</v>
          </cell>
        </row>
        <row r="12365">
          <cell r="D12365" t="str">
            <v>15342639    -    CONNECTOR    -    0.09809</v>
          </cell>
        </row>
        <row r="12366">
          <cell r="D12366" t="str">
            <v>15342640    -    CONNECTOR VOLVO 9168576    -    0.1325</v>
          </cell>
        </row>
        <row r="12367">
          <cell r="D12367" t="str">
            <v>15342641    -    CONNECTOR    -    0.1474</v>
          </cell>
        </row>
        <row r="12368">
          <cell r="D12368" t="str">
            <v>15342644    -    CONNECTOR VOLVO 9456385    -    0.138984</v>
          </cell>
        </row>
        <row r="12369">
          <cell r="D12369" t="str">
            <v>15342645    -    CONNECTOR 2F    -    0.14915</v>
          </cell>
        </row>
        <row r="12370">
          <cell r="D12370" t="str">
            <v>15342646    -    CONN 6 WAY W GRAY    -    0.13194</v>
          </cell>
        </row>
        <row r="12371">
          <cell r="D12371" t="str">
            <v>15342647    -    CONNECTOR    -    0.15748</v>
          </cell>
        </row>
        <row r="12372">
          <cell r="D12372" t="str">
            <v>15342649    -    CONNECTOR 12M    -    0.3271</v>
          </cell>
        </row>
        <row r="12373">
          <cell r="D12373" t="str">
            <v>15342655    -    CONNECTOR    -    0.2882</v>
          </cell>
        </row>
        <row r="12374">
          <cell r="D12374" t="str">
            <v>15342657    -    CONNECTOR    -    0.14407</v>
          </cell>
        </row>
        <row r="12375">
          <cell r="D12375" t="str">
            <v>15342658    -    CONNECTOR VOLVO 9168844    -    0.431</v>
          </cell>
        </row>
        <row r="12376">
          <cell r="D12376" t="str">
            <v>15342659    -    CONNECTOR    -    0.3816</v>
          </cell>
        </row>
        <row r="12377">
          <cell r="D12377" t="str">
            <v>15342660    -    CONN 6 F GRA DK SEALED    -    0.3509</v>
          </cell>
        </row>
        <row r="12378">
          <cell r="D12378" t="str">
            <v>15342662    -    CONN 6 F RECEPTACLE 2.8 BLK SLD    -    0.235624</v>
          </cell>
        </row>
        <row r="12379">
          <cell r="D12379" t="str">
            <v>15342666    -    CONNECTOR    -    0.19099</v>
          </cell>
        </row>
        <row r="12380">
          <cell r="D12380" t="str">
            <v>15342668    -    CONNECTOR VOLVO 9187035    -    0.300124</v>
          </cell>
        </row>
        <row r="12381">
          <cell r="D12381" t="str">
            <v>15342669    -    CONNECTOR VOLVO 9456072    -    0.11413</v>
          </cell>
        </row>
        <row r="12382">
          <cell r="D12382" t="str">
            <v>15342670    -    CONNECTOR VOLVO 9456277    -    0.17</v>
          </cell>
        </row>
        <row r="12383">
          <cell r="D12383" t="str">
            <v>15342671    -    CONN 8 M BLK    -    1.166148</v>
          </cell>
        </row>
        <row r="12384">
          <cell r="D12384" t="str">
            <v>15342673    -    CONN 8 M BLK    -    1.156095</v>
          </cell>
        </row>
        <row r="12385">
          <cell r="D12385" t="str">
            <v>15342678    -    CONN 2 F MDK BLK SLD    -    0.241993</v>
          </cell>
        </row>
        <row r="12386">
          <cell r="D12386" t="str">
            <v>15342679    -    CONNECTOR    -    0.2239</v>
          </cell>
        </row>
        <row r="12387">
          <cell r="D12387" t="str">
            <v>15342686    -    CONNECTOR VOLVO 9456454    -    0.38554</v>
          </cell>
        </row>
        <row r="12388">
          <cell r="D12388" t="str">
            <v>15342695    -    14M CONNECTOR    -    0.16929</v>
          </cell>
        </row>
        <row r="12389">
          <cell r="D12389" t="str">
            <v>15342707    -    CONNECTOR COVER    -    0.50783</v>
          </cell>
        </row>
        <row r="12390">
          <cell r="D12390" t="str">
            <v>15342716    -    CX 12 CAV BK    -    1.359813</v>
          </cell>
        </row>
        <row r="12391">
          <cell r="D12391" t="str">
            <v>15342788    -    CONN,F,2-W,NATURAL    -    0.0268</v>
          </cell>
        </row>
        <row r="12392">
          <cell r="D12392" t="str">
            <v>15342789    -    CONN    -    0.17982</v>
          </cell>
        </row>
        <row r="12393">
          <cell r="D12393" t="str">
            <v>15343178    -    CONN,F,5-W,RED    -    0.221281</v>
          </cell>
        </row>
        <row r="12394">
          <cell r="D12394" t="str">
            <v>15343247    -    DFK3    -    0.090771</v>
          </cell>
        </row>
        <row r="12395">
          <cell r="D12395" t="str">
            <v>15343267    -    KABELKANAL    -    2.577268</v>
          </cell>
        </row>
        <row r="12396">
          <cell r="D12396" t="str">
            <v>15343348    -    CONN 2F    -    0.52321</v>
          </cell>
        </row>
        <row r="12397">
          <cell r="D12397" t="str">
            <v>15343355    -    CONN, 2F    -    0.723715</v>
          </cell>
        </row>
        <row r="12398">
          <cell r="D12398" t="str">
            <v>15343360    -    GROMMET GY    -    0.321977</v>
          </cell>
        </row>
        <row r="12399">
          <cell r="D12399" t="str">
            <v>15343380    -    CONN, 10F JPT SLD BLK    -    0.570629</v>
          </cell>
        </row>
        <row r="12400">
          <cell r="D12400" t="str">
            <v>15343407    -    CONN 3F    -    0.43671</v>
          </cell>
        </row>
        <row r="12401">
          <cell r="D12401" t="str">
            <v>15343419    -    WELLROHRBEFESTIGUNG    -    0.149778</v>
          </cell>
        </row>
        <row r="12402">
          <cell r="D12402" t="str">
            <v>15343421    -    COVER    -    0.71703</v>
          </cell>
        </row>
        <row r="12403">
          <cell r="D12403" t="str">
            <v>15343662    -    CONN 2 M BLK SEALED    -    0.14963</v>
          </cell>
        </row>
        <row r="12404">
          <cell r="D12404" t="str">
            <v>15343753    -    ASM CONN 12 M    -    0.308463</v>
          </cell>
        </row>
        <row r="12405">
          <cell r="D12405" t="str">
            <v>15344155    -    CONN 12 M TAB MIXED WHT SEALED    -    0.222779</v>
          </cell>
        </row>
        <row r="12406">
          <cell r="D12406" t="str">
            <v>1534533-5    -    CONNECTOR    -    0.25179</v>
          </cell>
        </row>
        <row r="12407">
          <cell r="D12407" t="str">
            <v>1534533-8    -    CONNECTOR    -    0.25179</v>
          </cell>
        </row>
        <row r="12408">
          <cell r="D12408" t="str">
            <v>15354644    -    LAMP SOCKET INSERT    -    0.062035</v>
          </cell>
        </row>
        <row r="12409">
          <cell r="D12409" t="str">
            <v>15354651    -    CLIP    -    0.057</v>
          </cell>
        </row>
        <row r="12410">
          <cell r="D12410" t="str">
            <v>15354676    -    TPA 4W JPT    -    0.06178</v>
          </cell>
        </row>
        <row r="12411">
          <cell r="D12411" t="str">
            <v>15354677    -    ASM CONN 4F W/NEWSLIDE LK    -    0.37459</v>
          </cell>
        </row>
        <row r="12412">
          <cell r="D12412" t="str">
            <v>15354678    -    ASM CONN 10F W/NEW SLIDE LK    -    0.57354</v>
          </cell>
        </row>
        <row r="12413">
          <cell r="D12413" t="str">
            <v>15354679    -    TPA 2W JPT    -    0.08639</v>
          </cell>
        </row>
        <row r="12414">
          <cell r="D12414" t="str">
            <v>15354680    -    ASM CONN 64F    -    0.35968</v>
          </cell>
        </row>
        <row r="12415">
          <cell r="D12415" t="str">
            <v>15354681    -    LAMP SOCKET BODY    -    0.24105</v>
          </cell>
        </row>
        <row r="12416">
          <cell r="D12416" t="str">
            <v>15354682    -    LAMP SOCKET    -    0.11863</v>
          </cell>
        </row>
        <row r="12417">
          <cell r="D12417" t="str">
            <v>15354717    -    CONN 4F GT SLD    -    0.04356</v>
          </cell>
        </row>
        <row r="12418">
          <cell r="D12418" t="str">
            <v>15354827    -    TPA    -    0.036666</v>
          </cell>
        </row>
        <row r="12419">
          <cell r="D12419" t="str">
            <v>15354865    -    WEDGE BASE LAMP SOCKET    -    0.07624</v>
          </cell>
        </row>
        <row r="12420">
          <cell r="D12420" t="str">
            <v>15354959    -    CPA STRAP    -    0.04382</v>
          </cell>
        </row>
        <row r="12421">
          <cell r="D12421" t="str">
            <v>15355073    -    TPA 12M GT 150,280 SLD    -    0.028136</v>
          </cell>
        </row>
        <row r="12422">
          <cell r="D12422" t="str">
            <v>15355085    -    LAMP STRAP    -    0.13325</v>
          </cell>
        </row>
        <row r="12423">
          <cell r="D12423" t="str">
            <v>15355107    -    CLIP-CONN    -    0.02765</v>
          </cell>
        </row>
        <row r="12424">
          <cell r="D12424" t="str">
            <v>15355128    -    TPA2W GT 150    -    0.01824</v>
          </cell>
        </row>
        <row r="12425">
          <cell r="D12425" t="str">
            <v>15355192    -    CPA-AXIAL    -    0.015811</v>
          </cell>
        </row>
        <row r="12426">
          <cell r="D12426" t="str">
            <v>15355194    -    WIRE DRESS COVER    -    0.1015</v>
          </cell>
        </row>
        <row r="12427">
          <cell r="D12427" t="str">
            <v>15355194S    -    COVER (REPLACES 15317517)    -    0.10945</v>
          </cell>
        </row>
        <row r="12428">
          <cell r="D12428" t="str">
            <v>15355202    -    S.W. CONN 8W PLUNGER - SPL    -    0.15454</v>
          </cell>
        </row>
        <row r="12429">
          <cell r="D12429" t="str">
            <v>15355203    -    CONN SF GT 150 SLD    -    0.0774</v>
          </cell>
        </row>
        <row r="12430">
          <cell r="D12430" t="str">
            <v>15355204    -    CONN SF GT 150 SLD    -    0.08958</v>
          </cell>
        </row>
        <row r="12431">
          <cell r="D12431" t="str">
            <v>15355220    -    TPA M/P 150    -    0.055236</v>
          </cell>
        </row>
        <row r="12432">
          <cell r="D12432" t="str">
            <v>15355236    -    CLIP-CNVLT CDT 6MM    -    0.027874</v>
          </cell>
        </row>
        <row r="12433">
          <cell r="D12433" t="str">
            <v>15355281    -    SW CONN 5W PLUNGER SPL    -    0.17113</v>
          </cell>
        </row>
        <row r="12434">
          <cell r="D12434" t="str">
            <v>15355281S    -    CONNECTOR    -    0.17285</v>
          </cell>
        </row>
        <row r="12435">
          <cell r="D12435" t="str">
            <v>15355284    -    CLIP    -    0.08559</v>
          </cell>
        </row>
        <row r="12436">
          <cell r="D12436" t="str">
            <v>15355287    -    CABLE CARRIER (A073)    -    1.998259</v>
          </cell>
        </row>
        <row r="12437">
          <cell r="D12437" t="str">
            <v>15355294    -    CONN 6F GT 150 SLD    -    0.26154</v>
          </cell>
        </row>
        <row r="12438">
          <cell r="D12438" t="str">
            <v>15355296    -    PLR 6W GT 150    -    0.091</v>
          </cell>
        </row>
        <row r="12439">
          <cell r="D12439" t="str">
            <v>15355328    -    CONN 4F GT 150    -    0.07064</v>
          </cell>
        </row>
        <row r="12440">
          <cell r="D12440" t="str">
            <v>15355363    -    TPA 1W M/P 150    -    0.1062</v>
          </cell>
        </row>
        <row r="12441">
          <cell r="D12441" t="str">
            <v>15355367    -    CONN 20F GT 150    -    0.12865</v>
          </cell>
        </row>
        <row r="12442">
          <cell r="D12442" t="str">
            <v>15355376    -    CONN 3F GT 150 SLD 4.0    -    0.08551</v>
          </cell>
        </row>
        <row r="12443">
          <cell r="D12443" t="str">
            <v>15355408    -    COVER CONN    -    0.0863</v>
          </cell>
        </row>
        <row r="12444">
          <cell r="D12444" t="str">
            <v>15355409    -    COVER CONN    -    0.08356</v>
          </cell>
        </row>
        <row r="12445">
          <cell r="D12445" t="str">
            <v>15355429    -    TPA M/P 630    -    0.03492</v>
          </cell>
        </row>
        <row r="12446">
          <cell r="D12446" t="str">
            <v>15355474    -    ASM CONN 6F    -    0.29933</v>
          </cell>
        </row>
        <row r="12447">
          <cell r="D12447" t="str">
            <v>15355479    -    CONN 30M GT 150,280,M/P 630 SLD    -    0.321</v>
          </cell>
        </row>
        <row r="12448">
          <cell r="D12448" t="str">
            <v>15355480    -    CONN    -    0.33991</v>
          </cell>
        </row>
        <row r="12449">
          <cell r="D12449" t="str">
            <v>15355527    -    ASM CONN OXYGEN SENSOR W/O-RING    -    0.566</v>
          </cell>
        </row>
        <row r="12450">
          <cell r="D12450" t="str">
            <v>15355541    -    BRACKET    -    1.158</v>
          </cell>
        </row>
        <row r="12451">
          <cell r="D12451" t="str">
            <v>15355581    -    CABLE TIE ROSEBUD    -    0.0338</v>
          </cell>
        </row>
        <row r="12452">
          <cell r="D12452" t="str">
            <v>15355593    -    CLIP CONN    -    0.09281</v>
          </cell>
        </row>
        <row r="12453">
          <cell r="D12453" t="str">
            <v>15356627    -    CONN 12M MIC/P 100    -    0.128354</v>
          </cell>
        </row>
        <row r="12454">
          <cell r="D12454" t="str">
            <v>15356659    -    WIRE DRESS COVER    -    0.0882</v>
          </cell>
        </row>
        <row r="12455">
          <cell r="D12455" t="str">
            <v>15356660    -    LEVER MECH ASSIST    -    0.07743</v>
          </cell>
        </row>
        <row r="12456">
          <cell r="D12456" t="str">
            <v>15356661    -    TPA    -    0.047</v>
          </cell>
        </row>
        <row r="12457">
          <cell r="D12457" t="str">
            <v>15356700    -    CONN 29F MIC/P 100W    -    0.11738</v>
          </cell>
        </row>
        <row r="12458">
          <cell r="D12458" t="str">
            <v>15356713    -    STRAIN RELIEF    -    0.12326</v>
          </cell>
        </row>
        <row r="12459">
          <cell r="D12459" t="str">
            <v>15356725    -    ASM CONN 2 F GT 150 YEL SLD    -    0.161766</v>
          </cell>
        </row>
        <row r="12460">
          <cell r="D12460" t="str">
            <v>15356770    -    STRAIN RLF    -    0.11969</v>
          </cell>
        </row>
        <row r="12461">
          <cell r="D12461" t="str">
            <v>15356776    -    STRAIN RLF    -    0.11304</v>
          </cell>
        </row>
        <row r="12462">
          <cell r="D12462" t="str">
            <v>15356776S    -    STRAIN RLF    -    0.11867</v>
          </cell>
        </row>
        <row r="12463">
          <cell r="D12463" t="str">
            <v>15356808    -    CONN F NOSEPIECE    -    0.08374</v>
          </cell>
        </row>
        <row r="12464">
          <cell r="D12464" t="str">
            <v>15356809    -    CONN F NOSEPIECE    -    0.0828</v>
          </cell>
        </row>
        <row r="12465">
          <cell r="D12465" t="str">
            <v>15356810    -    SECONDARY LOCK    -    0.01266</v>
          </cell>
        </row>
        <row r="12466">
          <cell r="D12466" t="str">
            <v>15356814    -    64W 064 CONN HSG    -    0.17095</v>
          </cell>
        </row>
        <row r="12467">
          <cell r="D12467" t="str">
            <v>15356820    -    WIRE DRESS COVER    -    0.048947</v>
          </cell>
        </row>
        <row r="12468">
          <cell r="D12468" t="str">
            <v>15356821    -    SLIDE ASSIST LEVER    -    0.07919</v>
          </cell>
        </row>
        <row r="12469">
          <cell r="D12469" t="str">
            <v>15356825    -    CAVITY PLUG    -    0.004</v>
          </cell>
        </row>
        <row r="12470">
          <cell r="D12470" t="str">
            <v>15356848    -    STRAIN RLF 9F MIC/P 100W RH    -    0.145705</v>
          </cell>
        </row>
        <row r="12471">
          <cell r="D12471" t="str">
            <v>15356916    -    PAF 42M MIC/P 100W    -    0.05197</v>
          </cell>
        </row>
        <row r="12472">
          <cell r="D12472" t="str">
            <v>15356927    -    CONN HSG 42F MIC/P 100W    -    0.18243</v>
          </cell>
        </row>
        <row r="12473">
          <cell r="D12473" t="str">
            <v>15356931    -    SLIDE ASSIST LEVER    -    0.055243</v>
          </cell>
        </row>
        <row r="12474">
          <cell r="D12474" t="str">
            <v>15356932    -    CPA    -    0.03429</v>
          </cell>
        </row>
        <row r="12475">
          <cell r="D12475" t="str">
            <v>15357133    -    HSG 73F MICRO 64    -    0.17704</v>
          </cell>
        </row>
        <row r="12476">
          <cell r="D12476" t="str">
            <v>15357142    -    COVER WIRE DRESS 064    -    0.0702</v>
          </cell>
        </row>
        <row r="12477">
          <cell r="D12477" t="str">
            <v>15357152    -    INR CONN 56F 064    -    0.0881</v>
          </cell>
        </row>
        <row r="12478">
          <cell r="D12478" t="str">
            <v>15358613    -    CONN W/ CLIP 6F SLD    -    0.464583</v>
          </cell>
        </row>
        <row r="12479">
          <cell r="D12479" t="str">
            <v>15358652    -    CONDUIT FASTENER    -    0.08971</v>
          </cell>
        </row>
        <row r="12480">
          <cell r="D12480" t="str">
            <v>15358653    -    CONDUIT FASTENER    -    0.09834</v>
          </cell>
        </row>
        <row r="12481">
          <cell r="D12481" t="str">
            <v>15358655    -    ELBOW CDT CNVLT    -    0.10938</v>
          </cell>
        </row>
        <row r="12482">
          <cell r="D12482" t="str">
            <v>15358656    -    ELBOW CDT CNVLT    -    0.1103</v>
          </cell>
        </row>
        <row r="12483">
          <cell r="D12483" t="str">
            <v>15358661    -    FUSEBLOCK    -    1.14726</v>
          </cell>
        </row>
        <row r="12484">
          <cell r="D12484" t="str">
            <v>15358667    -    COVER - LEFT    -    0.13</v>
          </cell>
        </row>
        <row r="12485">
          <cell r="D12485" t="str">
            <v>15358668    -    COVER - RIGHT    -    0.13</v>
          </cell>
        </row>
        <row r="12486">
          <cell r="D12486" t="str">
            <v>15358706    -    CONNECTOR    -    0.08939</v>
          </cell>
        </row>
        <row r="12487">
          <cell r="D12487" t="str">
            <v>15358785    -    TPA 16W GT 150    -    0.03046</v>
          </cell>
        </row>
        <row r="12488">
          <cell r="D12488" t="str">
            <v>15358840    -    BMW CABLE CARRIER    -    1.998259</v>
          </cell>
        </row>
        <row r="12489">
          <cell r="D12489" t="str">
            <v>15358855    -    CONN 12F MIC/P 064    -    0.06298</v>
          </cell>
        </row>
        <row r="12490">
          <cell r="D12490" t="str">
            <v>15358857    -    RETAINER 40F MIC/P 100W    -    0.02876</v>
          </cell>
        </row>
        <row r="12491">
          <cell r="D12491" t="str">
            <v>15358879    -    COVER WIRE DRESS    -    0.20146</v>
          </cell>
        </row>
        <row r="12492">
          <cell r="D12492" t="str">
            <v>15358891    -    CONN    -    0.028</v>
          </cell>
        </row>
        <row r="12493">
          <cell r="D12493" t="str">
            <v>15358930    -    SEC LK 10W MTS    -    0.1716</v>
          </cell>
        </row>
        <row r="12494">
          <cell r="D12494" t="str">
            <v>15358953    -    CLIP HARNESS    -    0.04948</v>
          </cell>
        </row>
        <row r="12495">
          <cell r="D12495" t="str">
            <v>15358963    -    32M COVER    -    0.11034</v>
          </cell>
        </row>
        <row r="12496">
          <cell r="D12496" t="str">
            <v>15358964    -    CONNECTOR    -    0.0916</v>
          </cell>
        </row>
        <row r="12497">
          <cell r="D12497" t="str">
            <v>15358982    -    HD CONN 24M MIC/P 100    -    0.13486</v>
          </cell>
        </row>
        <row r="12498">
          <cell r="D12498" t="str">
            <v>15359049    -    CONNECTOR    -    0.2328</v>
          </cell>
        </row>
        <row r="12499">
          <cell r="D12499" t="str">
            <v>15359050    -    CONNECTOR    -    0.2328</v>
          </cell>
        </row>
        <row r="12500">
          <cell r="D12500" t="str">
            <v>15359053    -    SLIDE LH 56F MXD    -    0.041</v>
          </cell>
        </row>
        <row r="12501">
          <cell r="D12501" t="str">
            <v>15359058    -    WIREDRESS COVER    -    0.138739</v>
          </cell>
        </row>
        <row r="12502">
          <cell r="D12502" t="str">
            <v>15359059    -    WIREDRESS COVER    -    0.134858</v>
          </cell>
        </row>
        <row r="12503">
          <cell r="D12503" t="str">
            <v>15359062    -    TPA GT 280    -    0.0475</v>
          </cell>
        </row>
        <row r="12504">
          <cell r="D12504" t="str">
            <v>15359083    -    NOSEPIECE    -    0.060152</v>
          </cell>
        </row>
        <row r="12505">
          <cell r="D12505" t="str">
            <v>15359106    -    RETAINER    -    0.02184</v>
          </cell>
        </row>
        <row r="12506">
          <cell r="D12506" t="str">
            <v>15359107    -    RETAINER    -    0.022</v>
          </cell>
        </row>
        <row r="12507">
          <cell r="D12507" t="str">
            <v>15359108    -    RETAINER    -    0.02196</v>
          </cell>
        </row>
        <row r="12508">
          <cell r="D12508" t="str">
            <v>15359158    -    16M COVER    -    0.10085</v>
          </cell>
        </row>
        <row r="12509">
          <cell r="D12509" t="str">
            <v>15359159    -    12M COVER    -    0.09936</v>
          </cell>
        </row>
        <row r="12510">
          <cell r="D12510" t="str">
            <v>15359196    -    TPA 16F MICRO 64    -    0.00907</v>
          </cell>
        </row>
        <row r="12511">
          <cell r="D12511" t="str">
            <v>15359210    -    CPA/COVER    -    0.111</v>
          </cell>
        </row>
        <row r="12512">
          <cell r="D12512" t="str">
            <v>15359238    -    10M 280 M/P CONN    -    0.22183</v>
          </cell>
        </row>
        <row r="12513">
          <cell r="D12513" t="str">
            <v>15359284    -    CONN 40M    -    0.24555</v>
          </cell>
        </row>
        <row r="12514">
          <cell r="D12514" t="str">
            <v>15359284S    -    CONNETOR(REPLACE 15336417S)    -    0.270775</v>
          </cell>
        </row>
        <row r="12515">
          <cell r="D12515" t="str">
            <v>12129083     -      TPA M/P 280    -    0.015</v>
          </cell>
        </row>
        <row r="12516">
          <cell r="D12516" t="str">
            <v>15359287    -    CONN 40 F GT 150 280    -    0.1161</v>
          </cell>
        </row>
        <row r="12517">
          <cell r="D12517" t="str">
            <v>15359292    -    CONN 2F 58 SERIES    -    0.07272</v>
          </cell>
        </row>
        <row r="12518">
          <cell r="D12518" t="str">
            <v>15359293    -    TPA 58 SERIES 2F    -    0.05788</v>
          </cell>
        </row>
        <row r="12519">
          <cell r="D12519" t="str">
            <v>15359360    -    CONN 10F GT 280    -    0.2068</v>
          </cell>
        </row>
        <row r="12520">
          <cell r="D12520" t="str">
            <v>15359364    -    CONN. FEMALE GT 150    -    0.11795</v>
          </cell>
        </row>
        <row r="12521">
          <cell r="D12521" t="str">
            <v>15359417    -    CLIP CONVLT CDT 6MM    -    0.08281</v>
          </cell>
        </row>
        <row r="12522">
          <cell r="D12522" t="str">
            <v>15359444    -    STRAIN RELIEF 12F    -    0.06915</v>
          </cell>
        </row>
        <row r="12523">
          <cell r="D12523" t="str">
            <v>15359523    -    BRACKET    -    0.24464</v>
          </cell>
        </row>
        <row r="12524">
          <cell r="D12524" t="str">
            <v>15359535    -    CONNECTOR    -    0.158143</v>
          </cell>
        </row>
        <row r="12525">
          <cell r="D12525" t="str">
            <v>15359538    -    CONNECTOR    -    0.049577</v>
          </cell>
        </row>
        <row r="12526">
          <cell r="D12526" t="str">
            <v>15359539    -    CONNECTOR    -    0.054331</v>
          </cell>
        </row>
        <row r="12527">
          <cell r="D12527" t="str">
            <v>15359545    -    HSG RELAY RESISTOR MOD    -    0.30416</v>
          </cell>
        </row>
        <row r="12528">
          <cell r="D12528" t="str">
            <v>15363617    -    HOUSING 3.P. BLACK-VIOLET    -    0.431254</v>
          </cell>
        </row>
        <row r="12529">
          <cell r="D12529" t="str">
            <v>15363622    -    617852 CNCO 2    -    0.124141</v>
          </cell>
        </row>
        <row r="12530">
          <cell r="D12530" t="str">
            <v>15363642    -    CONN 12 F BLK    -    0.06485</v>
          </cell>
        </row>
        <row r="12531">
          <cell r="D12531" t="str">
            <v>15363644    -    CX 2 PR 44390623    -    0.035893</v>
          </cell>
        </row>
        <row r="12532">
          <cell r="D12532" t="str">
            <v>15363659    -    HOUSING 2.P. YELLOW-VIOLET    -    0.14627</v>
          </cell>
        </row>
        <row r="12533">
          <cell r="D12533" t="str">
            <v>15363660    -    CONNECTOR AFK    -    0.043463</v>
          </cell>
        </row>
        <row r="12534">
          <cell r="D12534" t="str">
            <v>15363662    -    CX MODULE 56 CAV OR 8D0 972    -    1.049798</v>
          </cell>
        </row>
        <row r="12535">
          <cell r="D12535" t="str">
            <v>15363663    -    HOUSING 28.P. ZL    -    0.175416</v>
          </cell>
        </row>
        <row r="12536">
          <cell r="D12536" t="str">
            <v>15363667    -    CONNECTOR AFK    -    0.04156</v>
          </cell>
        </row>
        <row r="12537">
          <cell r="D12537" t="str">
            <v>15363668    -    AFK CONN    -    0.0365</v>
          </cell>
        </row>
        <row r="12538">
          <cell r="D12538" t="str">
            <v>15363693    -    CONNECTOR AFK    -    0.048509</v>
          </cell>
        </row>
        <row r="12539">
          <cell r="D12539" t="str">
            <v>15363695    -    CONN 6F    -    0.123277</v>
          </cell>
        </row>
        <row r="12540">
          <cell r="D12540" t="str">
            <v>15363704    -    CONNECTOR    -    0.144948</v>
          </cell>
        </row>
        <row r="12541">
          <cell r="D12541" t="str">
            <v>15363706S    -    CONNECTOR    -    0.024164</v>
          </cell>
        </row>
        <row r="12542">
          <cell r="D12542" t="str">
            <v>15363712    -    CONN 4 M BLK SEALED    -    0.086237</v>
          </cell>
        </row>
        <row r="12543">
          <cell r="D12543" t="str">
            <v>15363716    -    MOUN CLIP    -    0.068952</v>
          </cell>
        </row>
        <row r="12544">
          <cell r="D12544" t="str">
            <v>15363720    -    MOUN BRACKET    -    0.158684</v>
          </cell>
        </row>
        <row r="12545">
          <cell r="D12545" t="str">
            <v>15363723    -    CENT RELAY CTR BLK    -    0.620919</v>
          </cell>
        </row>
        <row r="12546">
          <cell r="D12546" t="str">
            <v>15363767    -    CONN    -    0.335989</v>
          </cell>
        </row>
        <row r="12547">
          <cell r="D12547" t="str">
            <v>15363838    -    4-P GEHAEUSE    -    0.088936</v>
          </cell>
        </row>
        <row r="12548">
          <cell r="D12548" t="str">
            <v>15363839    -    STECKHLSENGEHUSE5-POL.SLK2,8ELA KOD. B    -    0.323845</v>
          </cell>
        </row>
        <row r="12549">
          <cell r="D12549" t="str">
            <v>15363851    -    CONN 8 F    -    0.316019</v>
          </cell>
        </row>
        <row r="12550">
          <cell r="D12550" t="str">
            <v>15363862    -    CONNECTOR AFS    -    0.042667</v>
          </cell>
        </row>
        <row r="12551">
          <cell r="D12551" t="str">
            <v>15363867    -    CONNECTOR AFK    -    0.072865</v>
          </cell>
        </row>
        <row r="12552">
          <cell r="D12552" t="str">
            <v>15363868    -    CONNECTOR AFK    -    0.029942</v>
          </cell>
        </row>
        <row r="12553">
          <cell r="D12553" t="str">
            <v>15363869    -    CONN 5 F RECEPTACLE 2.8 BLK    -    0.04156</v>
          </cell>
        </row>
        <row r="12554">
          <cell r="D12554" t="str">
            <v>15363885    -    CONN,F,1-W,WHITE    -    0.015052</v>
          </cell>
        </row>
        <row r="12555">
          <cell r="D12555" t="str">
            <v>15363893    -    CONN,F,6-W,BLACK    -    0.040413</v>
          </cell>
        </row>
        <row r="12556">
          <cell r="D12556" t="str">
            <v>15363998    -    011051 ZLACZE 1/24576/97    -    0.358901</v>
          </cell>
        </row>
        <row r="12557">
          <cell r="D12557" t="str">
            <v>15364000    -    COVER    -    0.02307</v>
          </cell>
        </row>
        <row r="12558">
          <cell r="D12558" t="str">
            <v>15364001    -    CONN, 14F .070 MULTILOCK    -    0.1172</v>
          </cell>
        </row>
        <row r="12559">
          <cell r="D12559" t="str">
            <v>15364002    -    CONN,M,2-W,WHITE    -    0.106828</v>
          </cell>
        </row>
        <row r="12560">
          <cell r="D12560" t="str">
            <v>15364004    -    CONNECTOR    -    0.08549</v>
          </cell>
        </row>
        <row r="12561">
          <cell r="D12561" t="str">
            <v>15364010    -    LOCK,12-W,BROWN    -    0.061058</v>
          </cell>
        </row>
        <row r="12562">
          <cell r="D12562" t="str">
            <v>15364013S    -    BC CONNECTOR    -    0.144984</v>
          </cell>
        </row>
        <row r="12563">
          <cell r="D12563" t="str">
            <v>15364015    -    2-POL. GEHAEUSE    -    0.172178</v>
          </cell>
        </row>
        <row r="12564">
          <cell r="D12564" t="str">
            <v>15364017    -    16.787.94 CO.20V AMP 282273-1 1/24945/96    -    0.793421</v>
          </cell>
        </row>
        <row r="12565">
          <cell r="D12565" t="str">
            <v>15364022    -    CONN,F,9-W,BLACK,ASSY    -    0.251817</v>
          </cell>
        </row>
        <row r="12566">
          <cell r="D12566" t="str">
            <v>15364024    -    CONN,F,9-W,BROWN,RELAY    -    0.251817</v>
          </cell>
        </row>
        <row r="12567">
          <cell r="D12567" t="str">
            <v>15364025    -    11.110.96 CON. 1V AMP 282533-2 NG    -    0.139375</v>
          </cell>
        </row>
        <row r="12568">
          <cell r="D12568" t="str">
            <v>15364031    -    011206 ZLACZE 282666-4    -    0.348444</v>
          </cell>
        </row>
        <row r="12569">
          <cell r="D12569" t="str">
            <v>15364032    -    011209 ZLACZE 282667-1    -    0.452978</v>
          </cell>
        </row>
        <row r="12570">
          <cell r="D12570" t="str">
            <v>15364033    -    011210 ZLACZE 282667-2    -    0.452978</v>
          </cell>
        </row>
        <row r="12571">
          <cell r="D12571" t="str">
            <v>15364034    -    011211 ZLACZE 282667-3    -    0.452978</v>
          </cell>
        </row>
        <row r="12572">
          <cell r="D12572" t="str">
            <v>15364035    -    011212 ZLACZE 282667-4    -    0.452978</v>
          </cell>
        </row>
        <row r="12573">
          <cell r="D12573" t="str">
            <v>15364036    -    011644 ZLACZE 282668-1    -    0.522659</v>
          </cell>
        </row>
        <row r="12574">
          <cell r="D12574" t="str">
            <v>15364037    -    011645 ZLACZE 282668-2    -    0.522659</v>
          </cell>
        </row>
        <row r="12575">
          <cell r="D12575" t="str">
            <v>15364039    -    011647 ZLACZE 282669-2    -    0.475854</v>
          </cell>
        </row>
        <row r="12576">
          <cell r="D12576" t="str">
            <v>15364042    -    16.309.94 CONECTOR 7V GR YASAKY 7283-157    -    0.363071</v>
          </cell>
        </row>
        <row r="12577">
          <cell r="D12577" t="str">
            <v>15364043    -    16.311.93 CONECTOR 7V BC YASAKY 7283-407    -    0.213252</v>
          </cell>
        </row>
        <row r="12578">
          <cell r="D12578" t="str">
            <v>15364045    -    16.310.93 CONECTOR 6V BC YASAKY 7283-426    -    0.220215</v>
          </cell>
        </row>
        <row r="12579">
          <cell r="D12579" t="str">
            <v>15364048    -    DV MISCELLANEOUS    -    0.066199</v>
          </cell>
        </row>
        <row r="12580">
          <cell r="D12580" t="str">
            <v>15364049    -    29.A01.06 CLIP MTA 03.00395 NG    -    0.087168</v>
          </cell>
        </row>
        <row r="12581">
          <cell r="D12581" t="str">
            <v>15364068    -    CONN 4 F BLK    -    0.044542</v>
          </cell>
        </row>
        <row r="12582">
          <cell r="D12582" t="str">
            <v>15364070    -    CONN 2 F BLK    -    0.022129</v>
          </cell>
        </row>
        <row r="12583">
          <cell r="D12583" t="str">
            <v>15364071    -    HOUSING 5.P. BLACK    -    0.088653</v>
          </cell>
        </row>
        <row r="12584">
          <cell r="D12584" t="str">
            <v>15364072    -    HOUSING 5.P. BROWN    -    0.088654</v>
          </cell>
        </row>
        <row r="12585">
          <cell r="D12585" t="str">
            <v>15364074    -    HOUSING 5.P. BLACK    -    0.064904</v>
          </cell>
        </row>
        <row r="12586">
          <cell r="D12586" t="str">
            <v>15364075    -    HOUSING 5.P. BROWN    -    0.064904</v>
          </cell>
        </row>
        <row r="12587">
          <cell r="D12587" t="str">
            <v>15364076    -    HOUSING 5.P.    -    0.064904</v>
          </cell>
        </row>
        <row r="12588">
          <cell r="D12588" t="str">
            <v>15364078    -    CONN 3 F TIMER JR-POWER BLK    -    0.03874</v>
          </cell>
        </row>
        <row r="12589">
          <cell r="D12589" t="str">
            <v>15364080    -    CONN 9 F VLT    -    0.220754</v>
          </cell>
        </row>
        <row r="12590">
          <cell r="D12590" t="str">
            <v>15364089    -    CONNECTOR    -    0.064729</v>
          </cell>
        </row>
        <row r="12591">
          <cell r="D12591" t="str">
            <v>15364092    -    CONN 4 M BLK    -    0.046553</v>
          </cell>
        </row>
        <row r="12592">
          <cell r="D12592" t="str">
            <v>15364095    -    633557 CNCN 2 BK 3    -    0.189719</v>
          </cell>
        </row>
        <row r="12593">
          <cell r="D12593" t="str">
            <v>15364107    -    CX " 1 PR 92550136    -    0.012549</v>
          </cell>
        </row>
        <row r="12594">
          <cell r="D12594" t="str">
            <v>15364127    -    CONNECTOR 2V MA * 9601096780    -    0.10699</v>
          </cell>
        </row>
        <row r="12595">
          <cell r="D12595" t="str">
            <v>15364130    -    8-POL.GEH.POWTI    -    0.136528</v>
          </cell>
        </row>
        <row r="12596">
          <cell r="D12596" t="str">
            <v>15364131    -    CON.8W BLACK    -    0.136528</v>
          </cell>
        </row>
        <row r="12597">
          <cell r="D12597" t="str">
            <v>15364132    -    CON.8W    -    0.182163</v>
          </cell>
        </row>
        <row r="12598">
          <cell r="D12598" t="str">
            <v>15364133    -    8-POL.GEH.POWTI    -    0.136528</v>
          </cell>
        </row>
        <row r="12599">
          <cell r="D12599" t="str">
            <v>15364134    -    CONNECTOR 13V BA * 9612246480    -    0.294713</v>
          </cell>
        </row>
        <row r="12600">
          <cell r="D12600" t="str">
            <v>15364148    -    CONNECTOR 2V GR * 9613942280    -    0.233533</v>
          </cell>
        </row>
        <row r="12601">
          <cell r="D12601" t="str">
            <v>15364159    -    CONNECTOR 7V NR * 9615405380    -    0.2757</v>
          </cell>
        </row>
        <row r="12602">
          <cell r="D12602" t="str">
            <v>15364167    -    CONNECTOR 9V OR * 9615406180    -    0.268292</v>
          </cell>
        </row>
        <row r="12603">
          <cell r="D12603" t="str">
            <v>15364174    -    CONNECTOR 13 V BA * 9612245580    -    0.312942</v>
          </cell>
        </row>
        <row r="12604">
          <cell r="D12604" t="str">
            <v>15364187    -    FUSE PULLER,YELLOW    -    0.029969</v>
          </cell>
        </row>
        <row r="12605">
          <cell r="D12605" t="str">
            <v>15364194    -    CONN,F,2-W,BLACK WITH BLUE SEAL,ASSY    -    0.397223</v>
          </cell>
        </row>
        <row r="12606">
          <cell r="D12606" t="str">
            <v>15364197    -    CONN,F,1-W,WITH SEC LOCK    -    0.233452</v>
          </cell>
        </row>
        <row r="12607">
          <cell r="D12607" t="str">
            <v>15364199    -    CONN,F,8-W,WHITE    -    0.150292</v>
          </cell>
        </row>
        <row r="12608">
          <cell r="D12608" t="str">
            <v>15364203    -    2 WAY HOUSING    -    0.056538</v>
          </cell>
        </row>
        <row r="12609">
          <cell r="D12609" t="str">
            <v>15364221    -    HOUSING 6.P. CE    -    0.331132</v>
          </cell>
        </row>
        <row r="12610">
          <cell r="D12610" t="str">
            <v>15364236    -    HOUSING 4.P. CE    -    0.163812</v>
          </cell>
        </row>
        <row r="12611">
          <cell r="D12611" t="str">
            <v>15364249    -    634356 CNCN M 24 BK 14 *    -    0.340847</v>
          </cell>
        </row>
        <row r="12612">
          <cell r="D12612" t="str">
            <v>15364250S    -    CONNECTOR    -    0.079419</v>
          </cell>
        </row>
        <row r="12613">
          <cell r="D12613" t="str">
            <v>15364265    -    CONN 0    -    0.0253</v>
          </cell>
        </row>
        <row r="12614">
          <cell r="D12614" t="str">
            <v>15364294    -    STECKHUELSE F.SEITENAIRBAG    -    0.122805</v>
          </cell>
        </row>
        <row r="12615">
          <cell r="D12615" t="str">
            <v>15364297    -    CONNECTOR 2V RG * 9615534480    -    0.049103</v>
          </cell>
        </row>
        <row r="12616">
          <cell r="D12616" t="str">
            <v>15364300    -    CONNECTOR 2V BA * 9615534380    -    0.049103</v>
          </cell>
        </row>
        <row r="12617">
          <cell r="D12617" t="str">
            <v>15364325    -    CONN, F, 4-W, BLACK, SLD    -    0.202466</v>
          </cell>
        </row>
        <row r="12618">
          <cell r="D12618" t="str">
            <v>15364326    -    MODULE FOR PINS 1-18 (BLACK)    -    0.13347</v>
          </cell>
        </row>
        <row r="12619">
          <cell r="D12619" t="str">
            <v>15364330    -    CON.4W BLACK    -    0.682949</v>
          </cell>
        </row>
        <row r="12620">
          <cell r="D12620" t="str">
            <v>15364331    -    011202 ZLACZE 46426555    -    3.041905</v>
          </cell>
        </row>
        <row r="12621">
          <cell r="D12621" t="str">
            <v>15364332    -    LOCK TPA 2 RED    -    0.092727</v>
          </cell>
        </row>
        <row r="12622">
          <cell r="D12622" t="str">
            <v>15364357    -    CONN,FUSE HOLDER,BLACK    -    2.076711</v>
          </cell>
        </row>
        <row r="12623">
          <cell r="D12623" t="str">
            <v>15364373    -    CONNECTOR 5V MA * 9613945480    -    0.332346</v>
          </cell>
        </row>
        <row r="12624">
          <cell r="D12624" t="str">
            <v>15364381    -    187 FASTON REC. HOUSING    -    0.03192</v>
          </cell>
        </row>
        <row r="12625">
          <cell r="D12625" t="str">
            <v>15364385    -    CONN,F,2-W,YELLOW,ASSY    -    0.032047</v>
          </cell>
        </row>
        <row r="12626">
          <cell r="D12626" t="str">
            <v>15364394    -    CONNECTOR 8W    -    0.15793</v>
          </cell>
        </row>
        <row r="12627">
          <cell r="D12627" t="str">
            <v>15364395    -    LOCK TPA 4 YEL    -    0.109406</v>
          </cell>
        </row>
        <row r="12628">
          <cell r="D12628" t="str">
            <v>15364396    -    CONN,F,6-W,WHITE    -    0.0699</v>
          </cell>
        </row>
        <row r="12629">
          <cell r="D12629" t="str">
            <v>15364397    -    CONN,F,6-W,WHITE,070S    -    0.0586</v>
          </cell>
        </row>
        <row r="12630">
          <cell r="D12630" t="str">
            <v>15364399    -    1-P FL-STECKGEH.    -    0.027176</v>
          </cell>
        </row>
        <row r="12631">
          <cell r="D12631" t="str">
            <v>15364418    -    CONN,F,2-W,WHITE,ASSY    -    0.061804</v>
          </cell>
        </row>
        <row r="12632">
          <cell r="D12632" t="str">
            <v>15364420    -    CONN,F,3-W,WHITE,ASSY    -    0.083943</v>
          </cell>
        </row>
        <row r="12633">
          <cell r="D12633" t="str">
            <v>15364422    -    CONNECTOR 4V OR * 9615535580    -    0.064067</v>
          </cell>
        </row>
        <row r="12634">
          <cell r="D12634" t="str">
            <v>15364423    -    CONN,F,1-W,NATURAL    -    0.055701</v>
          </cell>
        </row>
        <row r="12635">
          <cell r="D12635" t="str">
            <v>15364427S    -    BC SEAL    -    0.012093</v>
          </cell>
        </row>
        <row r="12636">
          <cell r="D12636" t="str">
            <v>15364430    -    CONNECTOR 3F    -    0.432751</v>
          </cell>
        </row>
        <row r="12637">
          <cell r="D12637" t="str">
            <v>15364432    -    DV COVER POS 2444 BK 031 545 7528    -    0.241535</v>
          </cell>
        </row>
        <row r="12638">
          <cell r="D12638" t="str">
            <v>15364486    -    28-P STECKHUELSENG.AMP NEU    -    0.313158</v>
          </cell>
        </row>
        <row r="12639">
          <cell r="D12639" t="str">
            <v>15365396    -    CONN,F,6-W,WHITE    -    0.0699</v>
          </cell>
        </row>
        <row r="12640">
          <cell r="D12640" t="str">
            <v>15365397    -    CONN,F,6-W,WHITE    -    0.0586</v>
          </cell>
        </row>
        <row r="12641">
          <cell r="D12641" t="str">
            <v>15365602    -    COV CHANNEL BLK    -    0.180665</v>
          </cell>
        </row>
        <row r="12642">
          <cell r="D12642" t="str">
            <v>15365611    -    CONN, 6M 090II *7282-7062    -    0.332051</v>
          </cell>
        </row>
        <row r="12643">
          <cell r="D12643" t="str">
            <v>15365614    -    CONN,3-W    -    0.364326</v>
          </cell>
        </row>
        <row r="12644">
          <cell r="D12644" t="str">
            <v>15365619    -    SHIELING ENCLOUSURE KIT    -    7.49</v>
          </cell>
        </row>
        <row r="12645">
          <cell r="D12645" t="str">
            <v>15365621    -    CONN 25W    -    2.2</v>
          </cell>
        </row>
        <row r="12646">
          <cell r="D12646" t="str">
            <v>15365622    -    KIT SHIELDING    -    4.48</v>
          </cell>
        </row>
        <row r="12647">
          <cell r="D12647" t="str">
            <v>15365628    -    6 PIN CONNECTOR    -    2.48</v>
          </cell>
        </row>
        <row r="12648">
          <cell r="D12648" t="str">
            <v>15365630    -    ASS. CONNECTOR 6F JPT SEALED    -    0.769132</v>
          </cell>
        </row>
        <row r="12649">
          <cell r="D12649" t="str">
            <v>15365635    -    COVER CONN    -    0.95</v>
          </cell>
        </row>
        <row r="12650">
          <cell r="D12650" t="str">
            <v>15365636    -    COV SHROUD BLK    -    0.595389</v>
          </cell>
        </row>
        <row r="12651">
          <cell r="D12651" t="str">
            <v>15365637    -    GEHAEUSEDECKEL 30/48POL.    -    0.04967</v>
          </cell>
        </row>
        <row r="12652">
          <cell r="D12652" t="str">
            <v>15365640    -    CONN 2F    -    0.519502</v>
          </cell>
        </row>
        <row r="12653">
          <cell r="D12653" t="str">
            <v>15365643    -    STECKHLSENGEHUSE5-POL.SLK2,8ELA KOD. A    -    0.323845</v>
          </cell>
        </row>
        <row r="12654">
          <cell r="D12654" t="str">
            <v>15365651    -    CONN    -    0.20428</v>
          </cell>
        </row>
        <row r="12655">
          <cell r="D12655" t="str">
            <v>15365658    -    DV SL POS 3261 BK 036 545 0928    -    0.13731</v>
          </cell>
        </row>
        <row r="12656">
          <cell r="D12656" t="str">
            <v>15365659    -    CX POS 3261 2 CAV BK 036 545    -    0.137985</v>
          </cell>
        </row>
        <row r="12657">
          <cell r="D12657" t="str">
            <v>15365695    -    CLAMP    -    0.718</v>
          </cell>
        </row>
        <row r="12658">
          <cell r="D12658" t="str">
            <v>15365696    -    RETAINER    -    0.906</v>
          </cell>
        </row>
        <row r="12659">
          <cell r="D12659" t="str">
            <v>15365703    -    CONN 8F    -    0.227445</v>
          </cell>
        </row>
        <row r="12660">
          <cell r="D12660" t="str">
            <v>15365704    -    CONN 8F    -    0.218926</v>
          </cell>
        </row>
        <row r="12661">
          <cell r="D12661" t="str">
            <v>15365708    -    ASS. CONN 2M MICRO QUADLOK SYSTEM    -    0.320944</v>
          </cell>
        </row>
        <row r="12662">
          <cell r="D12662" t="str">
            <v>15365709    -    CONN 7F    -    0.1691</v>
          </cell>
        </row>
        <row r="12663">
          <cell r="D12663" t="str">
            <v>15365725    -    CONN 6F    -    0.14073</v>
          </cell>
        </row>
        <row r="12664">
          <cell r="D12664" t="str">
            <v>15365726    -    CONN 5F    -    0.16724</v>
          </cell>
        </row>
        <row r="12665">
          <cell r="D12665" t="str">
            <v>15365727    -    CONN 2F    -    0.16856</v>
          </cell>
        </row>
        <row r="12666">
          <cell r="D12666" t="str">
            <v>15365730    -    CONN MXD    -    0.2382</v>
          </cell>
        </row>
        <row r="12667">
          <cell r="D12667" t="str">
            <v>15365732    -    COVER R/B    -    1.34182</v>
          </cell>
        </row>
        <row r="12668">
          <cell r="D12668" t="str">
            <v>15365733    -    CONN 12F    -    0.369554</v>
          </cell>
        </row>
        <row r="12669">
          <cell r="D12669" t="str">
            <v>15365734    -    CONN 12F    -    0.369554</v>
          </cell>
        </row>
        <row r="12670">
          <cell r="D12670" t="str">
            <v>15365736    -    PROTECTOR    -    0.125</v>
          </cell>
        </row>
        <row r="12671">
          <cell r="D12671" t="str">
            <v>15365745    -    CONN 14M    -    0.315992</v>
          </cell>
        </row>
        <row r="12672">
          <cell r="D12672" t="str">
            <v>15365746    -    CONNECTOR    -    0.162165</v>
          </cell>
        </row>
        <row r="12673">
          <cell r="D12673" t="str">
            <v>15365764    -    6-WAY CONNECTOR    -    0.169256</v>
          </cell>
        </row>
        <row r="12674">
          <cell r="D12674" t="str">
            <v>15365765    -    CONNECTOR 16M    -    0.290381</v>
          </cell>
        </row>
        <row r="12675">
          <cell r="D12675" t="str">
            <v>15365767    -    CLIP    -    0.0345</v>
          </cell>
        </row>
        <row r="12676">
          <cell r="D12676" t="str">
            <v>15365771    -    CONN 18+2F    -    0.243333</v>
          </cell>
        </row>
        <row r="12677">
          <cell r="D12677" t="str">
            <v>15365772    -    CONN 2M    -    0.18218</v>
          </cell>
        </row>
        <row r="12678">
          <cell r="D12678" t="str">
            <v>15365796    -    FUSE RELAY    -    0.08</v>
          </cell>
        </row>
        <row r="12679">
          <cell r="D12679" t="str">
            <v>15365797    -    FUSE SOCKET    -    0.08</v>
          </cell>
        </row>
        <row r="12680">
          <cell r="D12680" t="str">
            <v>15365798    -    FUSE SOCKET    -    0.08</v>
          </cell>
        </row>
        <row r="12681">
          <cell r="D12681" t="str">
            <v>15365799    -    CLIP    -    0.08727</v>
          </cell>
        </row>
        <row r="12682">
          <cell r="D12682" t="str">
            <v>15365802    -    CONNECTOR    -    0.30963</v>
          </cell>
        </row>
        <row r="12683">
          <cell r="D12683" t="str">
            <v>15365848    -    CONN 3F    -    1.53759</v>
          </cell>
        </row>
        <row r="12684">
          <cell r="D12684" t="str">
            <v>15365866    -    PLUG 2 PIN    -    0.10779</v>
          </cell>
        </row>
        <row r="12685">
          <cell r="D12685" t="str">
            <v>15365872    -    RECEPTACLE    -    0.67</v>
          </cell>
        </row>
        <row r="12686">
          <cell r="D12686" t="str">
            <v>15365877    -    CONN 15F    -    1.47197</v>
          </cell>
        </row>
        <row r="12687">
          <cell r="D12687" t="str">
            <v>15365878    -    DV POS 2721(CV) BK 031 545 4528    -    0.595389</v>
          </cell>
        </row>
        <row r="12688">
          <cell r="D12688" t="str">
            <v>15365880    -    CONN HOLDER    -    0.1854</v>
          </cell>
        </row>
        <row r="12689">
          <cell r="D12689" t="str">
            <v>15365884    -    CLAMP    -    0.0307</v>
          </cell>
        </row>
        <row r="12690">
          <cell r="D12690" t="str">
            <v>15365898    -    CONN 2F    -    0.237</v>
          </cell>
        </row>
        <row r="12691">
          <cell r="D12691" t="str">
            <v>15365903    -    CONNECTOR    -    0.43745</v>
          </cell>
        </row>
        <row r="12692">
          <cell r="D12692" t="str">
            <v>15365935    -    CONN 2F    -    0.1699</v>
          </cell>
        </row>
        <row r="12693">
          <cell r="D12693" t="str">
            <v>15365936    -    FUSE SOCKET    -    0.08</v>
          </cell>
        </row>
        <row r="12694">
          <cell r="D12694" t="str">
            <v>15365937    -    FUSE SOCKET    -    0.08</v>
          </cell>
        </row>
        <row r="12695">
          <cell r="D12695" t="str">
            <v>15365938    -    FUSE SOCKET    -    0.08</v>
          </cell>
        </row>
        <row r="12696">
          <cell r="D12696" t="str">
            <v>15365939    -    FUSE SOCKET    -    0.08</v>
          </cell>
        </row>
        <row r="12697">
          <cell r="D12697" t="str">
            <v>15365940    -    FUSE SOCKET    -    0.08</v>
          </cell>
        </row>
        <row r="12698">
          <cell r="D12698" t="str">
            <v>15365941    -    FUSE SOCKET    -    0.08</v>
          </cell>
        </row>
        <row r="12699">
          <cell r="D12699" t="str">
            <v>15365979    -    PLUG    -    5.92</v>
          </cell>
        </row>
        <row r="12700">
          <cell r="D12700" t="str">
            <v>15365981    -    PLUG    -    5.62</v>
          </cell>
        </row>
        <row r="12701">
          <cell r="D12701" t="str">
            <v>15365985    -    CONNECTOR    -    0.18906</v>
          </cell>
        </row>
        <row r="12702">
          <cell r="D12702" t="str">
            <v>15365993    -    CONN 32 WAY M,S.    -    8.29</v>
          </cell>
        </row>
        <row r="12703">
          <cell r="D12703" t="str">
            <v>15365997    -    CLAMP    -    0.0208</v>
          </cell>
        </row>
        <row r="12704">
          <cell r="D12704" t="str">
            <v>15365998    -    CLIP    -    0.0208</v>
          </cell>
        </row>
        <row r="12705">
          <cell r="D12705" t="str">
            <v>15366025    -    ASM CONN 2 F GT 150 GRA SLD    -    0.17537</v>
          </cell>
        </row>
        <row r="12706">
          <cell r="D12706" t="str">
            <v>15366026    -    CONN 2F GT 150 SLD 3.2 X 4.0    -    0.058212</v>
          </cell>
        </row>
        <row r="12707">
          <cell r="D12707" t="str">
            <v>15366027    -    ASM CONN 2 F GT 150 BLU DK SLD    -    0.206041</v>
          </cell>
        </row>
        <row r="12708">
          <cell r="D12708" t="str">
            <v>15366028    -    CONN 2F GT 150 SLD 3.2 X 4.0    -    0.058212</v>
          </cell>
        </row>
        <row r="12709">
          <cell r="D12709" t="str">
            <v>15366058    -    BRACKET GROM    -    0.2661</v>
          </cell>
        </row>
        <row r="12710">
          <cell r="D12710" t="str">
            <v>15366627    -    BRACKET    -    2.586</v>
          </cell>
        </row>
        <row r="12711">
          <cell r="D12711" t="str">
            <v>15366637    -    BRACKET / CLIP ASM    -    0.993</v>
          </cell>
        </row>
        <row r="12712">
          <cell r="D12712" t="str">
            <v>15366676    -    TPA 20F GT 150 SLD    -    0.0265</v>
          </cell>
        </row>
        <row r="12713">
          <cell r="D12713" t="str">
            <v>15366677    -    WIRE DRESS    -    0.0945</v>
          </cell>
        </row>
        <row r="12714">
          <cell r="D12714" t="str">
            <v>15366686    -    TPA 12F GT 150/280 SLD    -    0.0568</v>
          </cell>
        </row>
        <row r="12715">
          <cell r="D12715" t="str">
            <v>15366687    -    CLIP CNVLT CDT WIRE DRESS    -    0.10837</v>
          </cell>
        </row>
        <row r="12716">
          <cell r="D12716" t="str">
            <v>15368200    -    CONNECTOR    -    0.056538</v>
          </cell>
        </row>
        <row r="12717">
          <cell r="D12717" t="str">
            <v>15368394    -    ACC1, COVER BGRY    -    0.1778</v>
          </cell>
        </row>
        <row r="12718">
          <cell r="D12718" t="str">
            <v>15368397    -    CONN, ASSY 32F MIC/P BLK    -    1.5348</v>
          </cell>
        </row>
        <row r="12719">
          <cell r="D12719" t="str">
            <v>15368398    -    CONN, ASSY 32F MIC/P GRY    -    1.5348</v>
          </cell>
        </row>
        <row r="12720">
          <cell r="D12720" t="str">
            <v>15368417    -    CX 1 CAV BK 191 972    -    0.056538</v>
          </cell>
        </row>
        <row r="12721">
          <cell r="D12721" t="str">
            <v>15368418    -    CX 1 CAV BK 191 972    -    0.06207</v>
          </cell>
        </row>
        <row r="12722">
          <cell r="D12722" t="str">
            <v>15368443    -    CONNECTOR    -    0.103482</v>
          </cell>
        </row>
        <row r="12723">
          <cell r="D12723" t="str">
            <v>15368463    -    LOCKING CAP BK    -    0.061477</v>
          </cell>
        </row>
        <row r="12724">
          <cell r="D12724" t="str">
            <v>15368473    -    KABELBINDER F. ZUS-22    -    0.008299</v>
          </cell>
        </row>
        <row r="12725">
          <cell r="D12725" t="str">
            <v>15368474    -    10F CONNECTOR, BLK    -    0.103482</v>
          </cell>
        </row>
        <row r="12726">
          <cell r="D12726" t="str">
            <v>15368483    -    VERR. F. 10-P GEH.    -    0.179383</v>
          </cell>
        </row>
        <row r="12727">
          <cell r="D12727" t="str">
            <v>15368487    -    CONN 9M PIN    -    0.226435</v>
          </cell>
        </row>
        <row r="12728">
          <cell r="D12728" t="str">
            <v>15368547    -    CONN 17 F TIMER BLK    -    0.150588</v>
          </cell>
        </row>
        <row r="12729">
          <cell r="D12729" t="str">
            <v>15368635    -    CONNECTOR    -    0.336574</v>
          </cell>
        </row>
        <row r="12730">
          <cell r="D12730" t="str">
            <v>15368637    -    RETAINER    -    0.044434</v>
          </cell>
        </row>
        <row r="12731">
          <cell r="D12731" t="str">
            <v>15368657    -    CONN 2 F RECEPTACLE 4.8 BLK    -    0.174553</v>
          </cell>
        </row>
        <row r="12732">
          <cell r="D12732" t="str">
            <v>15368658    -    CONNECTOR    -    0.1908</v>
          </cell>
        </row>
        <row r="12733">
          <cell r="D12733" t="str">
            <v>15368660    -    ASM CONN 4 F RECEPTACLE 1.5 BLK SLD    -    0.479</v>
          </cell>
        </row>
        <row r="12734">
          <cell r="D12734" t="str">
            <v>15368677    -    CONNECTOR 16W GRAY    -    0.20963</v>
          </cell>
        </row>
        <row r="12735">
          <cell r="D12735" t="str">
            <v>15368694    -    CONNECTOR    -    0.11222</v>
          </cell>
        </row>
        <row r="12736">
          <cell r="D12736" t="str">
            <v>15368695    -    4W-FM,WHT,NO SPC    -    0.09518</v>
          </cell>
        </row>
        <row r="12737">
          <cell r="D12737" t="str">
            <v>15368704    -    CONN 20F    -    0.59014</v>
          </cell>
        </row>
        <row r="12738">
          <cell r="D12738" t="str">
            <v>15368705    -    CONN 1F FASTON 6,3 SER    -    0.006275</v>
          </cell>
        </row>
        <row r="12739">
          <cell r="D12739" t="str">
            <v>15368707    -    16.K18.93 CONECTOR 6 VIAS 280314-0    -    0.057063</v>
          </cell>
        </row>
        <row r="12740">
          <cell r="D12740" t="str">
            <v>15368726    -    CONNECTOR 2W    -    0.16177</v>
          </cell>
        </row>
        <row r="12741">
          <cell r="D12741" t="str">
            <v>15368735    -    POKRYWA V23542-C1052-Z300    -    0.172475</v>
          </cell>
        </row>
        <row r="12742">
          <cell r="D12742" t="str">
            <v>15368741    -    CONN 3W    -    0.05271</v>
          </cell>
        </row>
        <row r="12743">
          <cell r="D12743" t="str">
            <v>15368784    -    CONNECTOR 2 WAYS    -    0.214547</v>
          </cell>
        </row>
        <row r="12744">
          <cell r="D12744" t="str">
            <v>15368802    -    PLUG WEDGE    -    0.13</v>
          </cell>
        </row>
        <row r="12745">
          <cell r="D12745" t="str">
            <v>15368809    -    ABDECKHAUBE    -    0.184902</v>
          </cell>
        </row>
        <row r="12746">
          <cell r="D12746" t="str">
            <v>15368813    -    CONN    -    0.04055</v>
          </cell>
        </row>
        <row r="12747">
          <cell r="D12747" t="str">
            <v>15368816-L    -    BC CONNECTOR    -    0.491728</v>
          </cell>
        </row>
        <row r="12748">
          <cell r="D12748" t="str">
            <v>15368835    -    CONN 9 F    -    0.220754</v>
          </cell>
        </row>
        <row r="12749">
          <cell r="D12749" t="str">
            <v>15368876    -    CONN,F,3-W,BLACK    -    0.14117</v>
          </cell>
        </row>
        <row r="12750">
          <cell r="D12750" t="str">
            <v>15368882    -    CONN    -    0.03579</v>
          </cell>
        </row>
        <row r="12751">
          <cell r="D12751" t="str">
            <v>15368909    -    CONN,6-W,BLACK    -    0.456757</v>
          </cell>
        </row>
        <row r="12752">
          <cell r="D12752" t="str">
            <v>15368916    -    64W CONN    -    1.808136</v>
          </cell>
        </row>
        <row r="12753">
          <cell r="D12753" t="str">
            <v>15368966    -    COVER FOR CON.    -    0.067468</v>
          </cell>
        </row>
        <row r="12754">
          <cell r="D12754" t="str">
            <v>15368969    -    CONNECTOR CLIPS FOR    -    0.101577</v>
          </cell>
        </row>
        <row r="12755">
          <cell r="D12755" t="str">
            <v>15368970    -    CONN 1F    -    0.04667</v>
          </cell>
        </row>
        <row r="12756">
          <cell r="D12756" t="str">
            <v>15369045    -    CONN 3 F MFK BLK    -    0.087087</v>
          </cell>
        </row>
        <row r="12757">
          <cell r="D12757" t="str">
            <v>15369054    -    CONN,F,4-W,WHITE    -    0.182163</v>
          </cell>
        </row>
        <row r="12758">
          <cell r="D12758" t="str">
            <v>15369055    -    CONN,4-W,F,BLACK    -    0.696039</v>
          </cell>
        </row>
        <row r="12759">
          <cell r="D12759" t="str">
            <v>15369089    -    632725 CNCN M 2 BK 6 *    -    0.288357</v>
          </cell>
        </row>
        <row r="12760">
          <cell r="D12760" t="str">
            <v>15369141    -    13-POL STECKHUELSENGEH.    -    1.621304</v>
          </cell>
        </row>
        <row r="12761">
          <cell r="D12761" t="str">
            <v>15369271    -    CLIP    -    0.023838</v>
          </cell>
        </row>
        <row r="12762">
          <cell r="D12762" t="str">
            <v>15369298    -    CABLE TIE    -    0.01444</v>
          </cell>
        </row>
        <row r="12763">
          <cell r="D12763" t="str">
            <v>15369345    -    CLIP, HARNESS    -    0.10473</v>
          </cell>
        </row>
        <row r="12764">
          <cell r="D12764" t="str">
            <v>15369402    -    CONN 5F    -    0.2575</v>
          </cell>
        </row>
        <row r="12765">
          <cell r="D12765" t="str">
            <v>15369403    -    CONN 23 WAY    -    6.92</v>
          </cell>
        </row>
        <row r="12766">
          <cell r="D12766" t="str">
            <v>15369404    -    CONN 31 WAY    -    7.3</v>
          </cell>
        </row>
        <row r="12767">
          <cell r="D12767" t="str">
            <v>15369405    -    CONN HOLDER    -    0.1725</v>
          </cell>
        </row>
        <row r="12768">
          <cell r="D12768" t="str">
            <v>15369425    -    CLAMP    -    0.0417</v>
          </cell>
        </row>
        <row r="12769">
          <cell r="D12769" t="str">
            <v>15369426    -    CONN 8F    -    0.1887</v>
          </cell>
        </row>
        <row r="12770">
          <cell r="D12770" t="str">
            <v>15369434    -    CLIP    -    0.0395</v>
          </cell>
        </row>
        <row r="12771">
          <cell r="D12771" t="str">
            <v>15369449    -    ASM CONN 2F SUPERSEAL 1,5 SER    -    0.129538</v>
          </cell>
        </row>
        <row r="12772">
          <cell r="D12772" t="str">
            <v>15369450    -    CONN 3F 1.5 SLD BLK    -    0.1597</v>
          </cell>
        </row>
        <row r="12773">
          <cell r="D12773" t="str">
            <v>15369453    -    REAR COVER 2W 1.5 BLK    -    1.13726</v>
          </cell>
        </row>
        <row r="12774">
          <cell r="D12774" t="str">
            <v>15369454    -    COVER CAP 3 WAY    -    0.57013</v>
          </cell>
        </row>
        <row r="12775">
          <cell r="D12775" t="str">
            <v>15369455    -    SPACER    -    0.01171</v>
          </cell>
        </row>
        <row r="12776">
          <cell r="D12776" t="str">
            <v>15369463    -    CONN    -    0.078</v>
          </cell>
        </row>
        <row r="12777">
          <cell r="D12777" t="str">
            <v>15373418    -    ACC1, TPA BLK    -    0.0515</v>
          </cell>
        </row>
        <row r="12778">
          <cell r="D12778" t="str">
            <v>15373425    -    CONN, 3F GT    -    0.07464</v>
          </cell>
        </row>
        <row r="12779">
          <cell r="D12779" t="str">
            <v>15373433    -    CPA/COVER    -    0.025128</v>
          </cell>
        </row>
        <row r="12780">
          <cell r="D12780" t="str">
            <v>15373438    -    SLIDE ASSIST    -    0.26794</v>
          </cell>
        </row>
        <row r="12781">
          <cell r="D12781" t="str">
            <v>15373460    -    CONN 16M    -    0.105</v>
          </cell>
        </row>
        <row r="12782">
          <cell r="D12782" t="str">
            <v>15373511    -    STRAP LP WIRE U/H    -    0.04536</v>
          </cell>
        </row>
        <row r="12783">
          <cell r="D12783" t="str">
            <v>15373521    -    CONN 12M GT 150,280 SPL    -    0.23337</v>
          </cell>
        </row>
        <row r="12784">
          <cell r="D12784" t="str">
            <v>15373523    -    CONN 12M GT 150,280 SPL    -    0.26966</v>
          </cell>
        </row>
        <row r="12785">
          <cell r="D12785" t="str">
            <v>15373524    -    CONN 12M GT 150,280 SPL    -    0.26966</v>
          </cell>
        </row>
        <row r="12786">
          <cell r="D12786" t="str">
            <v>15373530    -    CONN 12F GT 150 280 SLD 4.0 5.8    -    0.12989</v>
          </cell>
        </row>
        <row r="12787">
          <cell r="D12787" t="str">
            <v>15373532    -    CONN 12F GT 150 280 SLD 4.0 5.8    -    0.13442</v>
          </cell>
        </row>
        <row r="12788">
          <cell r="D12788" t="str">
            <v>15373536    -    MBS GT MXD 12M    -    0.0475</v>
          </cell>
        </row>
        <row r="12789">
          <cell r="D12789" t="str">
            <v>15373537    -    TPA GT 12M    -    0.0495</v>
          </cell>
        </row>
        <row r="12790">
          <cell r="D12790" t="str">
            <v>15374213    -    CAP 2W M/P 280    -    0.0487</v>
          </cell>
        </row>
        <row r="12791">
          <cell r="D12791" t="str">
            <v>15374218    -    CONN    -    0.1305</v>
          </cell>
        </row>
        <row r="12792">
          <cell r="D12792" t="str">
            <v>15374219    -    CONN    -    0.1305</v>
          </cell>
        </row>
        <row r="12793">
          <cell r="D12793" t="str">
            <v>15380105    -    CONN 5W NATURL    -    0.1585</v>
          </cell>
        </row>
        <row r="12794">
          <cell r="D12794" t="str">
            <v>15380108    -    CONN    -    0.23839</v>
          </cell>
        </row>
        <row r="12795">
          <cell r="D12795" t="str">
            <v>15380109    -    CONN    -    0.12655</v>
          </cell>
        </row>
        <row r="12796">
          <cell r="D12796" t="str">
            <v>15380129    -    CLIP    -    0.1086</v>
          </cell>
        </row>
        <row r="12797">
          <cell r="D12797" t="str">
            <v>15380138    -    CONNECTOR    -    0.163142</v>
          </cell>
        </row>
        <row r="12798">
          <cell r="D12798" t="str">
            <v>15380139    -    3-POL.TB LU KUPPL. (A) DC    -    0.186211</v>
          </cell>
        </row>
        <row r="12799">
          <cell r="D12799" t="str">
            <v>15380143    -    PROTECTOR    -    0.1538</v>
          </cell>
        </row>
        <row r="12800">
          <cell r="D12800" t="str">
            <v>15380148    -    J/B    -    29.7</v>
          </cell>
        </row>
        <row r="12801">
          <cell r="D12801" t="str">
            <v>15380171    -    SCHUTZKAPPE    -    0.110377</v>
          </cell>
        </row>
        <row r="12802">
          <cell r="D12802" t="str">
            <v>15380194    -    CONN    -    1.97</v>
          </cell>
        </row>
        <row r="12803">
          <cell r="D12803" t="str">
            <v>15380196    -    CONNECTOR 6W    -    0.1</v>
          </cell>
        </row>
        <row r="12804">
          <cell r="D12804" t="str">
            <v>15380197    -    2-POL. GEH}USE YAZAKI    -    0.296507</v>
          </cell>
        </row>
        <row r="12805">
          <cell r="D12805" t="str">
            <v>15380200    -    GLASS FIBER SLEEVE    -    0.077911</v>
          </cell>
        </row>
        <row r="12806">
          <cell r="D12806" t="str">
            <v>15380207    -    CONN 8F    -    0.1898</v>
          </cell>
        </row>
        <row r="12807">
          <cell r="D12807" t="str">
            <v>15380212    -    CONNECTOR    -    0.13</v>
          </cell>
        </row>
        <row r="12808">
          <cell r="D12808" t="str">
            <v>15380218    -    CONN 23W    -    5.54</v>
          </cell>
        </row>
        <row r="12809">
          <cell r="D12809" t="str">
            <v>15380225    -    CONN SLATE GREY 15 CAV    -    0.18516</v>
          </cell>
        </row>
        <row r="12810">
          <cell r="D12810" t="str">
            <v>15380226    -    CONN SLATE GREY 12 CAV    -    0.4546</v>
          </cell>
        </row>
        <row r="12811">
          <cell r="D12811" t="str">
            <v>15380227    -    CONN SLATE GREY 09 CAV    -    0.16027</v>
          </cell>
        </row>
        <row r="12812">
          <cell r="D12812" t="str">
            <v>15380228    -    CONN SLATE GREY 06 CAV    -    0.14616</v>
          </cell>
        </row>
        <row r="12813">
          <cell r="D12813" t="str">
            <v>15380230    -    SEC LOCK BLUE    -    0.03675</v>
          </cell>
        </row>
        <row r="12814">
          <cell r="D12814" t="str">
            <v>15380236    -    CONNECTOR    -    0.0783</v>
          </cell>
        </row>
        <row r="12815">
          <cell r="D12815" t="str">
            <v>15380238    -    CLIP TAPE    -    0.0483</v>
          </cell>
        </row>
        <row r="12816">
          <cell r="D12816" t="str">
            <v>15380241    -    CONNECTOR    -    9.41</v>
          </cell>
        </row>
        <row r="12817">
          <cell r="D12817" t="str">
            <v>15380255    -    CONNECTOR    -    0.20855</v>
          </cell>
        </row>
        <row r="12818">
          <cell r="D12818" t="str">
            <v>15380274    -    CONNECTOR 5F    -    0.156</v>
          </cell>
        </row>
        <row r="12819">
          <cell r="D12819" t="str">
            <v>15380275    -    CONN    -    0.282891</v>
          </cell>
        </row>
        <row r="12820">
          <cell r="D12820" t="str">
            <v>15380278    -    CONN HOUSING 15F    -    1.80295</v>
          </cell>
        </row>
        <row r="12821">
          <cell r="D12821" t="str">
            <v>15380285    -    FUSE SOCKET COLOR RED    -    0.08</v>
          </cell>
        </row>
        <row r="12822">
          <cell r="D12822" t="str">
            <v>15380286    -    FUSE SOCKET COLOR GREEN    -    0.08</v>
          </cell>
        </row>
        <row r="12823">
          <cell r="D12823" t="str">
            <v>15380317    -    CONNECTOR    -    0.30312</v>
          </cell>
        </row>
        <row r="12824">
          <cell r="D12824" t="str">
            <v>15380319    -    TERMINAL [1123343-1]    -    0.008406</v>
          </cell>
        </row>
        <row r="12825">
          <cell r="D12825" t="str">
            <v>15380320    -    RECEPTABLE/SEAL    -    4.9</v>
          </cell>
        </row>
        <row r="12826">
          <cell r="D12826" t="str">
            <v>15380322    -    CONN 6 WAY    -    0.23641</v>
          </cell>
        </row>
        <row r="12827">
          <cell r="D12827" t="str">
            <v>15380326    -    CONNECTOR 23P    -    0.207</v>
          </cell>
        </row>
        <row r="12828">
          <cell r="D12828" t="str">
            <v>15380327    -    32 PIN CONNECTOR    -    2.94</v>
          </cell>
        </row>
        <row r="12829">
          <cell r="D12829" t="str">
            <v>15380329    -    24 PIN CONNECTOR    -    2.55</v>
          </cell>
        </row>
        <row r="12830">
          <cell r="D12830" t="str">
            <v>15380330    -    24 PIN CONNECTOR    -    2.55</v>
          </cell>
        </row>
        <row r="12831">
          <cell r="D12831" t="str">
            <v>15380333    -    CLAMP    -    0.0614</v>
          </cell>
        </row>
        <row r="12832">
          <cell r="D12832" t="str">
            <v>15380334    -    CLAMP    -    0.0921</v>
          </cell>
        </row>
        <row r="12833">
          <cell r="D12833" t="str">
            <v>15380335    -    CLAMP    -    0.0351</v>
          </cell>
        </row>
        <row r="12834">
          <cell r="D12834" t="str">
            <v>15380336    -    CLAMP    -    0.1272</v>
          </cell>
        </row>
        <row r="12835">
          <cell r="D12835" t="str">
            <v>15380337    -    CLAMP    -    0.0702</v>
          </cell>
        </row>
        <row r="12836">
          <cell r="D12836" t="str">
            <v>15380338    -    CLAMP    -    0.0518</v>
          </cell>
        </row>
        <row r="12837">
          <cell r="D12837" t="str">
            <v>15380340    -    CONNECTOR 16F    -    0.23709</v>
          </cell>
        </row>
        <row r="12838">
          <cell r="D12838" t="str">
            <v>15380342    -    CONN    -    0.626302</v>
          </cell>
        </row>
        <row r="12839">
          <cell r="D12839" t="str">
            <v>15380343    -    CONN    -    0.521449</v>
          </cell>
        </row>
        <row r="12840">
          <cell r="D12840" t="str">
            <v>15380344    -    M6 R    -    0.069402</v>
          </cell>
        </row>
        <row r="12841">
          <cell r="D12841" t="str">
            <v>15380345    -    CONN    -    0.287164</v>
          </cell>
        </row>
        <row r="12842">
          <cell r="D12842" t="str">
            <v>15380348    -    CONNECTOR 090II FS3    -    0.268968</v>
          </cell>
        </row>
        <row r="12843">
          <cell r="D12843" t="str">
            <v>15380349    -    CONNECTOR    -    0.1516</v>
          </cell>
        </row>
        <row r="12844">
          <cell r="D12844" t="str">
            <v>15380350    -    CONN 090    -    0.2847</v>
          </cell>
        </row>
        <row r="12845">
          <cell r="D12845" t="str">
            <v>15380351    -    CONN    -    0.38945</v>
          </cell>
        </row>
        <row r="12846">
          <cell r="D12846" t="str">
            <v>15380353    -    CONN    -    0.18436</v>
          </cell>
        </row>
        <row r="12847">
          <cell r="D12847" t="str">
            <v>15380354    -    CONN    -    0.62239</v>
          </cell>
        </row>
        <row r="12848">
          <cell r="D12848" t="str">
            <v>15380355    -    CONN    -    0.38</v>
          </cell>
        </row>
        <row r="12849">
          <cell r="D12849" t="str">
            <v>15380357    -    CONN    -    0.43636</v>
          </cell>
        </row>
        <row r="12850">
          <cell r="D12850" t="str">
            <v>15380358    -    CONN    -    0.24426</v>
          </cell>
        </row>
        <row r="12851">
          <cell r="D12851" t="str">
            <v>15380359    -    CONNECTOR    -    0.188</v>
          </cell>
        </row>
        <row r="12852">
          <cell r="D12852" t="str">
            <v>15380360    -    CONN    -    0.12982</v>
          </cell>
        </row>
        <row r="12853">
          <cell r="D12853" t="str">
            <v>15380361    -    CONN    -    0.21709</v>
          </cell>
        </row>
        <row r="12854">
          <cell r="D12854" t="str">
            <v>15380362    -    CONN    -    0.1588</v>
          </cell>
        </row>
        <row r="12855">
          <cell r="D12855" t="str">
            <v>15380363    -    CONN    -    0.16691</v>
          </cell>
        </row>
        <row r="12856">
          <cell r="D12856" t="str">
            <v>15380364    -    CONN 040III    -    0.19846</v>
          </cell>
        </row>
        <row r="12857">
          <cell r="D12857" t="str">
            <v>15380365    -    CONN    -    0.239</v>
          </cell>
        </row>
        <row r="12858">
          <cell r="D12858" t="str">
            <v>15380367    -    CONN    -    0.17673</v>
          </cell>
        </row>
        <row r="12859">
          <cell r="D12859" t="str">
            <v>15380368    -    CONNECTOR 040II    -    0.178</v>
          </cell>
        </row>
        <row r="12860">
          <cell r="D12860" t="str">
            <v>15380369    -    CONN    -    0.20509</v>
          </cell>
        </row>
        <row r="12861">
          <cell r="D12861" t="str">
            <v>15380370    -    CONN,F,2-W,BLACK,187S SEALED    -    0.0966</v>
          </cell>
        </row>
        <row r="12862">
          <cell r="D12862" t="str">
            <v>15380371    -    CLIP    -    0.0847</v>
          </cell>
        </row>
        <row r="12863">
          <cell r="D12863" t="str">
            <v>15380372    -    CLAMP    -    0.0614</v>
          </cell>
        </row>
        <row r="12864">
          <cell r="D12864" t="str">
            <v>15380385    -    CONN 6F    -    0.23638</v>
          </cell>
        </row>
        <row r="12865">
          <cell r="D12865" t="str">
            <v>15380387    -    CONN, 38F 040-III, 090-II, 187, NAT    -    1.30689</v>
          </cell>
        </row>
        <row r="12866">
          <cell r="D12866" t="str">
            <v>15380392    -    CONN    -    0.16793</v>
          </cell>
        </row>
        <row r="12867">
          <cell r="D12867" t="str">
            <v>15380393    -    CONN 6F    -    0.173442</v>
          </cell>
        </row>
        <row r="12868">
          <cell r="D12868" t="str">
            <v>15380395    -    CONN 2F    -    0.09989</v>
          </cell>
        </row>
        <row r="12869">
          <cell r="D12869" t="str">
            <v>15380396    -    RETAINER    -    0.05909</v>
          </cell>
        </row>
        <row r="12870">
          <cell r="D12870" t="str">
            <v>15380397    -    CONNECTOR    -    0.2461</v>
          </cell>
        </row>
        <row r="12871">
          <cell r="D12871" t="str">
            <v>15380397S    -    CONNECTOR    -    0.2461</v>
          </cell>
        </row>
        <row r="12872">
          <cell r="D12872" t="str">
            <v>15380398    -    CONNECTOR    -    0.2521</v>
          </cell>
        </row>
        <row r="12873">
          <cell r="D12873" t="str">
            <v>15380398S    -    CONNECTOR    -    0.2521</v>
          </cell>
        </row>
        <row r="12874">
          <cell r="D12874" t="str">
            <v>15380403    -    CONN SPLICE    -    0.82</v>
          </cell>
        </row>
        <row r="12875">
          <cell r="D12875" t="str">
            <v>15380404    -    PLASTIC RELAY 5F CONNECTOR    -    0.61418</v>
          </cell>
        </row>
        <row r="12876">
          <cell r="D12876" t="str">
            <v>15380406    -    CONN 6F BLACK    -    0.110431</v>
          </cell>
        </row>
        <row r="12877">
          <cell r="D12877" t="str">
            <v>15380412    -    CONN 8W BLACK    -    0.114101</v>
          </cell>
        </row>
        <row r="12878">
          <cell r="D12878" t="str">
            <v>15380413    -    CONN 4W NATURAL    -    0.07717</v>
          </cell>
        </row>
        <row r="12879">
          <cell r="D12879" t="str">
            <v>15380422    -    TUBE    -    0.196034</v>
          </cell>
        </row>
        <row r="12880">
          <cell r="D12880" t="str">
            <v>15380447    -    SUB-ASSEMBLY    -    3.725542</v>
          </cell>
        </row>
        <row r="12881">
          <cell r="D12881" t="str">
            <v>15380460    -    CONN 2M    -    0.04055</v>
          </cell>
        </row>
        <row r="12882">
          <cell r="D12882" t="str">
            <v>15380461    -    CONNECTOR    -    0.05271</v>
          </cell>
        </row>
        <row r="12883">
          <cell r="D12883" t="str">
            <v>15380479    -    DILL BLOX MINIFUSE CONN    -    1.72</v>
          </cell>
        </row>
        <row r="12884">
          <cell r="D12884" t="str">
            <v>15380481    -    CONNECTOR    -    1.72</v>
          </cell>
        </row>
        <row r="12885">
          <cell r="D12885" t="str">
            <v>15380492    -    CONN    -    0.447273</v>
          </cell>
        </row>
        <row r="12886">
          <cell r="D12886" t="str">
            <v>15380493    -    CONN 5F    -    0.322902</v>
          </cell>
        </row>
        <row r="12887">
          <cell r="D12887" t="str">
            <v>15380494    -    CONN    -    0.11391</v>
          </cell>
        </row>
        <row r="12888">
          <cell r="D12888" t="str">
            <v>15380495    -    CLAMP    -    0.0867</v>
          </cell>
        </row>
        <row r="12889">
          <cell r="D12889" t="str">
            <v>15380496    -    CLAMP    -    0.0524</v>
          </cell>
        </row>
        <row r="12890">
          <cell r="D12890" t="str">
            <v>15380497    -    CLAMP    -    0.0233</v>
          </cell>
        </row>
        <row r="12891">
          <cell r="D12891" t="str">
            <v>15380502    -    CONN 5 WAY GRAY    -    0.248092</v>
          </cell>
        </row>
        <row r="12892">
          <cell r="D12892" t="str">
            <v>15380505    -    MISC PLASTIC    -    0.313158</v>
          </cell>
        </row>
        <row r="12893">
          <cell r="D12893" t="str">
            <v>15380511    -    CLAMP    -    0.0224</v>
          </cell>
        </row>
        <row r="12894">
          <cell r="D12894" t="str">
            <v>15380512    -    CLAMP    -    0.0648</v>
          </cell>
        </row>
        <row r="12895">
          <cell r="D12895" t="str">
            <v>15380514    -    CLAMP    -    0.0244</v>
          </cell>
        </row>
        <row r="12896">
          <cell r="D12896" t="str">
            <v>15380520    -    CONNECTOR 34F    -    0.28797</v>
          </cell>
        </row>
        <row r="12897">
          <cell r="D12897" t="str">
            <v>15380521    -    89 WAY CONN    -    0.29844</v>
          </cell>
        </row>
        <row r="12898">
          <cell r="D12898" t="str">
            <v>15380522    -    CONNECTOR 19+6F 0    -    0.23141</v>
          </cell>
        </row>
        <row r="12899">
          <cell r="D12899" t="str">
            <v>15380523    -    CONNECTOR 24+7F 0    -    0.22156</v>
          </cell>
        </row>
        <row r="12900">
          <cell r="D12900" t="str">
            <v>15380524    -    CONNECTOR    -    0.20424</v>
          </cell>
        </row>
        <row r="12901">
          <cell r="D12901" t="str">
            <v>15380528    -    33X66 SPACER    -    0.2917</v>
          </cell>
        </row>
        <row r="12902">
          <cell r="D12902" t="str">
            <v>15380531    -    HOLDER CONNECTOR    -    0.0511</v>
          </cell>
        </row>
        <row r="12903">
          <cell r="D12903" t="str">
            <v>15380534    -    CONN 68F    -    7.72</v>
          </cell>
        </row>
        <row r="12904">
          <cell r="D12904" t="str">
            <v>15380539    -    CONNECTOR    -    0.08454</v>
          </cell>
        </row>
        <row r="12905">
          <cell r="D12905" t="str">
            <v>15380540    -    CLIP    -    0.0794</v>
          </cell>
        </row>
        <row r="12906">
          <cell r="D12906" t="str">
            <v>15380541    -    BLACK CONN 4W PLUG    -    0.82</v>
          </cell>
        </row>
        <row r="12907">
          <cell r="D12907" t="str">
            <v>15380542    -    BLACK CONN 4W REC    -    0.9</v>
          </cell>
        </row>
        <row r="12908">
          <cell r="D12908" t="str">
            <v>15380545    -    BLACK CONN 4 WAY PLUG    -    1.24</v>
          </cell>
        </row>
        <row r="12909">
          <cell r="D12909" t="str">
            <v>15380548    -    Y SPLICE CONNECTOR    -    1.91</v>
          </cell>
        </row>
        <row r="12910">
          <cell r="D12910" t="str">
            <v>15380551    -    CONN 26F 090II 187U    -    0.204</v>
          </cell>
        </row>
        <row r="12911">
          <cell r="D12911" t="str">
            <v>15380552    -    CONN 6 WAY    -    0.21709</v>
          </cell>
        </row>
        <row r="12912">
          <cell r="D12912" t="str">
            <v>15380566    -    CONN 2F 090II    -    0.404181</v>
          </cell>
        </row>
        <row r="12913">
          <cell r="D12913" t="str">
            <v>15380568    -    CONN 30+4    -    1.023768</v>
          </cell>
        </row>
        <row r="12914">
          <cell r="D12914" t="str">
            <v>15380569    -    CONN    -    0.36109</v>
          </cell>
        </row>
        <row r="12915">
          <cell r="D12915" t="str">
            <v>15380570    -    CONN    -    0.19745</v>
          </cell>
        </row>
        <row r="12916">
          <cell r="D12916" t="str">
            <v>15380571    -    CONN HOLDER    -    0.2407</v>
          </cell>
        </row>
        <row r="12917">
          <cell r="D12917" t="str">
            <v>15380572    -    COVER    -    0.3981</v>
          </cell>
        </row>
        <row r="12918">
          <cell r="D12918" t="str">
            <v>15380573    -    CONNECTOR HOLDER    -    0.118</v>
          </cell>
        </row>
        <row r="12919">
          <cell r="D12919" t="str">
            <v>15380574    -    CONNECTOR    -    0.19729</v>
          </cell>
        </row>
        <row r="12920">
          <cell r="D12920" t="str">
            <v>15380575    -    CONN    -    0.40255</v>
          </cell>
        </row>
        <row r="12921">
          <cell r="D12921" t="str">
            <v>15380576    -    CONN    -    0.0442</v>
          </cell>
        </row>
        <row r="12922">
          <cell r="D12922" t="str">
            <v>15380577    -    CLAMP    -    0.0738</v>
          </cell>
        </row>
        <row r="12923">
          <cell r="D12923" t="str">
            <v>15380579    -    COVER LH DRESS    -    2.587118</v>
          </cell>
        </row>
        <row r="12924">
          <cell r="D12924" t="str">
            <v>15380581    -    89 WAY CONNECTOR    -    8.69295</v>
          </cell>
        </row>
        <row r="12925">
          <cell r="D12925" t="str">
            <v>15380588    -    CONN    -    0.1703</v>
          </cell>
        </row>
        <row r="12926">
          <cell r="D12926" t="str">
            <v>15380590    -    CONN    -    0.08291</v>
          </cell>
        </row>
        <row r="12927">
          <cell r="D12927" t="str">
            <v>15380593    -    CONN    -    0.1196</v>
          </cell>
        </row>
        <row r="12928">
          <cell r="D12928" t="str">
            <v>15380606    -    FUSE PULLER    -    0.0528</v>
          </cell>
        </row>
        <row r="12929">
          <cell r="D12929" t="str">
            <v>15380607    -    CONNECTOR    -    1.551758</v>
          </cell>
        </row>
        <row r="12930">
          <cell r="D12930" t="str">
            <v>15380608    -    CONNECOTR 8 WAY    -    1.551758</v>
          </cell>
        </row>
        <row r="12931">
          <cell r="D12931" t="str">
            <v>15380609    -    INPUT ASM CONN 2F    -    0.43</v>
          </cell>
        </row>
        <row r="12932">
          <cell r="D12932" t="str">
            <v>15380610    -    INPUT ASM CONN 2F    -    0.43</v>
          </cell>
        </row>
        <row r="12933">
          <cell r="D12933" t="str">
            <v>15380616    -    CONNECTOR    -    0.219</v>
          </cell>
        </row>
        <row r="12934">
          <cell r="D12934" t="str">
            <v>15380617    -    CONN    -    0.1671</v>
          </cell>
        </row>
        <row r="12935">
          <cell r="D12935" t="str">
            <v>15380621    -    CONN, 1F    -    0.084948</v>
          </cell>
        </row>
        <row r="12936">
          <cell r="D12936" t="str">
            <v>15380665    -    CONN ASM 6-W MCP2-8    -    0.2219</v>
          </cell>
        </row>
        <row r="12937">
          <cell r="D12937" t="str">
            <v>15380667    -    CONN ASM 18W MCP 2-8    -    0.22592</v>
          </cell>
        </row>
        <row r="12938">
          <cell r="D12938" t="str">
            <v>15380668    -    CONN ASM 21W MCP 2-8    -    0.37445</v>
          </cell>
        </row>
        <row r="12939">
          <cell r="D12939" t="str">
            <v>15380682    -    CONN 6    -    0.084429</v>
          </cell>
        </row>
        <row r="12940">
          <cell r="D12940" t="str">
            <v>15380683    -    CONNECTOR    -    0.162165</v>
          </cell>
        </row>
        <row r="12941">
          <cell r="D12941" t="str">
            <v>15380684    -    CONNECTOR 6F SLK SEALED    -    0.084429</v>
          </cell>
        </row>
        <row r="12942">
          <cell r="D12942" t="str">
            <v>15380687    -    CONN    -    0.83496</v>
          </cell>
        </row>
        <row r="12943">
          <cell r="D12943" t="str">
            <v>15380688    -    CONNECTOR 14 W JPT    -    1.07482</v>
          </cell>
        </row>
        <row r="12944">
          <cell r="D12944" t="str">
            <v>15380703    -    CONNECTOR 13 CAV    -    0.13825</v>
          </cell>
        </row>
        <row r="12945">
          <cell r="D12945" t="str">
            <v>15380704    -    CONNECTOR    -    0.10331</v>
          </cell>
        </row>
        <row r="12946">
          <cell r="D12946" t="str">
            <v>15380713    -    CONN 2W    -    0.42078</v>
          </cell>
        </row>
        <row r="12947">
          <cell r="D12947" t="str">
            <v>15380723    -    BLUE 8 WAY CONN    -    0.43</v>
          </cell>
        </row>
        <row r="12948">
          <cell r="D12948" t="str">
            <v>15380724    -    GRAY 8 WAY CONN    -    0.43</v>
          </cell>
        </row>
        <row r="12949">
          <cell r="D12949" t="str">
            <v>15380725    -    BLK 8 WAY CONN    -    0.43</v>
          </cell>
        </row>
        <row r="12950">
          <cell r="D12950" t="str">
            <v>15380726    -    GREEN 8 WAY CONN    -    0.43</v>
          </cell>
        </row>
        <row r="12951">
          <cell r="D12951" t="str">
            <v>15380731    -    CONNECTOR 9 WAY RELAY    -    0.225789</v>
          </cell>
        </row>
        <row r="12952">
          <cell r="D12952" t="str">
            <v>15380739    -    CONNECTOR    -    0.422483</v>
          </cell>
        </row>
        <row r="12953">
          <cell r="D12953" t="str">
            <v>15380753    -    CONNECTOR 1W WHITE    -    0.032843</v>
          </cell>
        </row>
        <row r="12954">
          <cell r="D12954" t="str">
            <v>15380757    -    CONN 10 WAY    -    0.278102</v>
          </cell>
        </row>
        <row r="12955">
          <cell r="D12955" t="str">
            <v>15380765    -    CONN 6F    -    0.248376</v>
          </cell>
        </row>
        <row r="12956">
          <cell r="D12956" t="str">
            <v>15380781    -    CONN 2F MISC GRAY SEALED    -    0.27</v>
          </cell>
        </row>
        <row r="12957">
          <cell r="D12957" t="str">
            <v>15380783    -    CONN (RG 58)    -    1.441921</v>
          </cell>
        </row>
        <row r="12958">
          <cell r="D12958" t="str">
            <v>15380788    -    CONNECTOR 1M    -    0.1426</v>
          </cell>
        </row>
        <row r="12959">
          <cell r="D12959" t="str">
            <v>15380789    -    CONNECTOR 1F    -    0.1711</v>
          </cell>
        </row>
        <row r="12960">
          <cell r="D12960" t="str">
            <v>15380793    -    CONNECTOR    -    0.27686</v>
          </cell>
        </row>
        <row r="12961">
          <cell r="D12961" t="str">
            <v>15380805    -    CONN. PLUG 2 WAY    -    0.82955</v>
          </cell>
        </row>
        <row r="12962">
          <cell r="D12962" t="str">
            <v>15380821    -    CONNECTOR    -    0.315992</v>
          </cell>
        </row>
        <row r="12963">
          <cell r="D12963" t="str">
            <v>15380839    -    CONNECTOR    -    0.116382</v>
          </cell>
        </row>
        <row r="12964">
          <cell r="D12964" t="str">
            <v>15380842    -    CLIP    -    0.0724</v>
          </cell>
        </row>
        <row r="12965">
          <cell r="D12965" t="str">
            <v>15380853    -    CONNECTOR    -    4.4</v>
          </cell>
        </row>
        <row r="12966">
          <cell r="D12966" t="str">
            <v>15380855    -    CONNECTOR    -    0.30511</v>
          </cell>
        </row>
        <row r="12967">
          <cell r="D12967" t="str">
            <v>15380878    -    SEC LOC    -    0.0487</v>
          </cell>
        </row>
        <row r="12968">
          <cell r="D12968" t="str">
            <v>15380887    -    CONN 14F    -    0.162165</v>
          </cell>
        </row>
        <row r="12969">
          <cell r="D12969" t="str">
            <v>15380888    -    CONN    -    0.05755</v>
          </cell>
        </row>
        <row r="12970">
          <cell r="D12970" t="str">
            <v>15380902    -    CONN 2F 250 UNSEALED    -    0.2699</v>
          </cell>
        </row>
        <row r="12971">
          <cell r="D12971" t="str">
            <v>15380919    -    SPRING LATCHES    -    0.54225</v>
          </cell>
        </row>
        <row r="12972">
          <cell r="D12972" t="str">
            <v>15380920    -    HOUSING    -    1.16499</v>
          </cell>
        </row>
        <row r="12973">
          <cell r="D12973" t="str">
            <v>15380921    -    CONN    -    0.73504</v>
          </cell>
        </row>
        <row r="12974">
          <cell r="D12974" t="str">
            <v>15380922    -    CONN 8W,FM,UNSLD    -    0.2103</v>
          </cell>
        </row>
        <row r="12975">
          <cell r="D12975" t="str">
            <v>15380923    -    CONN    -    0.34065</v>
          </cell>
        </row>
        <row r="12976">
          <cell r="D12976" t="str">
            <v>15380924    -    CONN    -    0.34065</v>
          </cell>
        </row>
        <row r="12977">
          <cell r="D12977" t="str">
            <v>15380927    -    CONN 2 F TIMER MICRO II BLK    -    0.068277</v>
          </cell>
        </row>
        <row r="12978">
          <cell r="D12978" t="str">
            <v>15380939    -    CONNECTOR ASM 16W    -    6.25</v>
          </cell>
        </row>
        <row r="12979">
          <cell r="D12979" t="str">
            <v>15380940    -    CONN 16F 040II/07II U GR    -    0.29085</v>
          </cell>
        </row>
        <row r="12980">
          <cell r="D12980" t="str">
            <v>15380941    -    CONN 1F 312 UN    -    0.23956</v>
          </cell>
        </row>
        <row r="12981">
          <cell r="D12981" t="str">
            <v>15380942    -    CONN 4M 090II U    -    0.1615</v>
          </cell>
        </row>
        <row r="12982">
          <cell r="D12982" t="str">
            <v>15380943    -    CONN 6F 187 UN    -    0.23782</v>
          </cell>
        </row>
        <row r="12983">
          <cell r="D12983" t="str">
            <v>15380944    -    CONNECTOR    -    0.1605</v>
          </cell>
        </row>
        <row r="12984">
          <cell r="D12984" t="str">
            <v>15380945    -    CONNECTOR    -    0.247304</v>
          </cell>
        </row>
        <row r="12985">
          <cell r="D12985" t="str">
            <v>15380946    -    CLAMP    -    0.0341</v>
          </cell>
        </row>
        <row r="12986">
          <cell r="D12986" t="str">
            <v>15380949    -    CLIP    -    0.1248</v>
          </cell>
        </row>
        <row r="12987">
          <cell r="D12987" t="str">
            <v>15380956    -    CLAMP D22MM    -    0.0737</v>
          </cell>
        </row>
        <row r="12988">
          <cell r="D12988" t="str">
            <v>15380958    -    CONNECTOR    -    6.25</v>
          </cell>
        </row>
        <row r="12989">
          <cell r="D12989" t="str">
            <v>15380986    -    CONN 8F 050 UN    -    0.192</v>
          </cell>
        </row>
        <row r="12990">
          <cell r="D12990" t="str">
            <v>15380987    -    CONN 4M 090II U    -    0.1615</v>
          </cell>
        </row>
        <row r="12991">
          <cell r="D12991" t="str">
            <v>15380994    -    CONN 16F 025 UN    -    0.11488</v>
          </cell>
        </row>
        <row r="12992">
          <cell r="D12992" t="str">
            <v>15380994N    -    CONN,F,18-W,NATU,025S    -    0.13135</v>
          </cell>
        </row>
        <row r="12993">
          <cell r="D12993" t="str">
            <v>15383008    -    CONNECTOR    -    0.0858</v>
          </cell>
        </row>
        <row r="12994">
          <cell r="D12994" t="str">
            <v>15383010    -    43 WAY PLUG ASSEMBLY    -    9.15829</v>
          </cell>
        </row>
        <row r="12995">
          <cell r="D12995" t="str">
            <v>15383013    -    ASM CONN    -    0.1691</v>
          </cell>
        </row>
        <row r="12996">
          <cell r="D12996" t="str">
            <v>15383038    -    CONNECTOR    -    0.27685</v>
          </cell>
        </row>
        <row r="12997">
          <cell r="D12997" t="str">
            <v>15383039    -    CONNECTOR    -    0.34782</v>
          </cell>
        </row>
        <row r="12998">
          <cell r="D12998" t="str">
            <v>15383040    -    CONNECTOR    -    0.46415</v>
          </cell>
        </row>
        <row r="12999">
          <cell r="D12999" t="str">
            <v>15383041    -    CONNECTOR    -    0.4711</v>
          </cell>
        </row>
        <row r="13000">
          <cell r="D13000" t="str">
            <v>15383052    -    CLIP    -    0.180954</v>
          </cell>
        </row>
        <row r="13001">
          <cell r="D13001" t="str">
            <v>15383074    -    ASM CONN    -    0.55347</v>
          </cell>
        </row>
        <row r="13002">
          <cell r="D13002" t="str">
            <v>15383081    -    CONNECTOR    -    1.24</v>
          </cell>
        </row>
        <row r="13003">
          <cell r="D13003" t="str">
            <v>15383127    -    CONNECTOR    -    0.69169</v>
          </cell>
        </row>
        <row r="13004">
          <cell r="D13004" t="str">
            <v>15383128    -    CONNECTOR    -    0.63705</v>
          </cell>
        </row>
        <row r="13005">
          <cell r="D13005" t="str">
            <v>15383136    -    CONNECTOR    -    0.40419</v>
          </cell>
        </row>
        <row r="13006">
          <cell r="D13006" t="str">
            <v>15383137    -    CONNECTOR    -    0.03271</v>
          </cell>
        </row>
        <row r="13007">
          <cell r="D13007" t="str">
            <v>15383139    -    ASM CONNECTOR    -    0.257</v>
          </cell>
        </row>
        <row r="13008">
          <cell r="D13008" t="str">
            <v>15383150    -    CONNECTOR    -    0.05863</v>
          </cell>
        </row>
        <row r="13009">
          <cell r="D13009" t="str">
            <v>15383156    -    CONNECTOR    -    0.29933</v>
          </cell>
        </row>
        <row r="13010">
          <cell r="D13010" t="str">
            <v>15383168    -    REAR HOLDER    -    0.038</v>
          </cell>
        </row>
        <row r="13011">
          <cell r="D13011" t="str">
            <v>15383182    -    CONN BLK    -    0.02742</v>
          </cell>
        </row>
        <row r="13012">
          <cell r="D13012" t="str">
            <v>15383185    -    2 WAY, FM PLUG    -    0.06436</v>
          </cell>
        </row>
        <row r="13013">
          <cell r="D13013" t="str">
            <v>15383189    -    2P., PLUG, BLK    -    0.1908</v>
          </cell>
        </row>
        <row r="13014">
          <cell r="D13014" t="str">
            <v>15383190    -    2 WAY M    -    0.1908</v>
          </cell>
        </row>
        <row r="13015">
          <cell r="D13015" t="str">
            <v>15383191    -    CIRC PLUG ASSY    -    0.3</v>
          </cell>
        </row>
        <row r="13016">
          <cell r="D13016" t="str">
            <v>15383192    -    2 WAY PLUG    -    0.287</v>
          </cell>
        </row>
        <row r="13017">
          <cell r="D13017" t="str">
            <v>15383193    -    12 WAY SPACER    -    0.117</v>
          </cell>
        </row>
        <row r="13018">
          <cell r="D13018" t="str">
            <v>15383194    -    PLUG ASSY    -    0.198</v>
          </cell>
        </row>
        <row r="13019">
          <cell r="D13019" t="str">
            <v>15383196    -    12P, PLUG ASSY    -    0.2908</v>
          </cell>
        </row>
        <row r="13020">
          <cell r="D13020" t="str">
            <v>15383198    -    CONN    -    0.3827</v>
          </cell>
        </row>
        <row r="13021">
          <cell r="D13021" t="str">
            <v>15383199    -    22 P. PLUG ASSY    -    0.3653</v>
          </cell>
        </row>
        <row r="13022">
          <cell r="D13022" t="str">
            <v>15383200    -    22P., PLUG    -    0.38</v>
          </cell>
        </row>
        <row r="13023">
          <cell r="D13023" t="str">
            <v>15383202    -    PLUG ASSY KEYE    -    0.1908</v>
          </cell>
        </row>
        <row r="13024">
          <cell r="D13024" t="str">
            <v>15383203    -    17P., PLUG ASSY CONN F    -    0.3814</v>
          </cell>
        </row>
        <row r="13025">
          <cell r="D13025" t="str">
            <v>15383204    -    12-WAY,M CONNECTOR    -    0.475</v>
          </cell>
        </row>
        <row r="13026">
          <cell r="D13026" t="str">
            <v>15383205    -    RECPT HSG, ABC CONN    -    0.23498</v>
          </cell>
        </row>
        <row r="13027">
          <cell r="D13027" t="str">
            <v>15383207    -    SHIELD WIRE CONN    -    0.1808</v>
          </cell>
        </row>
        <row r="13028">
          <cell r="D13028" t="str">
            <v>15383208    -    10P ABC PLUG CONN    -    0.07876</v>
          </cell>
        </row>
        <row r="13029">
          <cell r="D13029" t="str">
            <v>15383209    -    CONN 20W, FM, BLK    -    0.2938</v>
          </cell>
        </row>
        <row r="13030">
          <cell r="D13030" t="str">
            <v>15383210    -    16-WAY FM,BLACK PLUG    -    0.2792</v>
          </cell>
        </row>
        <row r="13031">
          <cell r="D13031" t="str">
            <v>15383212    -    2 WAY,FM,WHT SLD    -    0.1908</v>
          </cell>
        </row>
        <row r="13032">
          <cell r="D13032" t="str">
            <v>15383213    -    CONNECTOR    -    0.377</v>
          </cell>
        </row>
        <row r="13033">
          <cell r="D13033" t="str">
            <v>15383214    -    CONNECTOR 8F    -    0.04762</v>
          </cell>
        </row>
        <row r="13034">
          <cell r="D13034" t="str">
            <v>15383215    -    8 WAY FM    -    0.1084</v>
          </cell>
        </row>
        <row r="13035">
          <cell r="D13035" t="str">
            <v>15383216    -    RETAINER    -    0.03584</v>
          </cell>
        </row>
        <row r="13036">
          <cell r="D13036" t="str">
            <v>15383217    -    CONNECTOR 3F    -    0.494</v>
          </cell>
        </row>
        <row r="13037">
          <cell r="D13037" t="str">
            <v>15383218    -    CONNECTOR VOLVO 9168602    -    0.14554</v>
          </cell>
        </row>
        <row r="13038">
          <cell r="D13038" t="str">
            <v>15383219    -    CONNECTOR    -    0.1771</v>
          </cell>
        </row>
        <row r="13039">
          <cell r="D13039" t="str">
            <v>15383220    -    CONNECTOR    -    0.17682</v>
          </cell>
        </row>
        <row r="13040">
          <cell r="D13040" t="str">
            <v>15383222    -    CONNECTOR    -    0.1127</v>
          </cell>
        </row>
        <row r="13041">
          <cell r="D13041" t="str">
            <v>15383223    -    CONNECTOR 8 WAY    -    0.04467</v>
          </cell>
        </row>
        <row r="13042">
          <cell r="D13042" t="str">
            <v>15383224    -    CONN 8 W    -    0.04817</v>
          </cell>
        </row>
        <row r="13043">
          <cell r="D13043" t="str">
            <v>15383225    -    2-WAY UNSLD BLADE    -    0.02287</v>
          </cell>
        </row>
        <row r="13044">
          <cell r="D13044" t="str">
            <v>15383226    -    CONN 2F XR3T-14A464-BA    -    0.10431</v>
          </cell>
        </row>
        <row r="13045">
          <cell r="D13045" t="str">
            <v>15383227    -    CONN FM    -    0.03494</v>
          </cell>
        </row>
        <row r="13046">
          <cell r="D13046" t="str">
            <v>15383230    -    3W FM MICRO PIN, UNSLD    -    0.03676</v>
          </cell>
        </row>
        <row r="13047">
          <cell r="D13047" t="str">
            <v>15383231    -    5 FIN RETAINER    -    0.0089</v>
          </cell>
        </row>
        <row r="13048">
          <cell r="D13048" t="str">
            <v>15383232    -    RETAINER    -    0.01617</v>
          </cell>
        </row>
        <row r="13049">
          <cell r="D13049" t="str">
            <v>15383233    -    SPACER    -    0.01257</v>
          </cell>
        </row>
        <row r="13050">
          <cell r="D13050" t="str">
            <v>15383234    -    2-WAY LAMP SOCKET    -    0.06138</v>
          </cell>
        </row>
        <row r="13051">
          <cell r="D13051" t="str">
            <v>15383237    -    3 W, FM, BLK, SLD    -    0.32825</v>
          </cell>
        </row>
        <row r="13052">
          <cell r="D13052" t="str">
            <v>15383242    -    MOUN    -    0.01157</v>
          </cell>
        </row>
        <row r="13053">
          <cell r="D13053" t="str">
            <v>15383243    -    CONNECTOR    -    2.19</v>
          </cell>
        </row>
        <row r="13054">
          <cell r="D13054" t="str">
            <v>15383244    -    CONN 2F    -    0.16235</v>
          </cell>
        </row>
        <row r="13055">
          <cell r="D13055" t="str">
            <v>15383245    -    CONN 2F BRN    -    0.01874</v>
          </cell>
        </row>
        <row r="13056">
          <cell r="D13056" t="str">
            <v>15383247    -    CONN 3F    -    0.04522</v>
          </cell>
        </row>
        <row r="13057">
          <cell r="D13057" t="str">
            <v>15383248    -    CONNECTOR    -    0.03676</v>
          </cell>
        </row>
        <row r="13058">
          <cell r="D13058" t="str">
            <v>15383250    -    ASM CONN 2 F RECEPTACLE 2.8 BLK SLD    -    0.2212</v>
          </cell>
        </row>
        <row r="13059">
          <cell r="D13059" t="str">
            <v>15383251    -    RETAINER    -    0.3566</v>
          </cell>
        </row>
        <row r="13060">
          <cell r="D13060" t="str">
            <v>15383252    -    CONN 3M    -    0.07746</v>
          </cell>
        </row>
        <row r="13061">
          <cell r="D13061" t="str">
            <v>15383253    -    CONN 2M    -    0.29494</v>
          </cell>
        </row>
        <row r="13062">
          <cell r="D13062" t="str">
            <v>15383254    -    2W, FM, WHITE SLD    -    0.16505</v>
          </cell>
        </row>
        <row r="13063">
          <cell r="D13063" t="str">
            <v>15383255    -    ASM CONN 2 F 1.5 BLK SLD    -    0.17336</v>
          </cell>
        </row>
        <row r="13064">
          <cell r="D13064" t="str">
            <v>15383256    -    ASM CONN 3 F 1.5 BLK    -    0.17336</v>
          </cell>
        </row>
        <row r="13065">
          <cell r="D13065" t="str">
            <v>15383257    -    CONNECTOR 10F BLK    -    0.47426</v>
          </cell>
        </row>
        <row r="13066">
          <cell r="D13066" t="str">
            <v>15383264    -    CONN 2W 97BG-14A464-RBA    -    0.16003</v>
          </cell>
        </row>
        <row r="13067">
          <cell r="D13067" t="str">
            <v>15383265    -    4W, M, BLK    -    0.22289</v>
          </cell>
        </row>
        <row r="13068">
          <cell r="D13068" t="str">
            <v>15383269    -    CONNECTOR    -    0.16435</v>
          </cell>
        </row>
        <row r="13069">
          <cell r="D13069" t="str">
            <v>15383270    -    TPA    -    0.15272</v>
          </cell>
        </row>
        <row r="13070">
          <cell r="D13070" t="str">
            <v>15383271    -    CONNECTOR 4 S F    -    0.13665</v>
          </cell>
        </row>
        <row r="13071">
          <cell r="D13071" t="str">
            <v>15383276    -    SECONDARY LOCK    -    0.02529</v>
          </cell>
        </row>
        <row r="13072">
          <cell r="D13072" t="str">
            <v>15383279    -    CONN F85B-14N003-AA    -    0.11927</v>
          </cell>
        </row>
        <row r="13073">
          <cell r="D13073" t="str">
            <v>15383281    -    CONNECTOR    -    0.356</v>
          </cell>
        </row>
        <row r="13074">
          <cell r="D13074" t="str">
            <v>15383282    -    CONNECTOR 4W    -    0.09752</v>
          </cell>
        </row>
        <row r="13075">
          <cell r="D13075" t="str">
            <v>15383297    -    CONN 8F BLK MICRO PIN    -    0.21099</v>
          </cell>
        </row>
        <row r="13076">
          <cell r="D13076" t="str">
            <v>15383298    -    CONN 8 WAY    -    0.24666</v>
          </cell>
        </row>
        <row r="13077">
          <cell r="D13077" t="str">
            <v>15383299    -    CONNECTOR 2F    -    0.15702</v>
          </cell>
        </row>
        <row r="13078">
          <cell r="D13078" t="str">
            <v>15383302    -    CONN 10W    -    0.59677</v>
          </cell>
        </row>
        <row r="13079">
          <cell r="D13079" t="str">
            <v>15383303    -    CONNECTOR 8F    -    0.12944</v>
          </cell>
        </row>
        <row r="13080">
          <cell r="D13080" t="str">
            <v>15383304    -    CONN 8 M TAB 2.8 BLK    -    0.13322</v>
          </cell>
        </row>
        <row r="13081">
          <cell r="D13081" t="str">
            <v>15383305    -    CONNECTOR 3F    -    0.29972</v>
          </cell>
        </row>
        <row r="13082">
          <cell r="D13082" t="str">
            <v>15383307    -    3W, FM, GRAY    -    0.06717</v>
          </cell>
        </row>
        <row r="13083">
          <cell r="D13083" t="str">
            <v>15383311    -    CONNECTOR 4M    -    0.15445</v>
          </cell>
        </row>
        <row r="13084">
          <cell r="D13084" t="str">
            <v>15383313    -    4W, CONNECTOR    -    0.11559</v>
          </cell>
        </row>
        <row r="13085">
          <cell r="D13085" t="str">
            <v>15383314    -    CONN 8W UF    -    0.16193</v>
          </cell>
        </row>
        <row r="13086">
          <cell r="D13086" t="str">
            <v>15383315    -    16-WAY FM, BLK    -    0.18006</v>
          </cell>
        </row>
        <row r="13087">
          <cell r="D13087" t="str">
            <v>15383316    -    CONN 12F    -    0.15602</v>
          </cell>
        </row>
        <row r="13088">
          <cell r="D13088" t="str">
            <v>15383317    -    CONNECTOR 8 WF    -    0.14735</v>
          </cell>
        </row>
        <row r="13089">
          <cell r="D13089" t="str">
            <v>15383318    -    16-WAY FM, GRY 1.5    -    0.18006</v>
          </cell>
        </row>
        <row r="13090">
          <cell r="D13090" t="str">
            <v>15383319    -    XF2T-14A464-PB CONNECTOR 12F    -    0.15602</v>
          </cell>
        </row>
        <row r="13091">
          <cell r="D13091" t="str">
            <v>15383320    -    CONNECTOR 8 UM    -    0.23903</v>
          </cell>
        </row>
        <row r="13092">
          <cell r="D13092" t="str">
            <v>15383321    -    CONNECTOR ASSY 16 PIN MALE    -    0.22871</v>
          </cell>
        </row>
        <row r="13093">
          <cell r="D13093" t="str">
            <v>15383322    -    CONN 12M    -    0.26602</v>
          </cell>
        </row>
        <row r="13094">
          <cell r="D13094" t="str">
            <v>15383323    -    CONN 4M    -    0.17753</v>
          </cell>
        </row>
        <row r="13095">
          <cell r="D13095" t="str">
            <v>15383325    -    ASM CONN 2 F 1.5 BLK SLD    -    0.09077</v>
          </cell>
        </row>
        <row r="13096">
          <cell r="D13096" t="str">
            <v>15383326    -    2W, FM, BLK,SLD, 1.5    -    0.09392</v>
          </cell>
        </row>
        <row r="13097">
          <cell r="D13097" t="str">
            <v>15383327    -    ASM CONN 2 F 1.5 BLK SLD    -    0.09077</v>
          </cell>
        </row>
        <row r="13098">
          <cell r="D13098" t="str">
            <v>15383328    -    4W, FM, NAT, SLD    -    0.16312</v>
          </cell>
        </row>
        <row r="13099">
          <cell r="D13099" t="str">
            <v>15383330    -    ASM CONN 2 F 1.5 BRN SLD    -    0.10954</v>
          </cell>
        </row>
        <row r="13100">
          <cell r="D13100" t="str">
            <v>15383332    -    3 WAY CONNECTOR    -    0.041265</v>
          </cell>
        </row>
        <row r="13101">
          <cell r="D13101" t="str">
            <v>15383358    -    SEALED CONNECTOR    -    0.40631</v>
          </cell>
        </row>
        <row r="13102">
          <cell r="D13102" t="str">
            <v>15383359    -    CONNECTOR    -    0.16909</v>
          </cell>
        </row>
        <row r="13103">
          <cell r="D13103" t="str">
            <v>15383368    -    CONNECTOR 1 WAY FEMALE GRAY    -    0.132385</v>
          </cell>
        </row>
        <row r="13104">
          <cell r="D13104" t="str">
            <v>15383371    -    CONNECTOR 2 WAY FEMALE WHITE    -    0.392973</v>
          </cell>
        </row>
        <row r="13105">
          <cell r="D13105" t="str">
            <v>15383376    -    CONNECTOR    -    0.01847</v>
          </cell>
        </row>
        <row r="13106">
          <cell r="D13106" t="str">
            <v>15383379    -    CONNECTOR    -    1.31934</v>
          </cell>
        </row>
        <row r="13107">
          <cell r="D13107" t="str">
            <v>15383386    -    14 WAY CONN    -    0.06732</v>
          </cell>
        </row>
        <row r="13108">
          <cell r="D13108" t="str">
            <v>15383387    -    3W,FM,NAT,UNSLD,    -    0.06717</v>
          </cell>
        </row>
        <row r="13109">
          <cell r="D13109" t="str">
            <v>15383398    -    10 WAY CONNECTOR    -    0.14549</v>
          </cell>
        </row>
        <row r="13110">
          <cell r="D13110" t="str">
            <v>15383410    -    SPACER    -    0.04342</v>
          </cell>
        </row>
        <row r="13111">
          <cell r="D13111" t="str">
            <v>15383412    -    CONNECTOR    -    0.0754</v>
          </cell>
        </row>
        <row r="13112">
          <cell r="D13112" t="str">
            <v>15383432    -    4-WAY CONNECTOR    -    0.03149</v>
          </cell>
        </row>
        <row r="13113">
          <cell r="D13113" t="str">
            <v>15383438    -    CLIP    -    0.03501</v>
          </cell>
        </row>
        <row r="13114">
          <cell r="D13114" t="str">
            <v>15383449    -    CLIP    -    0.08745</v>
          </cell>
        </row>
        <row r="13115">
          <cell r="D13115" t="str">
            <v>15383453    -    RETAINER    -    0.0426</v>
          </cell>
        </row>
        <row r="13116">
          <cell r="D13116" t="str">
            <v>15385600    -    CONN, 16 M    -    0.291135</v>
          </cell>
        </row>
        <row r="13117">
          <cell r="D13117" t="str">
            <v>15385617    -    CONNECTOR 2F    -    0.301</v>
          </cell>
        </row>
        <row r="13118">
          <cell r="D13118" t="str">
            <v>15385665    -    ACC1, LOCK    -    0.0103</v>
          </cell>
        </row>
        <row r="13119">
          <cell r="D13119" t="str">
            <v>15385666    -    LOCK    -    0.0288</v>
          </cell>
        </row>
        <row r="13120">
          <cell r="D13120" t="str">
            <v>15385667    -    CLIP,BODY    -    0.0257</v>
          </cell>
        </row>
        <row r="13121">
          <cell r="D13121" t="str">
            <v>15385668    -    CLIP,    -    0.0113</v>
          </cell>
        </row>
        <row r="13122">
          <cell r="D13122" t="str">
            <v>15385670    -    CONN,F,4-W,WHITE    -    0.083</v>
          </cell>
        </row>
        <row r="13123">
          <cell r="D13123" t="str">
            <v>15385671    -    CONN,9-W    -    0.0709</v>
          </cell>
        </row>
        <row r="13124">
          <cell r="D13124" t="str">
            <v>15385672    -    CONN, (AK36905)    -    0.075</v>
          </cell>
        </row>
        <row r="13125">
          <cell r="D13125" t="str">
            <v>15385673    -    CONN,F,9-W,GREEN    -    0.075</v>
          </cell>
        </row>
        <row r="13126">
          <cell r="D13126" t="str">
            <v>15385674    -    CONN,F,9-W,BROWN    -    0.075</v>
          </cell>
        </row>
        <row r="13127">
          <cell r="D13127" t="str">
            <v>15385675    -    CONN,F,9-W,BROWN    -    0.0058</v>
          </cell>
        </row>
        <row r="13128">
          <cell r="D13128" t="str">
            <v>15385690    -    ACC1, CPA    -    0.0668</v>
          </cell>
        </row>
        <row r="13129">
          <cell r="D13129" t="str">
            <v>15385696    -    CLIP, CONN    -    0.0216</v>
          </cell>
        </row>
        <row r="13130">
          <cell r="D13130" t="str">
            <v>15385697    -    CONN,    -    0.1952</v>
          </cell>
        </row>
        <row r="13131">
          <cell r="D13131" t="str">
            <v>15385698    -    CONN,    -    0.2569</v>
          </cell>
        </row>
        <row r="13132">
          <cell r="D13132" t="str">
            <v>15385699    -    CONN,    -    0.4931</v>
          </cell>
        </row>
        <row r="13133">
          <cell r="D13133" t="str">
            <v>15385700    -    CONNECTOR    -    0.0678</v>
          </cell>
        </row>
        <row r="13134">
          <cell r="D13134" t="str">
            <v>15385701    -    CONN, PCB    -    1.4896</v>
          </cell>
        </row>
        <row r="13135">
          <cell r="D13135" t="str">
            <v>15385718    -    REAR HOLDER,ORANGE    -    0.0196</v>
          </cell>
        </row>
        <row r="13136">
          <cell r="D13136" t="str">
            <v>15385719    -    HOLDER,20-W    -    0.1675</v>
          </cell>
        </row>
        <row r="13137">
          <cell r="D13137" t="str">
            <v>15385720    -    HOLDER,20-W    -    0.1675</v>
          </cell>
        </row>
        <row r="13138">
          <cell r="D13138" t="str">
            <v>15385721    -    HOLDER,20-W    -    0.1675</v>
          </cell>
        </row>
        <row r="13139">
          <cell r="D13139" t="str">
            <v>15385722    -    CIRCUIT,20-W,F    -    0.1675</v>
          </cell>
        </row>
        <row r="13140">
          <cell r="D13140" t="str">
            <v>15385723    -    CONN,F,20-W,NATURAL    -    0.0596</v>
          </cell>
        </row>
        <row r="13141">
          <cell r="D13141" t="str">
            <v>15385727    -    CONN, (2264-420424)    -    1.315</v>
          </cell>
        </row>
        <row r="13142">
          <cell r="D13142" t="str">
            <v>15385728    -    CONN, (2264-420424)    -    1.1814</v>
          </cell>
        </row>
        <row r="13143">
          <cell r="D13143" t="str">
            <v>15385729    -    SEC LOCK,8-W,YELLOW    -    0.0366</v>
          </cell>
        </row>
        <row r="13144">
          <cell r="D13144" t="str">
            <v>15385730    -    ACC2, CAP RUBBER    -    0.1028</v>
          </cell>
        </row>
        <row r="13145">
          <cell r="D13145" t="str">
            <v>15385733    -    COVER,RUBBER,BLACK    -    0.0853</v>
          </cell>
        </row>
        <row r="13146">
          <cell r="D13146" t="str">
            <v>15385734    -    CLIP,    -    0.0514</v>
          </cell>
        </row>
        <row r="13147">
          <cell r="D13147" t="str">
            <v>15385735    -    CLIP,    -    0.072</v>
          </cell>
        </row>
        <row r="13148">
          <cell r="D13148" t="str">
            <v>15385736    -    CLIP, COND    -    0.0709</v>
          </cell>
        </row>
        <row r="13149">
          <cell r="D13149" t="str">
            <v>15385737    -    CLIP, STUD M5    -    0.0411</v>
          </cell>
        </row>
        <row r="13150">
          <cell r="D13150" t="str">
            <v>15385738    -    CLIP, STUD M6    -    0.0411</v>
          </cell>
        </row>
        <row r="13151">
          <cell r="D13151" t="str">
            <v>15385746    -    HOLDER CABLE ENTRY'    -    0.0925</v>
          </cell>
        </row>
        <row r="13152">
          <cell r="D13152" t="str">
            <v>15385747    -    ACC3, HOLDER    -    0.5121</v>
          </cell>
        </row>
        <row r="13153">
          <cell r="D13153" t="str">
            <v>15385772    -    CONN,    -    0.231118</v>
          </cell>
        </row>
        <row r="13154">
          <cell r="D13154" t="str">
            <v>15385775    -    ACC1, CPA    -    0.0391</v>
          </cell>
        </row>
        <row r="13155">
          <cell r="D13155" t="str">
            <v>15385776    -    ACC1, CPA 2F NMWP    -    0.0155</v>
          </cell>
        </row>
        <row r="13156">
          <cell r="D13156" t="str">
            <v>15385777    -    ACC1, CPA 2F WWP    -    0.0206</v>
          </cell>
        </row>
        <row r="13157">
          <cell r="D13157" t="str">
            <v>15385779    -    ACC1, RETAINER    -    0.0473</v>
          </cell>
        </row>
        <row r="13158">
          <cell r="D13158" t="str">
            <v>15385780    -    CONN, 2F NMWP    -    0.0874</v>
          </cell>
        </row>
        <row r="13159">
          <cell r="D13159" t="str">
            <v>15385781    -    CONN, 2F WWP    -    0.1172</v>
          </cell>
        </row>
        <row r="13160">
          <cell r="D13160" t="str">
            <v>15385782    -    CONN, 4F NMWP    -    0.1202</v>
          </cell>
        </row>
        <row r="13161">
          <cell r="D13161" t="str">
            <v>15385783    -    CONN, 6F NMWP    -    0.1541</v>
          </cell>
        </row>
        <row r="13162">
          <cell r="D13162" t="str">
            <v>15385784    -    CONN, 8F NMWP    -    0.1901</v>
          </cell>
        </row>
        <row r="13163">
          <cell r="D13163" t="str">
            <v>15385790    -    ACC1, TPA    -    0.0196</v>
          </cell>
        </row>
        <row r="13164">
          <cell r="D13164" t="str">
            <v>15385791    -    CONN, 16F OBD II    -    0.0831</v>
          </cell>
        </row>
        <row r="13165">
          <cell r="D13165" t="str">
            <v>15385792    -    CONN, 7F NAT    -    0.0948</v>
          </cell>
        </row>
        <row r="13166">
          <cell r="D13166" t="str">
            <v>15385793    -    CONN, F MINI-FIT    -    0.0304</v>
          </cell>
        </row>
        <row r="13167">
          <cell r="D13167" t="str">
            <v>15385794    -    CONN, M MIN-FIT JR    -    0.0371</v>
          </cell>
        </row>
        <row r="13168">
          <cell r="D13168" t="str">
            <v>15385799    -    CONN,F,16-W,BLACK    -    2.842999</v>
          </cell>
        </row>
        <row r="13169">
          <cell r="D13169" t="str">
            <v>15385803    -    BEND CLIP (BK)    -    0.0043</v>
          </cell>
        </row>
        <row r="13170">
          <cell r="D13170" t="str">
            <v>15385804    -    CONN,    -    2.766583</v>
          </cell>
        </row>
        <row r="13171">
          <cell r="D13171" t="str">
            <v>15385810    -    CONN, 2F 090 II 2P    -    0.324913</v>
          </cell>
        </row>
        <row r="13172">
          <cell r="D13172" t="str">
            <v>15385811    -    CONN, 2F 090 II    -    0.421371</v>
          </cell>
        </row>
        <row r="13173">
          <cell r="D13173" t="str">
            <v>15385817    -    CONN,    -    0.6472</v>
          </cell>
        </row>
        <row r="13174">
          <cell r="D13174" t="str">
            <v>15385818    -    CONN, 11P    -    0.1685</v>
          </cell>
        </row>
        <row r="13175">
          <cell r="D13175" t="str">
            <v>15385819    -    CLIP,    -    0.0134</v>
          </cell>
        </row>
        <row r="13176">
          <cell r="D13176" t="str">
            <v>15385820    -    BODY CLIP BLACK    -    0.0303</v>
          </cell>
        </row>
        <row r="13177">
          <cell r="D13177" t="str">
            <v>15385821    -    CLIP,    -    0.0136</v>
          </cell>
        </row>
        <row r="13178">
          <cell r="D13178" t="str">
            <v>15385822    -    CLIP,    -    0.0136</v>
          </cell>
        </row>
        <row r="13179">
          <cell r="D13179" t="str">
            <v>15385823    -    CONN,    -    1.1817</v>
          </cell>
        </row>
        <row r="13180">
          <cell r="D13180" t="str">
            <v>15385824    -    CONN,    -    1.3932</v>
          </cell>
        </row>
        <row r="13181">
          <cell r="D13181" t="str">
            <v>15385825    -    CONN,    -    0.8136</v>
          </cell>
        </row>
        <row r="13182">
          <cell r="D13182" t="str">
            <v>15385826    -    CONN,    -    0.1003</v>
          </cell>
        </row>
        <row r="13183">
          <cell r="D13183" t="str">
            <v>15385827    -    CONN,    -    0.0874</v>
          </cell>
        </row>
        <row r="13184">
          <cell r="D13184" t="str">
            <v>15385830    -    CONN,    -    0.2209</v>
          </cell>
        </row>
        <row r="13185">
          <cell r="D13185" t="str">
            <v>15385837    -    HOLDER,20-W    -    0.1675</v>
          </cell>
        </row>
        <row r="13186">
          <cell r="D13186" t="str">
            <v>15385838    -    HOLDER,20-W    -    0.1675</v>
          </cell>
        </row>
        <row r="13187">
          <cell r="D13187" t="str">
            <v>15385840    -    BODY CLIP BLACK    -    0.0226</v>
          </cell>
        </row>
        <row r="13188">
          <cell r="D13188" t="str">
            <v>15385841    -    CONN,6-W,GREEN    -    0.0565</v>
          </cell>
        </row>
        <row r="13189">
          <cell r="D13189" t="str">
            <v>15385842    -    CONN,16-W    -    0.1028</v>
          </cell>
        </row>
        <row r="13190">
          <cell r="D13190" t="str">
            <v>15385847    -    ACC1, CPA    -    0.0393</v>
          </cell>
        </row>
        <row r="13191">
          <cell r="D13191" t="str">
            <v>15385853    -    LOCK    -    0.025</v>
          </cell>
        </row>
        <row r="13192">
          <cell r="D13192" t="str">
            <v>15385857    -    CLIP, CONN    -    0.0168</v>
          </cell>
        </row>
        <row r="13193">
          <cell r="D13193" t="str">
            <v>15385858    -    CLIP,    -    0.0791</v>
          </cell>
        </row>
        <row r="13194">
          <cell r="D13194" t="str">
            <v>15385859    -    CLIP, BRACKET    -    0.1788</v>
          </cell>
        </row>
        <row r="13195">
          <cell r="D13195" t="str">
            <v>15385860    -    CLIP, CONN. BRACKET    -    0.1767</v>
          </cell>
        </row>
        <row r="13196">
          <cell r="D13196" t="str">
            <v>15385864    -    ACC3, HOLDER GRA    -    0.036</v>
          </cell>
        </row>
        <row r="13197">
          <cell r="D13197" t="str">
            <v>15385881    -    CONN 2 F MISC SLD    -    0.14798</v>
          </cell>
        </row>
        <row r="13198">
          <cell r="D13198" t="str">
            <v>15385882    -    CONN 2 F MISC GRA SLD    -    0.032136</v>
          </cell>
        </row>
        <row r="13199">
          <cell r="D13199" t="str">
            <v>15385883    -    CONN 52 F FI/OP HYBRID GRA SLD    -    2.31219</v>
          </cell>
        </row>
        <row r="13200">
          <cell r="D13200" t="str">
            <v>15385884    -    CONN 3 F MISC BLK    -    0.651233</v>
          </cell>
        </row>
        <row r="13201">
          <cell r="D13201" t="str">
            <v>15385886    -    CONN 2 F 040 III GRN DK    -    0.355876</v>
          </cell>
        </row>
        <row r="13202">
          <cell r="D13202" t="str">
            <v>15385887    -    CONN 9 M FI/OP HYBRID GRA LT    -    0.719091</v>
          </cell>
        </row>
        <row r="13203">
          <cell r="D13203" t="str">
            <v>15385888N    -    CONN,F,16-W,NATU,NS SERIES    -    0.07725</v>
          </cell>
        </row>
        <row r="13204">
          <cell r="D13204" t="str">
            <v>15385889N    -    CONN,F,12-W,NATU,NS SERIES    -    0.07954</v>
          </cell>
        </row>
        <row r="13205">
          <cell r="D13205" t="str">
            <v>15385890N    -    CONN,F,2-W,NATU,NS SERIES    -    0.03127</v>
          </cell>
        </row>
        <row r="13206">
          <cell r="D13206" t="str">
            <v>15385895    -    ASM CONN 6 F MIC BLK    -    0.915011</v>
          </cell>
        </row>
        <row r="13207">
          <cell r="D13207" t="str">
            <v>15385907    -    CONN 2 F MISC NAT    -    0.014462</v>
          </cell>
        </row>
        <row r="13208">
          <cell r="D13208" t="str">
            <v>15385911    -    CONN 22 M MISC NAT    -    0.36246</v>
          </cell>
        </row>
        <row r="13209">
          <cell r="D13209" t="str">
            <v>15385912    -    CONN 6 M MISC BLK    -    0.114622</v>
          </cell>
        </row>
        <row r="13210">
          <cell r="D13210" t="str">
            <v>15385918    -    CONN 1 F NAT    -    0.012391</v>
          </cell>
        </row>
        <row r="13211">
          <cell r="D13211" t="str">
            <v>15385919    -    CONN 3 F NAT    -    0.048328</v>
          </cell>
        </row>
        <row r="13212">
          <cell r="D13212" t="str">
            <v>15385953    -    ASM CONN 0 M MQS 1.5 TIMER JR-POWER SLD    -    2.379021</v>
          </cell>
        </row>
        <row r="13213">
          <cell r="D13213" t="str">
            <v>15385955    -    CONN 2 M MISC GRA    -    0.10519</v>
          </cell>
        </row>
        <row r="13214">
          <cell r="D13214" t="str">
            <v>15385956    -    ASM CONN 8 M MISC NAT    -    0.157578</v>
          </cell>
        </row>
        <row r="13215">
          <cell r="D13215" t="str">
            <v>15385957    -    ASM CONN 24 M 040 III GRA    -    0.268603</v>
          </cell>
        </row>
        <row r="13216">
          <cell r="D13216" t="str">
            <v>15385958    -    CONN 52 M 040 91RV MISC MOLDED ON SLD    -    0.869786</v>
          </cell>
        </row>
        <row r="13217">
          <cell r="D13217" t="str">
            <v>15385959    -    CONN 4 M MISC NAT    -    0.187287</v>
          </cell>
        </row>
        <row r="13218">
          <cell r="D13218" t="str">
            <v>15385960    -    ASM CONN 0 F MISC GRA SLD BASE 5    -    0.314257</v>
          </cell>
        </row>
        <row r="13219">
          <cell r="D13219" t="str">
            <v>15385961    -    ASM CONN 10 F 090 II GRA SLD    -    0.258361</v>
          </cell>
        </row>
        <row r="13220">
          <cell r="D13220" t="str">
            <v>15385963    -    CONN 6 F MISC NAT    -    0.168589</v>
          </cell>
        </row>
        <row r="13221">
          <cell r="D13221" t="str">
            <v>15385965    -    ASM CONN 6 F MISC GRA SLD    -    0.240367</v>
          </cell>
        </row>
        <row r="13222">
          <cell r="D13222" t="str">
            <v>15385966    -    ASM CONN 8 F MISC GRA SLD    -    0.338183</v>
          </cell>
        </row>
        <row r="13223">
          <cell r="D13223" t="str">
            <v>15385967    -    ASM CONN 2 F MISC YEL SLD    -    0.364823</v>
          </cell>
        </row>
        <row r="13224">
          <cell r="D13224" t="str">
            <v>15385968    -    ASM CONN 20 F MISC YEL    -    0.368845</v>
          </cell>
        </row>
        <row r="13225">
          <cell r="D13225" t="str">
            <v>15385969    -    ASM CONN 2 F MISC NAT    -    0.176129</v>
          </cell>
        </row>
        <row r="13226">
          <cell r="D13226" t="str">
            <v>15385970    -    ASM CONN 30 F MISC BLK SLD    -    1.731519</v>
          </cell>
        </row>
        <row r="13227">
          <cell r="D13227" t="str">
            <v>15385971    -    CONN 4 F MISC NAT    -    0.089992</v>
          </cell>
        </row>
        <row r="13228">
          <cell r="D13228" t="str">
            <v>15385976    -    ASM CONN 3 F MISC GRN SLD    -    0.638366</v>
          </cell>
        </row>
        <row r="13229">
          <cell r="D13229" t="str">
            <v>15385977    -    CONN 8 M MISC GRA    -    0.239764</v>
          </cell>
        </row>
        <row r="13230">
          <cell r="D13230" t="str">
            <v>15385978    -    CONN 3 F MISC NAT    -    0.08354</v>
          </cell>
        </row>
        <row r="13231">
          <cell r="D13231" t="str">
            <v>15385979    -    ASM CONN 16 F MISC GRA    -    0.166478</v>
          </cell>
        </row>
        <row r="13232">
          <cell r="D13232" t="str">
            <v>15385980    -    ASM CONN 6 F MISC BLK SLD    -    0.355474</v>
          </cell>
        </row>
        <row r="13233">
          <cell r="D13233" t="str">
            <v>15385981    -    MOUN CLIP CONN    -    0.025133</v>
          </cell>
        </row>
        <row r="13234">
          <cell r="D13234" t="str">
            <v>15385982    -    ASM CONN 2 F 090 II NAT SLD    -    0.399506</v>
          </cell>
        </row>
        <row r="13235">
          <cell r="D13235" t="str">
            <v>15385983    -    ASM CONN 46 F MISC BLK SLD    -    2.909137</v>
          </cell>
        </row>
        <row r="13236">
          <cell r="D13236" t="str">
            <v>15385984    -    CONN 2 F MISC WHT    -    0.111086</v>
          </cell>
        </row>
        <row r="13237">
          <cell r="D13237" t="str">
            <v>15385985    -    CONN 52 M MISC NAT    -    0.265399</v>
          </cell>
        </row>
        <row r="13238">
          <cell r="D13238" t="str">
            <v>15385986    -    CONN F MISC NAT    -    0.224584</v>
          </cell>
        </row>
        <row r="13239">
          <cell r="D13239" t="str">
            <v>15385987    -    CONN 9 F MISC NAT SLD    -    0.067858</v>
          </cell>
        </row>
        <row r="13240">
          <cell r="D13240" t="str">
            <v>15386023    -    MOUN CLIP CONN    -    0.2466</v>
          </cell>
        </row>
        <row r="13241">
          <cell r="D13241" t="str">
            <v>15386024    -    MOUN CLIP CONN    -    0.211716</v>
          </cell>
        </row>
        <row r="13242">
          <cell r="D13242" t="str">
            <v>15386025    -    MOUN CLIP CONN    -    0.102038</v>
          </cell>
        </row>
        <row r="13243">
          <cell r="D13243" t="str">
            <v>15386044    -    CONN 2 F NAT    -    0.094297</v>
          </cell>
        </row>
        <row r="13244">
          <cell r="D13244" t="str">
            <v>15386045    -    CONN 2 F MISC GRA    -    0.057302</v>
          </cell>
        </row>
        <row r="13245">
          <cell r="D13245" t="str">
            <v>15386046    -    CONN 6 F MISC GRA    -    0.085048</v>
          </cell>
        </row>
        <row r="13246">
          <cell r="D13246" t="str">
            <v>15386047    -    CONN 1 F MISC GRA    -    0.042826</v>
          </cell>
        </row>
        <row r="13247">
          <cell r="D13247" t="str">
            <v>15386048    -    CONN 4 F MISC GRA    -    0.080424</v>
          </cell>
        </row>
        <row r="13248">
          <cell r="D13248" t="str">
            <v>15386049    -    ASM CONN 16 M MISC NAT    -    0.184774</v>
          </cell>
        </row>
        <row r="13249">
          <cell r="D13249" t="str">
            <v>15386050    -    ASM CONN 8 F MISC NAT    -    0.102541</v>
          </cell>
        </row>
        <row r="13250">
          <cell r="D13250" t="str">
            <v>15386051    -    CONN 4 F MISC NAT    -    0.117721</v>
          </cell>
        </row>
        <row r="13251">
          <cell r="D13251" t="str">
            <v>15386052    -    ASM CONN 4 M MISC NAT    -    0.087562</v>
          </cell>
        </row>
        <row r="13252">
          <cell r="D13252" t="str">
            <v>15386053    -    ASM CONN 6 M MISC NAT    -    0.091683</v>
          </cell>
        </row>
        <row r="13253">
          <cell r="D13253" t="str">
            <v>15386054    -    ASM CONN 4 F MISC NAT    -    0.098318</v>
          </cell>
        </row>
        <row r="13254">
          <cell r="D13254" t="str">
            <v>15386055    -    ASM CONN 6 F MISC NAT    -    0.076202</v>
          </cell>
        </row>
        <row r="13255">
          <cell r="D13255" t="str">
            <v>15386056    -    CONN 4 F MISC GRA    -    0.059313</v>
          </cell>
        </row>
        <row r="13256">
          <cell r="D13256" t="str">
            <v>15386057    -    ASM CONN 3 F MISC NAT    -    0.123752</v>
          </cell>
        </row>
        <row r="13257">
          <cell r="D13257" t="str">
            <v>15386058    -    ASM CONN 2 F MISC BLU    -    0.322802</v>
          </cell>
        </row>
        <row r="13258">
          <cell r="D13258" t="str">
            <v>15386059    -    ASM CONN 3 F MISC NAT    -    1.538261</v>
          </cell>
        </row>
        <row r="13259">
          <cell r="D13259" t="str">
            <v>15386060    -    CONN 2 F MISC BLU    -    0.079318</v>
          </cell>
        </row>
        <row r="13260">
          <cell r="D13260" t="str">
            <v>15386061    -    ASM CONN 8 F MISC NAT    -    0.149689</v>
          </cell>
        </row>
        <row r="13261">
          <cell r="D13261" t="str">
            <v>15386062    -    CONN 2 F MISC GRA    -    0.051873</v>
          </cell>
        </row>
        <row r="13262">
          <cell r="D13262" t="str">
            <v>15386063    -    CONN 2 MISC BRN    -    0.02657</v>
          </cell>
        </row>
        <row r="13263">
          <cell r="D13263" t="str">
            <v>15386064    -    CONN 2 F MISC BLK    -    0.124364</v>
          </cell>
        </row>
        <row r="13264">
          <cell r="D13264" t="str">
            <v>15386066    -    ASM CONN 2 F MISC BRN    -    0.17643</v>
          </cell>
        </row>
        <row r="13265">
          <cell r="D13265" t="str">
            <v>15386067    -    ASM CONN 4 F MISC BLK    -    0.162859</v>
          </cell>
        </row>
        <row r="13266">
          <cell r="D13266" t="str">
            <v>15386068    -    ASM CONN 3 F MISC NAT    -    0.136778</v>
          </cell>
        </row>
        <row r="13267">
          <cell r="D13267" t="str">
            <v>15386069    -    ASM CONN 6 F MISC GRA    -    0.072611</v>
          </cell>
        </row>
        <row r="13268">
          <cell r="D13268" t="str">
            <v>15386070    -    ASM CONN 2 F MISC NAT    -    0.060438</v>
          </cell>
        </row>
        <row r="13269">
          <cell r="D13269" t="str">
            <v>15386071    -    CONN 24 F 040 III NAT    -    0.221753</v>
          </cell>
        </row>
        <row r="13270">
          <cell r="D13270" t="str">
            <v>15386072    -    ASM CONN MISC YEL    -    0.082891</v>
          </cell>
        </row>
        <row r="13271">
          <cell r="D13271" t="str">
            <v>15386073    -    CONN 8 F MISC GRA LT    -    0.173414</v>
          </cell>
        </row>
        <row r="13272">
          <cell r="D13272" t="str">
            <v>15386074    -    CONN 4 MISC BLK    -    0.093493</v>
          </cell>
        </row>
        <row r="13273">
          <cell r="D13273" t="str">
            <v>15386075    -    CONN 2 F MISC GRA DK    -    0.173414</v>
          </cell>
        </row>
        <row r="13274">
          <cell r="D13274" t="str">
            <v>15386077    -    CONN 2 F MISC BRN    -    0.076202</v>
          </cell>
        </row>
        <row r="13275">
          <cell r="D13275" t="str">
            <v>15386082    -    ASM CONN 16 M MISC BRN    -    0.20287</v>
          </cell>
        </row>
        <row r="13276">
          <cell r="D13276" t="str">
            <v>15386083    -    ASM CONN 2 MISC NAT    -    0.170499</v>
          </cell>
        </row>
        <row r="13277">
          <cell r="D13277" t="str">
            <v>15386086    -    CONN 16 GRA    -    0.290651</v>
          </cell>
        </row>
        <row r="13278">
          <cell r="D13278" t="str">
            <v>15386087    -    CONN 20 GRA    -    0.286347</v>
          </cell>
        </row>
        <row r="13279">
          <cell r="D13279" t="str">
            <v>15386088    -    CONN 4 F BRN    -    0.143959</v>
          </cell>
        </row>
        <row r="13280">
          <cell r="D13280" t="str">
            <v>15386089    -    ASM CONN 2 MISC BRN    -    0.062459</v>
          </cell>
        </row>
        <row r="13281">
          <cell r="D13281" t="str">
            <v>15386090    -    CONN 8 MISC GRA    -    0.247593</v>
          </cell>
        </row>
        <row r="13282">
          <cell r="D13282" t="str">
            <v>15386091    -    CONN 6 MISC YEL    -    0.226057</v>
          </cell>
        </row>
        <row r="13283">
          <cell r="D13283" t="str">
            <v>15386092    -    ASM CONN 4 F MISC YEL    -    0.806452</v>
          </cell>
        </row>
        <row r="13284">
          <cell r="D13284" t="str">
            <v>15386093    -    ASM CONN 4 MISC GRA    -    0.217748</v>
          </cell>
        </row>
        <row r="13285">
          <cell r="D13285" t="str">
            <v>15386094    -    ASM CONN 10 M MISC NAT    -    0.131192</v>
          </cell>
        </row>
        <row r="13286">
          <cell r="D13286" t="str">
            <v>15386095    -    ASM CONN 4 M MISC NAT    -    0.481036</v>
          </cell>
        </row>
        <row r="13287">
          <cell r="D13287" t="str">
            <v>15386096    -    MOUN CLIP CONN    -    0.016085</v>
          </cell>
        </row>
        <row r="13288">
          <cell r="D13288" t="str">
            <v>15386103    -    ASM CONN 2 F MISC BRN    -    0.126567</v>
          </cell>
        </row>
        <row r="13289">
          <cell r="D13289" t="str">
            <v>15386104    -    CONN 8 F MISC GRA    -    0.124657</v>
          </cell>
        </row>
        <row r="13290">
          <cell r="D13290" t="str">
            <v>15386113    -    ASM CONN 4 M MISC BLK SLD    -    0.233531</v>
          </cell>
        </row>
        <row r="13291">
          <cell r="D13291" t="str">
            <v>15386115    -    ASM CONN 4 F MISC BLK SLD    -    0.090175</v>
          </cell>
        </row>
        <row r="13292">
          <cell r="D13292" t="str">
            <v>15386117    -    CONN 2 M MISC BLU SLD    -    1.156095</v>
          </cell>
        </row>
        <row r="13293">
          <cell r="D13293" t="str">
            <v>15386125    -    ASM CONN 3 F MISC NAT    -    0.278669</v>
          </cell>
        </row>
        <row r="13294">
          <cell r="D13294" t="str">
            <v>15386127    -    ASM CONN 8 F MISC GRA    -    0.108371</v>
          </cell>
        </row>
        <row r="13295">
          <cell r="D13295" t="str">
            <v>15386128    -    CONN 6 F 090 FW MF 1    -    0.193822</v>
          </cell>
        </row>
        <row r="13296">
          <cell r="D13296" t="str">
            <v>15386129    -    ASM CONN 8 M MISC NAT    -    0.123652</v>
          </cell>
        </row>
        <row r="13297">
          <cell r="D13297" t="str">
            <v>15386130    -    ASM CONN 2 F MISC GRA SLD    -    0.123652</v>
          </cell>
        </row>
        <row r="13298">
          <cell r="D13298" t="str">
            <v>15386315    -    ASM CONN 6 F MISC NAT    -    0.168589</v>
          </cell>
        </row>
        <row r="13299">
          <cell r="D13299" t="str">
            <v>15386316    -    CONN, 8F SDL    -    0.0589</v>
          </cell>
        </row>
        <row r="13300">
          <cell r="D13300" t="str">
            <v>15386317    -    CONN 2F 090-II    -    0.0587</v>
          </cell>
        </row>
        <row r="13301">
          <cell r="D13301" t="str">
            <v>15386318    -    CONN, 4M 090-II    -    0.1008</v>
          </cell>
        </row>
        <row r="13302">
          <cell r="D13302" t="str">
            <v>15386319    -    CONN, 4F ECONOSEAL    -    0.2185</v>
          </cell>
        </row>
        <row r="13303">
          <cell r="D13303" t="str">
            <v>15386320    -    ACC1, TPA    -    0.0428</v>
          </cell>
        </row>
        <row r="13304">
          <cell r="D13304" t="str">
            <v>15386355    -    CONN 2F118 (PA)    -    0.0184</v>
          </cell>
        </row>
        <row r="13305">
          <cell r="D13305" t="str">
            <v>15386548    -    CONNECTOR 3F    -    0.0632</v>
          </cell>
        </row>
        <row r="13306">
          <cell r="D13306" t="str">
            <v>15392708    -    CONN 40M GT 150,280 SLD    -    0.36546</v>
          </cell>
        </row>
        <row r="13307">
          <cell r="D13307" t="str">
            <v>15392709    -    CONN 40M GT 150,280 SLD    -    0.38209</v>
          </cell>
        </row>
        <row r="13308">
          <cell r="D13308" t="str">
            <v>15392710    -    CONN 40F GT 150,280 SLD    -    0.37664</v>
          </cell>
        </row>
        <row r="13309">
          <cell r="D13309" t="str">
            <v>15392711    -    CONN 40F GT 150,280 SLD    -    0.39403</v>
          </cell>
        </row>
        <row r="13310">
          <cell r="D13310" t="str">
            <v>15392716    -    CONNECTOR    -    0</v>
          </cell>
        </row>
        <row r="13311">
          <cell r="D13311" t="str">
            <v>15392717    -    CONNECTOR    -    0.18</v>
          </cell>
        </row>
        <row r="13312">
          <cell r="D13312" t="str">
            <v>15392719    -    CONNECTOR    -    0.18</v>
          </cell>
        </row>
        <row r="13313">
          <cell r="D13313" t="str">
            <v>15393123    -    CONN 72F MICRO 64    -    0.245</v>
          </cell>
        </row>
        <row r="13314">
          <cell r="D13314" t="str">
            <v>15393126    -    CONN    -    0.08406</v>
          </cell>
        </row>
        <row r="13315">
          <cell r="D13315" t="str">
            <v>15393129    -    SLIDE CONN LK ASSIST 72F MICRO    -    0.023285</v>
          </cell>
        </row>
        <row r="13316">
          <cell r="D13316" t="str">
            <v>15393130    -    SLIDE CONN LK ASSIST 72F MICRO    -    0.023285</v>
          </cell>
        </row>
        <row r="13317">
          <cell r="D13317" t="str">
            <v>15393174    -    CONNECTOR    -    0.021344</v>
          </cell>
        </row>
        <row r="13318">
          <cell r="D13318" t="str">
            <v>15393215    -    COVER 638622-1    -    0.128</v>
          </cell>
        </row>
        <row r="13319">
          <cell r="D13319" t="str">
            <v>15393251    -    CONNECTOR    -    0.09589</v>
          </cell>
        </row>
        <row r="13320">
          <cell r="D13320" t="str">
            <v>15393252    -    CONNECTOR    -    0.09589</v>
          </cell>
        </row>
        <row r="13321">
          <cell r="D13321" t="str">
            <v>15393256    -    CONN 7F    -    0.1666</v>
          </cell>
        </row>
        <row r="13322">
          <cell r="D13322" t="str">
            <v>15393259    -    ASM CONN 32M MXD    -    0.28308</v>
          </cell>
        </row>
        <row r="13323">
          <cell r="D13323" t="str">
            <v>15393260    -    ASM CONN 32M MXD    -    0.31847</v>
          </cell>
        </row>
        <row r="13324">
          <cell r="D13324" t="str">
            <v>15393262    -    COMB MXD 32M    -    0.029663</v>
          </cell>
        </row>
        <row r="13325">
          <cell r="D13325" t="str">
            <v>15393263    -    COMB MXD 32F    -    0.02875</v>
          </cell>
        </row>
        <row r="13326">
          <cell r="D13326" t="str">
            <v>15393408    -    CONNECTOR    -    0.2684</v>
          </cell>
        </row>
        <row r="13327">
          <cell r="D13327" t="str">
            <v>15393409    -    26F INNER CONNECTOR    -    0.129</v>
          </cell>
        </row>
        <row r="13328">
          <cell r="D13328" t="str">
            <v>15393422    -    T/CPA    -    0.04018</v>
          </cell>
        </row>
        <row r="13329">
          <cell r="D13329" t="str">
            <v>15393431    -    CONNECTOR    -    0.16</v>
          </cell>
        </row>
        <row r="13330">
          <cell r="D13330" t="str">
            <v>15393732    -    CLIP CNVLT CDT 10/13    -    0.16283</v>
          </cell>
        </row>
        <row r="13331">
          <cell r="D13331" t="str">
            <v>15393761    -    CONN,M,3-W,NATU,LOSE 250S    -    0.021666</v>
          </cell>
        </row>
        <row r="13332">
          <cell r="D13332" t="str">
            <v>15393762    -    CONN,F,3-W,NATURAL,LOSE 250S    -    0.020525</v>
          </cell>
        </row>
        <row r="13333">
          <cell r="D13333" t="str">
            <v>15393848    -    CONNECTOR    -    0.4256</v>
          </cell>
        </row>
        <row r="13334">
          <cell r="D13334" t="str">
            <v>15393853    -    RETAINER 64F MICRO 64    -    0.08148</v>
          </cell>
        </row>
        <row r="13335">
          <cell r="D13335" t="str">
            <v>15393876    -    CONN 3M M/P 280 SLD    -    0.178827</v>
          </cell>
        </row>
        <row r="13336">
          <cell r="D13336" t="str">
            <v>15394005    -    CONN 5W    -    0.277427</v>
          </cell>
        </row>
        <row r="13337">
          <cell r="D13337" t="str">
            <v>15394009    -    CONNECTOR 2 WAY    -    0.06455</v>
          </cell>
        </row>
        <row r="13338">
          <cell r="D13338" t="str">
            <v>15394011    -    CONN 6F JPT    -    0.074511</v>
          </cell>
        </row>
        <row r="13339">
          <cell r="D13339" t="str">
            <v>15394012    -    CONN 2F    -    0.18723</v>
          </cell>
        </row>
        <row r="13340">
          <cell r="D13340" t="str">
            <v>15394015    -    CONN 5W    -    0.046323</v>
          </cell>
        </row>
        <row r="13341">
          <cell r="D13341" t="str">
            <v>15394016    -    CONN 5W    -    0.226111</v>
          </cell>
        </row>
        <row r="13342">
          <cell r="D13342" t="str">
            <v>15394018    -    CONN 26W    -    1.33141</v>
          </cell>
        </row>
        <row r="13343">
          <cell r="D13343" t="str">
            <v>15394019    -    COVER    -    0.2258</v>
          </cell>
        </row>
        <row r="13344">
          <cell r="D13344" t="str">
            <v>15394021    -    CONNECTOR    -    8.10652</v>
          </cell>
        </row>
        <row r="13345">
          <cell r="D13345" t="str">
            <v>15394022    -    CONNECTOR    -    6.14024</v>
          </cell>
        </row>
        <row r="13346">
          <cell r="D13346" t="str">
            <v>15394028    -    CONN. 5F 050 S    -    0.23891</v>
          </cell>
        </row>
        <row r="13347">
          <cell r="D13347" t="str">
            <v>15394086    -    42W CONNECTOR    -    1.30639</v>
          </cell>
        </row>
        <row r="13348">
          <cell r="D13348" t="str">
            <v>15394087    -    42W CONNECTOR    -    1.15516</v>
          </cell>
        </row>
        <row r="13349">
          <cell r="D13349" t="str">
            <v>15394104    -    CONN HSG    -    0.33684</v>
          </cell>
        </row>
        <row r="13350">
          <cell r="D13350" t="str">
            <v>15394106    -    COVER CONNECTOR    -    0.048</v>
          </cell>
        </row>
        <row r="13351">
          <cell r="D13351" t="str">
            <v>15394108    -    CLIP    -    0.0454</v>
          </cell>
        </row>
        <row r="13352">
          <cell r="D13352" t="str">
            <v>15394112    -    COVER ELEC CTR BATT U/H    -    0.097</v>
          </cell>
        </row>
        <row r="13353">
          <cell r="D13353" t="str">
            <v>15394134    -    SECONDARY LOCK    -    0.019</v>
          </cell>
        </row>
        <row r="13354">
          <cell r="D13354" t="str">
            <v>15394178    -    CONN    -    0.211889</v>
          </cell>
        </row>
        <row r="13355">
          <cell r="D13355" t="str">
            <v>15394182    -    CONNECTOR    -    7.8701</v>
          </cell>
        </row>
        <row r="13356">
          <cell r="D13356" t="str">
            <v>15394375    -    TPA    -    0.053</v>
          </cell>
        </row>
        <row r="13357">
          <cell r="D13357" t="str">
            <v>15394385    -    CONNECTOR    -    0.0396</v>
          </cell>
        </row>
        <row r="13358">
          <cell r="D13358" t="str">
            <v>15394448    -    8W CONNECTOR    -    0.3</v>
          </cell>
        </row>
        <row r="13359">
          <cell r="D13359" t="str">
            <v>15394491    -    PLR    -    0.01028</v>
          </cell>
        </row>
        <row r="13360">
          <cell r="D13360" t="str">
            <v>15394559    -    STRAIN RELIEF    -    0.139</v>
          </cell>
        </row>
        <row r="13361">
          <cell r="D13361" t="str">
            <v>15394562    -    STRAIN RELIEF - 18W MIC/P 100W 2.54 CL    -    0.145</v>
          </cell>
        </row>
        <row r="13362">
          <cell r="D13362" t="str">
            <v>15394566    -    DOBUBLE ISO RELAY (SECONDAY LOCK)    -    1.6326</v>
          </cell>
        </row>
        <row r="13363">
          <cell r="D13363" t="str">
            <v>15394579    -    CONNECTOR    -    0.43765</v>
          </cell>
        </row>
        <row r="13364">
          <cell r="D13364" t="str">
            <v>15394580    -    CONNECTOR    -    0.42625</v>
          </cell>
        </row>
        <row r="13365">
          <cell r="D13365" t="str">
            <v>15394582    -    CONNECTOR    -    0.57307</v>
          </cell>
        </row>
        <row r="13366">
          <cell r="D13366" t="str">
            <v>15394584    -    CONN 10F    -    0.4437</v>
          </cell>
        </row>
        <row r="13367">
          <cell r="D13367" t="str">
            <v>15394586    -    CONNECTOR 2F    -    0.1248</v>
          </cell>
        </row>
        <row r="13368">
          <cell r="D13368" t="str">
            <v>15394590    -    FUSE CASSETTE BLACK    -    0.23564</v>
          </cell>
        </row>
        <row r="13369">
          <cell r="D13369" t="str">
            <v>15394613    -    CONN 8F 025    -    0.08206</v>
          </cell>
        </row>
        <row r="13370">
          <cell r="D13370" t="str">
            <v>15394617    -    COMB MXD    -    0.02588</v>
          </cell>
        </row>
        <row r="13371">
          <cell r="D13371" t="str">
            <v>15394672    -    RELAY FUSE SOCKET    -    1.2</v>
          </cell>
        </row>
        <row r="13372">
          <cell r="D13372" t="str">
            <v>15394674    -    RELAY FUSE SOCKET    -    1.2</v>
          </cell>
        </row>
        <row r="13373">
          <cell r="D13373" t="str">
            <v>15394681    -    CONN 26F    -    0.47412</v>
          </cell>
        </row>
        <row r="13374">
          <cell r="D13374" t="str">
            <v>15394682    -    CONNECTOR    -    0.3495</v>
          </cell>
        </row>
        <row r="13375">
          <cell r="D13375" t="str">
            <v>15394683    -    CONNECTOR    -    0.39595</v>
          </cell>
        </row>
        <row r="13376">
          <cell r="D13376" t="str">
            <v>15394684    -    CONNECTOR    -    0.05755</v>
          </cell>
        </row>
        <row r="13377">
          <cell r="D13377" t="str">
            <v>15394685    -    CONN 4F    -    0.05755</v>
          </cell>
        </row>
        <row r="13378">
          <cell r="D13378" t="str">
            <v>15394692    -    4W CONNECTOR    -    0.13665</v>
          </cell>
        </row>
        <row r="13379">
          <cell r="D13379" t="str">
            <v>15395727    -    YAZAK GROMET    -    0.313604</v>
          </cell>
        </row>
        <row r="13380">
          <cell r="D13380" t="str">
            <v>15395797    -    CONN,6-W,NATURAL,ASSY RECEPTACLE    -    0.195184</v>
          </cell>
        </row>
        <row r="13381">
          <cell r="D13381" t="str">
            <v>15395817    -    CONNECTOR    -    0.201486</v>
          </cell>
        </row>
        <row r="13382">
          <cell r="D13382" t="str">
            <v>15395851    -    CONNECTOR    -    0.479021</v>
          </cell>
        </row>
        <row r="13383">
          <cell r="D13383" t="str">
            <v>15395902    -    29.486.93 TASSELLO MTA 03.01080 BC 80A 1    -    0.026582</v>
          </cell>
        </row>
        <row r="13384">
          <cell r="D13384" t="str">
            <v>15395922    -    3-P GEH.    -    0.065687</v>
          </cell>
        </row>
        <row r="13385">
          <cell r="D13385" t="str">
            <v>15396115    -    COVER GREEN    -    0.25179</v>
          </cell>
        </row>
        <row r="13386">
          <cell r="D13386" t="str">
            <v>15396116    -    COV CONN QUAD    -    0.25179</v>
          </cell>
        </row>
        <row r="13387">
          <cell r="D13387" t="str">
            <v>15396117    -    COV CONN QUAD    -    0.25179</v>
          </cell>
        </row>
        <row r="13388">
          <cell r="D13388" t="str">
            <v>15396510    -    PLASTIC SLOT    -    0.09604</v>
          </cell>
        </row>
        <row r="13389">
          <cell r="D13389" t="str">
            <v>15397149    -    CONNECTOR    -    0.275</v>
          </cell>
        </row>
        <row r="13390">
          <cell r="D13390" t="str">
            <v>15398712    -    TERM FEMALE SNAP ON    -    0.0254</v>
          </cell>
        </row>
        <row r="13391">
          <cell r="D13391" t="str">
            <v>15398721    -    MOUN SPACER    -    0.01388</v>
          </cell>
        </row>
        <row r="13392">
          <cell r="D13392" t="str">
            <v>15398722    -    SPACER    -    0.01745</v>
          </cell>
        </row>
        <row r="13393">
          <cell r="D13393" t="str">
            <v>15398726    -    SPACER    -    0.01207</v>
          </cell>
        </row>
        <row r="13394">
          <cell r="D13394" t="str">
            <v>15398730    -    SPACER    -    0.0228</v>
          </cell>
        </row>
        <row r="13395">
          <cell r="D13395" t="str">
            <v>15398736    -    10 P-SPACER    -    0.03762</v>
          </cell>
        </row>
        <row r="13396">
          <cell r="D13396" t="str">
            <v>15398751    -    14 P-SPACER    -    0.08487</v>
          </cell>
        </row>
        <row r="13397">
          <cell r="D13397" t="str">
            <v>15398755    -    COVER    -    0.0198</v>
          </cell>
        </row>
        <row r="13398">
          <cell r="D13398" t="str">
            <v>15398757    -    SPACER FOR F57B-14A624-FA    -    0.0072</v>
          </cell>
        </row>
        <row r="13399">
          <cell r="D13399" t="str">
            <v>15398760    -    SPACER    -    0.02577</v>
          </cell>
        </row>
        <row r="13400">
          <cell r="D13400" t="str">
            <v>15398761    -    SPACER    -    0.02133</v>
          </cell>
        </row>
        <row r="13401">
          <cell r="D13401" t="str">
            <v>15398762    -    SPACER    -    0.02188</v>
          </cell>
        </row>
        <row r="13402">
          <cell r="D13402" t="str">
            <v>15398765    -    SPACER    -    0.03341</v>
          </cell>
        </row>
        <row r="13403">
          <cell r="D13403" t="str">
            <v>15398772    -    16-WAY CONNECTOR    -    0.20963</v>
          </cell>
        </row>
        <row r="13404">
          <cell r="D13404" t="str">
            <v>15398785    -    SPACER    -    0.09579</v>
          </cell>
        </row>
        <row r="13405">
          <cell r="D13405" t="str">
            <v>15398788    -    SPACER    -    0.0189</v>
          </cell>
        </row>
        <row r="13406">
          <cell r="D13406" t="str">
            <v>15398808    -    CONNECTOR    -    0.287</v>
          </cell>
        </row>
        <row r="13407">
          <cell r="D13407" t="str">
            <v>15398815    -    CPACER FOR 1C1T 14A464 NA    -    0.12802</v>
          </cell>
        </row>
        <row r="13408">
          <cell r="D13408" t="str">
            <v>15398822    -    ASM CONNECTOR    -    0.13481</v>
          </cell>
        </row>
        <row r="13409">
          <cell r="D13409" t="str">
            <v>15398831    -    CONNECTOR 6-1355678-1    -    0.3585</v>
          </cell>
        </row>
        <row r="13410">
          <cell r="D13410" t="str">
            <v>15398832    -    CONN 18W    -    0.2331</v>
          </cell>
        </row>
        <row r="13411">
          <cell r="D13411" t="str">
            <v>15398866N    -    LOCK,RETAINER,2-W,NATUR    -    0.03056</v>
          </cell>
        </row>
        <row r="13412">
          <cell r="D13412" t="str">
            <v>15398877    -    CONNECTOR    -    0.15</v>
          </cell>
        </row>
        <row r="13413">
          <cell r="D13413" t="str">
            <v>15398920    -    CAVITY PLUG    -    0.01173</v>
          </cell>
        </row>
        <row r="13414">
          <cell r="D13414" t="str">
            <v>15398921    -    CAVITY PLUG    -    0.01382</v>
          </cell>
        </row>
        <row r="13415">
          <cell r="D13415" t="str">
            <v>15398922    -    CONNECTOR    -    1.77118</v>
          </cell>
        </row>
        <row r="13416">
          <cell r="D13416" t="str">
            <v>15398923    -    COVER    -    0.21636</v>
          </cell>
        </row>
        <row r="13417">
          <cell r="D13417" t="str">
            <v>15398932    -    CONNECTOR    -    2.26484</v>
          </cell>
        </row>
        <row r="13418">
          <cell r="D13418" t="str">
            <v>15398939    -    CONNECTOR    -    0.367</v>
          </cell>
        </row>
        <row r="13419">
          <cell r="D13419" t="str">
            <v>15400228    -    J CASE PLUG    -    0.032987</v>
          </cell>
        </row>
        <row r="13420">
          <cell r="D13420" t="str">
            <v>15401042    -    CONNECTOR PLUG    -    0.06744</v>
          </cell>
        </row>
        <row r="13421">
          <cell r="D13421" t="str">
            <v>15401043    -    CONNECTOR    -    0.09455</v>
          </cell>
        </row>
        <row r="13422">
          <cell r="D13422" t="str">
            <v>15401046    -    CONNECTOR    -    0.42743</v>
          </cell>
        </row>
        <row r="13423">
          <cell r="D13423" t="str">
            <v>15401048    -    CONNECTOR    -    0.625</v>
          </cell>
        </row>
        <row r="13424">
          <cell r="D13424" t="str">
            <v>15401052    -    CONN, ASM 3F 090II SLD,BLK    -    0.313955</v>
          </cell>
        </row>
        <row r="13425">
          <cell r="D13425" t="str">
            <v>15401053    -    CONN 6F    -    0.364</v>
          </cell>
        </row>
        <row r="13426">
          <cell r="D13426" t="str">
            <v>15401066    -    CONNECTOR    -    0.42625</v>
          </cell>
        </row>
        <row r="13427">
          <cell r="D13427" t="str">
            <v>15401068    -    CAP    -    0.29818</v>
          </cell>
        </row>
        <row r="13428">
          <cell r="D13428" t="str">
            <v>15401069    -    CAP    -    0.36405</v>
          </cell>
        </row>
        <row r="13429">
          <cell r="D13429" t="str">
            <v>15401078    -    CONNECTOR    -    0.1506</v>
          </cell>
        </row>
        <row r="13430">
          <cell r="D13430" t="str">
            <v>15401080    -    CONNECTOR 14F    -    0.168</v>
          </cell>
        </row>
        <row r="13431">
          <cell r="D13431" t="str">
            <v>15401194    -    CONN 10F MP 630    -    0.07351</v>
          </cell>
        </row>
        <row r="13432">
          <cell r="D13432" t="str">
            <v>15401208    -    CONN 40M GT 150    -    0.19582</v>
          </cell>
        </row>
        <row r="13433">
          <cell r="D13433" t="str">
            <v>15401212    -    TPA 40F GT150    -    0.03938</v>
          </cell>
        </row>
        <row r="13434">
          <cell r="D13434" t="str">
            <v>15401214    -    STABILIZER    -    0.03626</v>
          </cell>
        </row>
        <row r="13435">
          <cell r="D13435" t="str">
            <v>15401328    -    CLIP CONN    -    0.01881</v>
          </cell>
        </row>
        <row r="13436">
          <cell r="D13436" t="str">
            <v>15401338    -    CONNECTOR 8W    -    0.414</v>
          </cell>
        </row>
        <row r="13437">
          <cell r="D13437" t="str">
            <v>15401363    -    CONNECTOR 14M    -    0.20073</v>
          </cell>
        </row>
        <row r="13438">
          <cell r="D13438" t="str">
            <v>15401371    -    COVER RELAY BLOCK UPR    -    0.525</v>
          </cell>
        </row>
        <row r="13439">
          <cell r="D13439" t="str">
            <v>15401379    -    COVER FUSE BLOCK    -    0.262</v>
          </cell>
        </row>
        <row r="13440">
          <cell r="D13440" t="str">
            <v>15401382    -    BRACKET J/B    -    0.2748</v>
          </cell>
        </row>
        <row r="13441">
          <cell r="D13441" t="str">
            <v>15401383    -    BRACKET J/B    -    0.2827</v>
          </cell>
        </row>
        <row r="13442">
          <cell r="D13442" t="str">
            <v>15401384    -    BRACKET J/B    -    0.263</v>
          </cell>
        </row>
        <row r="13443">
          <cell r="D13443" t="str">
            <v>15401385    -    PROTECTORS WIRING HARNESS    -    0.2551</v>
          </cell>
        </row>
        <row r="13444">
          <cell r="D13444" t="str">
            <v>15401386    -    COVER J/B    -    0.3113</v>
          </cell>
        </row>
        <row r="13445">
          <cell r="D13445" t="str">
            <v>15401388    -    BRACKET J/B    -    0.1694</v>
          </cell>
        </row>
        <row r="13446">
          <cell r="D13446" t="str">
            <v>15401390    -    COV MISC BLK    -    0.184605</v>
          </cell>
        </row>
        <row r="13447">
          <cell r="D13447" t="str">
            <v>15401397    -    PROTECTIVE CAP    -    0.86452</v>
          </cell>
        </row>
        <row r="13448">
          <cell r="D13448" t="str">
            <v>15401444    -    CONN 14M GT 150    -    0.16706</v>
          </cell>
        </row>
        <row r="13449">
          <cell r="D13449" t="str">
            <v>15401457    -    COVER 68F WIRE DRESS    -    0.22795</v>
          </cell>
        </row>
        <row r="13450">
          <cell r="D13450" t="str">
            <v>15401622    -    CONNECTOR    -    0.14291</v>
          </cell>
        </row>
        <row r="13451">
          <cell r="D13451" t="str">
            <v>15401623    -    CONNECTOR    -    0.19309</v>
          </cell>
        </row>
        <row r="13452">
          <cell r="D13452" t="str">
            <v>15401624    -    4 BLOCK LIF CONN    -    0.13418</v>
          </cell>
        </row>
        <row r="13453">
          <cell r="D13453" t="str">
            <v>15401626    -    CONNECTOR    -    0.59673</v>
          </cell>
        </row>
        <row r="13454">
          <cell r="D13454" t="str">
            <v>15401627    -    COVER CONNECTOR    -    0.06327</v>
          </cell>
        </row>
        <row r="13455">
          <cell r="D13455" t="str">
            <v>15401652    -    CONN 4 WAY    -    0.2149</v>
          </cell>
        </row>
        <row r="13456">
          <cell r="D13456" t="str">
            <v>15401653    -    CONN 4 WAY    -    0.2149</v>
          </cell>
        </row>
        <row r="13457">
          <cell r="D13457" t="str">
            <v>15401697    -    CONNECTOR    -    0.38068</v>
          </cell>
        </row>
        <row r="13458">
          <cell r="D13458" t="str">
            <v>15401703    -    CONNECTOR    -    0.1684</v>
          </cell>
        </row>
        <row r="13459">
          <cell r="D13459" t="str">
            <v>15401704    -    TPA    -    0.0738</v>
          </cell>
        </row>
        <row r="13460">
          <cell r="D13460" t="str">
            <v>15401705    -    CONN    -    0.21454</v>
          </cell>
        </row>
        <row r="13461">
          <cell r="D13461" t="str">
            <v>15401711    -    SIZE 9 DUST CAP, RECEPT, BLACK    -    1.2</v>
          </cell>
        </row>
        <row r="13462">
          <cell r="D13462" t="str">
            <v>15401730    -    CDT SPLINT    -    0.05733</v>
          </cell>
        </row>
        <row r="13463">
          <cell r="D13463" t="str">
            <v>15401947    -    CONNECTOR    -    0.27055</v>
          </cell>
        </row>
        <row r="13464">
          <cell r="D13464" t="str">
            <v>15401962    -    CLIP HARN    -    0.0239</v>
          </cell>
        </row>
        <row r="13465">
          <cell r="D13465" t="str">
            <v>15402009    -    HOUSING    -    0.136</v>
          </cell>
        </row>
        <row r="13466">
          <cell r="D13466" t="str">
            <v>15402014    -    CPA CONN    -    0.038</v>
          </cell>
        </row>
        <row r="13467">
          <cell r="D13467" t="str">
            <v>15402016    -    BATT ACCESS BOX    -    0.15298</v>
          </cell>
        </row>
        <row r="13468">
          <cell r="D13468" t="str">
            <v>15402023    -    ASM CONN 60M MQS    -    1.794</v>
          </cell>
        </row>
        <row r="13469">
          <cell r="D13469" t="str">
            <v>15402131    -    SECONDARY LOCK    -    0.035503</v>
          </cell>
        </row>
        <row r="13470">
          <cell r="D13470" t="str">
            <v>15402143    -    COVER    -    0.094</v>
          </cell>
        </row>
        <row r="13471">
          <cell r="D13471" t="str">
            <v>15404222    -    CONN,F,3-W,BLACK,250S    -    0.021666</v>
          </cell>
        </row>
        <row r="13472">
          <cell r="D13472" t="str">
            <v>15404224    -    CPA    -    0.020063</v>
          </cell>
        </row>
        <row r="13473">
          <cell r="D13473" t="str">
            <v>15404231    -    CONN,F,2-W,NATURAL 090SLD    -    0.061576</v>
          </cell>
        </row>
        <row r="13474">
          <cell r="D13474" t="str">
            <v>15404234    -    CONN,M,2-W,WHITE,LOSE 090SLD    -    0.07412</v>
          </cell>
        </row>
        <row r="13475">
          <cell r="D13475" t="str">
            <v>15404242    -    CONN,M,6-W,NATURAL 110S    -    0.046068</v>
          </cell>
        </row>
        <row r="13476">
          <cell r="D13476" t="str">
            <v>15404286    -    COVER    -    0.23236</v>
          </cell>
        </row>
        <row r="13477">
          <cell r="D13477" t="str">
            <v>15404287    -    HOUSING    -    0.23782</v>
          </cell>
        </row>
        <row r="13478">
          <cell r="D13478" t="str">
            <v>15404424    -    CONN ASS    -    0.20803</v>
          </cell>
        </row>
        <row r="13479">
          <cell r="D13479" t="str">
            <v>15404444    -    CONN 28W    -    7.75</v>
          </cell>
        </row>
        <row r="13480">
          <cell r="D13480" t="str">
            <v>15404485    -    CONNECTOR    -    0.13241</v>
          </cell>
        </row>
        <row r="13481">
          <cell r="D13481" t="str">
            <v>15404493    -    CONN 36W    -    0.93899</v>
          </cell>
        </row>
        <row r="13482">
          <cell r="D13482" t="str">
            <v>15404499    -    12W RIGHT BACKSHELL    -    2.05</v>
          </cell>
        </row>
        <row r="13483">
          <cell r="D13483" t="str">
            <v>15404500    -    CONNECTOR 12 POL    -    2.57</v>
          </cell>
        </row>
        <row r="13484">
          <cell r="D13484" t="str">
            <v>15404503    -    47W LEFT BACKSHELL    -    2.21</v>
          </cell>
        </row>
        <row r="13485">
          <cell r="D13485" t="str">
            <v>15404504    -    FEMALE CONN 47W1    -    1.66</v>
          </cell>
        </row>
        <row r="13486">
          <cell r="D13486" t="str">
            <v>15404521    -    LOCK RED NYLON 6/6F    -    0.06</v>
          </cell>
        </row>
        <row r="13487">
          <cell r="D13487" t="str">
            <v>15404523    -    CABLE CAMP    -    1.02</v>
          </cell>
        </row>
        <row r="13488">
          <cell r="D13488" t="str">
            <v>15404530    -    CABLE CLAMP    -    2.1</v>
          </cell>
        </row>
        <row r="13489">
          <cell r="D13489" t="str">
            <v>15404535S    -    BC SEAL    -    0.007111</v>
          </cell>
        </row>
        <row r="13490">
          <cell r="D13490" t="str">
            <v>15404565    -    CONNECTOR    -    0.5368</v>
          </cell>
        </row>
        <row r="13491">
          <cell r="D13491" t="str">
            <v>15404583    -    CONN,F,8-W,WHITE,LOSE 090S    -    0.054278</v>
          </cell>
        </row>
        <row r="13492">
          <cell r="D13492" t="str">
            <v>15404584    -    CONN,F,18-W,WHITE,LOSE 090S    -    0.073663</v>
          </cell>
        </row>
        <row r="13493">
          <cell r="D13493" t="str">
            <v>15404650    -    SECONDARY LOCK 32F    -    0.010251</v>
          </cell>
        </row>
        <row r="13494">
          <cell r="D13494" t="str">
            <v>15404824    -    CONN 41F M/P 280, 800    -    0.259</v>
          </cell>
        </row>
        <row r="13495">
          <cell r="D13495" t="str">
            <v>15404827    -    COMB M/P 280 41F    -    0.05045</v>
          </cell>
        </row>
        <row r="13496">
          <cell r="D13496" t="str">
            <v>15404829    -    COMB    -    0.03173</v>
          </cell>
        </row>
        <row r="13497">
          <cell r="D13497" t="str">
            <v>15404841    -    CAVITY PLUG    -    0.00743</v>
          </cell>
        </row>
        <row r="13498">
          <cell r="D13498" t="str">
            <v>15404895    -    CONNECTOR    -    0.0856</v>
          </cell>
        </row>
        <row r="13499">
          <cell r="D13499" t="str">
            <v>15404970    -    SEC LOCL MICRO 64    -    0.0194</v>
          </cell>
        </row>
        <row r="13500">
          <cell r="D13500" t="str">
            <v>15404973    -    CONNECTOR    -    0.01982</v>
          </cell>
        </row>
        <row r="13501">
          <cell r="D13501" t="str">
            <v>15405070    -    CONN,M,2-W,BLACK,LOSE 090 SEALED    -    0.07526</v>
          </cell>
        </row>
        <row r="13502">
          <cell r="D13502" t="str">
            <v>15405092    -    CONNECTOR    -    0.19404</v>
          </cell>
        </row>
        <row r="13503">
          <cell r="D13503" t="str">
            <v>15405104    -    CONN HSG    -    0.33684</v>
          </cell>
        </row>
        <row r="13504">
          <cell r="D13504" t="str">
            <v>15405105    -    CONN HSG    -    0.33684</v>
          </cell>
        </row>
        <row r="13505">
          <cell r="D13505" t="str">
            <v>15405468    -    CONN 46FD MXD    -    0.31532</v>
          </cell>
        </row>
        <row r="13506">
          <cell r="D13506" t="str">
            <v>15405470    -    CONNECTOR    -    0.091</v>
          </cell>
        </row>
        <row r="13507">
          <cell r="D13507" t="str">
            <v>15405471    -    CONNECTOR    -    0.14162</v>
          </cell>
        </row>
        <row r="13508">
          <cell r="D13508" t="str">
            <v>15405472    -    CONN 68F MP 280 FLX LOCK    -    0.3685</v>
          </cell>
        </row>
        <row r="13509">
          <cell r="D13509" t="str">
            <v>15405476    -    CONN    -    0.021344</v>
          </cell>
        </row>
        <row r="13510">
          <cell r="D13510" t="str">
            <v>15405477    -    CONN    -    0.04948</v>
          </cell>
        </row>
        <row r="13511">
          <cell r="D13511" t="str">
            <v>15405478    -    CONN    -    0.052391</v>
          </cell>
        </row>
        <row r="13512">
          <cell r="D13512" t="str">
            <v>15405500    -    COVER MAXI FUSE    -    0.13804</v>
          </cell>
        </row>
        <row r="13513">
          <cell r="D13513" t="str">
            <v>15405512    -    CONN 14-WAY    -    0.208</v>
          </cell>
        </row>
        <row r="13514">
          <cell r="D13514" t="str">
            <v>15405515    -    CONNECTOR2W    -    0.15806</v>
          </cell>
        </row>
        <row r="13515">
          <cell r="D13515" t="str">
            <v>15405517    -    CONN 4 WAY    -    0.19976</v>
          </cell>
        </row>
        <row r="13516">
          <cell r="D13516" t="str">
            <v>15405518    -    CONN 2 WAY    -    0.15702</v>
          </cell>
        </row>
        <row r="13517">
          <cell r="D13517" t="str">
            <v>15405519    -    ASM CONN 2 F 1.5 BLK SLD    -    0.09858</v>
          </cell>
        </row>
        <row r="13518">
          <cell r="D13518" t="str">
            <v>15405523    -    CONNECTOR 2-WAY    -    0.32517</v>
          </cell>
        </row>
        <row r="13519">
          <cell r="D13519" t="str">
            <v>15405524    -    CONNECTOR 26 WAY    -    0.129</v>
          </cell>
        </row>
        <row r="13520">
          <cell r="D13520" t="str">
            <v>15405525    -    CONN 26W    -    0.244</v>
          </cell>
        </row>
        <row r="13521">
          <cell r="D13521" t="str">
            <v>15405527    -    CONN 8-WAY    -    0.17</v>
          </cell>
        </row>
        <row r="13522">
          <cell r="D13522" t="str">
            <v>15405529    -    CONN 2W    -    0.1908</v>
          </cell>
        </row>
        <row r="13523">
          <cell r="D13523" t="str">
            <v>15405530    -    CONN 17 WAY    -    0.6275</v>
          </cell>
        </row>
        <row r="13524">
          <cell r="D13524" t="str">
            <v>15405531    -    CONN 4 WAY    -    0.41</v>
          </cell>
        </row>
        <row r="13525">
          <cell r="D13525" t="str">
            <v>15405532    -    CONN 16-WAY    -    0.2902</v>
          </cell>
        </row>
        <row r="13526">
          <cell r="D13526" t="str">
            <v>15405533    -    CONNECTOR 12 WAY    -    0.17686</v>
          </cell>
        </row>
        <row r="13527">
          <cell r="D13527" t="str">
            <v>15405534    -    CONNECTOR 12 WAY    -    0.23794</v>
          </cell>
        </row>
        <row r="13528">
          <cell r="D13528" t="str">
            <v>15405535    -    CONN 2 WAY    -    0.15939</v>
          </cell>
        </row>
        <row r="13529">
          <cell r="D13529" t="str">
            <v>15405537    -    5-WAY CONNECTOR    -    0.53452</v>
          </cell>
        </row>
        <row r="13530">
          <cell r="D13530" t="str">
            <v>15405539    -    8-WAY CONNECTOR    -    0.1771</v>
          </cell>
        </row>
        <row r="13531">
          <cell r="D13531" t="str">
            <v>15405542    -    SPACER    -    0.0671</v>
          </cell>
        </row>
        <row r="13532">
          <cell r="D13532" t="str">
            <v>15405579    -    HOLDER CONNECTOR    -    0.44291</v>
          </cell>
        </row>
        <row r="13533">
          <cell r="D13533" t="str">
            <v>15405580    -    PROTECTOR    -    0.223</v>
          </cell>
        </row>
        <row r="13534">
          <cell r="D13534" t="str">
            <v>15405585    -    PROTECTOR    -    0.197</v>
          </cell>
        </row>
        <row r="13535">
          <cell r="D13535" t="str">
            <v>15405586    -    HOLDER CONNECTOR    -    0.25</v>
          </cell>
        </row>
        <row r="13536">
          <cell r="D13536" t="str">
            <v>15405587    -    PROTECTOR    -    0.21491</v>
          </cell>
        </row>
        <row r="13537">
          <cell r="D13537" t="str">
            <v>15405588    -    HOLDER CONNECTOR    -    0.625</v>
          </cell>
        </row>
        <row r="13538">
          <cell r="D13538" t="str">
            <v>15405589    -    HOLDER CONNECTOR    -    0.11587</v>
          </cell>
        </row>
        <row r="13539">
          <cell r="D13539" t="str">
            <v>15405590    -    SOCKET HSG-BRN    -    0.72197</v>
          </cell>
        </row>
        <row r="13540">
          <cell r="D13540" t="str">
            <v>15405591    -    COVER (RETAINER) - ORN    -    0.73</v>
          </cell>
        </row>
        <row r="13541">
          <cell r="D13541" t="str">
            <v>15405595    -    CONNECTOR    -    0.54958</v>
          </cell>
        </row>
        <row r="13542">
          <cell r="D13542" t="str">
            <v>15405596    -    BLOCK ASS RELAY    -    8.574</v>
          </cell>
        </row>
        <row r="13543">
          <cell r="D13543" t="str">
            <v>15405612    -    CONN 26F    -    0.28772</v>
          </cell>
        </row>
        <row r="13544">
          <cell r="D13544" t="str">
            <v>15405614    -    CONNECTOR    -    0.29123</v>
          </cell>
        </row>
        <row r="13545">
          <cell r="D13545" t="str">
            <v>15405636    -    CONN 12F    -    0.09847</v>
          </cell>
        </row>
        <row r="13546">
          <cell r="D13546" t="str">
            <v>15405637    -    CONN 12F    -    0.09847</v>
          </cell>
        </row>
        <row r="13547">
          <cell r="D13547" t="str">
            <v>15405639    -    CONNECTOR 2F    -    0.288</v>
          </cell>
        </row>
        <row r="13548">
          <cell r="D13548" t="str">
            <v>15405646    -    CLIP    -    0.0851</v>
          </cell>
        </row>
        <row r="13549">
          <cell r="D13549" t="str">
            <v>15405647    -    CLIP    -    0.0851</v>
          </cell>
        </row>
        <row r="13550">
          <cell r="D13550" t="str">
            <v>15405648    -    CLIP    -    0.0737</v>
          </cell>
        </row>
        <row r="13551">
          <cell r="D13551" t="str">
            <v>15405658    -    CLIP    -    0.0794</v>
          </cell>
        </row>
        <row r="13552">
          <cell r="D13552" t="str">
            <v>15405663    -    CONNECTOR 4F    -    0.73091</v>
          </cell>
        </row>
        <row r="13553">
          <cell r="D13553" t="str">
            <v>15405681    -    CONNECTOR 47 WAY    -    3.25296</v>
          </cell>
        </row>
        <row r="13554">
          <cell r="D13554" t="str">
            <v>15405682    -    CONNECTOR 47 WAY    -    3.45333</v>
          </cell>
        </row>
        <row r="13555">
          <cell r="D13555" t="str">
            <v>15405691    -    CONNECTOR 2F    -    0.34773</v>
          </cell>
        </row>
        <row r="13556">
          <cell r="D13556" t="str">
            <v>15405693    -    FIXING STRAIGHT CLIP    -    0.269061</v>
          </cell>
        </row>
        <row r="13557">
          <cell r="D13557" t="str">
            <v>15405698    -    CONNECTOR L SERIES    -    0.27</v>
          </cell>
        </row>
        <row r="13558">
          <cell r="D13558" t="str">
            <v>15405700    -    CONNECTOR    -    0.852</v>
          </cell>
        </row>
        <row r="13559">
          <cell r="D13559" t="str">
            <v>15405705    -    CONNECTOR    -    1.03</v>
          </cell>
        </row>
        <row r="13560">
          <cell r="D13560" t="str">
            <v>15405713    -    CLIP    -    0.0737</v>
          </cell>
        </row>
        <row r="13561">
          <cell r="D13561" t="str">
            <v>15405759    -    CONN, 6 WAY    -    0.32</v>
          </cell>
        </row>
        <row r="13562">
          <cell r="D13562" t="str">
            <v>15405762    -    CONNECTOR    -    0.15152</v>
          </cell>
        </row>
        <row r="13563">
          <cell r="D13563" t="str">
            <v>15405764    -    CONN 4W F4UB-14A464-UA    -    0.21987</v>
          </cell>
        </row>
        <row r="13564">
          <cell r="D13564" t="str">
            <v>15405765    -    CONN 4W F4ZB-14A624-AA    -    0.38775</v>
          </cell>
        </row>
        <row r="13565">
          <cell r="D13565" t="str">
            <v>15405770    -    CONNECTOR    -    0.4027</v>
          </cell>
        </row>
        <row r="13566">
          <cell r="D13566" t="str">
            <v>15405773    -    CONNECTOR    -    0.3349</v>
          </cell>
        </row>
        <row r="13567">
          <cell r="D13567" t="str">
            <v>15405777    -    CONNECTOR    -    0.374419</v>
          </cell>
        </row>
        <row r="13568">
          <cell r="D13568" t="str">
            <v>15405778    -    CONNECTOR    -    0.344477</v>
          </cell>
        </row>
        <row r="13569">
          <cell r="D13569" t="str">
            <v>15405786    -    ASM CONN 2 F 1.5 BLK    -    0.12713</v>
          </cell>
        </row>
        <row r="13570">
          <cell r="D13570" t="str">
            <v>15405788S    -    CONNECTOR    -    0.660885</v>
          </cell>
        </row>
        <row r="13571">
          <cell r="D13571" t="str">
            <v>15405789    -    CONN 6-WAY    -    0.19315</v>
          </cell>
        </row>
        <row r="13572">
          <cell r="D13572" t="str">
            <v>15405790    -    CONN 16 WAY    -    0.23762</v>
          </cell>
        </row>
        <row r="13573">
          <cell r="D13573" t="str">
            <v>15405792    -    EYELET    -    0.0202</v>
          </cell>
        </row>
        <row r="13574">
          <cell r="D13574" t="str">
            <v>15405794    -    CONN 4 WAY    -    0.09504</v>
          </cell>
        </row>
        <row r="13575">
          <cell r="D13575" t="str">
            <v>15405796    -    ASM CONN 4 F RECEPTACLE 1.5 BLU SLD    -    0.15445</v>
          </cell>
        </row>
        <row r="13576">
          <cell r="D13576" t="str">
            <v>15405798    -    CONN 3 WAY    -    0.0991</v>
          </cell>
        </row>
        <row r="13577">
          <cell r="D13577" t="str">
            <v>15405799    -    CONNECTOR 12F 1F2T-14A464-GA (001)    -    0.33984</v>
          </cell>
        </row>
        <row r="13578">
          <cell r="D13578" t="str">
            <v>15405800    -    CONN 2 WAY    -    0.2473</v>
          </cell>
        </row>
        <row r="13579">
          <cell r="D13579" t="str">
            <v>15405808    -    CONN 6 WAY    -    0.2471</v>
          </cell>
        </row>
        <row r="13580">
          <cell r="D13580" t="str">
            <v>15405810    -    CONN 6 WAY    -    0.2566</v>
          </cell>
        </row>
        <row r="13581">
          <cell r="D13581" t="str">
            <v>15405812    -    CONN 4W YR3T-14A464-DA    -    0.16312</v>
          </cell>
        </row>
        <row r="13582">
          <cell r="D13582" t="str">
            <v>15405954    -    CONN    -    0.089291</v>
          </cell>
        </row>
        <row r="13583">
          <cell r="D13583" t="str">
            <v>15406019    -    COVER RELAY BLOCK    -    0.525</v>
          </cell>
        </row>
        <row r="13584">
          <cell r="D13584" t="str">
            <v>15406020    -    COVER RELAY BLOCK    -    0.525</v>
          </cell>
        </row>
        <row r="13585">
          <cell r="D13585" t="str">
            <v>15406021    -    COVER RELAY BLOCK    -    0.533</v>
          </cell>
        </row>
        <row r="13586">
          <cell r="D13586" t="str">
            <v>15406062    -    CLIP RETAINER    -    0.046</v>
          </cell>
        </row>
        <row r="13587">
          <cell r="D13587" t="str">
            <v>15406129    -    CONNECTOR 6W    -    0.15</v>
          </cell>
        </row>
        <row r="13588">
          <cell r="D13588" t="str">
            <v>15408707    -    635207 KONTAKTNIET AG100 *33097    -    0.025908</v>
          </cell>
        </row>
        <row r="13589">
          <cell r="D13589" t="str">
            <v>15409300    -    CONN    -    1.15</v>
          </cell>
        </row>
        <row r="13590">
          <cell r="D13590" t="str">
            <v>15409340N    -    CONN,F,2-W,DK GREY SEALED    -    0.232165</v>
          </cell>
        </row>
        <row r="13591">
          <cell r="D13591" t="str">
            <v>15409404    -    LAMP SOCKET CONN    -    0.24</v>
          </cell>
        </row>
        <row r="13592">
          <cell r="D13592" t="str">
            <v>15409405    -    LAMP SOCKET CONN    -    0.24</v>
          </cell>
        </row>
        <row r="13593">
          <cell r="D13593" t="str">
            <v>15409439    -    CONNECTOR    -    0.144</v>
          </cell>
        </row>
        <row r="13594">
          <cell r="D13594" t="str">
            <v>15409439S    -    CONNECTOR    -    0.12246</v>
          </cell>
        </row>
        <row r="13595">
          <cell r="D13595" t="str">
            <v>15409753    -    CONNECTOR    -    0.1771</v>
          </cell>
        </row>
        <row r="13596">
          <cell r="D13596" t="str">
            <v>15409754    -    CONNECTOR 4W    -    0.04213</v>
          </cell>
        </row>
        <row r="13597">
          <cell r="D13597" t="str">
            <v>15409773    -    TERMINAL    -    0.07505</v>
          </cell>
        </row>
        <row r="13598">
          <cell r="D13598" t="str">
            <v>15409799    -    CONN ASM    -    1.03</v>
          </cell>
        </row>
        <row r="13599">
          <cell r="D13599" t="str">
            <v>15409824    -    CONN 8-WAY    -    0.16193</v>
          </cell>
        </row>
        <row r="13600">
          <cell r="D13600" t="str">
            <v>15409825    -    CONNECTOR    -    0.49722</v>
          </cell>
        </row>
        <row r="13601">
          <cell r="D13601" t="str">
            <v>15409851    -    CONN 32F M/P 280    -    0.17945</v>
          </cell>
        </row>
        <row r="13602">
          <cell r="D13602" t="str">
            <v>15409853    -    CONN 32F M/P 280    -    0.17945</v>
          </cell>
        </row>
        <row r="13603">
          <cell r="D13603" t="str">
            <v>15410244    -    CONN COVER    -    0.44656</v>
          </cell>
        </row>
        <row r="13604">
          <cell r="D13604" t="str">
            <v>15410246    -    CONN 4F    -    0.14886</v>
          </cell>
        </row>
        <row r="13605">
          <cell r="D13605" t="str">
            <v>15410345    -    CONN 13F    -    0.4286</v>
          </cell>
        </row>
        <row r="13606">
          <cell r="D13606" t="str">
            <v>15410348    -    CONN MALE    -    0.05183</v>
          </cell>
        </row>
        <row r="13607">
          <cell r="D13607" t="str">
            <v>15410381    -    CONNECTOR    -    0.819274</v>
          </cell>
        </row>
        <row r="13608">
          <cell r="D13608" t="str">
            <v>15410395    -    12W LEFT BACKSHELL    -    2.05</v>
          </cell>
        </row>
        <row r="13609">
          <cell r="D13609" t="str">
            <v>15410396    -    47W RIGHT BACKSHELL    -    2.21</v>
          </cell>
        </row>
        <row r="13610">
          <cell r="D13610" t="str">
            <v>15410401    -    CONNECTOR    -    0.17751</v>
          </cell>
        </row>
        <row r="13611">
          <cell r="D13611" t="str">
            <v>15410409    -    CLIP HARN    -    0.0567</v>
          </cell>
        </row>
        <row r="13612">
          <cell r="D13612" t="str">
            <v>15410416    -    CONN 2.8    -    1.35271</v>
          </cell>
        </row>
        <row r="13613">
          <cell r="D13613" t="str">
            <v>15410419    -    PROTECTOR    -    0.21491</v>
          </cell>
        </row>
        <row r="13614">
          <cell r="D13614" t="str">
            <v>15410420    -    PROTECTOR    -    0.21491</v>
          </cell>
        </row>
        <row r="13615">
          <cell r="D13615" t="str">
            <v>15410429    -    CONNECTOR    -    0.4362</v>
          </cell>
        </row>
        <row r="13616">
          <cell r="D13616" t="str">
            <v>15410630    -    CONN    -    0.16807</v>
          </cell>
        </row>
        <row r="13617">
          <cell r="D13617" t="str">
            <v>15410663    -    CONNECTOR    -    0.03762</v>
          </cell>
        </row>
        <row r="13618">
          <cell r="D13618" t="str">
            <v>15410666    -    RETAINER    -    0.271</v>
          </cell>
        </row>
        <row r="13619">
          <cell r="D13619" t="str">
            <v>15410667    -    CHAN    -    2.26477</v>
          </cell>
        </row>
        <row r="13620">
          <cell r="D13620" t="str">
            <v>15410668    -    CHAN    -    2.24947</v>
          </cell>
        </row>
        <row r="13621">
          <cell r="D13621" t="str">
            <v>15410670    -    CONNECTOR    -    0.17493</v>
          </cell>
        </row>
        <row r="13622">
          <cell r="D13622" t="str">
            <v>15410671    -    CONN 4F    -    0.17493</v>
          </cell>
        </row>
        <row r="13623">
          <cell r="D13623" t="str">
            <v>15410762    -    CONN    -    0.03598</v>
          </cell>
        </row>
        <row r="13624">
          <cell r="D13624" t="str">
            <v>15410811    -    CONNECTOR    -    0.22999</v>
          </cell>
        </row>
        <row r="13625">
          <cell r="D13625" t="str">
            <v>15410815    -    CONN, 3-WAY    -    0.10242</v>
          </cell>
        </row>
        <row r="13626">
          <cell r="D13626" t="str">
            <v>15410973    -    CABLE CHANNEL    -    0.3351</v>
          </cell>
        </row>
        <row r="13627">
          <cell r="D13627" t="str">
            <v>15410978    -    WIRE DRESS COVER    -    0.1208</v>
          </cell>
        </row>
        <row r="13628">
          <cell r="D13628" t="str">
            <v>15411020    -    CONN 8 WAY    -    0.28494</v>
          </cell>
        </row>
        <row r="13629">
          <cell r="D13629" t="str">
            <v>15411021    -    CONN, 40-WAY    -    0.32721</v>
          </cell>
        </row>
        <row r="13630">
          <cell r="D13630" t="str">
            <v>15411023    -    COVER    -    0.025638</v>
          </cell>
        </row>
        <row r="13631">
          <cell r="D13631" t="str">
            <v>15411024    -    COVER    -    0.20915</v>
          </cell>
        </row>
        <row r="13632">
          <cell r="D13632" t="str">
            <v>15411025    -    CONN 4 WAY    -    0.22172</v>
          </cell>
        </row>
        <row r="13633">
          <cell r="D13633" t="str">
            <v>15411027    -    CONN 16 WAY    -    0.28914</v>
          </cell>
        </row>
        <row r="13634">
          <cell r="D13634" t="str">
            <v>15411028    -    CONN 16 WAY    -    1.03761</v>
          </cell>
        </row>
        <row r="13635">
          <cell r="D13635" t="str">
            <v>15411029    -    CONN 16 WAY    -    0.17553</v>
          </cell>
        </row>
        <row r="13636">
          <cell r="D13636" t="str">
            <v>15411039    -    STABILIZER 56M M/9    -    0.0424</v>
          </cell>
        </row>
        <row r="13637">
          <cell r="D13637" t="str">
            <v>15411264    -    CONN GT 150    -    0.34565</v>
          </cell>
        </row>
        <row r="13638">
          <cell r="D13638" t="str">
            <v>15411401    -    CONNECTOR    -    0.62879</v>
          </cell>
        </row>
        <row r="13639">
          <cell r="D13639" t="str">
            <v>15411425    -    CONNECTOR    -    0.1402</v>
          </cell>
        </row>
        <row r="13640">
          <cell r="D13640" t="str">
            <v>15411426    -    TPA    -    0.0485</v>
          </cell>
        </row>
        <row r="13641">
          <cell r="D13641" t="str">
            <v>15411428    -    CONN 5F 280    -    0.1478</v>
          </cell>
        </row>
        <row r="13642">
          <cell r="D13642" t="str">
            <v>15411487    -    CONN 1F    -    0.01288</v>
          </cell>
        </row>
        <row r="13643">
          <cell r="D13643" t="str">
            <v>15411488    -    CONN 21 CAV    -    1.74375</v>
          </cell>
        </row>
        <row r="13644">
          <cell r="D13644" t="str">
            <v>15411489    -    CONN 2 CAV    -    1.37302</v>
          </cell>
        </row>
        <row r="13645">
          <cell r="D13645" t="str">
            <v>15411518    -    CONNECTOR MCP 4-WAY    -    0.65877</v>
          </cell>
        </row>
        <row r="13646">
          <cell r="D13646" t="str">
            <v>15411520    -    TAB HOUSING    -    0.65205</v>
          </cell>
        </row>
        <row r="13647">
          <cell r="D13647" t="str">
            <v>15411537    -    CONN 8W COVER    -    0.10548</v>
          </cell>
        </row>
        <row r="13648">
          <cell r="D13648" t="str">
            <v>15411541    -    CONN 29 F    -    8.6</v>
          </cell>
        </row>
        <row r="13649">
          <cell r="D13649" t="str">
            <v>15411543    -    25 WAY COMPUTER CONNECTOR    -    0.445</v>
          </cell>
        </row>
        <row r="13650">
          <cell r="D13650" t="str">
            <v>15411566    -    9686851    -    0.331159</v>
          </cell>
        </row>
        <row r="13651">
          <cell r="D13651" t="str">
            <v>15411567    -    20 WAY HOUSING    -    0.53394</v>
          </cell>
        </row>
        <row r="13652">
          <cell r="D13652" t="str">
            <v>15411573    -    J/B (W/P/W)    -    29.7</v>
          </cell>
        </row>
        <row r="13653">
          <cell r="D13653" t="str">
            <v>15411576    -    PROTECTOR    -    0.08945</v>
          </cell>
        </row>
        <row r="13654">
          <cell r="D13654" t="str">
            <v>15411577    -    CONNECTOR 24F    -    0.44563</v>
          </cell>
        </row>
        <row r="13655">
          <cell r="D13655" t="str">
            <v>15411578    -    CONNECTOR 22F    -    0.41656</v>
          </cell>
        </row>
        <row r="13656">
          <cell r="D13656" t="str">
            <v>15411581    -    CONNECTOR MCP 3-WAY    -    0.24965</v>
          </cell>
        </row>
        <row r="13657">
          <cell r="D13657" t="str">
            <v>15411588    -    CONNECTOR    -    0.276</v>
          </cell>
        </row>
        <row r="13658">
          <cell r="D13658" t="str">
            <v>15411639    -    CLIP TIE    -    0.0253</v>
          </cell>
        </row>
        <row r="13659">
          <cell r="D13659" t="str">
            <v>15412120    -    SPACER    -    0.074215</v>
          </cell>
        </row>
        <row r="13660">
          <cell r="D13660" t="str">
            <v>15412237    -    CONNECTOR    -    0.04716</v>
          </cell>
        </row>
        <row r="13661">
          <cell r="D13661" t="str">
            <v>15412240    -    CONNECTOR    -    0.10707</v>
          </cell>
        </row>
        <row r="13662">
          <cell r="D13662" t="str">
            <v>15412241    -    CONNECTOR    -    0.25431</v>
          </cell>
        </row>
        <row r="13663">
          <cell r="D13663" t="str">
            <v>15412242    -    CONNECTOR 16W    -    0.21353</v>
          </cell>
        </row>
        <row r="13664">
          <cell r="D13664" t="str">
            <v>15412243    -    CONNECTOR    -    0.234</v>
          </cell>
        </row>
        <row r="13665">
          <cell r="D13665" t="str">
            <v>15412392    -    CONNECTOR 6F    -    0.18384</v>
          </cell>
        </row>
        <row r="13666">
          <cell r="D13666" t="str">
            <v>15412804    -    MFK CONN.    -    0.071786</v>
          </cell>
        </row>
        <row r="13667">
          <cell r="D13667" t="str">
            <v>15412824    -    CONN 13F    -    0.2095</v>
          </cell>
        </row>
        <row r="13668">
          <cell r="D13668" t="str">
            <v>15412834    -    CONN 12F    -    0.39549</v>
          </cell>
        </row>
        <row r="13669">
          <cell r="D13669" t="str">
            <v>15412836    -    CLAMP    -    0.0377</v>
          </cell>
        </row>
        <row r="13670">
          <cell r="D13670" t="str">
            <v>15412839    -    CLIP    -    0.11</v>
          </cell>
        </row>
        <row r="13671">
          <cell r="D13671" t="str">
            <v>15412840    -    CLAMP    -    0.07749</v>
          </cell>
        </row>
        <row r="13672">
          <cell r="D13672" t="str">
            <v>15412841    -    CLAMP    -    0.091</v>
          </cell>
        </row>
        <row r="13673">
          <cell r="D13673" t="str">
            <v>15412842    -    CLAMP    -    0.06</v>
          </cell>
        </row>
        <row r="13674">
          <cell r="D13674" t="str">
            <v>15412843    -    CLAMP    -    0.051</v>
          </cell>
        </row>
        <row r="13675">
          <cell r="D13675" t="str">
            <v>15412844    -    CLAMP    -    0.107</v>
          </cell>
        </row>
        <row r="13676">
          <cell r="D13676" t="str">
            <v>15412845    -    CONNECTOR    -    0.2335</v>
          </cell>
        </row>
        <row r="13677">
          <cell r="D13677" t="str">
            <v>15412849    -    CLAMP    -    0.043</v>
          </cell>
        </row>
        <row r="13678">
          <cell r="D13678" t="str">
            <v>15412861    -    UPPER COVER    -    0.74714</v>
          </cell>
        </row>
        <row r="13679">
          <cell r="D13679" t="str">
            <v>15412863    -    SPLICE CONN 22W    -    0.16088</v>
          </cell>
        </row>
        <row r="13680">
          <cell r="D13680" t="str">
            <v>15412865    -    CONN 43M    -    1.11091</v>
          </cell>
        </row>
        <row r="13681">
          <cell r="D13681" t="str">
            <v>15412867    -    CONNECTOR 32F    -    0.61378</v>
          </cell>
        </row>
        <row r="13682">
          <cell r="D13682" t="str">
            <v>15412868    -    CONN, 26F ASM025/090 SER NAT    -    0.5125</v>
          </cell>
        </row>
        <row r="13683">
          <cell r="D13683" t="str">
            <v>15412869    -    CONN 4F BLK    -    0.25013</v>
          </cell>
        </row>
        <row r="13684">
          <cell r="D13684" t="str">
            <v>15412871    -    CONN 1F    -    0.33164</v>
          </cell>
        </row>
        <row r="13685">
          <cell r="D13685" t="str">
            <v>15412873    -    CONN 9F    -    1.0814</v>
          </cell>
        </row>
        <row r="13686">
          <cell r="D13686" t="str">
            <v>15412876    -    CONNECTOR 6F    -    0.58834</v>
          </cell>
        </row>
        <row r="13687">
          <cell r="D13687" t="str">
            <v>15412878    -    CONNECTOR 30F    -    0.38973</v>
          </cell>
        </row>
        <row r="13688">
          <cell r="D13688" t="str">
            <v>15412880    -    CONN 6F 090II NAT    -    0.24218</v>
          </cell>
        </row>
        <row r="13689">
          <cell r="D13689" t="str">
            <v>15412882    -    CONNECTOR 24F    -    0.26156</v>
          </cell>
        </row>
        <row r="13690">
          <cell r="D13690" t="str">
            <v>15412884    -    J/BLK    -    0.20081</v>
          </cell>
        </row>
        <row r="13691">
          <cell r="D13691" t="str">
            <v>15412885    -    CONN 17F    -    0.25131</v>
          </cell>
        </row>
        <row r="13692">
          <cell r="D13692" t="str">
            <v>15412887    -    CONN 1F 312 U N    -    0.61065</v>
          </cell>
        </row>
        <row r="13693">
          <cell r="D13693" t="str">
            <v>15412888    -    CONN 17F    -    0.25131</v>
          </cell>
        </row>
        <row r="13694">
          <cell r="D13694" t="str">
            <v>15412890    -    CONN 30-WAY    -    0.612</v>
          </cell>
        </row>
        <row r="13695">
          <cell r="D13695" t="str">
            <v>15412891    -    CONN 30-WAY    -    0.612</v>
          </cell>
        </row>
        <row r="13696">
          <cell r="D13696" t="str">
            <v>15412901    -    CONNECTOR    -    0.36167</v>
          </cell>
        </row>
        <row r="13697">
          <cell r="D13697" t="str">
            <v>15412914    -    CONNECTOR    -    0.44</v>
          </cell>
        </row>
        <row r="13698">
          <cell r="D13698" t="str">
            <v>15412916    -    CONNECTOR    -    0.28066</v>
          </cell>
        </row>
        <row r="13699">
          <cell r="D13699" t="str">
            <v>15412925    -    CONN 2 F BRN    -    0.41573</v>
          </cell>
        </row>
        <row r="13700">
          <cell r="D13700" t="str">
            <v>15412939    -    CONNECTOR 9M    -    9.61</v>
          </cell>
        </row>
        <row r="13701">
          <cell r="D13701" t="str">
            <v>15412947    -    CONNECTOR 6F    -    0.43091</v>
          </cell>
        </row>
        <row r="13702">
          <cell r="D13702" t="str">
            <v>15412951    -    CONNECTOR 2F    -    0.07459</v>
          </cell>
        </row>
        <row r="13703">
          <cell r="D13703" t="str">
            <v>15412952    -    RETAINER    -    0.02906</v>
          </cell>
        </row>
        <row r="13704">
          <cell r="D13704" t="str">
            <v>15412953    -    SOCKET HOUSING    -    1.29166</v>
          </cell>
        </row>
        <row r="13705">
          <cell r="D13705" t="str">
            <v>15412954    -    SOCKET HOUSING    -    1.29166</v>
          </cell>
        </row>
        <row r="13706">
          <cell r="D13706" t="str">
            <v>15412955    -    SOCKET HOUSING    -    1.29166</v>
          </cell>
        </row>
        <row r="13707">
          <cell r="D13707" t="str">
            <v>15412956    -    SOCKET HOUSING    -    1.29166</v>
          </cell>
        </row>
        <row r="13708">
          <cell r="D13708" t="str">
            <v>15412958    -    HOUSING STD POWER TIMER 4 WAY    -    0.10348</v>
          </cell>
        </row>
        <row r="13709">
          <cell r="D13709" t="str">
            <v>15412960    -    CONN 26F    -    0.256</v>
          </cell>
        </row>
        <row r="13710">
          <cell r="D13710" t="str">
            <v>15412961    -    CONN 7F    -    0.17028</v>
          </cell>
        </row>
        <row r="13711">
          <cell r="D13711" t="str">
            <v>15412962    -    CONNECTOR 9F RECEPTACLE    -    7.9</v>
          </cell>
        </row>
        <row r="13712">
          <cell r="D13712" t="str">
            <v>15412990    -    CLAMP    -    0.124</v>
          </cell>
        </row>
        <row r="13713">
          <cell r="D13713" t="str">
            <v>15412992    -    CLIP    -    0.0403</v>
          </cell>
        </row>
        <row r="13714">
          <cell r="D13714" t="str">
            <v>15412996    -    CONN 4F    -    0.13665</v>
          </cell>
        </row>
        <row r="13715">
          <cell r="D13715" t="str">
            <v>15413003    -    CONN 2W 1.6 MICRO SLD,BLK    -    0.15701</v>
          </cell>
        </row>
        <row r="13716">
          <cell r="D13716" t="str">
            <v>15413006    -    CONNECTOR 3UF    -    0.0565</v>
          </cell>
        </row>
        <row r="13717">
          <cell r="D13717" t="str">
            <v>15413010    -    CONNECTOR    -    0.17287</v>
          </cell>
        </row>
        <row r="13718">
          <cell r="D13718" t="str">
            <v>15413028    -    CONN    -    0.17298</v>
          </cell>
        </row>
        <row r="13719">
          <cell r="D13719" t="str">
            <v>15413060    -    CONNECTOR    -    0.1377</v>
          </cell>
        </row>
        <row r="13720">
          <cell r="D13720" t="str">
            <v>15413061    -    CONNECTOR    -    0.2161</v>
          </cell>
        </row>
        <row r="13721">
          <cell r="D13721" t="str">
            <v>15413076    -    TPA    -    1.1</v>
          </cell>
        </row>
        <row r="13722">
          <cell r="D13722" t="str">
            <v>15413094    -    MALE CONNECTOR    -    0.226111</v>
          </cell>
        </row>
        <row r="13723">
          <cell r="D13723" t="str">
            <v>15413097    -    CONN 2F    -    0.1999</v>
          </cell>
        </row>
        <row r="13724">
          <cell r="D13724" t="str">
            <v>15413098    -    CONNECTOR 2M    -    2.3457</v>
          </cell>
        </row>
        <row r="13725">
          <cell r="D13725" t="str">
            <v>15415721    -    CONNECTOR 12 WAY    -    0.23462</v>
          </cell>
        </row>
        <row r="13726">
          <cell r="D13726" t="str">
            <v>15416081    -    CONNECTOR    -    0.675</v>
          </cell>
        </row>
        <row r="13727">
          <cell r="D13727" t="str">
            <v>15416239    -    ACC2, L PROTECTOR    -    0.108572</v>
          </cell>
        </row>
        <row r="13728">
          <cell r="D13728" t="str">
            <v>15416303    -    CONNECTOR    -    0.3796</v>
          </cell>
        </row>
        <row r="13729">
          <cell r="D13729" t="str">
            <v>15416307    -    CONNECTOR    -    1.05</v>
          </cell>
        </row>
        <row r="13730">
          <cell r="D13730" t="str">
            <v>15416310    -    CONNECTOR 10W    -    0.22</v>
          </cell>
        </row>
        <row r="13731">
          <cell r="D13731" t="str">
            <v>15416314    -    CONNECTOR    -    0.17</v>
          </cell>
        </row>
        <row r="13732">
          <cell r="D13732" t="str">
            <v>15416316    -    CONNECTOR    -    0.702</v>
          </cell>
        </row>
        <row r="13733">
          <cell r="D13733" t="str">
            <v>15416317    -    CONNECTOR    -    0.702</v>
          </cell>
        </row>
        <row r="13734">
          <cell r="D13734" t="str">
            <v>15416318    -    CONNECTOR    -    0.297</v>
          </cell>
        </row>
        <row r="13735">
          <cell r="D13735" t="str">
            <v>15416322    -    SPACER    -    0.01087</v>
          </cell>
        </row>
        <row r="13736">
          <cell r="D13736" t="str">
            <v>15416323    -    SPACER    -    0.01263</v>
          </cell>
        </row>
        <row r="13737">
          <cell r="D13737" t="str">
            <v>15416325    -    CONNECTOR    -    0.069</v>
          </cell>
        </row>
        <row r="13738">
          <cell r="D13738" t="str">
            <v>15416326    -    SPACER    -    0.01121</v>
          </cell>
        </row>
        <row r="13739">
          <cell r="D13739" t="str">
            <v>15416328    -    CONNECTOR    -    0.19872</v>
          </cell>
        </row>
        <row r="13740">
          <cell r="D13740" t="str">
            <v>15416329    -    SUPPORT    -    0.05627</v>
          </cell>
        </row>
        <row r="13741">
          <cell r="D13741" t="str">
            <v>15416330    -    CONNECTOR    -    0.20963</v>
          </cell>
        </row>
        <row r="13742">
          <cell r="D13742" t="str">
            <v>15416331    -    CONNECTOR    -    0.1439</v>
          </cell>
        </row>
        <row r="13743">
          <cell r="D13743" t="str">
            <v>15416333    -    RETAINER    -    0.12683</v>
          </cell>
        </row>
        <row r="13744">
          <cell r="D13744" t="str">
            <v>15416334    -    CONNECTOR    -    0.12195</v>
          </cell>
        </row>
        <row r="13745">
          <cell r="D13745" t="str">
            <v>15416335    -    CONNECTOR    -    0.15445</v>
          </cell>
        </row>
        <row r="13746">
          <cell r="D13746" t="str">
            <v>15416337    -    CONNECTOR    -    0.468</v>
          </cell>
        </row>
        <row r="13747">
          <cell r="D13747" t="str">
            <v>15416338    -    COVER    -    1.14807</v>
          </cell>
        </row>
        <row r="13748">
          <cell r="D13748" t="str">
            <v>15416340    -    CONNECTOR    -    0.092</v>
          </cell>
        </row>
        <row r="13749">
          <cell r="D13749" t="str">
            <v>15416343    -    CONNECTOR    -    0.07958</v>
          </cell>
        </row>
        <row r="13750">
          <cell r="D13750" t="str">
            <v>15416347    -    CONNECTOR    -    0.14398</v>
          </cell>
        </row>
        <row r="13751">
          <cell r="D13751" t="str">
            <v>15416348    -    CONNECTOR    -    0.486</v>
          </cell>
        </row>
        <row r="13752">
          <cell r="D13752" t="str">
            <v>15416349    -    CONNECTOR    -    0.381861</v>
          </cell>
        </row>
        <row r="13753">
          <cell r="D13753" t="str">
            <v>15416350    -    SPACER    -    0.01019</v>
          </cell>
        </row>
        <row r="13754">
          <cell r="D13754" t="str">
            <v>15416386    -    PLASTIC SHELL    -    0.15068</v>
          </cell>
        </row>
        <row r="13755">
          <cell r="D13755" t="str">
            <v>15416625    -    CONNECTOR    -    0.18515</v>
          </cell>
        </row>
        <row r="13756">
          <cell r="D13756" t="str">
            <v>15416723    -    CONN F GT 150, 280 SLD 4.0, 5.8    -    0.17745</v>
          </cell>
        </row>
        <row r="13757">
          <cell r="D13757" t="str">
            <v>15416725    -    CONN GT 150, 280 SLD    -    0.17745</v>
          </cell>
        </row>
        <row r="13758">
          <cell r="D13758" t="str">
            <v>15416727    -    TPA    -    0.0458</v>
          </cell>
        </row>
        <row r="13759">
          <cell r="D13759" t="str">
            <v>15416728    -    CLIP CNVLT CDT WIRE DRESS    -    0.1235</v>
          </cell>
        </row>
        <row r="13760">
          <cell r="D13760" t="str">
            <v>15416900    -    CONNECTOR    -    0.74308</v>
          </cell>
        </row>
        <row r="13761">
          <cell r="D13761" t="str">
            <v>15416903    -    CONN 2F    -    0.3275</v>
          </cell>
        </row>
        <row r="13762">
          <cell r="D13762" t="str">
            <v>15416905    -    CONN 2M    -    0.16003</v>
          </cell>
        </row>
        <row r="13763">
          <cell r="D13763" t="str">
            <v>15416908    -    COV    -    0.185712</v>
          </cell>
        </row>
        <row r="13764">
          <cell r="D13764" t="str">
            <v>15416909    -    COVER BRN    -    0.33978</v>
          </cell>
        </row>
        <row r="13765">
          <cell r="D13765" t="str">
            <v>15416910    -    2 POSITION EUGEH KOMPL    -    0.06796</v>
          </cell>
        </row>
        <row r="13766">
          <cell r="D13766" t="str">
            <v>15416918    -    SEAL CONN    -    0.068534</v>
          </cell>
        </row>
        <row r="13767">
          <cell r="D13767" t="str">
            <v>15416919    -    CONN F 7-WAY    -    0.69897</v>
          </cell>
        </row>
        <row r="13768">
          <cell r="D13768" t="str">
            <v>15416922    -    CONN 6F    -    0.20341</v>
          </cell>
        </row>
        <row r="13769">
          <cell r="D13769" t="str">
            <v>15416929    -    SEC LOCK    -    0.08773</v>
          </cell>
        </row>
        <row r="13770">
          <cell r="D13770" t="str">
            <v>15416937    -    CONNECTOR 10M    -    0.18614</v>
          </cell>
        </row>
        <row r="13771">
          <cell r="D13771" t="str">
            <v>15416940    -    CONNECTOR    -    0.42785</v>
          </cell>
        </row>
        <row r="13772">
          <cell r="D13772" t="str">
            <v>15416950    -    CONN 11F    -    0.62459</v>
          </cell>
        </row>
        <row r="13773">
          <cell r="D13773" t="str">
            <v>15416969    -    CONNECTOR CLIP    -    0.0405</v>
          </cell>
        </row>
        <row r="13774">
          <cell r="D13774" t="str">
            <v>15416990    -    CONNECTOR    -    0.28494</v>
          </cell>
        </row>
        <row r="13775">
          <cell r="D13775" t="str">
            <v>15416991    -    SEALED CONN    -    0.17002</v>
          </cell>
        </row>
        <row r="13776">
          <cell r="D13776" t="str">
            <v>15416992    -    CONNECTOR    -    0.4287</v>
          </cell>
        </row>
        <row r="13777">
          <cell r="D13777" t="str">
            <v>15416994    -    CONNECTOR    -    0.375</v>
          </cell>
        </row>
        <row r="13778">
          <cell r="D13778" t="str">
            <v>15416995    -    CONNECTOR    -    0.375</v>
          </cell>
        </row>
        <row r="13779">
          <cell r="D13779" t="str">
            <v>15416996    -    CONNECTOR    -    0.375</v>
          </cell>
        </row>
        <row r="13780">
          <cell r="D13780" t="str">
            <v>15416997    -    CONNECTOR    -    0.215</v>
          </cell>
        </row>
        <row r="13781">
          <cell r="D13781" t="str">
            <v>15417002    -    COVER    -    1.3491</v>
          </cell>
        </row>
        <row r="13782">
          <cell r="D13782" t="str">
            <v>15417003    -    CONNECTOR    -    0.29972</v>
          </cell>
        </row>
        <row r="13783">
          <cell r="D13783" t="str">
            <v>15417005    -    CONNECTOR    -    0.19628</v>
          </cell>
        </row>
        <row r="13784">
          <cell r="D13784" t="str">
            <v>15417006    -    CONN 12 WAY    -    0.33984</v>
          </cell>
        </row>
        <row r="13785">
          <cell r="D13785" t="str">
            <v>15417007    -    CONN 12 WAY    -    0.33984</v>
          </cell>
        </row>
        <row r="13786">
          <cell r="D13786" t="str">
            <v>15417008    -    CONN 12 WAY    -    0.33984</v>
          </cell>
        </row>
        <row r="13787">
          <cell r="D13787" t="str">
            <v>15417106S    -    CONNECTOR    -    0.419245</v>
          </cell>
        </row>
        <row r="13788">
          <cell r="D13788" t="str">
            <v>15417107    -    CONN 2F    -    0.09858</v>
          </cell>
        </row>
        <row r="13789">
          <cell r="D13789" t="str">
            <v>15417294    -    ASM CONN 2 F 1.5 BLK SLD    -    0.27091</v>
          </cell>
        </row>
        <row r="13790">
          <cell r="D13790" t="str">
            <v>15417297    -    CONNECTOR    -    0.431</v>
          </cell>
        </row>
        <row r="13791">
          <cell r="D13791" t="str">
            <v>15417298    -    CONN 4 WAY W BK    -    0.28619</v>
          </cell>
        </row>
        <row r="13792">
          <cell r="D13792" t="str">
            <v>15417299    -    CONNECTOR 4W    -    0.13</v>
          </cell>
        </row>
        <row r="13793">
          <cell r="D13793" t="str">
            <v>15417300    -    CONNECTOR    -    0.09044</v>
          </cell>
        </row>
        <row r="13794">
          <cell r="D13794" t="str">
            <v>15417306    -    CONNECTOR    -    0.15</v>
          </cell>
        </row>
        <row r="13795">
          <cell r="D13795" t="str">
            <v>15417307    -    CONNECTOR    -    0.30016</v>
          </cell>
        </row>
        <row r="13796">
          <cell r="D13796" t="str">
            <v>15417308    -    CONNECTOR    -    0.113</v>
          </cell>
        </row>
        <row r="13797">
          <cell r="D13797" t="str">
            <v>15417309    -    CONNECTOR    -    0.28914</v>
          </cell>
        </row>
        <row r="13798">
          <cell r="D13798" t="str">
            <v>15417310    -    CONNECTOR    -    1.98</v>
          </cell>
        </row>
        <row r="13799">
          <cell r="D13799" t="str">
            <v>15417592    -    SPACER    -    0.122</v>
          </cell>
        </row>
        <row r="13800">
          <cell r="D13800" t="str">
            <v>15417593    -    COVER WIRE DRESS    -    0.115</v>
          </cell>
        </row>
        <row r="13801">
          <cell r="D13801" t="str">
            <v>15417594    -    CHANNEL    -    0.1768</v>
          </cell>
        </row>
        <row r="13802">
          <cell r="D13802" t="str">
            <v>15417595    -    COVER CHANNEL    -    0.131</v>
          </cell>
        </row>
        <row r="13803">
          <cell r="D13803" t="str">
            <v>15417597    -    CONN    -    0.52502</v>
          </cell>
        </row>
        <row r="13804">
          <cell r="D13804" t="str">
            <v>15417636    -    CONNECTOR    -    3.7835</v>
          </cell>
        </row>
        <row r="13805">
          <cell r="D13805" t="str">
            <v>15417959    -    CONNECTOR    -    0.33984</v>
          </cell>
        </row>
        <row r="13806">
          <cell r="D13806" t="str">
            <v>15417960    -    RETAINER    -    0.05776</v>
          </cell>
        </row>
        <row r="13807">
          <cell r="D13807" t="str">
            <v>15417962    -    RETAINER    -    0.02841</v>
          </cell>
        </row>
        <row r="13808">
          <cell r="D13808" t="str">
            <v>15418002    -    CONNECTOR    -    0.235</v>
          </cell>
        </row>
        <row r="13809">
          <cell r="D13809" t="str">
            <v>15418023    -    CONNECTOR    -    0.202</v>
          </cell>
        </row>
        <row r="13810">
          <cell r="D13810" t="str">
            <v>15418109    -    CONNECTOR    -    0.07691</v>
          </cell>
        </row>
        <row r="13811">
          <cell r="D13811" t="str">
            <v>15418402    -    TPA 52M GT 150 280 630    -    0.05801</v>
          </cell>
        </row>
        <row r="13812">
          <cell r="D13812" t="str">
            <v>15418415    -    TPA 12M GT 150,280 SLD    -    0.02377</v>
          </cell>
        </row>
        <row r="13813">
          <cell r="D13813" t="str">
            <v>15418506    -    CONNECTOR 4F    -    0.43</v>
          </cell>
        </row>
        <row r="13814">
          <cell r="D13814" t="str">
            <v>15418982    -    STABILIZER 18M GT 150,280    -    0.0243</v>
          </cell>
        </row>
        <row r="13815">
          <cell r="D13815" t="str">
            <v>15418984    -    CONN    -    0.072261</v>
          </cell>
        </row>
        <row r="13816">
          <cell r="D13816" t="str">
            <v>15418987    -    TOP COVER    -    1.6471</v>
          </cell>
        </row>
        <row r="13817">
          <cell r="D13817" t="str">
            <v>15419117    -    CONN    -    0.17745</v>
          </cell>
        </row>
        <row r="13818">
          <cell r="D13818" t="str">
            <v>15419204    -    CONNECTOR 2W    -    0.14218</v>
          </cell>
        </row>
        <row r="13819">
          <cell r="D13819" t="str">
            <v>15419206    -    SPACER    -    0.28862</v>
          </cell>
        </row>
        <row r="13820">
          <cell r="D13820" t="str">
            <v>15419207    -    CONNECTOR    -    0.22</v>
          </cell>
        </row>
        <row r="13821">
          <cell r="D13821" t="str">
            <v>15419208    -    CONNECTOR    -    0.44016</v>
          </cell>
        </row>
        <row r="13822">
          <cell r="D13822" t="str">
            <v>15419210    -    CONNECTOR    -    1.82701</v>
          </cell>
        </row>
        <row r="13823">
          <cell r="D13823" t="str">
            <v>15419211    -    CAP    -    0.28536</v>
          </cell>
        </row>
        <row r="13824">
          <cell r="D13824" t="str">
            <v>15419212    -    CONNECTOR    -    0.23917</v>
          </cell>
        </row>
        <row r="13825">
          <cell r="D13825" t="str">
            <v>15419214    -    CONNECTOR 16W    -    0.20963</v>
          </cell>
        </row>
        <row r="13826">
          <cell r="D13826" t="str">
            <v>15419215    -    SPACER    -    0.02846</v>
          </cell>
        </row>
        <row r="13827">
          <cell r="D13827" t="str">
            <v>15419218    -    CONNECTOR    -    0.58425</v>
          </cell>
        </row>
        <row r="13828">
          <cell r="D13828" t="str">
            <v>15419270    -    CONNECTOR    -    0.5</v>
          </cell>
        </row>
        <row r="13829">
          <cell r="D13829" t="str">
            <v>15419333    -    CONN    -    0.04513</v>
          </cell>
        </row>
        <row r="13830">
          <cell r="D13830" t="str">
            <v>15419369    -    CONN 3F GT 150 SLD    -    0.08551</v>
          </cell>
        </row>
        <row r="13831">
          <cell r="D13831" t="str">
            <v>15419380    -    CONNECTOR    -    0.09858</v>
          </cell>
        </row>
        <row r="13832">
          <cell r="D13832" t="str">
            <v>15419391    -    2F CONN 480 M/P    -    0.1922</v>
          </cell>
        </row>
        <row r="13833">
          <cell r="D13833" t="str">
            <v>15419407    -    CONNECTOR    -    0.76</v>
          </cell>
        </row>
        <row r="13834">
          <cell r="D13834" t="str">
            <v>15419459    -    CONNECTOR    -    0.2894</v>
          </cell>
        </row>
        <row r="13835">
          <cell r="D13835" t="str">
            <v>15419715H    -    CONNECTOR    -    0.3227</v>
          </cell>
        </row>
        <row r="13836">
          <cell r="D13836" t="str">
            <v>15419738    -    CONNECTOR F    -    0.046323</v>
          </cell>
        </row>
        <row r="13837">
          <cell r="D13837" t="str">
            <v>15419743    -    40 WAY CONNECTOR    -    0.36845</v>
          </cell>
        </row>
        <row r="13838">
          <cell r="D13838" t="str">
            <v>15419744    -    CONNECTOR    -    0.472274</v>
          </cell>
        </row>
        <row r="13839">
          <cell r="D13839" t="str">
            <v>15419819    -    CONNECTOR    -    1.754162</v>
          </cell>
        </row>
        <row r="13840">
          <cell r="D13840" t="str">
            <v>15419838    -    CONNECTOR 6PIN    -    0.44</v>
          </cell>
        </row>
        <row r="13841">
          <cell r="D13841" t="str">
            <v>15419840    -    CONNECTOR 2F    -    0.2011</v>
          </cell>
        </row>
        <row r="13842">
          <cell r="D13842" t="str">
            <v>15419841    -    CONN 3F QUADLOCK MICRO    -    0.067846</v>
          </cell>
        </row>
        <row r="13843">
          <cell r="D13843" t="str">
            <v>15419843    -    CONNECTOR    -    0.13323</v>
          </cell>
        </row>
        <row r="13844">
          <cell r="D13844" t="str">
            <v>15419844    -    SHIELD    -    0.28728</v>
          </cell>
        </row>
        <row r="13845">
          <cell r="D13845" t="str">
            <v>15419845    -    12 F CONNECTOR    -    0.1244</v>
          </cell>
        </row>
        <row r="13846">
          <cell r="D13846" t="str">
            <v>15419847    -    CONNECTOR    -    0.316046</v>
          </cell>
        </row>
        <row r="13847">
          <cell r="D13847" t="str">
            <v>15419852    -    CONNECTOR    -    0.220768</v>
          </cell>
        </row>
        <row r="13848">
          <cell r="D13848" t="str">
            <v>15419883    -    RELAY FUSE MODULE    -    0.551736</v>
          </cell>
        </row>
        <row r="13849">
          <cell r="D13849" t="str">
            <v>15419884    -    BOTTOM COVER    -    0.26109</v>
          </cell>
        </row>
        <row r="13850">
          <cell r="D13850" t="str">
            <v>15419885    -    TPA 6 MINI FUSE    -    0.05343</v>
          </cell>
        </row>
        <row r="13851">
          <cell r="D13851" t="str">
            <v>15419886    -    TPA RELAY    -    0.05635</v>
          </cell>
        </row>
        <row r="13852">
          <cell r="D13852" t="str">
            <v>15419897    -    CLAMP    -    0.0644</v>
          </cell>
        </row>
        <row r="13853">
          <cell r="D13853" t="str">
            <v>15419907    -    TPA    -    0.06796</v>
          </cell>
        </row>
        <row r="13854">
          <cell r="D13854" t="str">
            <v>15419913    -    CONN [1318917-1]    -    0.180611</v>
          </cell>
        </row>
        <row r="13855">
          <cell r="D13855" t="str">
            <v>15419913N    -    CONN,F,24-W,NATU,025S    -    0.16784</v>
          </cell>
        </row>
        <row r="13856">
          <cell r="D13856" t="str">
            <v>15419914    -    CONN 20F    -    0.3256</v>
          </cell>
        </row>
        <row r="13857">
          <cell r="D13857" t="str">
            <v>15419915    -    CONN 22F    -    0.19729</v>
          </cell>
        </row>
        <row r="13858">
          <cell r="D13858" t="str">
            <v>15419916    -    CONN HOLDER    -    0.274</v>
          </cell>
        </row>
        <row r="13859">
          <cell r="D13859" t="str">
            <v>15419917    -    CLAMP    -    0.026</v>
          </cell>
        </row>
        <row r="13860">
          <cell r="D13860" t="str">
            <v>15419920    -    CONN 4F    -    0.6396</v>
          </cell>
        </row>
        <row r="13861">
          <cell r="D13861" t="str">
            <v>15419921    -    CONN 11M NAT    -    0.2273</v>
          </cell>
        </row>
        <row r="13862">
          <cell r="D13862" t="str">
            <v>15419930    -    CONN 20F    -    0.2711</v>
          </cell>
        </row>
        <row r="13863">
          <cell r="D13863" t="str">
            <v>15419936    -    CONN 4F SLK    -    0.062205</v>
          </cell>
        </row>
        <row r="13864">
          <cell r="D13864" t="str">
            <v>15419938    -    BUCHSENGEHUSE LKS1.5-ELA-U, 6-POL.    -    1.685344</v>
          </cell>
        </row>
        <row r="13865">
          <cell r="D13865" t="str">
            <v>15419948    -    CONN 22M    -    0.22782</v>
          </cell>
        </row>
        <row r="13866">
          <cell r="D13866" t="str">
            <v>15419950    -    CONNECTOR 16F    -    0.248</v>
          </cell>
        </row>
        <row r="13867">
          <cell r="D13867" t="str">
            <v>15419952    -    CONN 2F    -    0.4239</v>
          </cell>
        </row>
        <row r="13868">
          <cell r="D13868" t="str">
            <v>15419971    -    LOCK 4-W ORANGE    -    0.09</v>
          </cell>
        </row>
        <row r="13869">
          <cell r="D13869" t="str">
            <v>15419978    -    LATCH FOR FUSE BOX BLACK    -    0.93</v>
          </cell>
        </row>
        <row r="13870">
          <cell r="D13870" t="str">
            <v>15419983    -    RELAY KEY FOR FUSE BLOCK    -    0.13</v>
          </cell>
        </row>
        <row r="13871">
          <cell r="D13871" t="str">
            <v>15419996    -    LIF CONNECTOR    -    0.17263</v>
          </cell>
        </row>
        <row r="13872">
          <cell r="D13872" t="str">
            <v>15419997    -    LIF CONNECTOR    -    0.21491</v>
          </cell>
        </row>
        <row r="13873">
          <cell r="D13873" t="str">
            <v>15419998    -    LIF CONNECTOR    -    0.15927</v>
          </cell>
        </row>
        <row r="13874">
          <cell r="D13874" t="str">
            <v>15419999    -    5 BLOCK LIF    -    0.242</v>
          </cell>
        </row>
        <row r="13875">
          <cell r="D13875" t="str">
            <v>15420000    -    LIF CONN 8F    -    0.192</v>
          </cell>
        </row>
        <row r="13876">
          <cell r="D13876" t="str">
            <v>15420007    -    PLUG    -    1.38</v>
          </cell>
        </row>
        <row r="13877">
          <cell r="D13877" t="str">
            <v>15420162    -    PIN HEADER (12 PINS) SAAB IGN.    -    1.1</v>
          </cell>
        </row>
        <row r="13878">
          <cell r="D13878" t="str">
            <v>15420237    -    CONNECTOR    -    0.32</v>
          </cell>
        </row>
        <row r="13879">
          <cell r="D13879" t="str">
            <v>15420316    -    CONNECTOR    -    0.09306</v>
          </cell>
        </row>
        <row r="13880">
          <cell r="D13880" t="str">
            <v>15420317    -    CONNECTOR    -    0.2503</v>
          </cell>
        </row>
        <row r="13881">
          <cell r="D13881" t="str">
            <v>15420318    -    CONNECTOR 16WF    -    0.15935</v>
          </cell>
        </row>
        <row r="13882">
          <cell r="D13882" t="str">
            <v>15420319    -    SPACER    -    0.02565</v>
          </cell>
        </row>
        <row r="13883">
          <cell r="D13883" t="str">
            <v>15420321    -    CONNECTOR    -    0.229</v>
          </cell>
        </row>
        <row r="13884">
          <cell r="D13884" t="str">
            <v>15420323    -    CONNECTOR    -    0.19568</v>
          </cell>
        </row>
        <row r="13885">
          <cell r="D13885" t="str">
            <v>15420324    -    CONNECTOR    -    0.20963</v>
          </cell>
        </row>
        <row r="13886">
          <cell r="D13886" t="str">
            <v>15420326    -    SPACER    -    0.03384</v>
          </cell>
        </row>
        <row r="13887">
          <cell r="D13887" t="str">
            <v>15420327    -    CONNECTOR    -    0.32</v>
          </cell>
        </row>
        <row r="13888">
          <cell r="D13888" t="str">
            <v>15420328    -    SPACER    -    0.129</v>
          </cell>
        </row>
        <row r="13889">
          <cell r="D13889" t="str">
            <v>15420514    -    CONNECTOR 16W    -    0.28914</v>
          </cell>
        </row>
        <row r="13890">
          <cell r="D13890" t="str">
            <v>15420523    -    RING TERM    -    0.07505</v>
          </cell>
        </row>
        <row r="13891">
          <cell r="D13891" t="str">
            <v>15420524    -    CONNECTOR 16W BLACK    -    0.20963</v>
          </cell>
        </row>
        <row r="13892">
          <cell r="D13892" t="str">
            <v>15420635    -    CONNECTOR 10W    -    0.39538</v>
          </cell>
        </row>
        <row r="13893">
          <cell r="D13893" t="str">
            <v>15421307    -    CONNECTOR    -    1.0564</v>
          </cell>
        </row>
        <row r="13894">
          <cell r="D13894" t="str">
            <v>15421324    -    CONNECTOR 6F    -    0.39</v>
          </cell>
        </row>
        <row r="13895">
          <cell r="D13895" t="str">
            <v>15421683    -    CONN HD 52M MICRO 64    -    0.19404</v>
          </cell>
        </row>
        <row r="13896">
          <cell r="D13896" t="str">
            <v>15421684    -    CONN HD 52M MICRO 64    -    0.19404</v>
          </cell>
        </row>
        <row r="13897">
          <cell r="D13897" t="str">
            <v>15421867    -    MALE BLADE STABILIZER    -    0.13926</v>
          </cell>
        </row>
        <row r="13898">
          <cell r="D13898" t="str">
            <v>15422301    -    STRAIN RELIEF    -    0.062384</v>
          </cell>
        </row>
        <row r="13899">
          <cell r="D13899" t="str">
            <v>15422371    -    CLIP HARNESS    -    0.02716</v>
          </cell>
        </row>
        <row r="13900">
          <cell r="D13900" t="str">
            <v>15422402    -    SPACER    -    0.02153</v>
          </cell>
        </row>
        <row r="13901">
          <cell r="D13901" t="str">
            <v>15422405    -    CONNECTOR    -    0.28914</v>
          </cell>
        </row>
        <row r="13902">
          <cell r="D13902" t="str">
            <v>15422407    -    CONNECTOR    -    0.27971</v>
          </cell>
        </row>
        <row r="13903">
          <cell r="D13903" t="str">
            <v>15422423    -    CONNECTOR    -    0.33984</v>
          </cell>
        </row>
        <row r="13904">
          <cell r="D13904" t="str">
            <v>15422424    -    CONNECTOR    -    0.28929</v>
          </cell>
        </row>
        <row r="13905">
          <cell r="D13905" t="str">
            <v>15422427    -    CONNECTOR    -    0.172</v>
          </cell>
        </row>
        <row r="13906">
          <cell r="D13906" t="str">
            <v>15422428    -    ASM CONNECTOR    -    0.2375</v>
          </cell>
        </row>
        <row r="13907">
          <cell r="D13907" t="str">
            <v>15422441    -    EYELET    -    0.00891</v>
          </cell>
        </row>
        <row r="13908">
          <cell r="D13908" t="str">
            <v>15422446    -    CONNECTOR 8W BLACK    -    0.19568</v>
          </cell>
        </row>
        <row r="13909">
          <cell r="D13909" t="str">
            <v>15422448    -    CONNECTOR    -    0.28914</v>
          </cell>
        </row>
        <row r="13910">
          <cell r="D13910" t="str">
            <v>15422449    -    CONNECTOR    -    0.28914</v>
          </cell>
        </row>
        <row r="13911">
          <cell r="D13911" t="str">
            <v>15422450    -    CONNECTOR    -    0.20963</v>
          </cell>
        </row>
        <row r="13912">
          <cell r="D13912" t="str">
            <v>15422451    -    CONNECTOR XC2T-14A624-DA    -    0.20963</v>
          </cell>
        </row>
        <row r="13913">
          <cell r="D13913" t="str">
            <v>15422452    -    CONNECTOR 1F2T-14A464-GA(003)    -    0.33984</v>
          </cell>
        </row>
        <row r="13914">
          <cell r="D13914" t="str">
            <v>15422453    -    CONNECTOR F75B-14A624-BA(002)    -    0.28929</v>
          </cell>
        </row>
        <row r="13915">
          <cell r="D13915" t="str">
            <v>15422457    -    CONNECTOR    -    0.1089</v>
          </cell>
        </row>
        <row r="13916">
          <cell r="D13916" t="str">
            <v>15422458    -    CLIP    -    0.08123</v>
          </cell>
        </row>
        <row r="13917">
          <cell r="D13917" t="str">
            <v>15422465    -    ASM CONN 2 M 1.5 BLK SLD    -    0.27739</v>
          </cell>
        </row>
        <row r="13918">
          <cell r="D13918" t="str">
            <v>15422471    -    CONNECTOR    -    0.76</v>
          </cell>
        </row>
        <row r="13919">
          <cell r="D13919" t="str">
            <v>15422477    -    CONNECTOR    -    0</v>
          </cell>
        </row>
        <row r="13920">
          <cell r="D13920" t="str">
            <v>15422478    -    CONN 12W    -    0.28929</v>
          </cell>
        </row>
        <row r="13921">
          <cell r="D13921" t="str">
            <v>15422487    -    CONN 3W    -    0.121</v>
          </cell>
        </row>
        <row r="13922">
          <cell r="D13922" t="str">
            <v>15422488    -    CONN    -    1.75</v>
          </cell>
        </row>
        <row r="13923">
          <cell r="D13923" t="str">
            <v>15422496    -    CONNECTOR    -    0.1235</v>
          </cell>
        </row>
        <row r="13924">
          <cell r="D13924" t="str">
            <v>15422499    -    CONNECTOR    -    0.33984</v>
          </cell>
        </row>
        <row r="13925">
          <cell r="D13925" t="str">
            <v>15422500    -    CONNECTOR    -    0.28929</v>
          </cell>
        </row>
        <row r="13926">
          <cell r="D13926" t="str">
            <v>15422506    -    CLIP    -    0.03405</v>
          </cell>
        </row>
        <row r="13927">
          <cell r="D13927" t="str">
            <v>15422508    -    CONNECTOR    -    0.15</v>
          </cell>
        </row>
        <row r="13928">
          <cell r="D13928" t="str">
            <v>15422512    -    ASM CONNECTOR    -    0.171</v>
          </cell>
        </row>
        <row r="13929">
          <cell r="D13929" t="str">
            <v>15422513    -    ASM CONNECTOR    -    0.2029</v>
          </cell>
        </row>
        <row r="13930">
          <cell r="D13930" t="str">
            <v>15422516    -    CONNECTOR    -    3.29</v>
          </cell>
        </row>
        <row r="13931">
          <cell r="D13931" t="str">
            <v>15422517    -    CONN    -    3.29</v>
          </cell>
        </row>
        <row r="13932">
          <cell r="D13932" t="str">
            <v>15422518    -    CONNECTOR    -    3.29</v>
          </cell>
        </row>
        <row r="13933">
          <cell r="D13933" t="str">
            <v>15422519    -    CONNECTOR    -    3.29</v>
          </cell>
        </row>
        <row r="13934">
          <cell r="D13934" t="str">
            <v>15422520    -    CONNECTOR 16W    -    0.28914</v>
          </cell>
        </row>
        <row r="13935">
          <cell r="D13935" t="str">
            <v>15422524    -    CONN 12F MULTILOCK BLK    -    0.302</v>
          </cell>
        </row>
        <row r="13936">
          <cell r="D13936" t="str">
            <v>15422561    -    CONN 14M GT 280 MXD SLD    -    0.14099</v>
          </cell>
        </row>
        <row r="13937">
          <cell r="D13937" t="str">
            <v>15422577    -    7WAY SWITCH CONN    -    0.239173</v>
          </cell>
        </row>
        <row r="13938">
          <cell r="D13938" t="str">
            <v>15422581    -    CONNECTOR    -    1.0165</v>
          </cell>
        </row>
        <row r="13939">
          <cell r="D13939" t="str">
            <v>15422582    -    COVER    -    0.40565</v>
          </cell>
        </row>
        <row r="13940">
          <cell r="D13940" t="str">
            <v>15422616    -    SPACER MINI RELAY    -    0.65407</v>
          </cell>
        </row>
        <row r="13941">
          <cell r="D13941" t="str">
            <v>15422617    -    SPACER 280 BLACKFUSE    -    0.68326</v>
          </cell>
        </row>
        <row r="13942">
          <cell r="D13942" t="str">
            <v>15422618    -    BLACK MODULE    -    0.21145</v>
          </cell>
        </row>
        <row r="13943">
          <cell r="D13943" t="str">
            <v>15422619    -    PANEL MINI FUSE    -    1.21</v>
          </cell>
        </row>
        <row r="13944">
          <cell r="D13944" t="str">
            <v>15422621    -    PANEL HIGH CURR RELAY    -    1.27</v>
          </cell>
        </row>
        <row r="13945">
          <cell r="D13945" t="str">
            <v>15422640    -    CONN ASSY    -    2.38</v>
          </cell>
        </row>
        <row r="13946">
          <cell r="D13946" t="str">
            <v>15422646    -    CONNECTOR    -    0.1254</v>
          </cell>
        </row>
        <row r="13947">
          <cell r="D13947" t="str">
            <v>15422649    -    LEVER    -    0.185</v>
          </cell>
        </row>
        <row r="13948">
          <cell r="D13948" t="str">
            <v>15422650    -    LIF CONN 4F    -    0.24</v>
          </cell>
        </row>
        <row r="13949">
          <cell r="D13949" t="str">
            <v>15422652    -    CABLE CLAMP    -    2.52874</v>
          </cell>
        </row>
        <row r="13950">
          <cell r="D13950" t="str">
            <v>15422653    -    HOUSING COVER    -    4.32471</v>
          </cell>
        </row>
        <row r="13951">
          <cell r="D13951" t="str">
            <v>15422655    -    CONNECTOR 4 WAY    -    0.87</v>
          </cell>
        </row>
        <row r="13952">
          <cell r="D13952" t="str">
            <v>15422685    -    PROTECTOR    -    1.3192</v>
          </cell>
        </row>
        <row r="13953">
          <cell r="D13953" t="str">
            <v>15422689    -    PROTECTOR COVER    -    0.71366</v>
          </cell>
        </row>
        <row r="13954">
          <cell r="D13954" t="str">
            <v>15422695    -    CONNECTOR 4W    -    1.07758</v>
          </cell>
        </row>
        <row r="13955">
          <cell r="D13955" t="str">
            <v>15422696    -    CONNECTOR 4W    -    1.07758</v>
          </cell>
        </row>
        <row r="13956">
          <cell r="D13956" t="str">
            <v>15422698    -    CONN 2 F 090 II BLK SEALED    -    0.43759</v>
          </cell>
        </row>
        <row r="13957">
          <cell r="D13957" t="str">
            <v>15422717    -    CONNECTOR 16 CAV    -    0.86945</v>
          </cell>
        </row>
        <row r="13958">
          <cell r="D13958" t="str">
            <v>15422718    -    CONNECTOR 10 CAV    -    0.94</v>
          </cell>
        </row>
        <row r="13959">
          <cell r="D13959" t="str">
            <v>15422726    -    COVER CONN    -    0.07906</v>
          </cell>
        </row>
        <row r="13960">
          <cell r="D13960" t="str">
            <v>15422727    -    CONNECTOR    -    0.05271</v>
          </cell>
        </row>
        <row r="13961">
          <cell r="D13961" t="str">
            <v>15422735    -    CONNECTOR    -    0.167995</v>
          </cell>
        </row>
        <row r="13962">
          <cell r="D13962" t="str">
            <v>15422748    -    CONNECTOR 2F    -    0.4058</v>
          </cell>
        </row>
        <row r="13963">
          <cell r="D13963" t="str">
            <v>15422750    -    CLAMP    -    0.111</v>
          </cell>
        </row>
        <row r="13964">
          <cell r="D13964" t="str">
            <v>15422773    -    MYLAR RETAINER FILM 56W MICRO 64 2.54CL    -    1.11</v>
          </cell>
        </row>
        <row r="13965">
          <cell r="D13965" t="str">
            <v>15422780    -    CONNECTOR 2W BLACK    -    0.14215</v>
          </cell>
        </row>
        <row r="13966">
          <cell r="D13966" t="str">
            <v>15422783    -    CONNECTOR    -    0.1908</v>
          </cell>
        </row>
        <row r="13967">
          <cell r="D13967" t="str">
            <v>15422785    -    RETAINER    -    0.01574</v>
          </cell>
        </row>
        <row r="13968">
          <cell r="D13968" t="str">
            <v>15422787    -    CONNECTOR    -    0.23903</v>
          </cell>
        </row>
        <row r="13969">
          <cell r="D13969" t="str">
            <v>15422788    -    CONNECTOR    -    0.106</v>
          </cell>
        </row>
        <row r="13970">
          <cell r="D13970" t="str">
            <v>15422831    -    CABLE TIE    -    0.01296</v>
          </cell>
        </row>
        <row r="13971">
          <cell r="D13971" t="str">
            <v>15422946    -    RETAINER COVER    -    0.90768</v>
          </cell>
        </row>
        <row r="13972">
          <cell r="D13972" t="str">
            <v>15423161    -    CONNECTOR    -    0.24978</v>
          </cell>
        </row>
        <row r="13973">
          <cell r="D13973" t="str">
            <v>15423271    -    CONN    -    0.17745</v>
          </cell>
        </row>
        <row r="13974">
          <cell r="D13974" t="str">
            <v>15423275    -    CONN 2F    -    0.0486</v>
          </cell>
        </row>
        <row r="13975">
          <cell r="D13975" t="str">
            <v>15423412    -    CONNECTOR    -    0.229</v>
          </cell>
        </row>
        <row r="13976">
          <cell r="D13976" t="str">
            <v>15423480    -    CONNECTOR    -    0.50909</v>
          </cell>
        </row>
        <row r="13977">
          <cell r="D13977" t="str">
            <v>15423755    -    CONNECTOR    -    0.17493</v>
          </cell>
        </row>
        <row r="13978">
          <cell r="D13978" t="str">
            <v>15423756    -    CONN 4M    -    0.22025</v>
          </cell>
        </row>
        <row r="13979">
          <cell r="D13979" t="str">
            <v>15423757    -    SPACER FOR F6AB14A464GA    -    0.00861</v>
          </cell>
        </row>
        <row r="13980">
          <cell r="D13980" t="str">
            <v>15423758    -    RING TERM    -    0.065693</v>
          </cell>
        </row>
        <row r="13981">
          <cell r="D13981" t="str">
            <v>15423759    -    RING TERM    -    0.065693</v>
          </cell>
        </row>
        <row r="13982">
          <cell r="D13982" t="str">
            <v>15423760    -    CONN 2F    -    0.14215</v>
          </cell>
        </row>
        <row r="13983">
          <cell r="D13983" t="str">
            <v>15423836    -    CONNECTOR 10F    -    0.07879</v>
          </cell>
        </row>
        <row r="13984">
          <cell r="D13984" t="str">
            <v>15423837    -    CONNECTOR 6F    -    0.14569</v>
          </cell>
        </row>
        <row r="13985">
          <cell r="D13985" t="str">
            <v>15423838    -    CONNECTOR    -    1.509</v>
          </cell>
        </row>
        <row r="13986">
          <cell r="D13986" t="str">
            <v>15423841    -    CONNECTOR    -    0.01508</v>
          </cell>
        </row>
        <row r="13987">
          <cell r="D13987" t="str">
            <v>15423847    -    SPACER    -    0.08017</v>
          </cell>
        </row>
        <row r="13988">
          <cell r="D13988" t="str">
            <v>15424655    -    CONNECTOR 6F    -    0.3</v>
          </cell>
        </row>
        <row r="13989">
          <cell r="D13989" t="str">
            <v>15425573    -    CONNECTOR 2F    -    0.2809</v>
          </cell>
        </row>
        <row r="13990">
          <cell r="D13990" t="str">
            <v>15425575    -    CONNECTOR    -    0.15445</v>
          </cell>
        </row>
        <row r="13991">
          <cell r="D13991" t="str">
            <v>15425579    -    RETAINER    -    0.09374</v>
          </cell>
        </row>
        <row r="13992">
          <cell r="D13992" t="str">
            <v>15425598    -    CLIP    -    0.06</v>
          </cell>
        </row>
        <row r="13993">
          <cell r="D13993" t="str">
            <v>15425612    -    RCPT 10 PIN    -    0.375636</v>
          </cell>
        </row>
        <row r="13994">
          <cell r="D13994" t="str">
            <v>15425621    -    18 WAY CONNECTOR    -    0.24942</v>
          </cell>
        </row>
        <row r="13995">
          <cell r="D13995" t="str">
            <v>15425622    -    6 WAY CONNECTOR    -    0.1789</v>
          </cell>
        </row>
        <row r="13996">
          <cell r="D13996" t="str">
            <v>15425624    -    6WAY CONN, HOLDS 4 MLK    -    0.778578</v>
          </cell>
        </row>
        <row r="13997">
          <cell r="D13997" t="str">
            <v>15425630    -    CONNECTOR    -    0.59421</v>
          </cell>
        </row>
        <row r="13998">
          <cell r="D13998" t="str">
            <v>15425631    -    CLAMP    -    0.066</v>
          </cell>
        </row>
        <row r="13999">
          <cell r="D13999" t="str">
            <v>15425632    -    CLAMP    -    0.084</v>
          </cell>
        </row>
        <row r="14000">
          <cell r="D14000" t="str">
            <v>15425633    -    CLAMP    -    0.06</v>
          </cell>
        </row>
        <row r="14001">
          <cell r="D14001" t="str">
            <v>15425634    -    CLAMP    -    0.036</v>
          </cell>
        </row>
        <row r="14002">
          <cell r="D14002" t="str">
            <v>15425641    -    CLAMP    -    0.054</v>
          </cell>
        </row>
        <row r="14003">
          <cell r="D14003" t="str">
            <v>15425651    -    CLAMP    -    0.2</v>
          </cell>
        </row>
        <row r="14004">
          <cell r="D14004" t="str">
            <v>15425662    -    6-WAY SLK MIT ELA CONN    -    0.467322</v>
          </cell>
        </row>
        <row r="14005">
          <cell r="D14005" t="str">
            <v>15425676    -    CONNECTOR HOLDER    -    0.76036</v>
          </cell>
        </row>
        <row r="14006">
          <cell r="D14006" t="str">
            <v>15425680    -    CONNECTOR    -    0.95</v>
          </cell>
        </row>
        <row r="14007">
          <cell r="D14007" t="str">
            <v>15425681    -    CLAMP    -    0.0511</v>
          </cell>
        </row>
        <row r="14008">
          <cell r="D14008" t="str">
            <v>15425684    -    CONNECTOR    -    0.5356</v>
          </cell>
        </row>
        <row r="14009">
          <cell r="D14009" t="str">
            <v>15425689    -    CONNECTOR    -    0.137</v>
          </cell>
        </row>
        <row r="14010">
          <cell r="D14010" t="str">
            <v>15425690    -    CONNECTOR 12 CAVITIES    -    0.28929</v>
          </cell>
        </row>
        <row r="14011">
          <cell r="D14011" t="str">
            <v>15425692    -    CONNECTOR F4 WAY AFEX 2.8    -    0.418</v>
          </cell>
        </row>
        <row r="14012">
          <cell r="D14012" t="str">
            <v>15425696    -    CONNECTOR    -    0.2469</v>
          </cell>
        </row>
        <row r="14013">
          <cell r="D14013" t="str">
            <v>15425699    -    CLAMP    -    0.0491</v>
          </cell>
        </row>
        <row r="14014">
          <cell r="D14014" t="str">
            <v>15427286    -    SHIELD    -    0.244</v>
          </cell>
        </row>
        <row r="14015">
          <cell r="D14015" t="str">
            <v>15427287    -    SHIELD    -    0.244</v>
          </cell>
        </row>
        <row r="14016">
          <cell r="D14016" t="str">
            <v>15427321    -    CONNECTOR    -    1.05</v>
          </cell>
        </row>
        <row r="14017">
          <cell r="D14017" t="str">
            <v>15427322    -    CONNECTOR    -    1.05</v>
          </cell>
        </row>
        <row r="14018">
          <cell r="D14018" t="str">
            <v>15427559    -    COVER    -    0.32173</v>
          </cell>
        </row>
        <row r="14019">
          <cell r="D14019" t="str">
            <v>15427560    -    ASM CONN 4 M 1.5 GRN    -    0.15445</v>
          </cell>
        </row>
        <row r="14020">
          <cell r="D14020" t="str">
            <v>15428062    -    CONNECTOR    -    0.26602</v>
          </cell>
        </row>
        <row r="14021">
          <cell r="D14021" t="str">
            <v>15428146    -    HARNESS CLIP    -    0.0274</v>
          </cell>
        </row>
        <row r="14022">
          <cell r="D14022" t="str">
            <v>15429303    -    CONVEN CENTER    -    1.01392</v>
          </cell>
        </row>
        <row r="14023">
          <cell r="D14023" t="str">
            <v>15429585    -    INR CONN 64F MICRO 64    -    0.0625</v>
          </cell>
        </row>
        <row r="14024">
          <cell r="D14024" t="str">
            <v>15429587    -    CLIP HARNESS    -    0.092022</v>
          </cell>
        </row>
        <row r="14025">
          <cell r="D14025" t="str">
            <v>15429588    -    CLIP HARN    -    0.0341</v>
          </cell>
        </row>
        <row r="14026">
          <cell r="D14026" t="str">
            <v>15429889    -    CONNECTOR 4F    -    0.12445</v>
          </cell>
        </row>
        <row r="14027">
          <cell r="D14027" t="str">
            <v>15429890    -    COVER    -    0.1045</v>
          </cell>
        </row>
        <row r="14028">
          <cell r="D14028" t="str">
            <v>15429891    -    COVER    -    0.1598</v>
          </cell>
        </row>
        <row r="14029">
          <cell r="D14029" t="str">
            <v>15430455    -    CONN, MICRO 64    -    0.475</v>
          </cell>
        </row>
        <row r="14030">
          <cell r="D14030" t="str">
            <v>15430485    -    LOCK TERMINAL    -    0.12322</v>
          </cell>
        </row>
        <row r="14031">
          <cell r="D14031" t="str">
            <v>15430582    -    6-WAY FEMALE CONN    -    0.23</v>
          </cell>
        </row>
        <row r="14032">
          <cell r="D14032" t="str">
            <v>15430626    -    CLAMP    -    0.125</v>
          </cell>
        </row>
        <row r="14033">
          <cell r="D14033" t="str">
            <v>15430627    -    CLAMP    -    0.0964</v>
          </cell>
        </row>
        <row r="14034">
          <cell r="D14034" t="str">
            <v>15430628    -    CLAMP    -    0.057</v>
          </cell>
        </row>
        <row r="14035">
          <cell r="D14035" t="str">
            <v>15430629    -    CLAMP    -    0.0454</v>
          </cell>
        </row>
        <row r="14036">
          <cell r="D14036" t="str">
            <v>15430630    -    CLAMP    -    0.1361</v>
          </cell>
        </row>
        <row r="14037">
          <cell r="D14037" t="str">
            <v>15430633    -    6-WAY CONNECTOR    -    0.407</v>
          </cell>
        </row>
        <row r="14038">
          <cell r="D14038" t="str">
            <v>15430637    -    CLAMP    -    0.072</v>
          </cell>
        </row>
        <row r="14039">
          <cell r="D14039" t="str">
            <v>15430642    -    47W CONN    -    3.45333</v>
          </cell>
        </row>
        <row r="14040">
          <cell r="D14040" t="str">
            <v>15430665    -    CLIP    -    0.0733</v>
          </cell>
        </row>
        <row r="14041">
          <cell r="D14041" t="str">
            <v>15430667    -    CONN 10 WAY    -    0.404807</v>
          </cell>
        </row>
        <row r="14042">
          <cell r="D14042" t="str">
            <v>15430669    -    CONN 7WAY    -    0.322496</v>
          </cell>
        </row>
        <row r="14043">
          <cell r="D14043" t="str">
            <v>15430670    -    3-WAY CONNECTOR    -    0.124343</v>
          </cell>
        </row>
        <row r="14044">
          <cell r="D14044" t="str">
            <v>15430677    -    CLAMP    -    0.041</v>
          </cell>
        </row>
        <row r="14045">
          <cell r="D14045" t="str">
            <v>15430710    -    CLAMP    -    0.091</v>
          </cell>
        </row>
        <row r="14046">
          <cell r="D14046" t="str">
            <v>15430711    -    CLAMP    -    0.122</v>
          </cell>
        </row>
        <row r="14047">
          <cell r="D14047" t="str">
            <v>15430904    -    14W GT 150 TPA    -    0.0305</v>
          </cell>
        </row>
        <row r="14048">
          <cell r="D14048" t="str">
            <v>15430993    -    CONN 12F    -    0.39041</v>
          </cell>
        </row>
        <row r="14049">
          <cell r="D14049" t="str">
            <v>15431034    -    CONNECTOR    -    0.15065</v>
          </cell>
        </row>
        <row r="14050">
          <cell r="D14050" t="str">
            <v>15431049    -    CONN    -    0.15184</v>
          </cell>
        </row>
        <row r="14051">
          <cell r="D14051" t="str">
            <v>15431054    -    CONN 2    -    0.04326</v>
          </cell>
        </row>
        <row r="14052">
          <cell r="D14052" t="str">
            <v>15431071    -    CONNECTOR    -    0.1253</v>
          </cell>
        </row>
        <row r="14053">
          <cell r="D14053" t="str">
            <v>15431073    -    CONNECTOR    -    0.17334</v>
          </cell>
        </row>
        <row r="14054">
          <cell r="D14054" t="str">
            <v>15431117    -    CPA    -    0.022</v>
          </cell>
        </row>
        <row r="14055">
          <cell r="D14055" t="str">
            <v>15433792    -    CLIP HARNESS    -    0.02285</v>
          </cell>
        </row>
        <row r="14056">
          <cell r="D14056" t="str">
            <v>15433794    -    CONNECTOR 4W GRAY    -    0.2933</v>
          </cell>
        </row>
        <row r="14057">
          <cell r="D14057" t="str">
            <v>15434152    -    BRACKET    -    0.32301</v>
          </cell>
        </row>
        <row r="14058">
          <cell r="D14058" t="str">
            <v>15434174    -    ASM CONN 4 F 1.5 BLK SLD    -    0.431173</v>
          </cell>
        </row>
        <row r="14059">
          <cell r="D14059" t="str">
            <v>15434176    -    CONN 16F    -    1.509</v>
          </cell>
        </row>
        <row r="14060">
          <cell r="D14060" t="str">
            <v>15434184    -    CONN 4F (BLACK)    -    0.17493</v>
          </cell>
        </row>
        <row r="14061">
          <cell r="D14061" t="str">
            <v>15434185    -    CONN 4F (BLACK)    -    0.22025</v>
          </cell>
        </row>
        <row r="14062">
          <cell r="D14062" t="str">
            <v>15434187    -    TPA    -    0.03649</v>
          </cell>
        </row>
        <row r="14063">
          <cell r="D14063" t="str">
            <v>15434188    -    TPA    -    0.03555</v>
          </cell>
        </row>
        <row r="14064">
          <cell r="D14064" t="str">
            <v>15434189    -    CONN    -    1.77118</v>
          </cell>
        </row>
        <row r="14065">
          <cell r="D14065" t="str">
            <v>15434191    -    CONN 50F    -    0.84</v>
          </cell>
        </row>
        <row r="14066">
          <cell r="D14066" t="str">
            <v>15434192    -    CONN 50F    -    0.84</v>
          </cell>
        </row>
        <row r="14067">
          <cell r="D14067" t="str">
            <v>15434193    -    CONN 70F    -    1.01</v>
          </cell>
        </row>
        <row r="14068">
          <cell r="D14068" t="str">
            <v>15434194    -    COV CONN    -    0.22</v>
          </cell>
        </row>
        <row r="14069">
          <cell r="D14069" t="str">
            <v>15434195    -    COV CONN    -    0.24</v>
          </cell>
        </row>
        <row r="14070">
          <cell r="D14070" t="str">
            <v>15434197    -    CONN    -    0.45</v>
          </cell>
        </row>
        <row r="14071">
          <cell r="D14071" t="str">
            <v>15434291    -    CONNECTOR    -    0.15445</v>
          </cell>
        </row>
        <row r="14072">
          <cell r="D14072" t="str">
            <v>15434308    -    CONNECTOR 2M DT    -    0.29</v>
          </cell>
        </row>
        <row r="14073">
          <cell r="D14073" t="str">
            <v>15434331    -    CONNECTOR    -    0.0373</v>
          </cell>
        </row>
        <row r="14074">
          <cell r="D14074" t="str">
            <v>15434332    -    CONNECTOR    -    0.016</v>
          </cell>
        </row>
        <row r="14075">
          <cell r="D14075" t="str">
            <v>15434787    -    WIRE DRESS COVER    -    0.15587</v>
          </cell>
        </row>
        <row r="14076">
          <cell r="D14076" t="str">
            <v>15434788    -    WIRE DRESS COVER    -    0.16471</v>
          </cell>
        </row>
        <row r="14077">
          <cell r="D14077" t="str">
            <v>15434789    -    WIRE DRESS COVER    -    0.16142</v>
          </cell>
        </row>
        <row r="14078">
          <cell r="D14078" t="str">
            <v>15435155    -    LP SOC WGE BSE W3    -    0.09581</v>
          </cell>
        </row>
        <row r="14079">
          <cell r="D14079" t="str">
            <v>15435216    -    PROTECTOR    -    0.807</v>
          </cell>
        </row>
        <row r="14080">
          <cell r="D14080" t="str">
            <v>15435217    -    PROTECTOR    -    0.15618</v>
          </cell>
        </row>
        <row r="14081">
          <cell r="D14081" t="str">
            <v>15435219    -    PROTECTOR    -    0.40282</v>
          </cell>
        </row>
        <row r="14082">
          <cell r="D14082" t="str">
            <v>15435220    -    DUST COVER    -    0.30202</v>
          </cell>
        </row>
        <row r="14083">
          <cell r="D14083" t="str">
            <v>15435232    -    RECEPTACLE HOUSING 14 W    -    0.134801</v>
          </cell>
        </row>
        <row r="14084">
          <cell r="D14084" t="str">
            <v>15435233    -    SECONDARY LOCKING DEVISE    -    0.036891</v>
          </cell>
        </row>
        <row r="14085">
          <cell r="D14085" t="str">
            <v>15435238    -    CONN 2W    -    0.04055</v>
          </cell>
        </row>
        <row r="14086">
          <cell r="D14086" t="str">
            <v>15435242    -    CONNECTOR 3-WAY    -    0.472274</v>
          </cell>
        </row>
        <row r="14087">
          <cell r="D14087" t="str">
            <v>15435243    -    CONN 20W    -    0.53394</v>
          </cell>
        </row>
        <row r="14088">
          <cell r="D14088" t="str">
            <v>15435247    -    CONN 2W    -    0.04993</v>
          </cell>
        </row>
        <row r="14089">
          <cell r="D14089" t="str">
            <v>15435257    -    CLIP    -    0.126</v>
          </cell>
        </row>
        <row r="14090">
          <cell r="D14090" t="str">
            <v>15435258    -    CLAMPS    -    0.066</v>
          </cell>
        </row>
        <row r="14091">
          <cell r="D14091" t="str">
            <v>15435269    -    CONN    -    0.19147</v>
          </cell>
        </row>
        <row r="14092">
          <cell r="D14092" t="str">
            <v>15435271    -    CONNECTOR    -    0.15927</v>
          </cell>
        </row>
        <row r="14093">
          <cell r="D14093" t="str">
            <v>15435274    -    CLAMPS    -    0.072</v>
          </cell>
        </row>
        <row r="14094">
          <cell r="D14094" t="str">
            <v>15435284    -    ASSEMBLY CONNECTOR 9-WAY    -    1.76</v>
          </cell>
        </row>
        <row r="14095">
          <cell r="D14095" t="str">
            <v>15435293    -    LOWER COVER    -    0.55311</v>
          </cell>
        </row>
        <row r="14096">
          <cell r="D14096" t="str">
            <v>15435296    -    COVER    -    0.06811</v>
          </cell>
        </row>
        <row r="14097">
          <cell r="D14097" t="str">
            <v>15435304    -    HOLDER CONNECTOR    -    0.49654</v>
          </cell>
        </row>
        <row r="14098">
          <cell r="D14098" t="str">
            <v>15435306    -    CONNECTOR    -    1.87</v>
          </cell>
        </row>
        <row r="14099">
          <cell r="D14099" t="str">
            <v>15435310    -    CONNECTOR 3 WAY FEMALE BROWN    -    0.074487</v>
          </cell>
        </row>
        <row r="14100">
          <cell r="D14100" t="str">
            <v>15435311    -    SECONDARY LOCK    -    0.042275</v>
          </cell>
        </row>
        <row r="14101">
          <cell r="D14101" t="str">
            <v>15435318    -    CONNECTOR    -    0.239</v>
          </cell>
        </row>
        <row r="14102">
          <cell r="D14102" t="str">
            <v>15435324    -    CONNECTOR    -    0.18085</v>
          </cell>
        </row>
        <row r="14103">
          <cell r="D14103" t="str">
            <v>15435326    -    CONNECTOR    -    0.26</v>
          </cell>
        </row>
        <row r="14104">
          <cell r="D14104" t="str">
            <v>15435339    -    CONN 5W 1.5MM TAN HYD    -    0.21553</v>
          </cell>
        </row>
        <row r="14105">
          <cell r="D14105" t="str">
            <v>15435340    -    WEDGE LOCK    -    0.06</v>
          </cell>
        </row>
        <row r="14106">
          <cell r="D14106" t="str">
            <v>15437186    -    CONN LOCK    -    0.312</v>
          </cell>
        </row>
        <row r="14107">
          <cell r="D14107" t="str">
            <v>15437187    -    CONNECTOR    -    0.22025</v>
          </cell>
        </row>
        <row r="14108">
          <cell r="D14108" t="str">
            <v>15437188    -    CONNECTOR    -    0.17493</v>
          </cell>
        </row>
        <row r="14109">
          <cell r="D14109" t="str">
            <v>15437189    -    CONNECTOR    -    0.25239</v>
          </cell>
        </row>
        <row r="14110">
          <cell r="D14110" t="str">
            <v>15437190    -    CONN 32F    -    0.214</v>
          </cell>
        </row>
        <row r="14111">
          <cell r="D14111" t="str">
            <v>15437191    -    CONN    -    0.3772</v>
          </cell>
        </row>
        <row r="14112">
          <cell r="D14112" t="str">
            <v>15437241    -    CONN 2F M/P 280 P2S    -    0.11688</v>
          </cell>
        </row>
        <row r="14113">
          <cell r="D14113" t="str">
            <v>15437443    -    CONN 32M MICRO64 RIGHT ANGLE    -    0.20467</v>
          </cell>
        </row>
        <row r="14114">
          <cell r="D14114" t="str">
            <v>15437444    -    CONN 32M MICRO64 ST HDR    -    0.19963</v>
          </cell>
        </row>
        <row r="14115">
          <cell r="D14115" t="str">
            <v>15437973    -    MOUNT CLIP    -    0.0607</v>
          </cell>
        </row>
        <row r="14116">
          <cell r="D14116" t="str">
            <v>15438365    -    COVER 96P (ZFW96-1)    -    1.173939</v>
          </cell>
        </row>
        <row r="14117">
          <cell r="D14117" t="str">
            <v>15438366    -    ASM CONN 96F MIXED SLD BLK    -    6.679307</v>
          </cell>
        </row>
        <row r="14118">
          <cell r="D14118" t="str">
            <v>15438367    -    SECONDARY LOCK 96P 1.2 (ZFW96-1)    -    0.094455</v>
          </cell>
        </row>
        <row r="14119">
          <cell r="D14119" t="str">
            <v>15438389    -    CONNECTOR    -    0.04387</v>
          </cell>
        </row>
        <row r="14120">
          <cell r="D14120" t="str">
            <v>15438391    -    CONN    -    0.177</v>
          </cell>
        </row>
        <row r="14121">
          <cell r="D14121" t="str">
            <v>15438902    -    CONNECTOR    -    0.3524</v>
          </cell>
        </row>
        <row r="14122">
          <cell r="D14122" t="str">
            <v>15438911    -    2W CONN    -    0.20109</v>
          </cell>
        </row>
        <row r="14123">
          <cell r="D14123" t="str">
            <v>15438914    -    CONNECTOR    -    0.24109</v>
          </cell>
        </row>
        <row r="14124">
          <cell r="D14124" t="str">
            <v>15438936    -    CONNECTOR    -    6.35</v>
          </cell>
        </row>
        <row r="14125">
          <cell r="D14125" t="str">
            <v>15438941    -    LOWER COVER    -    2.30167</v>
          </cell>
        </row>
        <row r="14126">
          <cell r="D14126" t="str">
            <v>15438946    -    CONNECTOR    -    6.79</v>
          </cell>
        </row>
        <row r="14127">
          <cell r="D14127" t="str">
            <v>15438949    -    CONN    -    2.22</v>
          </cell>
        </row>
        <row r="14128">
          <cell r="D14128" t="str">
            <v>15438950    -    STRAIN RELIEF    -    0.25861</v>
          </cell>
        </row>
        <row r="14129">
          <cell r="D14129" t="str">
            <v>15438955    -    CLIP HARNESS    -    0.048</v>
          </cell>
        </row>
        <row r="14130">
          <cell r="D14130" t="str">
            <v>15438959    -    BLK VALVE    -    0.55143</v>
          </cell>
        </row>
        <row r="14131">
          <cell r="D14131" t="str">
            <v>15438960    -    ADAPTER    -    1.31377</v>
          </cell>
        </row>
        <row r="14132">
          <cell r="D14132" t="str">
            <v>15438966    -    CONNECTOR 4M    -    0.6</v>
          </cell>
        </row>
        <row r="14133">
          <cell r="D14133" t="str">
            <v>15438967    -    CONNECTOR 2W    -    0.23</v>
          </cell>
        </row>
        <row r="14134">
          <cell r="D14134" t="str">
            <v>15438968    -    CONNECTOR PLUG    -    5.41</v>
          </cell>
        </row>
        <row r="14135">
          <cell r="D14135" t="str">
            <v>15438972    -    PLUG CONN 21W    -    8.02</v>
          </cell>
        </row>
        <row r="14136">
          <cell r="D14136" t="str">
            <v>15438977    -    CONN PLUG    -    1.37</v>
          </cell>
        </row>
        <row r="14137">
          <cell r="D14137" t="str">
            <v>15438979    -    CONN 15M    -    0.38443</v>
          </cell>
        </row>
        <row r="14138">
          <cell r="D14138" t="str">
            <v>15438980    -    SHELL SIZE 19    -    1.21</v>
          </cell>
        </row>
        <row r="14139">
          <cell r="D14139" t="str">
            <v>15438981    -    CONN 8M WHT    -    0.28216</v>
          </cell>
        </row>
        <row r="14140">
          <cell r="D14140" t="str">
            <v>15438984    -    CONNECTOR    -    8.156041</v>
          </cell>
        </row>
        <row r="14141">
          <cell r="D14141" t="str">
            <v>15438985    -    COVER CONN    -    1.272307</v>
          </cell>
        </row>
        <row r="14142">
          <cell r="D14142" t="str">
            <v>15438986    -    CONNECTOR    -    8.156041</v>
          </cell>
        </row>
        <row r="14143">
          <cell r="D14143" t="str">
            <v>15438991    -    CONN 2F    -    0.2769</v>
          </cell>
        </row>
        <row r="14144">
          <cell r="D14144" t="str">
            <v>15326839     -     CONN 8M    -     0.11033</v>
          </cell>
        </row>
        <row r="14145">
          <cell r="D14145" t="str">
            <v>15438992    -    CONN 2F    -    0.27164</v>
          </cell>
        </row>
        <row r="14146">
          <cell r="D14146" t="str">
            <v>15438994    -    CONN    -    0.20664</v>
          </cell>
        </row>
        <row r="14147">
          <cell r="D14147" t="str">
            <v>15438995    -    COVER    -    0.34633</v>
          </cell>
        </row>
        <row r="14148">
          <cell r="D14148" t="str">
            <v>15438999    -    CONN, 2F SWP 070 SLD BLK    -    0.145769</v>
          </cell>
        </row>
        <row r="14149">
          <cell r="D14149" t="str">
            <v>15439089    -    ASM TPA 3W FILTERED    -    0.35</v>
          </cell>
        </row>
        <row r="14150">
          <cell r="D14150" t="str">
            <v>15439373    -    COVER CONN    -    0.1568</v>
          </cell>
        </row>
        <row r="14151">
          <cell r="D14151" t="str">
            <v>15439374    -    CONNECTOR 3F    -    0.21</v>
          </cell>
        </row>
        <row r="14152">
          <cell r="D14152" t="str">
            <v>15439376    -    CONN    -    0.42178</v>
          </cell>
        </row>
        <row r="14153">
          <cell r="D14153" t="str">
            <v>15439392    -    TERMINAL M (GOLD)    -    0.02989</v>
          </cell>
        </row>
        <row r="14154">
          <cell r="D14154" t="str">
            <v>15439430    -    CONNECTOR    -    0.17493</v>
          </cell>
        </row>
        <row r="14155">
          <cell r="D14155" t="str">
            <v>15439432    -    CONNECTOR    -    0.17493</v>
          </cell>
        </row>
        <row r="14156">
          <cell r="D14156" t="str">
            <v>15439433    -    CONN    -    1.683</v>
          </cell>
        </row>
        <row r="14157">
          <cell r="D14157" t="str">
            <v>15439567    -    PLR 4F GT 150    -    0.02352</v>
          </cell>
        </row>
        <row r="14158">
          <cell r="D14158" t="str">
            <v>15440136    -    CONN 34M MQS MCP    -    0.185</v>
          </cell>
        </row>
        <row r="14159">
          <cell r="D14159" t="str">
            <v>15440138    -    CONN 34F MQS MCP    -    0.173</v>
          </cell>
        </row>
        <row r="14160">
          <cell r="D14160" t="str">
            <v>15441290    -    CONNECTOR    -    0.11737</v>
          </cell>
        </row>
        <row r="14161">
          <cell r="D14161" t="str">
            <v>15441291    -    CONNECTOR    -    0.39019</v>
          </cell>
        </row>
        <row r="14162">
          <cell r="D14162" t="str">
            <v>15441354    -    CONN 1 F GRA    -    0.013494</v>
          </cell>
        </row>
        <row r="14163">
          <cell r="D14163" t="str">
            <v>15441828    -    COV WIRE DRESS GRA LT    -    0.1083</v>
          </cell>
        </row>
        <row r="14164">
          <cell r="D14164" t="str">
            <v>15441912    -    CONN 32M    -    0.30709</v>
          </cell>
        </row>
        <row r="14165">
          <cell r="D14165" t="str">
            <v>15441913    -    CONN 32M    -    0.30709</v>
          </cell>
        </row>
        <row r="14166">
          <cell r="D14166" t="str">
            <v>15441914    -    CONN 32M    -    0.30709</v>
          </cell>
        </row>
        <row r="14167">
          <cell r="D14167" t="str">
            <v>15442261    -    CONN    -    0.3</v>
          </cell>
        </row>
        <row r="14168">
          <cell r="D14168" t="str">
            <v>15442479    -    ASM CONN 6F    -    0.21115</v>
          </cell>
        </row>
        <row r="14169">
          <cell r="D14169" t="str">
            <v>15443079    -    COVER SHROUD    -    0.333</v>
          </cell>
        </row>
        <row r="14170">
          <cell r="D14170" t="str">
            <v>15443102    -    CONN    -    0.21426</v>
          </cell>
        </row>
        <row r="14171">
          <cell r="D14171" t="str">
            <v>15443110    -    CONNECTOR 13M    -    0.2695</v>
          </cell>
        </row>
        <row r="14172">
          <cell r="D14172" t="str">
            <v>15443111    -    CONNECTOR 1M    -    0.09055</v>
          </cell>
        </row>
        <row r="14173">
          <cell r="D14173" t="str">
            <v>15443113S    -    CONNECTOR    -    0.187287</v>
          </cell>
        </row>
        <row r="14174">
          <cell r="D14174" t="str">
            <v>15443114    -    CONNECTOR    -    0.10909</v>
          </cell>
        </row>
        <row r="14175">
          <cell r="D14175" t="str">
            <v>15443115    -    CLIP    -    0.0382</v>
          </cell>
        </row>
        <row r="14176">
          <cell r="D14176" t="str">
            <v>15443118    -    ASM CONN 12M    -    0.20509</v>
          </cell>
        </row>
        <row r="14177">
          <cell r="D14177" t="str">
            <v>15443119    -    CLIP TAPE    -    0.0443</v>
          </cell>
        </row>
        <row r="14178">
          <cell r="D14178" t="str">
            <v>15443120    -    ASM CONN 10F    -    0.1342</v>
          </cell>
        </row>
        <row r="14179">
          <cell r="D14179" t="str">
            <v>15443121    -    CONN 8F    -    0.13309</v>
          </cell>
        </row>
        <row r="14180">
          <cell r="D14180" t="str">
            <v>15443122    -    CLIP    -    0.0947</v>
          </cell>
        </row>
        <row r="14181">
          <cell r="D14181" t="str">
            <v>15443123    -    CONN 12F    -    0.12655</v>
          </cell>
        </row>
        <row r="14182">
          <cell r="D14182" t="str">
            <v>15443124    -    WIRE TIE    -    0.0253</v>
          </cell>
        </row>
        <row r="14183">
          <cell r="D14183" t="str">
            <v>15443126    -    CONN    -    0.05015</v>
          </cell>
        </row>
        <row r="14184">
          <cell r="D14184" t="str">
            <v>15443131    -    CONN PLUG    -    0.142856</v>
          </cell>
        </row>
        <row r="14185">
          <cell r="D14185" t="str">
            <v>15443135    -    CONN    -    7.75</v>
          </cell>
        </row>
        <row r="14186">
          <cell r="D14186" t="str">
            <v>15443141    -    CONN 5 F 064 BLK SLD    -    0</v>
          </cell>
        </row>
        <row r="14187">
          <cell r="D14187" t="str">
            <v>15443152    -    CONN 2F    -    0.2873</v>
          </cell>
        </row>
        <row r="14188">
          <cell r="D14188" t="str">
            <v>15443163    -    CONNECTOR    -    0.42274</v>
          </cell>
        </row>
        <row r="14189">
          <cell r="D14189" t="str">
            <v>15443164    -    SOCKET    -    0.09819</v>
          </cell>
        </row>
        <row r="14190">
          <cell r="D14190" t="str">
            <v>15443171    -    CONNECTOR    -    1.75</v>
          </cell>
        </row>
        <row r="14191">
          <cell r="D14191" t="str">
            <v>15443175    -    CONNECTOR 2F    -    0.26187</v>
          </cell>
        </row>
        <row r="14192">
          <cell r="D14192" t="str">
            <v>15443182    -    CONNECTOR    -    0.14905</v>
          </cell>
        </row>
        <row r="14193">
          <cell r="D14193" t="str">
            <v>15443183    -    CONN    -    0.09928</v>
          </cell>
        </row>
        <row r="14194">
          <cell r="D14194" t="str">
            <v>15443186    -    CLIP    -    0.02749</v>
          </cell>
        </row>
        <row r="14195">
          <cell r="D14195" t="str">
            <v>15443187    -    CLIP    -    0.04593</v>
          </cell>
        </row>
        <row r="14196">
          <cell r="D14196" t="str">
            <v>15443188    -    CONN 2F    -    0.10473</v>
          </cell>
        </row>
        <row r="14197">
          <cell r="D14197" t="str">
            <v>15443190    -    ASM SPLICE CONN    -    0.35564</v>
          </cell>
        </row>
        <row r="14198">
          <cell r="D14198" t="str">
            <v>15443200    -    CLIP    -    0.05198</v>
          </cell>
        </row>
        <row r="14199">
          <cell r="D14199" t="str">
            <v>15443203    -    CLIP    -    0.07398</v>
          </cell>
        </row>
        <row r="14200">
          <cell r="D14200" t="str">
            <v>15443204    -    CLIP    -    0.062278</v>
          </cell>
        </row>
        <row r="14201">
          <cell r="D14201" t="str">
            <v>15443205    -    CLIP    -    0.09378</v>
          </cell>
        </row>
        <row r="14202">
          <cell r="D14202" t="str">
            <v>15443209    -    TPA HOLDER FRON    -    0.07596</v>
          </cell>
        </row>
        <row r="14203">
          <cell r="D14203" t="str">
            <v>15443210    -    CLIP    -    0.09928</v>
          </cell>
        </row>
        <row r="14204">
          <cell r="D14204" t="str">
            <v>15443214    -    CONN 4F    -    0.36436</v>
          </cell>
        </row>
        <row r="14205">
          <cell r="D14205" t="str">
            <v>15443216    -    CONNECTOR 2F    -    0.351</v>
          </cell>
        </row>
        <row r="14206">
          <cell r="D14206" t="str">
            <v>15443217    -    CLIP    -    0.02946</v>
          </cell>
        </row>
        <row r="14207">
          <cell r="D14207" t="str">
            <v>15443218    -    ASM CONN 2M    -    0.10582</v>
          </cell>
        </row>
        <row r="14208">
          <cell r="D14208" t="str">
            <v>15443220    -    WIRE TIE    -    0.11716</v>
          </cell>
        </row>
        <row r="14209">
          <cell r="D14209" t="str">
            <v>15443221    -    CLIP    -    0.07891</v>
          </cell>
        </row>
        <row r="14210">
          <cell r="D14210" t="str">
            <v>15443222    -    CLIP    -    0.09445</v>
          </cell>
        </row>
        <row r="14211">
          <cell r="D14211" t="str">
            <v>15443223    -    CLIP    -    0.04379</v>
          </cell>
        </row>
        <row r="14212">
          <cell r="D14212" t="str">
            <v>15443224    -    CLIP    -    0.06472</v>
          </cell>
        </row>
        <row r="14213">
          <cell r="D14213" t="str">
            <v>15443225    -    CLIP    -    0.1347</v>
          </cell>
        </row>
        <row r="14214">
          <cell r="D14214" t="str">
            <v>15443226    -    CLIP    -    0.0382</v>
          </cell>
        </row>
        <row r="14215">
          <cell r="D14215" t="str">
            <v>15443227    -    CLIP    -    0.07476</v>
          </cell>
        </row>
        <row r="14216">
          <cell r="D14216" t="str">
            <v>15443228    -    CHANNEL    -    0.99497</v>
          </cell>
        </row>
        <row r="14217">
          <cell r="D14217" t="str">
            <v>15443229    -    CHANNEL    -    0.4582</v>
          </cell>
        </row>
        <row r="14218">
          <cell r="D14218" t="str">
            <v>15443230    -    PROTECTOR    -    1.2</v>
          </cell>
        </row>
        <row r="14219">
          <cell r="D14219" t="str">
            <v>15443231    -    PROTECTOR    -    0.40845</v>
          </cell>
        </row>
        <row r="14220">
          <cell r="D14220" t="str">
            <v>15443232    -    CHAANNEL UPR    -    0.71366</v>
          </cell>
        </row>
        <row r="14221">
          <cell r="D14221" t="str">
            <v>15443233    -    PROTECTOR    -    0.47616</v>
          </cell>
        </row>
        <row r="14222">
          <cell r="D14222" t="str">
            <v>15443234    -    PROTECTOR    -    1.15565</v>
          </cell>
        </row>
        <row r="14223">
          <cell r="D14223" t="str">
            <v>15443235    -    PROTECTOR    -    0.12729</v>
          </cell>
        </row>
        <row r="14224">
          <cell r="D14224" t="str">
            <v>15443236    -    CLIP HARN    -    0.36609</v>
          </cell>
        </row>
        <row r="14225">
          <cell r="D14225" t="str">
            <v>15443238    -    CONN 4F MXD    -    0.3</v>
          </cell>
        </row>
        <row r="14226">
          <cell r="D14226" t="str">
            <v>15443244    -    CONN 26M    -    0.55745</v>
          </cell>
        </row>
        <row r="14227">
          <cell r="D14227" t="str">
            <v>15443245    -    ASM CONN 10F    -    0.324</v>
          </cell>
        </row>
        <row r="14228">
          <cell r="D14228" t="str">
            <v>15443247    -    CLAMP    -    0.10212</v>
          </cell>
        </row>
        <row r="14229">
          <cell r="D14229" t="str">
            <v>15443248    -    CLIP    -    0.02582</v>
          </cell>
        </row>
        <row r="14230">
          <cell r="D14230" t="str">
            <v>15443251    -    CLIP    -    0.04837</v>
          </cell>
        </row>
        <row r="14231">
          <cell r="D14231" t="str">
            <v>15443305    -    CHANNEL ASM    -    0.3661</v>
          </cell>
        </row>
        <row r="14232">
          <cell r="D14232" t="str">
            <v>15443822    -    CONN    -    0.32942</v>
          </cell>
        </row>
        <row r="14233">
          <cell r="D14233" t="str">
            <v>15443836    -    MOUNT STABILIZER    -    0.12</v>
          </cell>
        </row>
        <row r="14234">
          <cell r="D14234" t="str">
            <v>15443870    -    CONNECTOR    -    1.127089</v>
          </cell>
        </row>
        <row r="14235">
          <cell r="D14235" t="str">
            <v>15444073    -    MIRROR CHANNEL ASSEMBLY    -    0.17052</v>
          </cell>
        </row>
        <row r="14236">
          <cell r="D14236" t="str">
            <v>15444170    -    BEC SPLASH SHIELD    -    2.1791</v>
          </cell>
        </row>
        <row r="14237">
          <cell r="D14237" t="str">
            <v>15444548    -    UPPER HOUSING    -    1.495</v>
          </cell>
        </row>
        <row r="14238">
          <cell r="D14238" t="str">
            <v>15444549    -    LOWER HOUSING    -    0.799</v>
          </cell>
        </row>
        <row r="14239">
          <cell r="D14239" t="str">
            <v>15444550    -    UPPER HOUSING    -    1.565</v>
          </cell>
        </row>
        <row r="14240">
          <cell r="D14240" t="str">
            <v>15444551    -    LOWER HOUSING    -    0.583</v>
          </cell>
        </row>
        <row r="14241">
          <cell r="D14241" t="str">
            <v>15444562    -    CONN 16F MQS MCP    -    0.129</v>
          </cell>
        </row>
        <row r="14242">
          <cell r="D14242" t="str">
            <v>15444569    -    ASM HD 69M MIC/P 100W    -    0</v>
          </cell>
        </row>
        <row r="14243">
          <cell r="D14243" t="str">
            <v>15444629    -    5W CONNECTOR    -    0.242641</v>
          </cell>
        </row>
        <row r="14244">
          <cell r="D14244" t="str">
            <v>15444637    -    CONN 52F    -    1.17</v>
          </cell>
        </row>
        <row r="14245">
          <cell r="D14245" t="str">
            <v>15444653    -    CONN ASM    -    2.3</v>
          </cell>
        </row>
        <row r="14246">
          <cell r="D14246" t="str">
            <v>15444654    -    CONN ASM    -    2.1</v>
          </cell>
        </row>
        <row r="14247">
          <cell r="D14247" t="str">
            <v>15444656    -    4 WAY F CONN    -    0.17493</v>
          </cell>
        </row>
        <row r="14248">
          <cell r="D14248" t="str">
            <v>15444660    -    2G 280 UNSEALED    -    0.25484</v>
          </cell>
        </row>
        <row r="14249">
          <cell r="D14249" t="str">
            <v>15444673    -    TAXI CONN    -    0.18</v>
          </cell>
        </row>
        <row r="14250">
          <cell r="D14250" t="str">
            <v>15445018    -    TAXI CONN    -    0.12063</v>
          </cell>
        </row>
        <row r="14251">
          <cell r="D14251" t="str">
            <v>15445027    -    SHIPPING CAP    -    0.044</v>
          </cell>
        </row>
        <row r="14252">
          <cell r="D14252" t="str">
            <v>15445119    -    CONN    -    0.22436</v>
          </cell>
        </row>
        <row r="14253">
          <cell r="D14253" t="str">
            <v>15445771    -    RETAINER    -    0.0424</v>
          </cell>
        </row>
        <row r="14254">
          <cell r="D14254" t="str">
            <v>15445780    -    CLIP    -    0.08498</v>
          </cell>
        </row>
        <row r="14255">
          <cell r="D14255" t="str">
            <v>15445781    -    CONN 3M    -    0.788</v>
          </cell>
        </row>
        <row r="14256">
          <cell r="D14256" t="str">
            <v>15445782    -    CLIP    -    0.05569</v>
          </cell>
        </row>
        <row r="14257">
          <cell r="D14257" t="str">
            <v>15445784    -    CHANNEL LWR    -    1.3192</v>
          </cell>
        </row>
        <row r="14258">
          <cell r="D14258" t="str">
            <v>15445786    -    WIRE TIE    -    0.05</v>
          </cell>
        </row>
        <row r="14259">
          <cell r="D14259" t="str">
            <v>15445799    -    ASM CONN    -    0.12873</v>
          </cell>
        </row>
        <row r="14260">
          <cell r="D14260" t="str">
            <v>15445800    -    CLIP    -    0.09866</v>
          </cell>
        </row>
        <row r="14261">
          <cell r="D14261" t="str">
            <v>15445801    -    WIRE TIE    -    0.165</v>
          </cell>
        </row>
        <row r="14262">
          <cell r="D14262" t="str">
            <v>15445802    -    CONN 12M    -    0.17673</v>
          </cell>
        </row>
        <row r="14263">
          <cell r="D14263" t="str">
            <v>15445803    -    ASM COUPLING 11M    -    0.47236</v>
          </cell>
        </row>
        <row r="14264">
          <cell r="D14264" t="str">
            <v>15445804    -    CONNECTOR    -    0.1342</v>
          </cell>
        </row>
        <row r="14265">
          <cell r="D14265" t="str">
            <v>15445813    -    ASM CONN 8F    -    0.33382</v>
          </cell>
        </row>
        <row r="14266">
          <cell r="D14266" t="str">
            <v>15445814    -    CONN 8M    -    0.252</v>
          </cell>
        </row>
        <row r="14267">
          <cell r="D14267" t="str">
            <v>15445815    -    CONNECTOR 2F    -    0.6452</v>
          </cell>
        </row>
        <row r="14268">
          <cell r="D14268" t="str">
            <v>15445817    -    HOLDER CONN    -    0.225</v>
          </cell>
        </row>
        <row r="14269">
          <cell r="D14269" t="str">
            <v>15445818    -    CLIP    -    0.08421</v>
          </cell>
        </row>
        <row r="14270">
          <cell r="D14270" t="str">
            <v>15445820    -    CLAMP    -    0.03</v>
          </cell>
        </row>
        <row r="14271">
          <cell r="D14271" t="str">
            <v>15445822    -    CONNECTOR    -    0.3791</v>
          </cell>
        </row>
        <row r="14272">
          <cell r="D14272" t="str">
            <v>15445830    -    CLIP    -    0.18231</v>
          </cell>
        </row>
        <row r="14273">
          <cell r="D14273" t="str">
            <v>15445832    -    ASM CONN 12F    -    0.13091</v>
          </cell>
        </row>
        <row r="14274">
          <cell r="D14274" t="str">
            <v>15445833    -    ASM CONN    -    0.192</v>
          </cell>
        </row>
        <row r="14275">
          <cell r="D14275" t="str">
            <v>15445838    -    CONN 8F SLD    -    0.52225</v>
          </cell>
        </row>
        <row r="14276">
          <cell r="D14276" t="str">
            <v>15445839    -    ASM CONN 4M    -    0.22255</v>
          </cell>
        </row>
        <row r="14277">
          <cell r="D14277" t="str">
            <v>15445841    -    CHANNEL    -    0.79044</v>
          </cell>
        </row>
        <row r="14278">
          <cell r="D14278" t="str">
            <v>15445842    -    CHANNEL    -    0.78388</v>
          </cell>
        </row>
        <row r="14279">
          <cell r="D14279" t="str">
            <v>15445843    -    CLIP HARNES    -    0.04752</v>
          </cell>
        </row>
        <row r="14280">
          <cell r="D14280" t="str">
            <v>15445844    -    CHAANNEL HARN    -    0.72436</v>
          </cell>
        </row>
        <row r="14281">
          <cell r="D14281" t="str">
            <v>15445846    -    CONNECTOR 2F    -    0.144</v>
          </cell>
        </row>
        <row r="14282">
          <cell r="D14282" t="str">
            <v>15445848    -    CLIP    -    0.0519</v>
          </cell>
        </row>
        <row r="14283">
          <cell r="D14283" t="str">
            <v>15445852    -    CLIP    -    0.20968</v>
          </cell>
        </row>
        <row r="14284">
          <cell r="D14284" t="str">
            <v>15445855    -    CONNECTOR 10-WAY    -    1.186083</v>
          </cell>
        </row>
        <row r="14285">
          <cell r="D14285" t="str">
            <v>15445861    -    CONNECTOR 12F    -    22.1</v>
          </cell>
        </row>
        <row r="14286">
          <cell r="D14286" t="str">
            <v>15445871    -    FLE-C-G8F 04111 8F CONN    -    0.210108</v>
          </cell>
        </row>
        <row r="14287">
          <cell r="D14287" t="str">
            <v>15445872    -    LEVEL ASSY. 42    -    0.63535</v>
          </cell>
        </row>
        <row r="14288">
          <cell r="D14288" t="str">
            <v>15445873    -    FLE/-C--J8F-GR 040III 8F CONN    -    0.212118</v>
          </cell>
        </row>
        <row r="14289">
          <cell r="D14289" t="str">
            <v>15445874    -    FLE/-C-K8F-B040III 8F CONN    -    0.212118</v>
          </cell>
        </row>
        <row r="14290">
          <cell r="D14290" t="str">
            <v>15445875    -    FDS-C-D6F 090II 6F CONN    -    0.167885</v>
          </cell>
        </row>
        <row r="14291">
          <cell r="D14291" t="str">
            <v>15445876    -    FDS-C-E6F-GR 090II 6F CONN    -    0.171906</v>
          </cell>
        </row>
        <row r="14292">
          <cell r="D14292" t="str">
            <v>15445877    -    FDS-C-CG6F-B 090II 6F CONN    -    0.171906</v>
          </cell>
        </row>
        <row r="14293">
          <cell r="D14293" t="str">
            <v>15445878    -    FLE/FDS18-C-B42M GR    -    0.634344</v>
          </cell>
        </row>
        <row r="14294">
          <cell r="D14294" t="str">
            <v>15445879    -    CONNECTOR 5F    -    0.625</v>
          </cell>
        </row>
        <row r="14295">
          <cell r="D14295" t="str">
            <v>15445882    -    CONNECTOR 4F 064 YEL    -    0.72873</v>
          </cell>
        </row>
        <row r="14296">
          <cell r="D14296" t="str">
            <v>15445885    -    CONN 10F HYB 090II/025II    -    0.1549</v>
          </cell>
        </row>
        <row r="14297">
          <cell r="D14297" t="str">
            <v>15445886    -    CONNECTOR 4F    -    0.19745</v>
          </cell>
        </row>
        <row r="14298">
          <cell r="D14298" t="str">
            <v>15445887    -    CONNECTOR 040III    -    0.54218</v>
          </cell>
        </row>
        <row r="14299">
          <cell r="D14299" t="str">
            <v>15445888    -    CONNECTOR 4F    -    0.66109</v>
          </cell>
        </row>
        <row r="14300">
          <cell r="D14300" t="str">
            <v>15445893    -    8WAY CONN    -    0.367025</v>
          </cell>
        </row>
        <row r="14301">
          <cell r="D14301" t="str">
            <v>15445894    -    8-WAY CONNECTOR    -    0.140603</v>
          </cell>
        </row>
        <row r="14302">
          <cell r="D14302" t="str">
            <v>15445899    -    CONN 2F    -    0.28255</v>
          </cell>
        </row>
        <row r="14303">
          <cell r="D14303" t="str">
            <v>15445901    -    CONNECTOR 20F    -    0.1745</v>
          </cell>
        </row>
        <row r="14304">
          <cell r="D14304" t="str">
            <v>15445916    -    CONN    -    1.45</v>
          </cell>
        </row>
        <row r="14305">
          <cell r="D14305" t="str">
            <v>15445920    -    CONNECTOR    -    0.57727</v>
          </cell>
        </row>
        <row r="14306">
          <cell r="D14306" t="str">
            <v>15445924    -    CONN    -    0.198</v>
          </cell>
        </row>
        <row r="14307">
          <cell r="D14307" t="str">
            <v>15445925    -    SPACER    -    0.02009</v>
          </cell>
        </row>
        <row r="14308">
          <cell r="D14308" t="str">
            <v>15445930    -    12 WAY HYBRID MALE B POLARITY    -    0.28929</v>
          </cell>
        </row>
        <row r="14309">
          <cell r="D14309" t="str">
            <v>15445931    -    12 WAY HYBRID MALE B POLARITY    -    0.33984</v>
          </cell>
        </row>
        <row r="14310">
          <cell r="D14310" t="str">
            <v>15445975    -    EYELET    -    0.492</v>
          </cell>
        </row>
        <row r="14311">
          <cell r="D14311" t="str">
            <v>15446053    -    ABS MODULE CONNECTION    -    3.29</v>
          </cell>
        </row>
        <row r="14312">
          <cell r="D14312" t="str">
            <v>15446054    -    ABS MODULE CONNECTION    -    3.29</v>
          </cell>
        </row>
        <row r="14313">
          <cell r="D14313" t="str">
            <v>15446055    -    ABS MODULE CONNECTION    -    3.29</v>
          </cell>
        </row>
        <row r="14314">
          <cell r="D14314" t="str">
            <v>15446056    -    ABS MODULE CONNECTION    -    3.29</v>
          </cell>
        </row>
        <row r="14315">
          <cell r="D14315" t="str">
            <v>15446208    -    34W STABILIZER PLATE    -    0.031</v>
          </cell>
        </row>
        <row r="14316">
          <cell r="D14316" t="str">
            <v>15447995    -    ASM CONN LK SHROUD    -    0.244</v>
          </cell>
        </row>
        <row r="14317">
          <cell r="D14317" t="str">
            <v>15447996    -    CONN    -    0.244</v>
          </cell>
        </row>
        <row r="14318">
          <cell r="D14318" t="str">
            <v>15448016    -    CABLE TIE ROSEBUD HD    -    0.01536</v>
          </cell>
        </row>
        <row r="14319">
          <cell r="D14319" t="str">
            <v>15448098    -    ASM 4M    -    0.52</v>
          </cell>
        </row>
        <row r="14320">
          <cell r="D14320" t="str">
            <v>15448099    -    CONN 6W    -    0.23648</v>
          </cell>
        </row>
        <row r="14321">
          <cell r="D14321" t="str">
            <v>15448101    -    CONN    -    0.52152</v>
          </cell>
        </row>
        <row r="14322">
          <cell r="D14322" t="str">
            <v>15448105    -    CONN 4W    -    1.06896</v>
          </cell>
        </row>
        <row r="14323">
          <cell r="D14323" t="str">
            <v>15448109    -    CONN 4M    -    0.20903</v>
          </cell>
        </row>
        <row r="14324">
          <cell r="D14324" t="str">
            <v>15448111    -    CONN 52F    -    1.17</v>
          </cell>
        </row>
        <row r="14325">
          <cell r="D14325" t="str">
            <v>15448120    -    CONN 52M    -    1.239</v>
          </cell>
        </row>
        <row r="14326">
          <cell r="D14326" t="str">
            <v>15448123    -    CONN 12W    -    0.42967</v>
          </cell>
        </row>
        <row r="14327">
          <cell r="D14327" t="str">
            <v>15448124    -    CONN SLD    -    0.53762</v>
          </cell>
        </row>
        <row r="14328">
          <cell r="D14328" t="str">
            <v>15448125    -    CONN 52F .64    -    1.17</v>
          </cell>
        </row>
        <row r="14329">
          <cell r="D14329" t="str">
            <v>15448126    -    CONN 7W    -    0.492</v>
          </cell>
        </row>
        <row r="14330">
          <cell r="D14330" t="str">
            <v>15448183    -    CONNECTOR 12F    -    0.33984</v>
          </cell>
        </row>
        <row r="14331">
          <cell r="D14331" t="str">
            <v>15448184    -    CONNECTOR 12F    -    0.28929</v>
          </cell>
        </row>
        <row r="14332">
          <cell r="D14332" t="str">
            <v>15448292    -    CAVITY PLUG    -    0.02</v>
          </cell>
        </row>
        <row r="14333">
          <cell r="D14333" t="str">
            <v>15448331    -    CONNECTOR    -    0.33984</v>
          </cell>
        </row>
        <row r="14334">
          <cell r="D14334" t="str">
            <v>15448445    -    CONN BUSS 22M    -    0.332754</v>
          </cell>
        </row>
        <row r="14335">
          <cell r="D14335" t="str">
            <v>15448447    -    CONN 8F    -    0.26868</v>
          </cell>
        </row>
        <row r="14336">
          <cell r="D14336" t="str">
            <v>15448454    -    CONNECTOR 4F    -    0.144</v>
          </cell>
        </row>
        <row r="14337">
          <cell r="D14337" t="str">
            <v>15448455    -    JUNCTION CONN    -    0.0916</v>
          </cell>
        </row>
        <row r="14338">
          <cell r="D14338" t="str">
            <v>15448465    -    CONN 5W    -    0.45</v>
          </cell>
        </row>
        <row r="14339">
          <cell r="D14339" t="str">
            <v>15448474    -    CONN BLACK    -    0.06</v>
          </cell>
        </row>
        <row r="14340">
          <cell r="D14340" t="str">
            <v>15448475    -    CPA    -    0.03</v>
          </cell>
        </row>
        <row r="14341">
          <cell r="D14341" t="str">
            <v>15448482    -    PLUG    -    0.24773</v>
          </cell>
        </row>
        <row r="14342">
          <cell r="D14342" t="str">
            <v>15448487    -    HOLDER CONN    -    0.093</v>
          </cell>
        </row>
        <row r="14343">
          <cell r="D14343" t="str">
            <v>15448502    -    CLIP HARNESS    -    0.11</v>
          </cell>
        </row>
        <row r="14344">
          <cell r="D14344" t="str">
            <v>15448503    -    CLIP HARNESS    -    0.0382</v>
          </cell>
        </row>
        <row r="14345">
          <cell r="D14345" t="str">
            <v>15448504    -    PROTECTOR    -    0.47127</v>
          </cell>
        </row>
        <row r="14346">
          <cell r="D14346" t="str">
            <v>15448509    -    PROTECTOR    -    0.27949</v>
          </cell>
        </row>
        <row r="14347">
          <cell r="D14347" t="str">
            <v>15448512    -    CONNECTOR 2 WAY    -    0.053354</v>
          </cell>
        </row>
        <row r="14348">
          <cell r="D14348" t="str">
            <v>15448513    -    CONNECTOR 8 WAY    -    0.597022</v>
          </cell>
        </row>
        <row r="14349">
          <cell r="D14349" t="str">
            <v>15448514    -    CONNECTOR 4 WAY    -    0.065727</v>
          </cell>
        </row>
        <row r="14350">
          <cell r="D14350" t="str">
            <v>15448515    -    CONNECTOR 4 WAY    -    0.065727</v>
          </cell>
        </row>
        <row r="14351">
          <cell r="D14351" t="str">
            <v>15448516    -    CONNECTOR 2 WAY    -    0.51996</v>
          </cell>
        </row>
        <row r="14352">
          <cell r="D14352" t="str">
            <v>15448517    -    CONNECTOR 2 WAY    -    0.059277</v>
          </cell>
        </row>
        <row r="14353">
          <cell r="D14353" t="str">
            <v>15448537    -    COVER    -    0.64143</v>
          </cell>
        </row>
        <row r="14354">
          <cell r="D14354" t="str">
            <v>15448543    -    CLAMP    -    0.15</v>
          </cell>
        </row>
        <row r="14355">
          <cell r="D14355" t="str">
            <v>15448593    -    CONN    -    0.9626</v>
          </cell>
        </row>
        <row r="14356">
          <cell r="D14356" t="str">
            <v>15448594    -    ASM CONN 7 F 1.5 GRA    -    0.60775</v>
          </cell>
        </row>
        <row r="14357">
          <cell r="D14357" t="str">
            <v>15448597    -    CONN 8M BLA, SEALED    -    0.19171</v>
          </cell>
        </row>
        <row r="14358">
          <cell r="D14358" t="str">
            <v>15448601    -    CONNECTOR    -    0.19171</v>
          </cell>
        </row>
        <row r="14359">
          <cell r="D14359" t="str">
            <v>15448603    -    10 WAY CONN    -    0.28914</v>
          </cell>
        </row>
        <row r="14360">
          <cell r="D14360" t="str">
            <v>15448604    -    CONNECTOR    -    0.09077</v>
          </cell>
        </row>
        <row r="14361">
          <cell r="D14361" t="str">
            <v>15448606    -    MOUN SPACER    -    0.026447</v>
          </cell>
        </row>
        <row r="14362">
          <cell r="D14362" t="str">
            <v>15448607    -    CONNECTOR 16W GRAY    -    0.17553</v>
          </cell>
        </row>
        <row r="14363">
          <cell r="D14363" t="str">
            <v>15448609    -    MOUN SPACER    -    0.028876</v>
          </cell>
        </row>
        <row r="14364">
          <cell r="D14364" t="str">
            <v>15448610    -    CONN    -    0.84</v>
          </cell>
        </row>
        <row r="14365">
          <cell r="D14365" t="str">
            <v>15448611    -    CONN COVER    -    0.22</v>
          </cell>
        </row>
        <row r="14366">
          <cell r="D14366" t="str">
            <v>15448701    -    2W CONNECTOR GRAY HOUSING    -    0.25</v>
          </cell>
        </row>
        <row r="14367">
          <cell r="D14367" t="str">
            <v>15448721    -    CONNECTOR    -    0.58</v>
          </cell>
        </row>
        <row r="14368">
          <cell r="D14368" t="str">
            <v>15448749    -    26W CONN SHROUD    -    0.244</v>
          </cell>
        </row>
        <row r="14369">
          <cell r="D14369" t="str">
            <v>15448750    -    26W CONN SHROUD    -    0.244</v>
          </cell>
        </row>
        <row r="14370">
          <cell r="D14370" t="str">
            <v>15448849    -    CONNECTOR    -    1.82</v>
          </cell>
        </row>
        <row r="14371">
          <cell r="D14371" t="str">
            <v>15448853    -    CONN    -    1.8</v>
          </cell>
        </row>
        <row r="14372">
          <cell r="D14372" t="str">
            <v>15448854    -    CONN    -    1.8</v>
          </cell>
        </row>
        <row r="14373">
          <cell r="D14373" t="str">
            <v>15448855    -    CONN    -    1.75</v>
          </cell>
        </row>
        <row r="14374">
          <cell r="D14374" t="str">
            <v>15448856    -    CONN    -    1.8</v>
          </cell>
        </row>
        <row r="14375">
          <cell r="D14375" t="str">
            <v>15448866    -    CONNECTOR    -    0.1</v>
          </cell>
        </row>
        <row r="14376">
          <cell r="D14376" t="str">
            <v>15448869    -    CONNECTOR    -    0.552</v>
          </cell>
        </row>
        <row r="14377">
          <cell r="D14377" t="str">
            <v>15448870    -    CONNECTOR    -    0.3293</v>
          </cell>
        </row>
        <row r="14378">
          <cell r="D14378" t="str">
            <v>15448894    -    CONN    -    0.15</v>
          </cell>
        </row>
        <row r="14379">
          <cell r="D14379" t="str">
            <v>15449019    -    UPPER HOUSING    -    1.64</v>
          </cell>
        </row>
        <row r="14380">
          <cell r="D14380" t="str">
            <v>15449022    -    LOWER HOUSING    -    1.55</v>
          </cell>
        </row>
        <row r="14381">
          <cell r="D14381" t="str">
            <v>15449024    -    CONN    -    0.11795</v>
          </cell>
        </row>
        <row r="14382">
          <cell r="D14382" t="str">
            <v>15449363    -    CONN    -    0.1251</v>
          </cell>
        </row>
        <row r="14383">
          <cell r="D14383" t="str">
            <v>15449436    -    CONNECTOR    -    0.0364</v>
          </cell>
        </row>
        <row r="14384">
          <cell r="D14384" t="str">
            <v>15449438    -    CONNECTOR 4M    -    0.13665</v>
          </cell>
        </row>
        <row r="14385">
          <cell r="D14385" t="str">
            <v>15449449    -    CONN 30M, U HYRID    -    0.595</v>
          </cell>
        </row>
        <row r="14386">
          <cell r="D14386" t="str">
            <v>15449452    -    SPACER    -    0.03408</v>
          </cell>
        </row>
        <row r="14387">
          <cell r="D14387" t="str">
            <v>15449873    -    CONNECTOR 3F    -    0.297</v>
          </cell>
        </row>
        <row r="14388">
          <cell r="D14388" t="str">
            <v>15449890    -    CONN    -    0.01199</v>
          </cell>
        </row>
        <row r="14389">
          <cell r="D14389" t="str">
            <v>15450272    -    CONN 30M MXD    -    0.331</v>
          </cell>
        </row>
        <row r="14390">
          <cell r="D14390" t="str">
            <v>15450317    -    CONNECTOR    -    0.1402</v>
          </cell>
        </row>
        <row r="14391">
          <cell r="D14391" t="str">
            <v>15450496    -    INSERT MOLDED PASS THRU CONN ONLY    -    0.39442</v>
          </cell>
        </row>
        <row r="14392">
          <cell r="D14392" t="str">
            <v>15450642    -    CONNECTOR 4F    -    0.17287</v>
          </cell>
        </row>
        <row r="14393">
          <cell r="D14393" t="str">
            <v>15450643    -    MOUN SPACER    -    0.024558</v>
          </cell>
        </row>
        <row r="14394">
          <cell r="D14394" t="str">
            <v>15450644    -    MOUN SPACER    -    0.023884</v>
          </cell>
        </row>
        <row r="14395">
          <cell r="D14395" t="str">
            <v>15450645    -    CONNECTOR 16F    -    0.28914</v>
          </cell>
        </row>
        <row r="14396">
          <cell r="D14396" t="str">
            <v>15450646    -    CONNECTOR 16F    -    0.28914</v>
          </cell>
        </row>
        <row r="14397">
          <cell r="D14397" t="str">
            <v>15450647    -    CONNECTOR 8F    -    0.19171</v>
          </cell>
        </row>
        <row r="14398">
          <cell r="D14398" t="str">
            <v>15450648    -    CONNECTOR 4M    -    0.38775</v>
          </cell>
        </row>
        <row r="14399">
          <cell r="D14399" t="str">
            <v>15450649    -    CONNECTOR    -    0.03106</v>
          </cell>
        </row>
        <row r="14400">
          <cell r="D14400" t="str">
            <v>15450651    -    CONNECTOR    -    0.20963</v>
          </cell>
        </row>
        <row r="14401">
          <cell r="D14401" t="str">
            <v>15450652    -    CONNECTOR    -    0.28929</v>
          </cell>
        </row>
        <row r="14402">
          <cell r="D14402" t="str">
            <v>15450653    -    CONNECTOR    -    1.87</v>
          </cell>
        </row>
        <row r="14403">
          <cell r="D14403" t="str">
            <v>15450656    -    CONN 3F    -    0.287</v>
          </cell>
        </row>
        <row r="14404">
          <cell r="D14404" t="str">
            <v>15450658    -    CONNECTOR 16M    -    0.20963</v>
          </cell>
        </row>
        <row r="14405">
          <cell r="D14405" t="str">
            <v>15450659    -    CONNECTOR 8M    -    0.26594</v>
          </cell>
        </row>
        <row r="14406">
          <cell r="D14406" t="str">
            <v>15450661    -    CONN    -    1.683</v>
          </cell>
        </row>
        <row r="14407">
          <cell r="D14407" t="str">
            <v>15450662    -    CONNECTOR 8F    -    0.21099</v>
          </cell>
        </row>
        <row r="14408">
          <cell r="D14408" t="str">
            <v>15450663    -    CONNECTOR 4F    -    0.17336</v>
          </cell>
        </row>
        <row r="14409">
          <cell r="D14409" t="str">
            <v>15450664    -    CONN 42F    -    0.872</v>
          </cell>
        </row>
        <row r="14410">
          <cell r="D14410" t="str">
            <v>15450665    -    CONNECTOR    -    1.45922</v>
          </cell>
        </row>
        <row r="14411">
          <cell r="D14411" t="str">
            <v>15450668    -    CONNECTOR    -    0.00747</v>
          </cell>
        </row>
        <row r="14412">
          <cell r="D14412" t="str">
            <v>15450669    -    CONNECTOR    -    0.06603</v>
          </cell>
        </row>
        <row r="14413">
          <cell r="D14413" t="str">
            <v>15450670    -    CONNECTOR    -    0.466</v>
          </cell>
        </row>
        <row r="14414">
          <cell r="D14414" t="str">
            <v>15450671    -    CONNECTOR    -    0.4384</v>
          </cell>
        </row>
        <row r="14415">
          <cell r="D14415" t="str">
            <v>15450672    -    CONNECTOR    -    0.01165</v>
          </cell>
        </row>
        <row r="14416">
          <cell r="D14416" t="str">
            <v>15450673    -    CONNECTOR    -    0.299</v>
          </cell>
        </row>
        <row r="14417">
          <cell r="D14417" t="str">
            <v>15450675    -    CONNECTOR    -    0.15702</v>
          </cell>
        </row>
        <row r="14418">
          <cell r="D14418" t="str">
            <v>15450676    -    CONNECTOR    -    0.24666</v>
          </cell>
        </row>
        <row r="14419">
          <cell r="D14419" t="str">
            <v>15450677    -    CONNECTOR    -    0.24666</v>
          </cell>
        </row>
        <row r="14420">
          <cell r="D14420" t="str">
            <v>15450678    -    CONNECTOR    -    0.27748</v>
          </cell>
        </row>
        <row r="14421">
          <cell r="D14421" t="str">
            <v>15450679    -    CONNECTOR    -    0.11927</v>
          </cell>
        </row>
        <row r="14422">
          <cell r="D14422" t="str">
            <v>15450680    -    CONNECTOR    -    0.20963</v>
          </cell>
        </row>
        <row r="14423">
          <cell r="D14423" t="str">
            <v>15450681    -    CONNECTOR    -    0.28914</v>
          </cell>
        </row>
        <row r="14424">
          <cell r="D14424" t="str">
            <v>15450682    -    CONNECTOR    -    0.26154</v>
          </cell>
        </row>
        <row r="14425">
          <cell r="D14425" t="str">
            <v>15450683    -    CONNECTOR    -    0.28914</v>
          </cell>
        </row>
        <row r="14426">
          <cell r="D14426" t="str">
            <v>15450684    -    CONNECTOR    -    0.28914</v>
          </cell>
        </row>
        <row r="14427">
          <cell r="D14427" t="str">
            <v>15450685    -    CONNECTOR    -    0.28914</v>
          </cell>
        </row>
        <row r="14428">
          <cell r="D14428" t="str">
            <v>15450686    -    CONNECTOR    -    0.20963</v>
          </cell>
        </row>
        <row r="14429">
          <cell r="D14429" t="str">
            <v>15450687    -    CONNECTOR    -    1.09301</v>
          </cell>
        </row>
        <row r="14430">
          <cell r="D14430" t="str">
            <v>15450688    -    CONNECTOR    -    1.09301</v>
          </cell>
        </row>
        <row r="14431">
          <cell r="D14431" t="str">
            <v>15450689    -    CONNECTOR    -    0.21099</v>
          </cell>
        </row>
        <row r="14432">
          <cell r="D14432" t="str">
            <v>15450690    -    CONN 42F    -    0.872</v>
          </cell>
        </row>
        <row r="14433">
          <cell r="D14433" t="str">
            <v>15450692    -    CONNECTOR    -    0.01294</v>
          </cell>
        </row>
        <row r="14434">
          <cell r="D14434" t="str">
            <v>15450693    -    CONNECTOR 2F    -    0.07041</v>
          </cell>
        </row>
        <row r="14435">
          <cell r="D14435" t="str">
            <v>15450694    -    CONN 2M    -    0.03674</v>
          </cell>
        </row>
        <row r="14436">
          <cell r="D14436" t="str">
            <v>15450695    -    CONN 1F    -    0.02232</v>
          </cell>
        </row>
        <row r="14437">
          <cell r="D14437" t="str">
            <v>15450702    -    CONN 42W    -    0.9626</v>
          </cell>
        </row>
        <row r="14438">
          <cell r="D14438" t="str">
            <v>15450704    -    CONN 6W    -    0.14569</v>
          </cell>
        </row>
        <row r="14439">
          <cell r="D14439" t="str">
            <v>15450705    -    CONN 8W    -    0.23085</v>
          </cell>
        </row>
        <row r="14440">
          <cell r="D14440" t="str">
            <v>15450706    -    CONNECTOR 6 WAY    -    0.14006</v>
          </cell>
        </row>
        <row r="14441">
          <cell r="D14441" t="str">
            <v>15450707    -    CONNECTOR    -    0.506</v>
          </cell>
        </row>
        <row r="14442">
          <cell r="D14442" t="str">
            <v>15450708    -    CONNCTOR 4 WAYS    -    0.04455</v>
          </cell>
        </row>
        <row r="14443">
          <cell r="D14443" t="str">
            <v>15450709    -    CONN    -    0.1382</v>
          </cell>
        </row>
        <row r="14444">
          <cell r="D14444" t="str">
            <v>15450710    -    CONN 14W    -    0.15184</v>
          </cell>
        </row>
        <row r="14445">
          <cell r="D14445" t="str">
            <v>15450711    -    CONN 14W    -    0.15184</v>
          </cell>
        </row>
        <row r="14446">
          <cell r="D14446" t="str">
            <v>15450712    -    CONN 4 WAY    -    0.03843</v>
          </cell>
        </row>
        <row r="14447">
          <cell r="D14447" t="str">
            <v>15450713    -    CONN 2 WAY BLK    -    0.164985</v>
          </cell>
        </row>
        <row r="14448">
          <cell r="D14448" t="str">
            <v>15450714    -    CONN 5 WAY MALE    -    0.05415</v>
          </cell>
        </row>
        <row r="14449">
          <cell r="D14449" t="str">
            <v>15450715    -    CONN 2 WAY MALE    -    0.01568</v>
          </cell>
        </row>
        <row r="14450">
          <cell r="D14450" t="str">
            <v>15450716    -    CONN 9 WAY    -    0.1229</v>
          </cell>
        </row>
        <row r="14451">
          <cell r="D14451" t="str">
            <v>15450717    -    CONN 2 WAY    -    0.13665</v>
          </cell>
        </row>
        <row r="14452">
          <cell r="D14452" t="str">
            <v>15450719    -    CONNECTOR 16W BLACK    -    0.28914</v>
          </cell>
        </row>
        <row r="14453">
          <cell r="D14453" t="str">
            <v>15450720    -    CONN 16 WAY    -    0.20963</v>
          </cell>
        </row>
        <row r="14454">
          <cell r="D14454" t="str">
            <v>15450721    -    CONN 8 WAY    -    0.24666</v>
          </cell>
        </row>
        <row r="14455">
          <cell r="D14455" t="str">
            <v>15450722    -    CONN 16 WAY    -    0.20963</v>
          </cell>
        </row>
        <row r="14456">
          <cell r="D14456" t="str">
            <v>15450723    -    CONN 24 WAY FEM    -    1.03761</v>
          </cell>
        </row>
        <row r="14457">
          <cell r="D14457" t="str">
            <v>15450724    -    CONN    -    1.03761</v>
          </cell>
        </row>
        <row r="14458">
          <cell r="D14458" t="str">
            <v>15450725    -    CONN 16 WAY    -    0.20963</v>
          </cell>
        </row>
        <row r="14459">
          <cell r="D14459" t="str">
            <v>15450726    -    CONN 8 WAY    -    0.19171</v>
          </cell>
        </row>
        <row r="14460">
          <cell r="D14460" t="str">
            <v>15450727    -    CONN 8 WAY    -    0.11351</v>
          </cell>
        </row>
        <row r="14461">
          <cell r="D14461" t="str">
            <v>15450728    -    CONN 2 WAY    -    0.23026</v>
          </cell>
        </row>
        <row r="14462">
          <cell r="D14462" t="str">
            <v>15450729    -    CONN 4 WAY    -    0.13665</v>
          </cell>
        </row>
        <row r="14463">
          <cell r="D14463" t="str">
            <v>15450730    -    CONN 24 WAY    -    1.45922</v>
          </cell>
        </row>
        <row r="14464">
          <cell r="D14464" t="str">
            <v>15450731    -    CONN 24 WAY    -    1.09301</v>
          </cell>
        </row>
        <row r="14465">
          <cell r="D14465" t="str">
            <v>15450732    -    CONN 8 WAY    -    0.19171</v>
          </cell>
        </row>
        <row r="14466">
          <cell r="D14466" t="str">
            <v>15450733    -    CONN    -    0.50733</v>
          </cell>
        </row>
        <row r="14467">
          <cell r="D14467" t="str">
            <v>15450734    -    CONNECTOR    -    0.14215</v>
          </cell>
        </row>
        <row r="14468">
          <cell r="D14468" t="str">
            <v>15450735    -    CONNECTOR 12 WAY    -    0.5231</v>
          </cell>
        </row>
        <row r="14469">
          <cell r="D14469" t="str">
            <v>15450736    -    CONN 16 WAY    -    0.20963</v>
          </cell>
        </row>
        <row r="14470">
          <cell r="D14470" t="str">
            <v>15450737    -    CONN 16 WAY    -    0.28914</v>
          </cell>
        </row>
        <row r="14471">
          <cell r="D14471" t="str">
            <v>15450738    -    CONN 2 WAY    -    0.15701</v>
          </cell>
        </row>
        <row r="14472">
          <cell r="D14472" t="str">
            <v>15450739    -    CONN 24 WAY    -    1.09301</v>
          </cell>
        </row>
        <row r="14473">
          <cell r="D14473" t="str">
            <v>15450741    -    SHIELD    -    1.59743</v>
          </cell>
        </row>
        <row r="14474">
          <cell r="D14474" t="str">
            <v>15450742    -    SHIELD    -    0.731</v>
          </cell>
        </row>
        <row r="14475">
          <cell r="D14475" t="str">
            <v>15450746    -    BOTTON COVER    -    0.26109</v>
          </cell>
        </row>
        <row r="14476">
          <cell r="D14476" t="str">
            <v>15450747    -    COVER    -    0.79532</v>
          </cell>
        </row>
        <row r="14477">
          <cell r="D14477" t="str">
            <v>15450748    -    COVER BUSSBAR    -    0.11889</v>
          </cell>
        </row>
        <row r="14478">
          <cell r="D14478" t="str">
            <v>15450749    -    UPPER COVER    -    1.08746</v>
          </cell>
        </row>
        <row r="14479">
          <cell r="D14479" t="str">
            <v>15450750    -    LOWER COVER    -    1.11953</v>
          </cell>
        </row>
        <row r="14480">
          <cell r="D14480" t="str">
            <v>15450763    -    CONN    -    1.98</v>
          </cell>
        </row>
        <row r="14481">
          <cell r="D14481" t="str">
            <v>15450764    -    CONN 42W    -    0.84647</v>
          </cell>
        </row>
        <row r="14482">
          <cell r="D14482" t="str">
            <v>15450766    -    CONN    -    1.98</v>
          </cell>
        </row>
        <row r="14483">
          <cell r="D14483" t="str">
            <v>15450772    -    SPACER    -    0.13455</v>
          </cell>
        </row>
        <row r="14484">
          <cell r="D14484" t="str">
            <v>15450788    -    CONNECTOR    -    0.066</v>
          </cell>
        </row>
        <row r="14485">
          <cell r="D14485" t="str">
            <v>15450789    -    CONNECTOR    -    0.0765</v>
          </cell>
        </row>
        <row r="14486">
          <cell r="D14486" t="str">
            <v>15450795    -    CLIP    -    0.0831</v>
          </cell>
        </row>
        <row r="14487">
          <cell r="D14487" t="str">
            <v>15450806    -    CONNECTOR    -    0.0099</v>
          </cell>
        </row>
        <row r="14488">
          <cell r="D14488" t="str">
            <v>15450808    -    CONN 12    -    0.33984</v>
          </cell>
        </row>
        <row r="14489">
          <cell r="D14489" t="str">
            <v>15450809    -    CLIP    -    0.06296</v>
          </cell>
        </row>
        <row r="14490">
          <cell r="D14490" t="str">
            <v>15450810    -    CONN 4    -    0.27748</v>
          </cell>
        </row>
        <row r="14491">
          <cell r="D14491" t="str">
            <v>15450811    -    CONN 16    -    0.20963</v>
          </cell>
        </row>
        <row r="14492">
          <cell r="D14492" t="str">
            <v>15450812    -    CONN 16    -    0.28914</v>
          </cell>
        </row>
        <row r="14493">
          <cell r="D14493" t="str">
            <v>15450813    -    CONN 16    -    0.15935</v>
          </cell>
        </row>
        <row r="14494">
          <cell r="D14494" t="str">
            <v>15450815    -    WEDGE    -    0.0116</v>
          </cell>
        </row>
        <row r="14495">
          <cell r="D14495" t="str">
            <v>15450816    -    CONNECTOR    -    0.188</v>
          </cell>
        </row>
        <row r="14496">
          <cell r="D14496" t="str">
            <v>15450819    -    CONN 20    -    0.60212</v>
          </cell>
        </row>
        <row r="14497">
          <cell r="D14497" t="str">
            <v>15450820    -    SPACER FOR 1C1T14A464NA    -    0.10579</v>
          </cell>
        </row>
        <row r="14498">
          <cell r="D14498" t="str">
            <v>15450821    -    CONN    -    1.5112</v>
          </cell>
        </row>
        <row r="14499">
          <cell r="D14499" t="str">
            <v>15450829    -    CONN 7 WAY GRAY    -    0.08</v>
          </cell>
        </row>
        <row r="14500">
          <cell r="D14500" t="str">
            <v>15450831    -    CONNECTOR    -    0.06782</v>
          </cell>
        </row>
        <row r="14501">
          <cell r="D14501" t="str">
            <v>15450833    -    CONN 42M    -    0.8082</v>
          </cell>
        </row>
        <row r="14502">
          <cell r="D14502" t="str">
            <v>15450834    -    CONN 2W U F    -    0.04082</v>
          </cell>
        </row>
        <row r="14503">
          <cell r="D14503" t="str">
            <v>15450835    -    CONNECTOR    -    0.33984</v>
          </cell>
        </row>
        <row r="14504">
          <cell r="D14504" t="str">
            <v>15450836    -    CONNECTOR    -    0.05815</v>
          </cell>
        </row>
        <row r="14505">
          <cell r="D14505" t="str">
            <v>15450838    -    CONN 2W    -    0.15152</v>
          </cell>
        </row>
        <row r="14506">
          <cell r="D14506" t="str">
            <v>15450839    -    CONN    -    0.89102</v>
          </cell>
        </row>
        <row r="14507">
          <cell r="D14507" t="str">
            <v>15450848    -    CONNECTOR    -    0.20963</v>
          </cell>
        </row>
        <row r="14508">
          <cell r="D14508" t="str">
            <v>15450850    -    CONNECTOR 24W    -    0.53034</v>
          </cell>
        </row>
        <row r="14509">
          <cell r="D14509" t="str">
            <v>15450901    -    CONN 1 WAY    -    0.06148</v>
          </cell>
        </row>
        <row r="14510">
          <cell r="D14510" t="str">
            <v>15450913    -    CONN 2 WAY    -    0.14218</v>
          </cell>
        </row>
        <row r="14511">
          <cell r="D14511" t="str">
            <v>15450920    -    SPACER    -    0.0583</v>
          </cell>
        </row>
        <row r="14512">
          <cell r="D14512" t="str">
            <v>15450924    -    WEDGE MAXIFUSE    -    0.33963</v>
          </cell>
        </row>
        <row r="14513">
          <cell r="D14513" t="str">
            <v>15450993    -    COVER    -    1.155</v>
          </cell>
        </row>
        <row r="14514">
          <cell r="D14514" t="str">
            <v>15451057    -    16 W F CONN (BLK)    -    0.20963</v>
          </cell>
        </row>
        <row r="14515">
          <cell r="D14515" t="str">
            <v>15451058    -    CONN 10W    -    1.683</v>
          </cell>
        </row>
        <row r="14516">
          <cell r="D14516" t="str">
            <v>15451059    -    CONN 10W    -    1.98</v>
          </cell>
        </row>
        <row r="14517">
          <cell r="D14517" t="str">
            <v>15451060    -    CONN 104 WAY 1 776389 9    -    1.683</v>
          </cell>
        </row>
        <row r="14518">
          <cell r="D14518" t="str">
            <v>15451062    -    CONN 16(GRY)    -    0.28914</v>
          </cell>
        </row>
        <row r="14519">
          <cell r="D14519" t="str">
            <v>15451063    -    CONN 42 WAY    -    0.9626</v>
          </cell>
        </row>
        <row r="14520">
          <cell r="D14520" t="str">
            <v>15451064    -    CONN 104W    -    1.98</v>
          </cell>
        </row>
        <row r="14521">
          <cell r="D14521" t="str">
            <v>15451065    -    CONN 104W    -    1.98</v>
          </cell>
        </row>
        <row r="14522">
          <cell r="D14522" t="str">
            <v>15451066    -    CONNECTOR    -    0.94759</v>
          </cell>
        </row>
        <row r="14523">
          <cell r="D14523" t="str">
            <v>15451067    -    CONN 42W    -    0.89102</v>
          </cell>
        </row>
        <row r="14524">
          <cell r="D14524" t="str">
            <v>15451081    -    CONNECTOR 16F SEALED    -    0.28914</v>
          </cell>
        </row>
        <row r="14525">
          <cell r="D14525" t="str">
            <v>15451082    -    CONNECTOR 16F SEALED    -    0.28914</v>
          </cell>
        </row>
        <row r="14526">
          <cell r="D14526" t="str">
            <v>15451093    -    CONNECTOT    -    0.16556</v>
          </cell>
        </row>
        <row r="14527">
          <cell r="D14527" t="str">
            <v>15451099    -    CONNECTOR    -    0.14422</v>
          </cell>
        </row>
        <row r="14528">
          <cell r="D14528" t="str">
            <v>15451100    -    TPA    -    0.04631</v>
          </cell>
        </row>
        <row r="14529">
          <cell r="D14529" t="str">
            <v>15451123    -    CONN 104W    -    1.98</v>
          </cell>
        </row>
        <row r="14530">
          <cell r="D14530" t="str">
            <v>15451129    -    CONN    -    0.429</v>
          </cell>
        </row>
        <row r="14531">
          <cell r="D14531" t="str">
            <v>15451138    -    CONN    -    1.98</v>
          </cell>
        </row>
        <row r="14532">
          <cell r="D14532" t="str">
            <v>15451142    -    CONN    -    0.89102</v>
          </cell>
        </row>
        <row r="14533">
          <cell r="D14533" t="str">
            <v>15451143    -    CONN    -    0.9626</v>
          </cell>
        </row>
        <row r="14534">
          <cell r="D14534" t="str">
            <v>15451144    -    CONNECTOR    -    0.32504</v>
          </cell>
        </row>
        <row r="14535">
          <cell r="D14535" t="str">
            <v>15451146    -    CONNECTOR    -    0.05491</v>
          </cell>
        </row>
        <row r="14536">
          <cell r="D14536" t="str">
            <v>15451150    -    8 WF CONN (BLK-6)    -    0.24666</v>
          </cell>
        </row>
        <row r="14537">
          <cell r="D14537" t="str">
            <v>15451164    -    CONN 42 WAY    -    1.3063</v>
          </cell>
        </row>
        <row r="14538">
          <cell r="D14538" t="str">
            <v>15451165    -    SHIELD    -    0.192</v>
          </cell>
        </row>
        <row r="14539">
          <cell r="D14539" t="str">
            <v>15451170    -    CONNECTOR 3W BLK    -    0.52</v>
          </cell>
        </row>
        <row r="14540">
          <cell r="D14540" t="str">
            <v>15451192    -    16 WF CONN (BLK)    -    0.20963</v>
          </cell>
        </row>
        <row r="14541">
          <cell r="D14541" t="str">
            <v>15451193    -    CONN    -    1.98</v>
          </cell>
        </row>
        <row r="14542">
          <cell r="D14542" t="str">
            <v>15451194    -    CONNECTOR    -    0.0844</v>
          </cell>
        </row>
        <row r="14543">
          <cell r="D14543" t="str">
            <v>15451201    -    CONN 6 WAY FEM BLUE    -    0.05251</v>
          </cell>
        </row>
        <row r="14544">
          <cell r="D14544" t="str">
            <v>15451203    -    SPACER    -    0.65</v>
          </cell>
        </row>
        <row r="14545">
          <cell r="D14545" t="str">
            <v>15451204    -    CONNECTOR 8 WAY    -    0.0692</v>
          </cell>
        </row>
        <row r="14546">
          <cell r="D14546" t="str">
            <v>15451205    -    CONNECTOR 5W WHITE    -    0.09576</v>
          </cell>
        </row>
        <row r="14547">
          <cell r="D14547" t="str">
            <v>15451206    -    SPACER    -    0.0398</v>
          </cell>
        </row>
        <row r="14548">
          <cell r="D14548" t="str">
            <v>15451207    -    SPACER (BLACK)    -    0.04017</v>
          </cell>
        </row>
        <row r="14549">
          <cell r="D14549" t="str">
            <v>15451208    -    BRACKET    -    0.71345</v>
          </cell>
        </row>
        <row r="14550">
          <cell r="D14550" t="str">
            <v>15451209    -    REDDING STICK    -    1.6625</v>
          </cell>
        </row>
        <row r="14551">
          <cell r="D14551" t="str">
            <v>15451216    -    CONNECTOR    -    0.28914</v>
          </cell>
        </row>
        <row r="14552">
          <cell r="D14552" t="str">
            <v>15451221    -    CONN    -    0.20963</v>
          </cell>
        </row>
        <row r="14553">
          <cell r="D14553" t="str">
            <v>15451223    -    CONNECTOR 2W    -    0.21065</v>
          </cell>
        </row>
        <row r="14554">
          <cell r="D14554" t="str">
            <v>15451230    -    8 WF CONN (BLK-8)    -    0.2466</v>
          </cell>
        </row>
        <row r="14555">
          <cell r="D14555" t="str">
            <v>15451231    -    CONN 2F SEALED    -    0.16205</v>
          </cell>
        </row>
        <row r="14556">
          <cell r="D14556" t="str">
            <v>15451239    -    CONNECTOR    -    0.3384</v>
          </cell>
        </row>
        <row r="14557">
          <cell r="D14557" t="str">
            <v>15451240    -    LOCK    -    0.048</v>
          </cell>
        </row>
        <row r="14558">
          <cell r="D14558" t="str">
            <v>15451241    -    CONNECTOR    -    1.3063</v>
          </cell>
        </row>
        <row r="14559">
          <cell r="D14559" t="str">
            <v>15451243    -    CONNECTOR    -    0.38775</v>
          </cell>
        </row>
        <row r="14560">
          <cell r="D14560" t="str">
            <v>15451247    -    CONN    -    0.17336</v>
          </cell>
        </row>
        <row r="14561">
          <cell r="D14561" t="str">
            <v>15451248    -    CONNECTOR    -    0.28914</v>
          </cell>
        </row>
        <row r="14562">
          <cell r="D14562" t="str">
            <v>15451249    -    CONNECTOR    -    0.17287</v>
          </cell>
        </row>
        <row r="14563">
          <cell r="D14563" t="str">
            <v>15451251    -    RETAINER    -    0.17658</v>
          </cell>
        </row>
        <row r="14564">
          <cell r="D14564" t="str">
            <v>15451253    -    SHIELD    -    0.5866</v>
          </cell>
        </row>
        <row r="14565">
          <cell r="D14565" t="str">
            <v>15451256    -    CONNECTOR    -    0.75</v>
          </cell>
        </row>
        <row r="14566">
          <cell r="D14566" t="str">
            <v>15451257    -    CONN    -    1.15516</v>
          </cell>
        </row>
        <row r="14567">
          <cell r="D14567" t="str">
            <v>15451259    -    CONNECTOR    -    0.28914</v>
          </cell>
        </row>
        <row r="14568">
          <cell r="D14568" t="str">
            <v>15451260    -    CONN    -    0.08808</v>
          </cell>
        </row>
        <row r="14569">
          <cell r="D14569" t="str">
            <v>15451272    -    CONNECTOR 42 WAY    -    1.15516</v>
          </cell>
        </row>
        <row r="14570">
          <cell r="D14570" t="str">
            <v>15451275    -    CONN    -    0.04875</v>
          </cell>
        </row>
        <row r="14571">
          <cell r="D14571" t="str">
            <v>15451276    -    CONN    -    1.98</v>
          </cell>
        </row>
        <row r="14572">
          <cell r="D14572" t="str">
            <v>15451278    -    CONNECTOR    -    0.5096</v>
          </cell>
        </row>
        <row r="14573">
          <cell r="D14573" t="str">
            <v>15451288    -    CONNECTOR    -    0.27748</v>
          </cell>
        </row>
        <row r="14574">
          <cell r="D14574" t="str">
            <v>15451294    -    RETAINER 8W    -    0.331</v>
          </cell>
        </row>
        <row r="14575">
          <cell r="D14575" t="str">
            <v>15451295    -    COVER 8W    -    0.04431</v>
          </cell>
        </row>
        <row r="14576">
          <cell r="D14576" t="str">
            <v>15451297    -    CONN    -    3.55</v>
          </cell>
        </row>
        <row r="14577">
          <cell r="D14577" t="str">
            <v>15451301    -    CONN    -    0.68</v>
          </cell>
        </row>
        <row r="14578">
          <cell r="D14578" t="str">
            <v>15451304    -    CONNECTOR 9 WAY    -    0.16738</v>
          </cell>
        </row>
        <row r="14579">
          <cell r="D14579" t="str">
            <v>15451305    -    CONN 6 WAY    -    0.26869</v>
          </cell>
        </row>
        <row r="14580">
          <cell r="D14580" t="str">
            <v>15451306    -    CONNECTOR    -    0.04544</v>
          </cell>
        </row>
        <row r="14581">
          <cell r="D14581" t="str">
            <v>15451308    -    CONNECTOR 2W    -    0.33834</v>
          </cell>
        </row>
        <row r="14582">
          <cell r="D14582" t="str">
            <v>15451312    -    CONNECTOR 8 WAY    -    0.26594</v>
          </cell>
        </row>
        <row r="14583">
          <cell r="D14583" t="str">
            <v>15451313    -    CONNECTOR 2 WAY    -    0.15806</v>
          </cell>
        </row>
        <row r="14584">
          <cell r="D14584" t="str">
            <v>15451317    -    COVER    -    0.592</v>
          </cell>
        </row>
        <row r="14585">
          <cell r="D14585" t="str">
            <v>15451319    -    CONNECTOR    -    1.15516</v>
          </cell>
        </row>
        <row r="14586">
          <cell r="D14586" t="str">
            <v>15451327    -    CONNECTOR 8W    -    0.3942</v>
          </cell>
        </row>
        <row r="14587">
          <cell r="D14587" t="str">
            <v>15451328    -    CONN    -    0.17418</v>
          </cell>
        </row>
        <row r="14588">
          <cell r="D14588" t="str">
            <v>15451329    -    CONN    -    0.17418</v>
          </cell>
        </row>
        <row r="14589">
          <cell r="D14589" t="str">
            <v>15451330    -    COVER    -    0.01706</v>
          </cell>
        </row>
        <row r="14590">
          <cell r="D14590" t="str">
            <v>15451333    -    COVER    -    0.08959</v>
          </cell>
        </row>
        <row r="14591">
          <cell r="D14591" t="str">
            <v>15451336    -    CONNECTOR    -    0.33158</v>
          </cell>
        </row>
        <row r="14592">
          <cell r="D14592" t="str">
            <v>15451337    -    CONNECTOR    -    0.20963</v>
          </cell>
        </row>
        <row r="14593">
          <cell r="D14593" t="str">
            <v>15451345    -    CONNECTOR    -    0.20963</v>
          </cell>
        </row>
        <row r="14594">
          <cell r="D14594" t="str">
            <v>15451348    -    CONNECTOR    -    1.03761</v>
          </cell>
        </row>
        <row r="14595">
          <cell r="D14595" t="str">
            <v>15451350    -    CONNECTOR    -    0.20963</v>
          </cell>
        </row>
        <row r="14596">
          <cell r="D14596" t="str">
            <v>15451351    -    CONNECTOR    -    0.13665</v>
          </cell>
        </row>
        <row r="14597">
          <cell r="D14597" t="str">
            <v>15451352    -    CONNECTOR    -    0.19504</v>
          </cell>
        </row>
        <row r="14598">
          <cell r="D14598" t="str">
            <v>15451357    -    CONNECTOR    -    0.17287</v>
          </cell>
        </row>
        <row r="14599">
          <cell r="D14599" t="str">
            <v>15451360    -    HOUSING    -    2.6</v>
          </cell>
        </row>
        <row r="14600">
          <cell r="D14600" t="str">
            <v>15451364    -    CONNECTOR    -    0.28914</v>
          </cell>
        </row>
        <row r="14601">
          <cell r="D14601" t="str">
            <v>15451366    -    CONNECTOR    -    1.15516</v>
          </cell>
        </row>
        <row r="14602">
          <cell r="D14602" t="str">
            <v>15451370    -    CONNECTOR    -    0.32862</v>
          </cell>
        </row>
        <row r="14603">
          <cell r="D14603" t="str">
            <v>15451371    -    3 WM FAN CONN    -    0.29972</v>
          </cell>
        </row>
        <row r="14604">
          <cell r="D14604" t="str">
            <v>15451385    -    CONN 2W    -    0.16335</v>
          </cell>
        </row>
        <row r="14605">
          <cell r="D14605" t="str">
            <v>15451389    -    CONN 104W    -    1.98</v>
          </cell>
        </row>
        <row r="14606">
          <cell r="D14606" t="str">
            <v>15451399    -    CONN 3F, GRA, S    -    0.205</v>
          </cell>
        </row>
        <row r="14607">
          <cell r="D14607" t="str">
            <v>15451409    -    CONECTOR    -    0.12442</v>
          </cell>
        </row>
        <row r="14608">
          <cell r="D14608" t="str">
            <v>15451427    -    CONNECTOR    -    1.3063</v>
          </cell>
        </row>
        <row r="14609">
          <cell r="D14609" t="str">
            <v>15451443    -    CONNECTOR 42 WAY    -    1.3063</v>
          </cell>
        </row>
        <row r="14610">
          <cell r="D14610" t="str">
            <v>15451446    -    SPACER    -    0.22116</v>
          </cell>
        </row>
        <row r="14611">
          <cell r="D14611" t="str">
            <v>15451451    -    CONDUIT    -    1.6625</v>
          </cell>
        </row>
        <row r="14612">
          <cell r="D14612" t="str">
            <v>15451454    -    CONN    -    1.98</v>
          </cell>
        </row>
        <row r="14613">
          <cell r="D14613" t="str">
            <v>15451457    -    CONNECTOR    -    1.9</v>
          </cell>
        </row>
        <row r="14614">
          <cell r="D14614" t="str">
            <v>15451458    -    CONNECTOR 4M    -    0.1597</v>
          </cell>
        </row>
        <row r="14615">
          <cell r="D14615" t="str">
            <v>15451462    -    CONNECTOR    -    0.20963</v>
          </cell>
        </row>
        <row r="14616">
          <cell r="D14616" t="str">
            <v>15451464    -    CONN    -    0.20088</v>
          </cell>
        </row>
        <row r="14617">
          <cell r="D14617" t="str">
            <v>15451465    -    CONN 104    -    1.98</v>
          </cell>
        </row>
        <row r="14618">
          <cell r="D14618" t="str">
            <v>15451467    -    CONN 12 WAY    -    0.47445</v>
          </cell>
        </row>
        <row r="14619">
          <cell r="D14619" t="str">
            <v>15451468    -    CONN 16 WAY    -    0.28914</v>
          </cell>
        </row>
        <row r="14620">
          <cell r="D14620" t="str">
            <v>15451472    -    CONNECTOR 1 WAY    -    0.07722</v>
          </cell>
        </row>
        <row r="14621">
          <cell r="D14621" t="str">
            <v>15451473    -    CONNECTOR 42W    -    1.3063</v>
          </cell>
        </row>
        <row r="14622">
          <cell r="D14622" t="str">
            <v>15451480    -    CONN    -    1.98</v>
          </cell>
        </row>
        <row r="14623">
          <cell r="D14623" t="str">
            <v>15451485    -    CONNECTOR    -    0.27748</v>
          </cell>
        </row>
        <row r="14624">
          <cell r="D14624" t="str">
            <v>15451486    -    CONNECTOR    -    0.20042</v>
          </cell>
        </row>
        <row r="14625">
          <cell r="D14625" t="str">
            <v>15451487    -    CONNECTOR    -    0.79166</v>
          </cell>
        </row>
        <row r="14626">
          <cell r="D14626" t="str">
            <v>15451490    -    CONNECTOR    -    0.28914</v>
          </cell>
        </row>
        <row r="14627">
          <cell r="D14627" t="str">
            <v>15451491    -    CONNECTOR    -    0.20963</v>
          </cell>
        </row>
        <row r="14628">
          <cell r="D14628" t="str">
            <v>15451493    -    CONNECTOR    -    0.24666</v>
          </cell>
        </row>
        <row r="14629">
          <cell r="D14629" t="str">
            <v>15451494    -    CONN 14W    -    0.23498</v>
          </cell>
        </row>
        <row r="14630">
          <cell r="D14630" t="str">
            <v>15451505    -    CONN    -    1.98</v>
          </cell>
        </row>
        <row r="14631">
          <cell r="D14631" t="str">
            <v>15451507    -    CONN 104W    -    1.683</v>
          </cell>
        </row>
        <row r="14632">
          <cell r="D14632" t="str">
            <v>15451509    -    CONNECTOR 16 W    -    0.20963</v>
          </cell>
        </row>
        <row r="14633">
          <cell r="D14633" t="str">
            <v>15451534    -    CONNECTOR    -    1.093</v>
          </cell>
        </row>
        <row r="14634">
          <cell r="D14634" t="str">
            <v>15451536    -    CONNECTOR 16 W    -    1.75</v>
          </cell>
        </row>
        <row r="14635">
          <cell r="D14635" t="str">
            <v>15451537    -    CONNECTOR    -    0.24666</v>
          </cell>
        </row>
        <row r="14636">
          <cell r="D14636" t="str">
            <v>15451538    -    CONNECTOR    -    0.19171</v>
          </cell>
        </row>
        <row r="14637">
          <cell r="D14637" t="str">
            <v>15451539    -    RETAINER    -    0.08123</v>
          </cell>
        </row>
        <row r="14638">
          <cell r="D14638" t="str">
            <v>15451540    -    CONNECTOR    -    0.13665</v>
          </cell>
        </row>
        <row r="14639">
          <cell r="D14639" t="str">
            <v>15451541    -    CONNECTOR    -    0.05415</v>
          </cell>
        </row>
        <row r="14640">
          <cell r="D14640" t="str">
            <v>15451556    -    CONN 4W    -    0.03836</v>
          </cell>
        </row>
        <row r="14641">
          <cell r="D14641" t="str">
            <v>15451557    -    CONNECTOR    -    0.38775</v>
          </cell>
        </row>
        <row r="14642">
          <cell r="D14642" t="str">
            <v>15451562    -    CONNECTOR    -    0.04526</v>
          </cell>
        </row>
        <row r="14643">
          <cell r="D14643" t="str">
            <v>15451563    -    MOLDED SOCKET    -    0.205</v>
          </cell>
        </row>
        <row r="14644">
          <cell r="D14644" t="str">
            <v>15451564    -    CONNECTOR 4W    -    0.17336</v>
          </cell>
        </row>
        <row r="14645">
          <cell r="D14645" t="str">
            <v>15451570    -    CONNECTOR    -    1.3063</v>
          </cell>
        </row>
        <row r="14646">
          <cell r="D14646" t="str">
            <v>15451592    -    CONNECTOR    -    0.137</v>
          </cell>
        </row>
        <row r="14647">
          <cell r="D14647" t="str">
            <v>15451594    -    CONN    -    0.38448</v>
          </cell>
        </row>
        <row r="14648">
          <cell r="D14648" t="str">
            <v>15451595    -    CONN 8 WAY    -    0.20042</v>
          </cell>
        </row>
        <row r="14649">
          <cell r="D14649" t="str">
            <v>15451600    -    CONN    -    0.24666</v>
          </cell>
        </row>
        <row r="14650">
          <cell r="D14650" t="str">
            <v>15451601    -    CONN 42 WAY    -    1.15516</v>
          </cell>
        </row>
        <row r="14651">
          <cell r="D14651" t="str">
            <v>15451610    -    CONNECTOR 42 WAY    -    1.15516</v>
          </cell>
        </row>
        <row r="14652">
          <cell r="D14652" t="str">
            <v>15451620    -    CONNECTOR 42W    -    1.3063</v>
          </cell>
        </row>
        <row r="14653">
          <cell r="D14653" t="str">
            <v>15451624    -    CONNECTOR 8W    -    0.19171</v>
          </cell>
        </row>
        <row r="14654">
          <cell r="D14654" t="str">
            <v>15451625    -    CONNECTOR 3 WAY FEMALE GRAY    -    0.32862</v>
          </cell>
        </row>
        <row r="14655">
          <cell r="D14655" t="str">
            <v>15451635    -    CONNECTOR SUB ASS    -    10.63</v>
          </cell>
        </row>
        <row r="14656">
          <cell r="D14656" t="str">
            <v>15451638    -    CONNECTOR 4W    -    0.13665</v>
          </cell>
        </row>
        <row r="14657">
          <cell r="D14657" t="str">
            <v>15451643    -    CONN    -    0.10952</v>
          </cell>
        </row>
        <row r="14658">
          <cell r="D14658" t="str">
            <v>15451644    -    CONN    -    0.10952</v>
          </cell>
        </row>
        <row r="14659">
          <cell r="D14659" t="str">
            <v>15451649    -    CONNECTOR 11W    -    0.09588</v>
          </cell>
        </row>
        <row r="14660">
          <cell r="D14660" t="str">
            <v>15451650    -    CONNECTOR    -    0.28914</v>
          </cell>
        </row>
        <row r="14661">
          <cell r="D14661" t="str">
            <v>15451651    -    CONNECTOR    -    0.23554</v>
          </cell>
        </row>
        <row r="14662">
          <cell r="D14662" t="str">
            <v>15451658    -    COVER    -    0.19618</v>
          </cell>
        </row>
        <row r="14663">
          <cell r="D14663" t="str">
            <v>15451676    -    CONN    -    1.98</v>
          </cell>
        </row>
        <row r="14664">
          <cell r="D14664" t="str">
            <v>15451677    -    CONNECTOR 42 WAY    -    1.3063</v>
          </cell>
        </row>
        <row r="14665">
          <cell r="D14665" t="str">
            <v>15451679    -    CONNECTOR 42 WAY FEMALE    -    1.3063</v>
          </cell>
        </row>
        <row r="14666">
          <cell r="D14666" t="str">
            <v>15451680    -    CONNECTOR 5WAY    -    0.07029</v>
          </cell>
        </row>
        <row r="14667">
          <cell r="D14667" t="str">
            <v>15451681    -    CONNECTOR 8 WAY    -    0.3942</v>
          </cell>
        </row>
        <row r="14668">
          <cell r="D14668" t="str">
            <v>15451684    -    CONNECTOR 4 WAY FEMALE    -    0.15545</v>
          </cell>
        </row>
        <row r="14669">
          <cell r="D14669" t="str">
            <v>15451685    -    CONNECTOR 42 WAY    -    1.15516</v>
          </cell>
        </row>
        <row r="14670">
          <cell r="D14670" t="str">
            <v>15451688    -    CONNECTOR 42 WAY    -    1.3063</v>
          </cell>
        </row>
        <row r="14671">
          <cell r="D14671" t="str">
            <v>15451689    -    CONNECTOR 2 WAY    -    0.17287</v>
          </cell>
        </row>
        <row r="14672">
          <cell r="D14672" t="str">
            <v>15451697    -    CONNECTOR    -    0.887</v>
          </cell>
        </row>
        <row r="14673">
          <cell r="D14673" t="str">
            <v>15451698    -    CONN    -    1.98</v>
          </cell>
        </row>
        <row r="14674">
          <cell r="D14674" t="str">
            <v>15451703    -    CONNECTOR 4W    -    0.13665</v>
          </cell>
        </row>
        <row r="14675">
          <cell r="D14675" t="str">
            <v>15451705    -    CONNECTOR WITH 7 WIRES    -    29.42</v>
          </cell>
        </row>
        <row r="14676">
          <cell r="D14676" t="str">
            <v>15451708    -    CONN 104W    -    1.98</v>
          </cell>
        </row>
        <row r="14677">
          <cell r="D14677" t="str">
            <v>15451709    -    CONNECTOR WITH 7 WIRES    -    17.97</v>
          </cell>
        </row>
        <row r="14678">
          <cell r="D14678" t="str">
            <v>15451712    -    CONNECTOR    -    0.24666</v>
          </cell>
        </row>
        <row r="14679">
          <cell r="D14679" t="str">
            <v>15451716    -    CONNECTOR 4W    -    0.17287</v>
          </cell>
        </row>
        <row r="14680">
          <cell r="D14680" t="str">
            <v>15451720    -    CONN 104W    -    1.98</v>
          </cell>
        </row>
        <row r="14681">
          <cell r="D14681" t="str">
            <v>15451723    -    CONNECTOR    -    0.37342</v>
          </cell>
        </row>
        <row r="14682">
          <cell r="D14682" t="str">
            <v>15451725    -    CONNECTOR 16W    -    0.28914</v>
          </cell>
        </row>
        <row r="14683">
          <cell r="D14683" t="str">
            <v>15451726    -    CONN 2 WAY    -    0.1994</v>
          </cell>
        </row>
        <row r="14684">
          <cell r="D14684" t="str">
            <v>15451727    -    CONN 104W    -    1.98</v>
          </cell>
        </row>
        <row r="14685">
          <cell r="D14685" t="str">
            <v>15451728    -    CONN    -    0.45</v>
          </cell>
        </row>
        <row r="14686">
          <cell r="D14686" t="str">
            <v>15451730    -    CONNECTOR 42W    -    1.3063</v>
          </cell>
        </row>
        <row r="14687">
          <cell r="D14687" t="str">
            <v>15451731    -    CONNECTOR    -    0.17287</v>
          </cell>
        </row>
        <row r="14688">
          <cell r="D14688" t="str">
            <v>15451732    -    CONNECTOR 42W    -    1.15516</v>
          </cell>
        </row>
        <row r="14689">
          <cell r="D14689" t="str">
            <v>15451742    -    CONNECTOR 42 WAY    -    1.11516</v>
          </cell>
        </row>
        <row r="14690">
          <cell r="D14690" t="str">
            <v>15451746    -    CONNECTOR 42    -    1.15516</v>
          </cell>
        </row>
        <row r="14691">
          <cell r="D14691" t="str">
            <v>15451760    -    CONNECTOR 4W    -    0.13665</v>
          </cell>
        </row>
        <row r="14692">
          <cell r="D14692" t="str">
            <v>15451763    -    CONN 104W    -    1.98</v>
          </cell>
        </row>
        <row r="14693">
          <cell r="D14693" t="str">
            <v>15451764    -    CONN 104W    -    1.98</v>
          </cell>
        </row>
        <row r="14694">
          <cell r="D14694" t="str">
            <v>15451767    -    CONNECTOR 42W    -    1.15516</v>
          </cell>
        </row>
        <row r="14695">
          <cell r="D14695" t="str">
            <v>15451778    -    CONN 2 WAY    -    0.16159</v>
          </cell>
        </row>
        <row r="14696">
          <cell r="D14696" t="str">
            <v>15451781    -    CONNECTOR    -    0.20963</v>
          </cell>
        </row>
        <row r="14697">
          <cell r="D14697" t="str">
            <v>15451783    -    CONNECTOR    -    0.20963</v>
          </cell>
        </row>
        <row r="14698">
          <cell r="D14698" t="str">
            <v>15451793    -    104W CONN    -    1.98</v>
          </cell>
        </row>
        <row r="14699">
          <cell r="D14699" t="str">
            <v>15451798    -    CONN 4W    -    1.76</v>
          </cell>
        </row>
        <row r="14700">
          <cell r="D14700" t="str">
            <v>15451801    -    CONNECTOR 42W    -    1.3063</v>
          </cell>
        </row>
        <row r="14701">
          <cell r="D14701" t="str">
            <v>15451802    -    CONNECTOR 4W    -    0.17287</v>
          </cell>
        </row>
        <row r="14702">
          <cell r="D14702" t="str">
            <v>15451804    -    CONNECTOR    -    0.13665</v>
          </cell>
        </row>
        <row r="14703">
          <cell r="D14703" t="str">
            <v>15451805    -    CONN 13W    -    0.15954</v>
          </cell>
        </row>
        <row r="14704">
          <cell r="D14704" t="str">
            <v>15451806    -    CONNECTOR    -    0.32488</v>
          </cell>
        </row>
        <row r="14705">
          <cell r="D14705" t="str">
            <v>15451808    -    CONN 8 WAY    -    0.04424</v>
          </cell>
        </row>
        <row r="14706">
          <cell r="D14706" t="str">
            <v>15451809    -    CONNECTOR    -    0.0248</v>
          </cell>
        </row>
        <row r="14707">
          <cell r="D14707" t="str">
            <v>15451811    -    CONN    -    0.65</v>
          </cell>
        </row>
        <row r="14708">
          <cell r="D14708" t="str">
            <v>15451812    -    BUSS BAR COVER    -    0.23</v>
          </cell>
        </row>
        <row r="14709">
          <cell r="D14709" t="str">
            <v>15451814    -    CONNECTOR    -    1.3063</v>
          </cell>
        </row>
        <row r="14710">
          <cell r="D14710" t="str">
            <v>15451816    -    CONN 76 WAY    -    2.43685</v>
          </cell>
        </row>
        <row r="14711">
          <cell r="D14711" t="str">
            <v>15451819    -    CONNECTOR    -    0.28914</v>
          </cell>
        </row>
        <row r="14712">
          <cell r="D14712" t="str">
            <v>15451825    -    COVER    -    1.49</v>
          </cell>
        </row>
        <row r="14713">
          <cell r="D14713" t="str">
            <v>15451829    -    CONNECTOR    -    0.17287</v>
          </cell>
        </row>
        <row r="14714">
          <cell r="D14714" t="str">
            <v>15451832    -    CONNECTOR 4W    -    0.17287</v>
          </cell>
        </row>
        <row r="14715">
          <cell r="D14715" t="str">
            <v>15451833    -    CONNECTOR 5W    -    0.24666</v>
          </cell>
        </row>
        <row r="14716">
          <cell r="D14716" t="str">
            <v>15451837    -    CONNECTOR 42W    -    1.15516</v>
          </cell>
        </row>
        <row r="14717">
          <cell r="D14717" t="str">
            <v>15451841    -    CONNECTOR 42W    -    1.15516</v>
          </cell>
        </row>
        <row r="14718">
          <cell r="D14718" t="str">
            <v>15451843    -    CONNECTOR 42W    -    1.15516</v>
          </cell>
        </row>
        <row r="14719">
          <cell r="D14719" t="str">
            <v>15451845    -    CONNECTOR    -    0.24666</v>
          </cell>
        </row>
        <row r="14720">
          <cell r="D14720" t="str">
            <v>15451846    -    CONN 12W    -    0.17418</v>
          </cell>
        </row>
        <row r="14721">
          <cell r="D14721" t="str">
            <v>15451847    -    CONN 12W    -    0.17418</v>
          </cell>
        </row>
        <row r="14722">
          <cell r="D14722" t="str">
            <v>15451851    -    CONN    -    1.98</v>
          </cell>
        </row>
        <row r="14723">
          <cell r="D14723" t="str">
            <v>15451852    -    CONN    -    1.98</v>
          </cell>
        </row>
        <row r="14724">
          <cell r="D14724" t="str">
            <v>15451855    -    CONNECTOR 8 WAY    -    0.19171</v>
          </cell>
        </row>
        <row r="14725">
          <cell r="D14725" t="str">
            <v>15451861    -    CONNECTOR    -    0.20963</v>
          </cell>
        </row>
        <row r="14726">
          <cell r="D14726" t="str">
            <v>15451863    -    CONN    -    0.205</v>
          </cell>
        </row>
        <row r="14727">
          <cell r="D14727" t="str">
            <v>15451896    -    CONNECTOR    -    0.32592</v>
          </cell>
        </row>
        <row r="14728">
          <cell r="D14728" t="str">
            <v>15451906    -    CONNECTOR 16W    -    0.28914</v>
          </cell>
        </row>
        <row r="14729">
          <cell r="D14729" t="str">
            <v>15451912    -    CONN 2 WAY    -    0.16876</v>
          </cell>
        </row>
        <row r="14730">
          <cell r="D14730" t="str">
            <v>15451914    -    CONN 2 WAY    -    0.28476</v>
          </cell>
        </row>
        <row r="14731">
          <cell r="D14731" t="str">
            <v>15451916    -    CONNECTOR 8W    -    0.19171</v>
          </cell>
        </row>
        <row r="14732">
          <cell r="D14732" t="str">
            <v>15451921    -    CONNECTOR    -    0.13665</v>
          </cell>
        </row>
        <row r="14733">
          <cell r="D14733" t="str">
            <v>15451922    -    CONNECTOR    -    0.20963</v>
          </cell>
        </row>
        <row r="14734">
          <cell r="D14734" t="str">
            <v>15451923    -    CONNECTOR 24W    -    1.09301</v>
          </cell>
        </row>
        <row r="14735">
          <cell r="D14735" t="str">
            <v>15451924    -    CONNECTOR    -    0.19171</v>
          </cell>
        </row>
        <row r="14736">
          <cell r="D14736" t="str">
            <v>15451925    -    CONNECTOR    -    0.28914</v>
          </cell>
        </row>
        <row r="14737">
          <cell r="D14737" t="str">
            <v>15451926    -    CONNECTOR    -    0.28914</v>
          </cell>
        </row>
        <row r="14738">
          <cell r="D14738" t="str">
            <v>15451927    -    CONNECTOR    -    0.19171</v>
          </cell>
        </row>
        <row r="14739">
          <cell r="D14739" t="str">
            <v>15451929    -    CONN 4W    -    0.22469</v>
          </cell>
        </row>
        <row r="14740">
          <cell r="D14740" t="str">
            <v>15451930    -    CONNECTOR 3W    -    0.04422</v>
          </cell>
        </row>
        <row r="14741">
          <cell r="D14741" t="str">
            <v>15451932    -    CONN    -    1.98</v>
          </cell>
        </row>
        <row r="14742">
          <cell r="D14742" t="str">
            <v>15451933    -    CONNECTOR    -    1.3063</v>
          </cell>
        </row>
        <row r="14743">
          <cell r="D14743" t="str">
            <v>15451939    -    CONN    -    1.98</v>
          </cell>
        </row>
        <row r="14744">
          <cell r="D14744" t="str">
            <v>15451959    -    CONNECTOR    -    1.3063</v>
          </cell>
        </row>
        <row r="14745">
          <cell r="D14745" t="str">
            <v>15451961    -    CONNECTOR 4 WAY GRY    -    0.1069</v>
          </cell>
        </row>
        <row r="14746">
          <cell r="D14746" t="str">
            <v>15451969    -    CONN    -    1.98</v>
          </cell>
        </row>
        <row r="14747">
          <cell r="D14747" t="str">
            <v>15451970    -    CONNECTOR 8 WAY    -    0.19171</v>
          </cell>
        </row>
        <row r="14748">
          <cell r="D14748" t="str">
            <v>15451973    -    CONNECTOR 2 WAY    -    0.16505</v>
          </cell>
        </row>
        <row r="14749">
          <cell r="D14749" t="str">
            <v>15451974    -    CONN 8W GRAY    -    0.39072</v>
          </cell>
        </row>
        <row r="14750">
          <cell r="D14750" t="str">
            <v>15451979    -    CONNECTOR    -    1.98</v>
          </cell>
        </row>
        <row r="14751">
          <cell r="D14751" t="str">
            <v>15451984    -    CONNECTOR    -    0.24666</v>
          </cell>
        </row>
        <row r="14752">
          <cell r="D14752" t="str">
            <v>15451988    -    CONN 104W    -    1.98</v>
          </cell>
        </row>
        <row r="14753">
          <cell r="D14753" t="str">
            <v>15451993    -    CONNECTOR    -    1.15516</v>
          </cell>
        </row>
        <row r="14754">
          <cell r="D14754" t="str">
            <v>15452009    -    CONNECTOR 8 WAY MALE GRY    -    0.19171</v>
          </cell>
        </row>
        <row r="14755">
          <cell r="D14755" t="str">
            <v>15452010    -    CLIP    -    0.01629</v>
          </cell>
        </row>
        <row r="14756">
          <cell r="D14756" t="str">
            <v>15452012    -    CONNECTOR    -    0.24666</v>
          </cell>
        </row>
        <row r="14757">
          <cell r="D14757" t="str">
            <v>15452035    -    CONNECTOR    -    0.1888</v>
          </cell>
        </row>
        <row r="14758">
          <cell r="D14758" t="str">
            <v>15452044    -    CONN 2-PIN    -    0.1673</v>
          </cell>
        </row>
        <row r="14759">
          <cell r="D14759" t="str">
            <v>15452045    -    CONN 9-PIN    -    0.16909</v>
          </cell>
        </row>
        <row r="14760">
          <cell r="D14760" t="str">
            <v>15452049    -    CONNECTOR    -    0.2134</v>
          </cell>
        </row>
        <row r="14761">
          <cell r="D14761" t="str">
            <v>15452064    -    CONNECTOR    -    0.0375</v>
          </cell>
        </row>
        <row r="14762">
          <cell r="D14762" t="str">
            <v>15452066    -    CONN 11F    -    0.14297</v>
          </cell>
        </row>
        <row r="14763">
          <cell r="D14763" t="str">
            <v>15452067    -    CONNECTOR    -    0.06739</v>
          </cell>
        </row>
        <row r="14764">
          <cell r="D14764" t="str">
            <v>15452068    -    CONN 10F    -    0.08237</v>
          </cell>
        </row>
        <row r="14765">
          <cell r="D14765" t="str">
            <v>15452069    -    CONN 12F    -    0.15901</v>
          </cell>
        </row>
        <row r="14766">
          <cell r="D14766" t="str">
            <v>15452070    -    CONN 13F    -    0.1815</v>
          </cell>
        </row>
        <row r="14767">
          <cell r="D14767" t="str">
            <v>15452072    -    CONN    -    0.18974</v>
          </cell>
        </row>
        <row r="14768">
          <cell r="D14768" t="str">
            <v>15452079    -    CONNECTOR 7-PIN FEMALE    -    0.15</v>
          </cell>
        </row>
        <row r="14769">
          <cell r="D14769" t="str">
            <v>15452126    -    ASM CONN 73 F GT 280 MICRO 64 SLD    -    1.21</v>
          </cell>
        </row>
        <row r="14770">
          <cell r="D14770" t="str">
            <v>15452183    -    BRACKET    -    0.291679</v>
          </cell>
        </row>
        <row r="14771">
          <cell r="D14771" t="str">
            <v>15452310    -    CONN 4M    -    0.17287</v>
          </cell>
        </row>
        <row r="14772">
          <cell r="D14772" t="str">
            <v>15452389    -    CONN 3W    -    0.06971</v>
          </cell>
        </row>
        <row r="14773">
          <cell r="D14773" t="str">
            <v>15452579    -    WEDGE    -    0.04</v>
          </cell>
        </row>
        <row r="14774">
          <cell r="D14774" t="str">
            <v>15452678    -    LOCK    -    0.02</v>
          </cell>
        </row>
        <row r="14775">
          <cell r="D14775" t="str">
            <v>15452732    -    CONN 4M    -    0.1688</v>
          </cell>
        </row>
        <row r="14776">
          <cell r="D14776" t="str">
            <v>15452735    -    CONN 4F    -    0.13665</v>
          </cell>
        </row>
        <row r="14777">
          <cell r="D14777" t="str">
            <v>15452737    -    CONN 14F    -    0.2293</v>
          </cell>
        </row>
        <row r="14778">
          <cell r="D14778" t="str">
            <v>15452738    -    CONN 14M    -    0.3107</v>
          </cell>
        </row>
        <row r="14779">
          <cell r="D14779" t="str">
            <v>15452740    -    CONN 12M    -    0.28929</v>
          </cell>
        </row>
        <row r="14780">
          <cell r="D14780" t="str">
            <v>15452741    -    CONN 16M BLK    -    0.28914</v>
          </cell>
        </row>
        <row r="14781">
          <cell r="D14781" t="str">
            <v>15452880    -    CONN 12F GRA S HYBRID    -    0.33984</v>
          </cell>
        </row>
        <row r="14782">
          <cell r="D14782" t="str">
            <v>15453004    -    CONN    -    0.20739</v>
          </cell>
        </row>
        <row r="14783">
          <cell r="D14783" t="str">
            <v>15453005    -    CONN    -    0.20855</v>
          </cell>
        </row>
        <row r="14784">
          <cell r="D14784" t="str">
            <v>15453007    -    CONN    -    0.245</v>
          </cell>
        </row>
        <row r="14785">
          <cell r="D14785" t="str">
            <v>15453009    -    CONN    -    0.255</v>
          </cell>
        </row>
        <row r="14786">
          <cell r="D14786" t="str">
            <v>15453591    -    SPACER    -    0.07382</v>
          </cell>
        </row>
        <row r="14787">
          <cell r="D14787" t="str">
            <v>15453592    -    CONN PIN    -    0.2514</v>
          </cell>
        </row>
        <row r="14788">
          <cell r="D14788" t="str">
            <v>15453636    -    CONNECTOR    -    0.1484</v>
          </cell>
        </row>
        <row r="14789">
          <cell r="D14789" t="str">
            <v>15453640    -    SUB ASSY J/C    -    1.24478</v>
          </cell>
        </row>
        <row r="14790">
          <cell r="D14790" t="str">
            <v>15453658    -    CONNECTOR    -    0.8875</v>
          </cell>
        </row>
        <row r="14791">
          <cell r="D14791" t="str">
            <v>15453677    -    HOLDER CONNECTOR    -    0.9985</v>
          </cell>
        </row>
        <row r="14792">
          <cell r="D14792" t="str">
            <v>15453678    -    CONNECTOR    -    0.2324</v>
          </cell>
        </row>
        <row r="14793">
          <cell r="D14793" t="str">
            <v>15453679    -    CONNECTOR 8W    -    2.44</v>
          </cell>
        </row>
        <row r="14794">
          <cell r="D14794" t="str">
            <v>15453687    -    CONN 2 WAY    -    0.071543</v>
          </cell>
        </row>
        <row r="14795">
          <cell r="D14795" t="str">
            <v>15453695    -    CONNECTOR    -    1.20133</v>
          </cell>
        </row>
        <row r="14796">
          <cell r="D14796" t="str">
            <v>15453702    -    CONN    -    0.07072</v>
          </cell>
        </row>
        <row r="14797">
          <cell r="D14797" t="str">
            <v>15453705    -    CONN 16F    -    0.20613</v>
          </cell>
        </row>
        <row r="14798">
          <cell r="D14798" t="str">
            <v>15453707    -    CONNECTOR    -    0.16088</v>
          </cell>
        </row>
        <row r="14799">
          <cell r="D14799" t="str">
            <v>15453708    -    CONNECTOR    -    0.377</v>
          </cell>
        </row>
        <row r="14800">
          <cell r="D14800" t="str">
            <v>15453714    -    CAP SPLICE    -    0.54958</v>
          </cell>
        </row>
        <row r="14801">
          <cell r="D14801" t="str">
            <v>15453716    -    CONN    -    0.62259</v>
          </cell>
        </row>
        <row r="14802">
          <cell r="D14802" t="str">
            <v>15453741    -    CONNECTOR    -    0.1462</v>
          </cell>
        </row>
        <row r="14803">
          <cell r="D14803" t="str">
            <v>15453845    -    CONN 3 PIN    -    0.125</v>
          </cell>
        </row>
        <row r="14804">
          <cell r="D14804" t="str">
            <v>15453939    -    CONN    -    0.21714</v>
          </cell>
        </row>
        <row r="14805">
          <cell r="D14805" t="str">
            <v>15454003    -    INSULATOR    -    0.391</v>
          </cell>
        </row>
        <row r="14806">
          <cell r="D14806" t="str">
            <v>15454004    -    CONN 12F GRA HYBRID    -    0.33984</v>
          </cell>
        </row>
        <row r="14807">
          <cell r="D14807" t="str">
            <v>15454005    -    CONN 12F GRA HYBRID    -    0.33984</v>
          </cell>
        </row>
        <row r="14808">
          <cell r="D14808" t="str">
            <v>15454006    -    CONN 12M GRA HYBRID    -    0.28929</v>
          </cell>
        </row>
        <row r="14809">
          <cell r="D14809" t="str">
            <v>15454007    -    CONN 12M GRA HYBRID    -    0.28929</v>
          </cell>
        </row>
        <row r="14810">
          <cell r="D14810" t="str">
            <v>15454008    -    CONN 12M GRA HYBRID    -    0.28929</v>
          </cell>
        </row>
        <row r="14811">
          <cell r="D14811" t="str">
            <v>15454010    -    CONNECTOR MU 2.8MM 4W INLINE    -    0.17753</v>
          </cell>
        </row>
        <row r="14812">
          <cell r="D14812" t="str">
            <v>15454018    -    CONN 12W    -    0.242</v>
          </cell>
        </row>
        <row r="14813">
          <cell r="D14813" t="str">
            <v>15454019    -    CONN 20W    -    0.36</v>
          </cell>
        </row>
        <row r="14814">
          <cell r="D14814" t="str">
            <v>15454020    -    SPACER    -    0.057</v>
          </cell>
        </row>
        <row r="14815">
          <cell r="D14815" t="str">
            <v>15454021    -    CONN 2W    -    0.1908</v>
          </cell>
        </row>
        <row r="14816">
          <cell r="D14816" t="str">
            <v>15454022    -    SPACER    -    0.04212</v>
          </cell>
        </row>
        <row r="14817">
          <cell r="D14817" t="str">
            <v>15454023    -    CONNECTOR 14W    -    0.26686</v>
          </cell>
        </row>
        <row r="14818">
          <cell r="D14818" t="str">
            <v>15454024    -    CONNECTOR 3W    -    0.07287</v>
          </cell>
        </row>
        <row r="14819">
          <cell r="D14819" t="str">
            <v>15454026    -    CONN 11W    -    0.233438</v>
          </cell>
        </row>
        <row r="14820">
          <cell r="D14820" t="str">
            <v>15454029    -    CONN 4W    -    0.135</v>
          </cell>
        </row>
        <row r="14821">
          <cell r="D14821" t="str">
            <v>15454030    -    CONNECTOR    -    0.07095</v>
          </cell>
        </row>
        <row r="14822">
          <cell r="D14822" t="str">
            <v>15454032    -    CONN 12W    -    0.34193</v>
          </cell>
        </row>
        <row r="14823">
          <cell r="D14823" t="str">
            <v>15454034    -    CONNECTOR    -    0.1128</v>
          </cell>
        </row>
        <row r="14824">
          <cell r="D14824" t="str">
            <v>15454035    -    CONNECTOR    -    0.22744</v>
          </cell>
        </row>
        <row r="14825">
          <cell r="D14825" t="str">
            <v>15454037    -    SPACER    -    0.0855</v>
          </cell>
        </row>
        <row r="14826">
          <cell r="D14826" t="str">
            <v>15454038    -    CONN 13W    -    0.10952</v>
          </cell>
        </row>
        <row r="14827">
          <cell r="D14827" t="str">
            <v>15454039    -    CONN 13W    -    0.10952</v>
          </cell>
        </row>
        <row r="14828">
          <cell r="D14828" t="str">
            <v>15454040    -    CONN 16W    -    0.16625</v>
          </cell>
        </row>
        <row r="14829">
          <cell r="D14829" t="str">
            <v>15454041    -    CONN 16W    -    0.24</v>
          </cell>
        </row>
        <row r="14830">
          <cell r="D14830" t="str">
            <v>15454043    -    SPACER    -    0.48145</v>
          </cell>
        </row>
        <row r="14831">
          <cell r="D14831" t="str">
            <v>15454045    -    CONN 4W S M    -    0.17287</v>
          </cell>
        </row>
        <row r="14832">
          <cell r="D14832" t="str">
            <v>15454046    -    CONN 2    -    0.02701</v>
          </cell>
        </row>
        <row r="14833">
          <cell r="D14833" t="str">
            <v>15454359    -    CONN 2F GT 630 SLD    -    0.072</v>
          </cell>
        </row>
        <row r="14834">
          <cell r="D14834" t="str">
            <v>15454361    -    LOCK PLR 2F GT 630    -    0.019</v>
          </cell>
        </row>
        <row r="14835">
          <cell r="D14835" t="str">
            <v>15454362    -    LOCK TPA GT 630 2 GRA MD    -    0.0204</v>
          </cell>
        </row>
        <row r="14836">
          <cell r="D14836" t="str">
            <v>15454365    -    CONN 12W    -    0.33984</v>
          </cell>
        </row>
        <row r="14837">
          <cell r="D14837" t="str">
            <v>15454366    -    CONN 8W    -    0.14735</v>
          </cell>
        </row>
        <row r="14838">
          <cell r="D14838" t="str">
            <v>15454367    -    CONN 7W    -    0.19171</v>
          </cell>
        </row>
        <row r="14839">
          <cell r="D14839" t="str">
            <v>15454368    -    SPACER    -    0.03418</v>
          </cell>
        </row>
        <row r="14840">
          <cell r="D14840" t="str">
            <v>15454377    -    CONN 7W U F    -    0.15</v>
          </cell>
        </row>
        <row r="14841">
          <cell r="D14841" t="str">
            <v>15454378    -    CONN UF    -    0.14781</v>
          </cell>
        </row>
        <row r="14842">
          <cell r="D14842" t="str">
            <v>15454381    -    CONN 3W S F    -    0.205</v>
          </cell>
        </row>
        <row r="14843">
          <cell r="D14843" t="str">
            <v>15454383    -    CONN 18F    -    0.535</v>
          </cell>
        </row>
        <row r="14844">
          <cell r="D14844" t="str">
            <v>15454389    -    2 WAY M CONN    -    0.29257</v>
          </cell>
        </row>
        <row r="14845">
          <cell r="D14845" t="str">
            <v>15454395    -    CONN 4W SF    -    0.13665</v>
          </cell>
        </row>
        <row r="14846">
          <cell r="D14846" t="str">
            <v>15454400    -    CLIP    -    0.02379</v>
          </cell>
        </row>
        <row r="14847">
          <cell r="D14847" t="str">
            <v>15454409    -    CONN 76W    -    1.49454</v>
          </cell>
        </row>
        <row r="14848">
          <cell r="D14848" t="str">
            <v>15454410    -    CONNECTOR 8W    -    0.22999</v>
          </cell>
        </row>
        <row r="14849">
          <cell r="D14849" t="str">
            <v>15454411    -    CONNECTOR    -    0.20963</v>
          </cell>
        </row>
        <row r="14850">
          <cell r="D14850" t="str">
            <v>15454412    -    CONNECTOR    -    0.05504</v>
          </cell>
        </row>
        <row r="14851">
          <cell r="D14851" t="str">
            <v>15454415    -    CONNECTOR    -    0.11559</v>
          </cell>
        </row>
        <row r="14852">
          <cell r="D14852" t="str">
            <v>15454416    -    CONN 16W    -    0.335</v>
          </cell>
        </row>
        <row r="14853">
          <cell r="D14853" t="str">
            <v>15454422    -    CONNECTOR 6W    -    0.0382</v>
          </cell>
        </row>
        <row r="14854">
          <cell r="D14854" t="str">
            <v>15454424    -    CONNECTOR 12W GRAY    -    0.13955</v>
          </cell>
        </row>
        <row r="14855">
          <cell r="D14855" t="str">
            <v>15454425    -    RETAINER    -    0.10253</v>
          </cell>
        </row>
        <row r="14856">
          <cell r="D14856" t="str">
            <v>15454431    -    CONNECTOR HOUSING    -    0.2444</v>
          </cell>
        </row>
        <row r="14857">
          <cell r="D14857" t="str">
            <v>15454433    -    CONN 1W    -    0.04138</v>
          </cell>
        </row>
        <row r="14858">
          <cell r="D14858" t="str">
            <v>15454440    -    CONN 18F    -    0.535</v>
          </cell>
        </row>
        <row r="14859">
          <cell r="D14859" t="str">
            <v>15454444    -    CONN F    -    0.56576</v>
          </cell>
        </row>
        <row r="14860">
          <cell r="D14860" t="str">
            <v>15454446    -    CONN    -    0.543</v>
          </cell>
        </row>
        <row r="14861">
          <cell r="D14861" t="str">
            <v>15454447    -    CONN    -    0.564</v>
          </cell>
        </row>
        <row r="14862">
          <cell r="D14862" t="str">
            <v>15454448    -    CONN    -    0.13196</v>
          </cell>
        </row>
        <row r="14863">
          <cell r="D14863" t="str">
            <v>15454449    -    CONN    -    0.1858</v>
          </cell>
        </row>
        <row r="14864">
          <cell r="D14864" t="str">
            <v>15454450    -    CONN    -    2.1</v>
          </cell>
        </row>
        <row r="14865">
          <cell r="D14865" t="str">
            <v>15454451    -    CONN    -    2.04</v>
          </cell>
        </row>
        <row r="14866">
          <cell r="D14866" t="str">
            <v>15454452    -    CONN    -    0.211</v>
          </cell>
        </row>
        <row r="14867">
          <cell r="D14867" t="str">
            <v>15454463    -    CONNECTOR    -    1.75</v>
          </cell>
        </row>
        <row r="14868">
          <cell r="D14868" t="str">
            <v>15454477    -    CONNECTOR 12 FEMALE WHITE    -    0.150694</v>
          </cell>
        </row>
        <row r="14869">
          <cell r="D14869" t="str">
            <v>15454478    -    16-POL.GEH}USE    -    0.164065</v>
          </cell>
        </row>
        <row r="14870">
          <cell r="D14870" t="str">
            <v>15454479    -    CONNECTOR    -    0.0601</v>
          </cell>
        </row>
        <row r="14871">
          <cell r="D14871" t="str">
            <v>15454480    -    CONNECTOR    -    0.15836</v>
          </cell>
        </row>
        <row r="14872">
          <cell r="D14872" t="str">
            <v>15454480N    -    CONN,M,10-W,BLACK    -    0.147075</v>
          </cell>
        </row>
        <row r="14873">
          <cell r="D14873" t="str">
            <v>15454481    -    CONNECTOR CLIP    -    0.02245</v>
          </cell>
        </row>
        <row r="14874">
          <cell r="D14874" t="str">
            <v>15454483    -    CONN 2 F N/A    -    0.071577</v>
          </cell>
        </row>
        <row r="14875">
          <cell r="D14875" t="str">
            <v>15454484N    -    CLIP,MOUNT,NATURAL    -    0.123149</v>
          </cell>
        </row>
        <row r="14876">
          <cell r="D14876" t="str">
            <v>15454488    -    CONN 2 F BRN    -    0.143758</v>
          </cell>
        </row>
        <row r="14877">
          <cell r="D14877" t="str">
            <v>15454491    -    PLUG HOUSING    -    0.15308</v>
          </cell>
        </row>
        <row r="14878">
          <cell r="D14878" t="str">
            <v>15454492N    -    CONN,F,2-W,GREY,O90S    -    0.111977</v>
          </cell>
        </row>
        <row r="14879">
          <cell r="D14879" t="str">
            <v>15454504N    -    CONN,F,6-W,GREY,O91S, SEALED    -    0.232621</v>
          </cell>
        </row>
        <row r="14880">
          <cell r="D14880" t="str">
            <v>15454505N    -    LOCK,RETAINER,6-W    -    0.063857</v>
          </cell>
        </row>
        <row r="14881">
          <cell r="D14881" t="str">
            <v>15454508N    -    CONN,M,3-W,BLACK    -    0.067556</v>
          </cell>
        </row>
        <row r="14882">
          <cell r="D14882" t="str">
            <v>15454511    -    CONN 3F    -    0.15191</v>
          </cell>
        </row>
        <row r="14883">
          <cell r="D14883" t="str">
            <v>15454663    -    CONNECTOR    -    0.03643</v>
          </cell>
        </row>
        <row r="14884">
          <cell r="D14884" t="str">
            <v>15454864    -    ASM CONN 8F    -    0.272</v>
          </cell>
        </row>
        <row r="14885">
          <cell r="D14885" t="str">
            <v>15454868    -    ASM CONN 10F    -    0.195</v>
          </cell>
        </row>
        <row r="14886">
          <cell r="D14886" t="str">
            <v>15454872    -    CONNECTOR 3F UNSEALED    -    0.2145</v>
          </cell>
        </row>
        <row r="14887">
          <cell r="D14887" t="str">
            <v>15454873    -    TPA FOR CONNECTOR    -    0.247</v>
          </cell>
        </row>
        <row r="14888">
          <cell r="D14888" t="str">
            <v>15454874    -    CONN 8F    -    0.23868</v>
          </cell>
        </row>
        <row r="14889">
          <cell r="D14889" t="str">
            <v>15454876    -    CLIP SPLICE    -    0.01446</v>
          </cell>
        </row>
        <row r="14890">
          <cell r="D14890" t="str">
            <v>15454894    -    ASM CONN 6F    -    0.45806</v>
          </cell>
        </row>
        <row r="14891">
          <cell r="D14891" t="str">
            <v>15454895    -    ASM CONN 9F    -    0.39817</v>
          </cell>
        </row>
        <row r="14892">
          <cell r="D14892" t="str">
            <v>15454896    -    ASM CONN 9F    -    0.2155</v>
          </cell>
        </row>
        <row r="14893">
          <cell r="D14893" t="str">
            <v>15454903    -    CONNECTOR    -    0.2393</v>
          </cell>
        </row>
        <row r="14894">
          <cell r="D14894" t="str">
            <v>15454904    -    CONNECTOR    -    0.696</v>
          </cell>
        </row>
        <row r="14895">
          <cell r="D14895" t="str">
            <v>15454956    -    ELEMENTO DI FISSAGGIO    -    0.136064</v>
          </cell>
        </row>
        <row r="14896">
          <cell r="D14896" t="str">
            <v>15455004    -    CONN F 24W    -    0.76</v>
          </cell>
        </row>
        <row r="14897">
          <cell r="D14897" t="str">
            <v>15455045    -    TERMINAL CAP BLACK    -    0.236812</v>
          </cell>
        </row>
        <row r="14898">
          <cell r="D14898" t="str">
            <v>15455059    -    CONN    -    5.4</v>
          </cell>
        </row>
        <row r="14899">
          <cell r="D14899" t="str">
            <v>15455062    -    CONNECTOR    -    0.223</v>
          </cell>
        </row>
        <row r="14900">
          <cell r="D14900" t="str">
            <v>15455064    -    CONNECTOR    -    0.1285</v>
          </cell>
        </row>
        <row r="14901">
          <cell r="D14901" t="str">
            <v>15455553    -    CONNECTOR 10 W    -    0.48185</v>
          </cell>
        </row>
        <row r="14902">
          <cell r="D14902" t="str">
            <v>15455982    -    CONN 50W F    -    0.89</v>
          </cell>
        </row>
        <row r="14903">
          <cell r="D14903" t="str">
            <v>15455983    -    CONN 50W F    -    0.89</v>
          </cell>
        </row>
        <row r="14904">
          <cell r="D14904" t="str">
            <v>15455984    -    CONN 50W F    -    0.89</v>
          </cell>
        </row>
        <row r="14905">
          <cell r="D14905" t="str">
            <v>15455986    -    CONN 70W F    -    1.08</v>
          </cell>
        </row>
        <row r="14906">
          <cell r="D14906" t="str">
            <v>15455998    -    CONN F    -    0.3814</v>
          </cell>
        </row>
        <row r="14907">
          <cell r="D14907" t="str">
            <v>15456000    -    CONNECTOR    -    0.05092</v>
          </cell>
        </row>
        <row r="14908">
          <cell r="D14908" t="str">
            <v>15456001    -    CONNECTOR    -    1.1157</v>
          </cell>
        </row>
        <row r="14909">
          <cell r="D14909" t="str">
            <v>15456002    -    CONNECTOR    -    0.1771</v>
          </cell>
        </row>
        <row r="14910">
          <cell r="D14910" t="str">
            <v>15456003    -    CONN    -    0.20271</v>
          </cell>
        </row>
        <row r="14911">
          <cell r="D14911" t="str">
            <v>15456004    -    CONN    -    0.13823</v>
          </cell>
        </row>
        <row r="14912">
          <cell r="D14912" t="str">
            <v>15456005    -    CONN    -    0.15156</v>
          </cell>
        </row>
        <row r="14913">
          <cell r="D14913" t="str">
            <v>15456009    -    CONN 12 UF    -    0.21877</v>
          </cell>
        </row>
        <row r="14914">
          <cell r="D14914" t="str">
            <v>15456010    -    CONNECTOR 4F    -    0.19976</v>
          </cell>
        </row>
        <row r="14915">
          <cell r="D14915" t="str">
            <v>15456011    -    CONNECTOR 8 SF    -    0.19171</v>
          </cell>
        </row>
        <row r="14916">
          <cell r="D14916" t="str">
            <v>15456012    -    CONNECTOR 2 UF    -    0.01568</v>
          </cell>
        </row>
        <row r="14917">
          <cell r="D14917" t="str">
            <v>15456013    -    CONNECTOR 2 SF    -    0.11927</v>
          </cell>
        </row>
        <row r="14918">
          <cell r="D14918" t="str">
            <v>15456018    -    CONNECTOR    -    0.24</v>
          </cell>
        </row>
        <row r="14919">
          <cell r="D14919" t="str">
            <v>15456067    -    CONNECTOR    -    1.8</v>
          </cell>
        </row>
        <row r="14920">
          <cell r="D14920" t="str">
            <v>15456068    -    CONNECTOR    -    1.75</v>
          </cell>
        </row>
        <row r="14921">
          <cell r="D14921" t="str">
            <v>15456069    -    CONNECTOR    -    1.8</v>
          </cell>
        </row>
        <row r="14922">
          <cell r="D14922" t="str">
            <v>15456070    -    CONNECTOR    -    1.8</v>
          </cell>
        </row>
        <row r="14923">
          <cell r="D14923" t="str">
            <v>15456227    -    2WAY FEMALE CONN ASSY    -    0.17287</v>
          </cell>
        </row>
        <row r="14924">
          <cell r="D14924" t="str">
            <v>15456250    -    CONN    -    0.255</v>
          </cell>
        </row>
        <row r="14925">
          <cell r="D14925" t="str">
            <v>15456258    -    CONNECTOR    -    1.87</v>
          </cell>
        </row>
        <row r="14926">
          <cell r="D14926" t="str">
            <v>15456260    -    SOCKET HOUSING    -    0.512</v>
          </cell>
        </row>
        <row r="14927">
          <cell r="D14927" t="str">
            <v>15456261    -    TPA    -    0.192</v>
          </cell>
        </row>
        <row r="14928">
          <cell r="D14928" t="str">
            <v>15456264    -    CONN    -    2.43685</v>
          </cell>
        </row>
        <row r="14929">
          <cell r="D14929" t="str">
            <v>15456265    -    SPACER    -    0.03263</v>
          </cell>
        </row>
        <row r="14930">
          <cell r="D14930" t="str">
            <v>15456268    -    CONNECTOR 12F GRA, S    -    0.33984</v>
          </cell>
        </row>
        <row r="14931">
          <cell r="D14931" t="str">
            <v>15456270    -    RETAINER    -    0.105</v>
          </cell>
        </row>
        <row r="14932">
          <cell r="D14932" t="str">
            <v>15456273    -    CONN 1F    -    0.22</v>
          </cell>
        </row>
        <row r="14933">
          <cell r="D14933" t="str">
            <v>15456274    -    CONNECTOR 16F    -    0.28914</v>
          </cell>
        </row>
        <row r="14934">
          <cell r="D14934" t="str">
            <v>15456276    -    CONNECTOR 16M    -    0.20963</v>
          </cell>
        </row>
        <row r="14935">
          <cell r="D14935" t="str">
            <v>15456278    -    CONN 10M    -    0.35852</v>
          </cell>
        </row>
        <row r="14936">
          <cell r="D14936" t="str">
            <v>15456285    -    CONNECTOR 12F    -    0.61473</v>
          </cell>
        </row>
        <row r="14937">
          <cell r="D14937" t="str">
            <v>15456290    -    CONN 40F    -    1.1</v>
          </cell>
        </row>
        <row r="14938">
          <cell r="D14938" t="str">
            <v>15456920    -    CONNECTOR    -    0.28494</v>
          </cell>
        </row>
        <row r="14939">
          <cell r="D14939" t="str">
            <v>15456924    -    PROTECTOR    -    0.284</v>
          </cell>
        </row>
        <row r="14940">
          <cell r="D14940" t="str">
            <v>15456925    -    PROTECTOR    -    0.245</v>
          </cell>
        </row>
        <row r="14941">
          <cell r="D14941" t="str">
            <v>15456930    -    SUB ASSEMBLY    -    0.78</v>
          </cell>
        </row>
        <row r="14942">
          <cell r="D14942" t="str">
            <v>15456933    -    CONN 12W F    -    0.41432</v>
          </cell>
        </row>
        <row r="14943">
          <cell r="D14943" t="str">
            <v>15456934    -    CONN 18W F    -    0.5</v>
          </cell>
        </row>
        <row r="14944">
          <cell r="D14944" t="str">
            <v>15456941    -    ASM CONN 1 F 1.5 BLK SLD    -    0.18831</v>
          </cell>
        </row>
        <row r="14945">
          <cell r="D14945" t="str">
            <v>15456945    -    CONNECTOR 1 S M    -    0.26942</v>
          </cell>
        </row>
        <row r="14946">
          <cell r="D14946" t="str">
            <v>15456948    -    CONNECTOR    -    1.0165</v>
          </cell>
        </row>
        <row r="14947">
          <cell r="D14947" t="str">
            <v>15456949    -    CONNECTOR    -    0.08989</v>
          </cell>
        </row>
        <row r="14948">
          <cell r="D14948" t="str">
            <v>15456951    -    CONNECTOR 16F SEALED HYBRID    -    0.468</v>
          </cell>
        </row>
        <row r="14949">
          <cell r="D14949" t="str">
            <v>15456956    -    CONNECTOR 3W YELLOW    -    0.03676</v>
          </cell>
        </row>
        <row r="14950">
          <cell r="D14950" t="str">
            <v>15456965    -    SPACER, RELAY    -    0.46787</v>
          </cell>
        </row>
        <row r="14951">
          <cell r="D14951" t="str">
            <v>15456966    -    END CAP SPACER    -    0.11841</v>
          </cell>
        </row>
        <row r="14952">
          <cell r="D14952" t="str">
            <v>15456967    -    SPACER, J-TYPE    -    0.36152</v>
          </cell>
        </row>
        <row r="14953">
          <cell r="D14953" t="str">
            <v>15456972    -    CONN    -    0.29</v>
          </cell>
        </row>
        <row r="14954">
          <cell r="D14954" t="str">
            <v>15456973    -    CONNECTOR 12M    -    0.4008</v>
          </cell>
        </row>
        <row r="14955">
          <cell r="D14955" t="str">
            <v>15456974    -    CONNECTOR 16 UM    -    0.24666</v>
          </cell>
        </row>
        <row r="14956">
          <cell r="D14956" t="str">
            <v>15456975    -    RETAINER NATURAL    -    0.04027</v>
          </cell>
        </row>
        <row r="14957">
          <cell r="D14957" t="str">
            <v>15456999    -    CONNECTOR    -    0.32193</v>
          </cell>
        </row>
        <row r="14958">
          <cell r="D14958" t="str">
            <v>15457034    -    COVER FOR F8LB 14A624 BA    -    0.187709</v>
          </cell>
        </row>
        <row r="14959">
          <cell r="D14959" t="str">
            <v>15457035    -    CONNECTOR 16 SF    -    0.28914</v>
          </cell>
        </row>
        <row r="14960">
          <cell r="D14960" t="str">
            <v>15457037    -    MAXI FUSE SPACER    -    0.36152</v>
          </cell>
        </row>
        <row r="14961">
          <cell r="D14961" t="str">
            <v>15457038    -    COVER BOTTOM    -    1.55126</v>
          </cell>
        </row>
        <row r="14962">
          <cell r="D14962" t="str">
            <v>15458098    -    COVER, CONN 3-W, BLACK    -    0.030788</v>
          </cell>
        </row>
        <row r="14963">
          <cell r="D14963" t="str">
            <v>15458819    -    CONN    -    0.1632</v>
          </cell>
        </row>
        <row r="14964">
          <cell r="D14964" t="str">
            <v>15458845    -    STABILIZER    -    0.01964</v>
          </cell>
        </row>
        <row r="14965">
          <cell r="D14965" t="str">
            <v>15458932    -    TERM M    -    0.033</v>
          </cell>
        </row>
        <row r="14966">
          <cell r="D14966" t="str">
            <v>15459731    -    HARDWARE CONNECTOR    -    2.1</v>
          </cell>
        </row>
        <row r="14967">
          <cell r="D14967" t="str">
            <v>15459742    -    LOCK    -    0.0528</v>
          </cell>
        </row>
        <row r="14968">
          <cell r="D14968" t="str">
            <v>15459755    -    CONNECTOR    -    0.06</v>
          </cell>
        </row>
        <row r="14969">
          <cell r="D14969" t="str">
            <v>15459764    -    CONNECTOR 4W    -    0.17287</v>
          </cell>
        </row>
        <row r="14970">
          <cell r="D14970" t="str">
            <v>15459775    -    HOUSING    -    0.19589</v>
          </cell>
        </row>
        <row r="14971">
          <cell r="D14971" t="str">
            <v>15459779    -    HOUSING    -    0.47116</v>
          </cell>
        </row>
        <row r="14972">
          <cell r="D14972" t="str">
            <v>15459781    -    CLIP    -    0.1091</v>
          </cell>
        </row>
        <row r="14973">
          <cell r="D14973" t="str">
            <v>15459782    -    SHORT CIRCUIT SPRING    -    0.77944</v>
          </cell>
        </row>
        <row r="14974">
          <cell r="D14974" t="str">
            <v>15459783    -    SOCKET HOUSING    -    0.2075</v>
          </cell>
        </row>
        <row r="14975">
          <cell r="D14975" t="str">
            <v>15459784    -    CONN ASSY    -    2.09541</v>
          </cell>
        </row>
        <row r="14976">
          <cell r="D14976" t="str">
            <v>15459785    -    COVER    -    0.68559</v>
          </cell>
        </row>
        <row r="14977">
          <cell r="D14977" t="str">
            <v>15459798    -    CONNECTOR    -    1.19</v>
          </cell>
        </row>
        <row r="14978">
          <cell r="D14978" t="str">
            <v>15459799    -    CLIP    -    0.1091</v>
          </cell>
        </row>
        <row r="14979">
          <cell r="D14979" t="str">
            <v>15459832    -    CONNECTOR    -    0.71869</v>
          </cell>
        </row>
        <row r="14980">
          <cell r="D14980" t="str">
            <v>15459833    -    CONNECTOR    -    0.21138</v>
          </cell>
        </row>
        <row r="14981">
          <cell r="D14981" t="str">
            <v>15459834    -    CONNECTOR    -    0.281</v>
          </cell>
        </row>
        <row r="14982">
          <cell r="D14982" t="str">
            <v>15459836    -    CLAMP    -    0.0327</v>
          </cell>
        </row>
        <row r="14983">
          <cell r="D14983" t="str">
            <v>15459837    -    CLAMP    -    0.0382</v>
          </cell>
        </row>
        <row r="14984">
          <cell r="D14984" t="str">
            <v>15459838    -    CLAMP    -    0.1036</v>
          </cell>
        </row>
        <row r="14985">
          <cell r="D14985" t="str">
            <v>15459839    -    CONNECTOR    -    0.40162</v>
          </cell>
        </row>
        <row r="14986">
          <cell r="D14986" t="str">
            <v>15459840    -    CONNECTOR    -    0.204</v>
          </cell>
        </row>
        <row r="14987">
          <cell r="D14987" t="str">
            <v>15459855    -    CONNECTOR 6F DT SERIES SLD    -    1.14</v>
          </cell>
        </row>
        <row r="14988">
          <cell r="D14988" t="str">
            <v>15459856    -    CONNECTOR    -    0.21607</v>
          </cell>
        </row>
        <row r="14989">
          <cell r="D14989" t="str">
            <v>15459860    -    CONNECTOR    -    0.19963</v>
          </cell>
        </row>
        <row r="14990">
          <cell r="D14990" t="str">
            <v>15459876    -    CONN 1W    -    0.0671</v>
          </cell>
        </row>
        <row r="14991">
          <cell r="D14991" t="str">
            <v>15459883    -    CLIP CONNECTOR    -    0.0495</v>
          </cell>
        </row>
        <row r="14992">
          <cell r="D14992" t="str">
            <v>15459884    -    CONNECTOR    -    0.39222</v>
          </cell>
        </row>
        <row r="14993">
          <cell r="D14993" t="str">
            <v>15459888    -    CLAMP BAND    -    0.1091</v>
          </cell>
        </row>
        <row r="14994">
          <cell r="D14994" t="str">
            <v>15459890    -    4WAY CONNECTOR    -    0.057213</v>
          </cell>
        </row>
        <row r="14995">
          <cell r="D14995" t="str">
            <v>15460102    -    CTR JUNC BLOCK    -    0.555</v>
          </cell>
        </row>
        <row r="14996">
          <cell r="D14996" t="str">
            <v>15460170    -    LOCK TPA GT 150 SLD    -    0.02602</v>
          </cell>
        </row>
        <row r="14997">
          <cell r="D14997" t="str">
            <v>15460228    -    CONN 73F GT 280 MICRO 64    -    0.17704</v>
          </cell>
        </row>
        <row r="14998">
          <cell r="D14998" t="str">
            <v>15460230    -    ASM COVER ELEC CTR    -    1.57916</v>
          </cell>
        </row>
        <row r="14999">
          <cell r="D14999" t="str">
            <v>15460234    -    TAXI CONN    -    0.16393</v>
          </cell>
        </row>
        <row r="15000">
          <cell r="D15000" t="str">
            <v>15460235    -    CONN    -    0.16393</v>
          </cell>
        </row>
        <row r="15001">
          <cell r="D15001" t="str">
            <v>15460246    -    CONN 10F, BLK    -    0.22</v>
          </cell>
        </row>
        <row r="15002">
          <cell r="D15002" t="str">
            <v>15460259    -    CONN    -    1.75</v>
          </cell>
        </row>
        <row r="15003">
          <cell r="D15003" t="str">
            <v>15460616    -    CONN 70F    -    1.08</v>
          </cell>
        </row>
        <row r="15004">
          <cell r="D15004" t="str">
            <v>15460618    -    CONN 50F    -    0.89</v>
          </cell>
        </row>
        <row r="15005">
          <cell r="D15005" t="str">
            <v>15460623    -    CONN 24F    -    0.8</v>
          </cell>
        </row>
        <row r="15006">
          <cell r="D15006" t="str">
            <v>15460624    -    CONN 40F    -    1.1</v>
          </cell>
        </row>
        <row r="15007">
          <cell r="D15007" t="str">
            <v>15460628    -    CONNECTOR 2M BLA SEALED    -    0.25585</v>
          </cell>
        </row>
        <row r="15008">
          <cell r="D15008" t="str">
            <v>15460634    -    CONN 50F    -    0.89</v>
          </cell>
        </row>
        <row r="15009">
          <cell r="D15009" t="str">
            <v>15460639    -    CONNECTOR 6M    -    0.16</v>
          </cell>
        </row>
        <row r="15010">
          <cell r="D15010" t="str">
            <v>15460640    -    CONN 4F    -    0.13</v>
          </cell>
        </row>
        <row r="15011">
          <cell r="D15011" t="str">
            <v>15460648    -    CONN 20W    -    3.157491</v>
          </cell>
        </row>
        <row r="15012">
          <cell r="D15012" t="str">
            <v>15461141    -    CONNECTOR HOLDER    -    0.87419</v>
          </cell>
        </row>
        <row r="15013">
          <cell r="D15013" t="str">
            <v>15461142    -    CONNECTOR HOLDER    -    0.95474</v>
          </cell>
        </row>
        <row r="15014">
          <cell r="D15014" t="str">
            <v>15461151    -    COVER    -    0.47283</v>
          </cell>
        </row>
        <row r="15015">
          <cell r="D15015" t="str">
            <v>15461153    -    CONN, COVER    -    0.12887</v>
          </cell>
        </row>
        <row r="15016">
          <cell r="D15016" t="str">
            <v>15461161    -    CONNECTOR 12 SM    -    0.28929</v>
          </cell>
        </row>
        <row r="15017">
          <cell r="D15017" t="str">
            <v>15461163    -    CONNECTOR    -    0.15806</v>
          </cell>
        </row>
        <row r="15018">
          <cell r="D15018" t="str">
            <v>15461164    -    SPACER    -    0.06362</v>
          </cell>
        </row>
        <row r="15019">
          <cell r="D15019" t="str">
            <v>15461171    -    CONNECTOR 16 WAY HIBRID    -    0.468</v>
          </cell>
        </row>
        <row r="15020">
          <cell r="D15020" t="str">
            <v>15461186    -    CONNECTOR    -    1.1157</v>
          </cell>
        </row>
        <row r="15021">
          <cell r="D15021" t="str">
            <v>15461220    -    COVER    -    0.8</v>
          </cell>
        </row>
        <row r="15022">
          <cell r="D15022" t="str">
            <v>15461221    -    COVER    -    0.19852</v>
          </cell>
        </row>
        <row r="15023">
          <cell r="D15023" t="str">
            <v>15461230    -    CONNECTOR    -    0.15152</v>
          </cell>
        </row>
        <row r="15024">
          <cell r="D15024" t="str">
            <v>15461231    -    CONNECTOR    -    0.21065</v>
          </cell>
        </row>
        <row r="15025">
          <cell r="D15025" t="str">
            <v>15461271    -    CONNECTOR    -    0.28914</v>
          </cell>
        </row>
        <row r="15026">
          <cell r="D15026" t="str">
            <v>15461272    -    CONNECTOR    -    0.20963</v>
          </cell>
        </row>
        <row r="15027">
          <cell r="D15027" t="str">
            <v>15461276    -    CONN    -    0.6922</v>
          </cell>
        </row>
        <row r="15028">
          <cell r="D15028" t="str">
            <v>15461279    -    CONN    -    0.89</v>
          </cell>
        </row>
        <row r="15029">
          <cell r="D15029" t="str">
            <v>15461280    -    CONNECTOR    -    0.41</v>
          </cell>
        </row>
        <row r="15030">
          <cell r="D15030" t="str">
            <v>15461281    -    CONN    -    0.89</v>
          </cell>
        </row>
        <row r="15031">
          <cell r="D15031" t="str">
            <v>15461283    -    CONN    -    0.7522</v>
          </cell>
        </row>
        <row r="15032">
          <cell r="D15032" t="str">
            <v>15461289    -    CONNECTOR    -    0.33984</v>
          </cell>
        </row>
        <row r="15033">
          <cell r="D15033" t="str">
            <v>15461301    -    CONN 24W    -    0.8</v>
          </cell>
        </row>
        <row r="15034">
          <cell r="D15034" t="str">
            <v>15461303    -    COVER    -    0.255</v>
          </cell>
        </row>
        <row r="15035">
          <cell r="D15035" t="str">
            <v>15461320    -    CONN    -    0.82752</v>
          </cell>
        </row>
        <row r="15036">
          <cell r="D15036" t="str">
            <v>15461323    -    CONN    -    0.468</v>
          </cell>
        </row>
        <row r="15037">
          <cell r="D15037" t="str">
            <v>15461324    -    CONN    -    0.468</v>
          </cell>
        </row>
        <row r="15038">
          <cell r="D15038" t="str">
            <v>15461325    -    CONN    -    0.468</v>
          </cell>
        </row>
        <row r="15039">
          <cell r="D15039" t="str">
            <v>15461326    -    CONN    -    0.468</v>
          </cell>
        </row>
        <row r="15040">
          <cell r="D15040" t="str">
            <v>15461327    -    CONN    -    0.30641</v>
          </cell>
        </row>
        <row r="15041">
          <cell r="D15041" t="str">
            <v>15461328    -    CONN    -    0.468</v>
          </cell>
        </row>
        <row r="15042">
          <cell r="D15042" t="str">
            <v>15461329    -    CONN    -    0.468</v>
          </cell>
        </row>
        <row r="15043">
          <cell r="D15043" t="str">
            <v>15461330    -    CONN    -    0.468</v>
          </cell>
        </row>
        <row r="15044">
          <cell r="D15044" t="str">
            <v>15461331    -    CONN    -    0.468</v>
          </cell>
        </row>
        <row r="15045">
          <cell r="D15045" t="str">
            <v>15461332    -    CONN    -    0.468</v>
          </cell>
        </row>
        <row r="15046">
          <cell r="D15046" t="str">
            <v>15461333    -    CONN    -    0.468</v>
          </cell>
        </row>
        <row r="15047">
          <cell r="D15047" t="str">
            <v>15461334    -    CONNECTOR    -    0.28494</v>
          </cell>
        </row>
        <row r="15048">
          <cell r="D15048" t="str">
            <v>15461339    -    CONN 50W    -    0.89</v>
          </cell>
        </row>
        <row r="15049">
          <cell r="D15049" t="str">
            <v>15461340    -    CONNECTOR    -    0.2503</v>
          </cell>
        </row>
        <row r="15050">
          <cell r="D15050" t="str">
            <v>15461343    -    CONN    -    0.281</v>
          </cell>
        </row>
        <row r="15051">
          <cell r="D15051" t="str">
            <v>15461346    -    CONN    -    0.35981</v>
          </cell>
        </row>
        <row r="15052">
          <cell r="D15052" t="str">
            <v>15461347    -    CONN    -    0.12375</v>
          </cell>
        </row>
        <row r="15053">
          <cell r="D15053" t="str">
            <v>15461351    -    4 WAY FEMALE HARNESS ASSY    -    0.1564</v>
          </cell>
        </row>
        <row r="15054">
          <cell r="D15054" t="str">
            <v>15461352    -    CONN 45W    -    0.89</v>
          </cell>
        </row>
        <row r="15055">
          <cell r="D15055" t="str">
            <v>15461353    -    CONN 42W    -    0.89</v>
          </cell>
        </row>
        <row r="15056">
          <cell r="D15056" t="str">
            <v>15461363    -    CONN 76W    -    2.43685</v>
          </cell>
        </row>
        <row r="15057">
          <cell r="D15057" t="str">
            <v>15461364    -    CONN 76W    -    2.43685</v>
          </cell>
        </row>
        <row r="15058">
          <cell r="D15058" t="str">
            <v>15461365    -    CONN 76W    -    2.43685</v>
          </cell>
        </row>
        <row r="15059">
          <cell r="D15059" t="str">
            <v>15461368    -    CONN 76W    -    2.43685</v>
          </cell>
        </row>
        <row r="15060">
          <cell r="D15060" t="str">
            <v>15461369    -    CONN 76W    -    2.43685</v>
          </cell>
        </row>
        <row r="15061">
          <cell r="D15061" t="str">
            <v>15461370    -    CONN 76W    -    2.43685</v>
          </cell>
        </row>
        <row r="15062">
          <cell r="D15062" t="str">
            <v>15461372    -    CONN    -    0.103</v>
          </cell>
        </row>
        <row r="15063">
          <cell r="D15063" t="str">
            <v>15461373    -    CONN    -    0.103</v>
          </cell>
        </row>
        <row r="15064">
          <cell r="D15064" t="str">
            <v>15461399    -    CONN    -    0.26671</v>
          </cell>
        </row>
        <row r="15065">
          <cell r="D15065" t="str">
            <v>15461403    -    CONN    -    0.35981</v>
          </cell>
        </row>
        <row r="15066">
          <cell r="D15066" t="str">
            <v>15461404    -    CONN    -    0.35981</v>
          </cell>
        </row>
        <row r="15067">
          <cell r="D15067" t="str">
            <v>15461405    -    CONN    -    0.35981</v>
          </cell>
        </row>
        <row r="15068">
          <cell r="D15068" t="str">
            <v>15461411    -    CONN 3W    -    0.0659</v>
          </cell>
        </row>
        <row r="15069">
          <cell r="D15069" t="str">
            <v>15461413    -    BATTERY TERMINAL COVER    -    0.39</v>
          </cell>
        </row>
        <row r="15070">
          <cell r="D15070" t="str">
            <v>15461786H    -    WIRE DRESS COVER    -    0.1909</v>
          </cell>
        </row>
        <row r="15071">
          <cell r="D15071" t="str">
            <v>15461788H    -    SECONDARY LOCK    -    0.0227</v>
          </cell>
        </row>
        <row r="15072">
          <cell r="D15072" t="str">
            <v>15462592    -    CONN    -    0.1535</v>
          </cell>
        </row>
        <row r="15073">
          <cell r="D15073" t="str">
            <v>15462653    -    LOCK TPA    -    0.06431</v>
          </cell>
        </row>
        <row r="15074">
          <cell r="D15074" t="str">
            <v>15462654    -    LOCK TPA    -    0.06321</v>
          </cell>
        </row>
        <row r="15075">
          <cell r="D15075" t="str">
            <v>15462655    -    LOCK TPA    -    0.06267</v>
          </cell>
        </row>
        <row r="15076">
          <cell r="D15076" t="str">
            <v>15462656    -    SECONDARY LOCK    -    0.036</v>
          </cell>
        </row>
        <row r="15077">
          <cell r="D15077" t="str">
            <v>15462679    -    CONNECTOR    -    0.19</v>
          </cell>
        </row>
        <row r="15078">
          <cell r="D15078" t="str">
            <v>15462683    -    CONNECTOR    -    0.576498</v>
          </cell>
        </row>
        <row r="15079">
          <cell r="D15079" t="str">
            <v>15462684    -    4 WAY CONN    -    0.0986</v>
          </cell>
        </row>
        <row r="15080">
          <cell r="D15080" t="str">
            <v>15462685    -    CONN    -    0.386</v>
          </cell>
        </row>
        <row r="15081">
          <cell r="D15081" t="str">
            <v>15462686    -    CONN    -    0.386</v>
          </cell>
        </row>
        <row r="15082">
          <cell r="D15082" t="str">
            <v>15462690    -    SECONDARY LOCK 58P 2.8 (ZFW58-X)    -    0.058022</v>
          </cell>
        </row>
        <row r="15083">
          <cell r="D15083" t="str">
            <v>15462691    -    SECONDARY LOCK 58P 1.2 (ZFW58-X)    -    0.060721</v>
          </cell>
        </row>
        <row r="15084">
          <cell r="D15084" t="str">
            <v>15462693    -    COVER 58P    -    0.998523</v>
          </cell>
        </row>
        <row r="15085">
          <cell r="D15085" t="str">
            <v>15463061    -    4 WAY CONNECTOR    -    0.38246</v>
          </cell>
        </row>
        <row r="15086">
          <cell r="D15086" t="str">
            <v>15463062    -    O-RING    -    0.1</v>
          </cell>
        </row>
        <row r="15087">
          <cell r="D15087" t="str">
            <v>15463068    -    CONN 78 F M/P MXD    -    0.49</v>
          </cell>
        </row>
        <row r="15088">
          <cell r="D15088" t="str">
            <v>15463121    -    TAXI CONN    -    0.18</v>
          </cell>
        </row>
        <row r="15089">
          <cell r="D15089" t="str">
            <v>15463191    -    CONN    -    0.2326</v>
          </cell>
        </row>
        <row r="15090">
          <cell r="D15090" t="str">
            <v>15463210    -    CONN    -    0.155</v>
          </cell>
        </row>
        <row r="15091">
          <cell r="D15091" t="str">
            <v>15463278    -    COWL SIDE HOLDER PORTION    -    1.943</v>
          </cell>
        </row>
        <row r="15092">
          <cell r="D15092" t="str">
            <v>15463289    -    CLAMP R/B    -    0.264</v>
          </cell>
        </row>
        <row r="15093">
          <cell r="D15093" t="str">
            <v>15463294    -    CONN HOLDER    -    0.183</v>
          </cell>
        </row>
        <row r="15094">
          <cell r="D15094" t="str">
            <v>15463350    -    CONN 24W    -    0.8</v>
          </cell>
        </row>
        <row r="15095">
          <cell r="D15095" t="str">
            <v>15464347    -    CONNECTOR FEMALE MIXED    -    0.468</v>
          </cell>
        </row>
        <row r="15096">
          <cell r="D15096" t="str">
            <v>15464534    -    CONN 8W    -    0.17</v>
          </cell>
        </row>
        <row r="15097">
          <cell r="D15097" t="str">
            <v>15464840    -    COVER WIRE DRESS    -    0.24832</v>
          </cell>
        </row>
        <row r="15098">
          <cell r="D15098" t="str">
            <v>15464910    -    ASM GROM    -    0.538</v>
          </cell>
        </row>
        <row r="15099">
          <cell r="D15099" t="str">
            <v>15464912    -    CONN 6W    -    0.20286</v>
          </cell>
        </row>
        <row r="15100">
          <cell r="D15100" t="str">
            <v>15465422    -    ASS 47W CONN    -    3.46021</v>
          </cell>
        </row>
        <row r="15101">
          <cell r="D15101" t="str">
            <v>15465423    -    ASS 47W CONN    -    3.46021</v>
          </cell>
        </row>
        <row r="15102">
          <cell r="D15102" t="str">
            <v>15465432    -    CONN,3-W,F,GREY,090II ASSY    -    0.504661</v>
          </cell>
        </row>
        <row r="15103">
          <cell r="D15103" t="str">
            <v>15465433    -    CLIP HARN    -    0.0684</v>
          </cell>
        </row>
        <row r="15104">
          <cell r="D15104" t="str">
            <v>15465436    -    CIP    -    0.0655</v>
          </cell>
        </row>
        <row r="15105">
          <cell r="D15105" t="str">
            <v>15465437    -    CONNECTOR    -    0.1505</v>
          </cell>
        </row>
        <row r="15106">
          <cell r="D15106" t="str">
            <v>15465440    -    CONN 2W    -    0.16989</v>
          </cell>
        </row>
        <row r="15107">
          <cell r="D15107" t="str">
            <v>15465446    -    CONN 2W    -    0.16989</v>
          </cell>
        </row>
        <row r="15108">
          <cell r="D15108" t="str">
            <v>15465454    -    CONN 10M    -    5.07125</v>
          </cell>
        </row>
        <row r="15109">
          <cell r="D15109" t="str">
            <v>15465456    -    CONNECTOR 12 M    -    3.97</v>
          </cell>
        </row>
        <row r="15110">
          <cell r="D15110" t="str">
            <v>15465457    -    CONNECTOR 4P    -    1.59</v>
          </cell>
        </row>
        <row r="15111">
          <cell r="D15111" t="str">
            <v>15465463    -    CONNECTOR 6W    -    0.75</v>
          </cell>
        </row>
        <row r="15112">
          <cell r="D15112" t="str">
            <v>15465465    -    CONN 8 WAY    -    0.367025</v>
          </cell>
        </row>
        <row r="15113">
          <cell r="D15113" t="str">
            <v>15465466    -    CONN 26F    -    2.6</v>
          </cell>
        </row>
        <row r="15114">
          <cell r="D15114" t="str">
            <v>15465469    -    CONN    -    0.5967</v>
          </cell>
        </row>
        <row r="15115">
          <cell r="D15115" t="str">
            <v>15465477    -    CONNECTOR 12M BLK    -    2.2</v>
          </cell>
        </row>
        <row r="15116">
          <cell r="D15116" t="str">
            <v>15465478    -    CONN 12F DT BLK    -    1.96</v>
          </cell>
        </row>
        <row r="15117">
          <cell r="D15117" t="str">
            <v>15465480    -    CONN 15W    -    0.27337</v>
          </cell>
        </row>
        <row r="15118">
          <cell r="D15118" t="str">
            <v>15465481    -    CONN 10W    -    0.34719</v>
          </cell>
        </row>
        <row r="15119">
          <cell r="D15119" t="str">
            <v>15465495    -    CONNECTOR    -    0.70577</v>
          </cell>
        </row>
        <row r="15120">
          <cell r="D15120" t="str">
            <v>15465497    -    CONN 4WAY    -    0.143976</v>
          </cell>
        </row>
        <row r="15121">
          <cell r="D15121" t="str">
            <v>15465502    -    CLIP CONNECTOR    -    0.066</v>
          </cell>
        </row>
        <row r="15122">
          <cell r="D15122" t="str">
            <v>15465512    -    CONNECTOR 10W SAME AS PG004606    -    0.47</v>
          </cell>
        </row>
        <row r="15123">
          <cell r="D15123" t="str">
            <v>15465532    -    CLIP CONNECTOR    -    0.0472</v>
          </cell>
        </row>
        <row r="15124">
          <cell r="D15124" t="str">
            <v>15465549    -    CONN 5M    -    0.32536</v>
          </cell>
        </row>
        <row r="15125">
          <cell r="D15125" t="str">
            <v>15465550    -    CONN 5M MQS    -    0.32536</v>
          </cell>
        </row>
        <row r="15126">
          <cell r="D15126" t="str">
            <v>15465551    -    MQS HSG SOCKET    -    0.07541</v>
          </cell>
        </row>
        <row r="15127">
          <cell r="D15127" t="str">
            <v>15465552    -    CONNECTOR    -    0.07541</v>
          </cell>
        </row>
        <row r="15128">
          <cell r="D15128" t="str">
            <v>15465554    -    CONN 12F    -    0.59496</v>
          </cell>
        </row>
        <row r="15129">
          <cell r="D15129" t="str">
            <v>15465558    -    CONN 12M    -    0.2153</v>
          </cell>
        </row>
        <row r="15130">
          <cell r="D15130" t="str">
            <v>15465568    -    COVER PLUG    -    1.27</v>
          </cell>
        </row>
        <row r="15131">
          <cell r="D15131" t="str">
            <v>15465569    -    164 SLPASH SHIELD BOX    -    2.22014</v>
          </cell>
        </row>
        <row r="15132">
          <cell r="D15132" t="str">
            <v>15465570    -    251 SPLASH SHIELD BOX    -    2.14966</v>
          </cell>
        </row>
        <row r="15133">
          <cell r="D15133" t="str">
            <v>15465571    -    164/251 COVER FOR SPLASH SHIELD BOX    -    1.926471</v>
          </cell>
        </row>
        <row r="15134">
          <cell r="D15134" t="str">
            <v>15465574    -    CONN 6W    -    0.09209</v>
          </cell>
        </row>
        <row r="15135">
          <cell r="D15135" t="str">
            <v>15465614    -    CONN 8 WAY    -    0.284984</v>
          </cell>
        </row>
        <row r="15136">
          <cell r="D15136" t="str">
            <v>15465615    -    CONN 2F    -    0.754</v>
          </cell>
        </row>
        <row r="15137">
          <cell r="D15137" t="str">
            <v>15465624    -    CONN 26W    -    2.6</v>
          </cell>
        </row>
        <row r="15138">
          <cell r="D15138" t="str">
            <v>15465628    -    CONNECTOR 31W    -    8.02</v>
          </cell>
        </row>
        <row r="15139">
          <cell r="D15139" t="str">
            <v>15465633    -    CONN 2W    -    0.27699</v>
          </cell>
        </row>
        <row r="15140">
          <cell r="D15140" t="str">
            <v>15465657    -    CONNECTOR 8W    -    6.16</v>
          </cell>
        </row>
        <row r="15141">
          <cell r="D15141" t="str">
            <v>15465674    -    COVER CONN    -    3.036049</v>
          </cell>
        </row>
        <row r="15142">
          <cell r="D15142" t="str">
            <v>15465683    -    CONN 250 1F UNSLD    -    0.04691</v>
          </cell>
        </row>
        <row r="15143">
          <cell r="D15143" t="str">
            <v>15465686    -    CONN 2F UNSLD BLK    -    0.22637</v>
          </cell>
        </row>
        <row r="15144">
          <cell r="D15144" t="str">
            <v>15465687    -    CONN 250 2F UNSLD BLK    -    0.11269</v>
          </cell>
        </row>
        <row r="15145">
          <cell r="D15145" t="str">
            <v>15465698    -    CONN HYB 090II+4.8 4M UNSLD NAT    -    0.2422</v>
          </cell>
        </row>
        <row r="15146">
          <cell r="D15146" t="str">
            <v>15465701    -    CONN 040III 18F UNSLD NAT    -    0.29564</v>
          </cell>
        </row>
        <row r="15147">
          <cell r="D15147" t="str">
            <v>15465702    -    CONN 025 4F UNSLD BLKD    -    0.05197</v>
          </cell>
        </row>
        <row r="15148">
          <cell r="D15148" t="str">
            <v>15465703    -    CONN 025 4F UNSLD NAT    -    0.39388</v>
          </cell>
        </row>
        <row r="15149">
          <cell r="D15149" t="str">
            <v>15465704    -    CONN 375 2F UNSLD GRAY    -    0.27491</v>
          </cell>
        </row>
        <row r="15150">
          <cell r="D15150" t="str">
            <v>15465705    -    CONN HYB 090II + 064 20M UNSLD NAT    -    0.37565</v>
          </cell>
        </row>
        <row r="15151">
          <cell r="D15151" t="str">
            <v>15465706    -    CONN HYB 090II + 064 20F UNSLD NAT    -    0.25621</v>
          </cell>
        </row>
        <row r="15152">
          <cell r="D15152" t="str">
            <v>15465707    -    CONN HYB 090II+025II 16F UNSLD NAT    -    0.1789</v>
          </cell>
        </row>
        <row r="15153">
          <cell r="D15153" t="str">
            <v>15465715    -    CONN 25 M HYB 090/025II 4+ 21    -    0.28582</v>
          </cell>
        </row>
        <row r="15154">
          <cell r="D15154" t="str">
            <v>15465716    -    CONN 25 F 090/025II 4+21    -    0.26727</v>
          </cell>
        </row>
        <row r="15155">
          <cell r="D15155" t="str">
            <v>15465718    -    CONN 025II 18M UNSLD NAT    -    0.27055</v>
          </cell>
        </row>
        <row r="15156">
          <cell r="D15156" t="str">
            <v>15465719    -    CONN 18 F 025II    -    0.25418</v>
          </cell>
        </row>
        <row r="15157">
          <cell r="D15157" t="str">
            <v>15465720    -    CONN 025II 19F UNSLD NAT    -    0.17324</v>
          </cell>
        </row>
        <row r="15158">
          <cell r="D15158" t="str">
            <v>15465721    -    CONN HYB 090II+025II 13M UNSLD NAT    -    0.27382</v>
          </cell>
        </row>
        <row r="15159">
          <cell r="D15159" t="str">
            <v>15465722    -    CONN HYM 090II+025II 13F UNSLD NAT    -    0.25745</v>
          </cell>
        </row>
        <row r="15160">
          <cell r="D15160" t="str">
            <v>15465728    -    CONN 187 4F SLD GRAY    -    0.62073</v>
          </cell>
        </row>
        <row r="15161">
          <cell r="D15161" t="str">
            <v>15465729    -    CONN 090II 3F SLD BLK    -    0.41673</v>
          </cell>
        </row>
        <row r="15162">
          <cell r="D15162" t="str">
            <v>15465731    -    CONN HYB 090II+040III 12F UNSLD NAT    -    0.2084</v>
          </cell>
        </row>
        <row r="15163">
          <cell r="D15163" t="str">
            <v>15465732    -    RELAY BLOCK CONNECTOR    -    0.63</v>
          </cell>
        </row>
        <row r="15164">
          <cell r="D15164" t="str">
            <v>15465733    -    CLIP    -    0.0771</v>
          </cell>
        </row>
        <row r="15165">
          <cell r="D15165" t="str">
            <v>15465735    -    CONN HYB 090II+040III 20F UNSLD NAT    -    0.2345</v>
          </cell>
        </row>
        <row r="15166">
          <cell r="D15166" t="str">
            <v>15465740    -    CONN HYB 090/025 I 126F SLD BLK    -    2.09037</v>
          </cell>
        </row>
        <row r="15167">
          <cell r="D15167" t="str">
            <v>15465741    -    CONN HYB 090/025 II 60F SLD NAT    -    1.53294</v>
          </cell>
        </row>
        <row r="15168">
          <cell r="D15168" t="str">
            <v>15465745    -    CONN HOLDER    -    0.26182</v>
          </cell>
        </row>
        <row r="15169">
          <cell r="D15169" t="str">
            <v>15465747    -    CLIP    -    0.24764</v>
          </cell>
        </row>
        <row r="15170">
          <cell r="D15170" t="str">
            <v>15465748    -    CLIP    -    0.0308</v>
          </cell>
        </row>
        <row r="15171">
          <cell r="D15171" t="str">
            <v>15465749    -    CLIP    -    0.0565</v>
          </cell>
        </row>
        <row r="15172">
          <cell r="D15172" t="str">
            <v>15465752    -    CONNECTOR    -    0.21483</v>
          </cell>
        </row>
        <row r="15173">
          <cell r="D15173" t="str">
            <v>15465753    -    CONNECTOR    -    0.22368</v>
          </cell>
        </row>
        <row r="15174">
          <cell r="D15174" t="str">
            <v>15465759    -    CLIP    -    0.1438</v>
          </cell>
        </row>
        <row r="15175">
          <cell r="D15175" t="str">
            <v>15465760    -    CHANNEL    -    0.63927</v>
          </cell>
        </row>
        <row r="15176">
          <cell r="D15176" t="str">
            <v>15465761    -    CONN 090II 13F UNSLD NAT    -    0.11455</v>
          </cell>
        </row>
        <row r="15177">
          <cell r="D15177" t="str">
            <v>15465767    -    SHORT CIRCUIT SPIRING    -    0.28211</v>
          </cell>
        </row>
        <row r="15178">
          <cell r="D15178" t="str">
            <v>15465768    -    CONN HOLDER    -    0.37745</v>
          </cell>
        </row>
        <row r="15179">
          <cell r="D15179" t="str">
            <v>15465829    -    MOUN WIRE TIE    -    0.02185</v>
          </cell>
        </row>
        <row r="15180">
          <cell r="D15180" t="str">
            <v>15465904    -    MOUNTING BRACKET    -    0.0499</v>
          </cell>
        </row>
        <row r="15181">
          <cell r="D15181" t="str">
            <v>15465905    -    CLIP    -    0.09</v>
          </cell>
        </row>
        <row r="15182">
          <cell r="D15182" t="str">
            <v>15465910    -    ASM COVER ELEC CTR    -    2.8931</v>
          </cell>
        </row>
        <row r="15183">
          <cell r="D15183" t="str">
            <v>15465979    -    CONN 20F    -    0.89</v>
          </cell>
        </row>
        <row r="15184">
          <cell r="D15184" t="str">
            <v>15465981    -    CONN, 12M, BLA, SEALED, HYBRID    -    0.28929</v>
          </cell>
        </row>
        <row r="15185">
          <cell r="D15185" t="str">
            <v>15465994    -    CONNECTOR 12M, BLA, SEALED HYBRID    -    0.28929</v>
          </cell>
        </row>
        <row r="15186">
          <cell r="D15186" t="str">
            <v>15465995    -    CONNECTOR 12M, BLA, SEALED HYBRID    -    0.28929</v>
          </cell>
        </row>
        <row r="15187">
          <cell r="D15187" t="str">
            <v>15465996    -    38 WAY WIRE DRESS COVER    -    0.221</v>
          </cell>
        </row>
        <row r="15188">
          <cell r="D15188" t="str">
            <v>15466005    -    ASM CONN    -    3.29</v>
          </cell>
        </row>
        <row r="15189">
          <cell r="D15189" t="str">
            <v>15466006    -    ASM CONN    -    3.7835</v>
          </cell>
        </row>
        <row r="15190">
          <cell r="D15190" t="str">
            <v>15466007    -    CONN 12F BLA, SEALED, HYBRID    -    0.33984</v>
          </cell>
        </row>
        <row r="15191">
          <cell r="D15191" t="str">
            <v>15466012    -    COV CONN 70W    -    0.24</v>
          </cell>
        </row>
        <row r="15192">
          <cell r="D15192" t="str">
            <v>15466013    -    CONN 43F    -    1.08</v>
          </cell>
        </row>
        <row r="15193">
          <cell r="D15193" t="str">
            <v>15466014    -    CONN 55F    -    1.08</v>
          </cell>
        </row>
        <row r="15194">
          <cell r="D15194" t="str">
            <v>15466016    -    CONNECTOR    -    0.26</v>
          </cell>
        </row>
        <row r="15195">
          <cell r="D15195" t="str">
            <v>15466028    -    ASM CONN    -    0.244</v>
          </cell>
        </row>
        <row r="15196">
          <cell r="D15196" t="str">
            <v>15466030    -    CONNECTOR 5F SEALED GRAY    -    0.22999</v>
          </cell>
        </row>
        <row r="15197">
          <cell r="D15197" t="str">
            <v>15466031    -    16WAY TRANSMISSION CONNECTOR    -    1.793779</v>
          </cell>
        </row>
        <row r="15198">
          <cell r="D15198" t="str">
            <v>15466033    -    CONNECTOR 5M SEALED GRAY    -    0.28494</v>
          </cell>
        </row>
        <row r="15199">
          <cell r="D15199" t="str">
            <v>15466034    -    CONNECTOR    -    0.512</v>
          </cell>
        </row>
        <row r="15200">
          <cell r="D15200" t="str">
            <v>15466053    -    28 WAY CONN    -    0.2775</v>
          </cell>
        </row>
        <row r="15201">
          <cell r="D15201" t="str">
            <v>15466054    -    FEMALE CONN ASSY    -    0.1323</v>
          </cell>
        </row>
        <row r="15202">
          <cell r="D15202" t="str">
            <v>15466057    -    CONNECTOR    -    1.621304</v>
          </cell>
        </row>
        <row r="15203">
          <cell r="D15203" t="str">
            <v>15466074    -    CONN    -    1.1</v>
          </cell>
        </row>
        <row r="15204">
          <cell r="D15204" t="str">
            <v>15466075    -    CONN    -    1.1</v>
          </cell>
        </row>
        <row r="15205">
          <cell r="D15205" t="str">
            <v>15466077    -    CONN 4 W    -    0.31473</v>
          </cell>
        </row>
        <row r="15206">
          <cell r="D15206" t="str">
            <v>15466082    -    CONN 30F U HYBRID    -    0.406</v>
          </cell>
        </row>
        <row r="15207">
          <cell r="D15207" t="str">
            <v>15466086    -    CONN 40F SEALED    -    1.1</v>
          </cell>
        </row>
        <row r="15208">
          <cell r="D15208" t="str">
            <v>15466087    -    CONN 40F BLK    -    1.1</v>
          </cell>
        </row>
        <row r="15209">
          <cell r="D15209" t="str">
            <v>15466088    -    CONNECTOR    -    0.4223</v>
          </cell>
        </row>
        <row r="15210">
          <cell r="D15210" t="str">
            <v>15466092    -    CONN 40F BLK    -    1.1</v>
          </cell>
        </row>
        <row r="15211">
          <cell r="D15211" t="str">
            <v>15466093    -    CONN 40F BLK    -    1.1</v>
          </cell>
        </row>
        <row r="15212">
          <cell r="D15212" t="str">
            <v>15466094    -    ASM CONN    -    0.8</v>
          </cell>
        </row>
        <row r="15213">
          <cell r="D15213" t="str">
            <v>15466097    -    CONN    -    0.052</v>
          </cell>
        </row>
        <row r="15214">
          <cell r="D15214" t="str">
            <v>15466098    -    LOCK RETAINER    -    0.022</v>
          </cell>
        </row>
        <row r="15215">
          <cell r="D15215" t="str">
            <v>15466193    -    HARNESS CLAMP    -    0.095</v>
          </cell>
        </row>
        <row r="15216">
          <cell r="D15216" t="str">
            <v>15466336    -    COVER    -    0.09</v>
          </cell>
        </row>
        <row r="15217">
          <cell r="D15217" t="str">
            <v>15466358    -    COVER FOR FUSE BLOCK    -    1.47</v>
          </cell>
        </row>
        <row r="15218">
          <cell r="D15218" t="str">
            <v>15466670    -    CONN    -    0.034</v>
          </cell>
        </row>
        <row r="15219">
          <cell r="D15219" t="str">
            <v>15466795    -    JUMPSTART CENTER HSG    -    0.42</v>
          </cell>
        </row>
        <row r="15220">
          <cell r="D15220" t="str">
            <v>15466796    -    JUMPSTART CENTER COVER    -    0.315</v>
          </cell>
        </row>
        <row r="15221">
          <cell r="D15221" t="str">
            <v>15466797    -    JUMPSTART CENTER B+ CAP    -    0.092</v>
          </cell>
        </row>
        <row r="15222">
          <cell r="D15222" t="str">
            <v>15466874    -    COVER JUNCTION BLOCK    -    0.118</v>
          </cell>
        </row>
        <row r="15223">
          <cell r="D15223" t="str">
            <v>15467185    -    CONN    -    0.099</v>
          </cell>
        </row>
        <row r="15224">
          <cell r="D15224" t="str">
            <v>15467386    -    CONN SDM    -    1.8</v>
          </cell>
        </row>
        <row r="15225">
          <cell r="D15225" t="str">
            <v>15467547    -    REMOTE ACCESS ASSEMBLY    -    0.5312</v>
          </cell>
        </row>
        <row r="15226">
          <cell r="D15226" t="str">
            <v>15467663    -    MOUNTING BRACKET    -    1.0725</v>
          </cell>
        </row>
        <row r="15227">
          <cell r="D15227" t="str">
            <v>15467664    -    MOUNTING BRACKET    -    1.117</v>
          </cell>
        </row>
        <row r="15228">
          <cell r="D15228" t="str">
            <v>15468021    -    COVER RED    -    9.3</v>
          </cell>
        </row>
        <row r="15229">
          <cell r="D15229" t="str">
            <v>15468022    -    CONNECTOR 16W    -    0.20963</v>
          </cell>
        </row>
        <row r="15230">
          <cell r="D15230" t="str">
            <v>15468023    -    CONNECTOR 16W    -    0.28914</v>
          </cell>
        </row>
        <row r="15231">
          <cell r="D15231" t="str">
            <v>15468026    -    CONNECTOR 42W    -    1.3063</v>
          </cell>
        </row>
        <row r="15232">
          <cell r="D15232" t="str">
            <v>15468028    -    CONNECTOR 16W    -    0.28914</v>
          </cell>
        </row>
        <row r="15233">
          <cell r="D15233" t="str">
            <v>15468030    -    CONN 104W    -    1.98</v>
          </cell>
        </row>
        <row r="15234">
          <cell r="D15234" t="str">
            <v>15468033    -    SOCKET    -    0.01664</v>
          </cell>
        </row>
        <row r="15235">
          <cell r="D15235" t="str">
            <v>15468039    -    CONNECTOR    -    1.00186</v>
          </cell>
        </row>
        <row r="15236">
          <cell r="D15236" t="str">
            <v>15468050    -    CONNECTOR 16W    -    0.28914</v>
          </cell>
        </row>
        <row r="15237">
          <cell r="D15237" t="str">
            <v>15468051    -    CONNECTOR    -    1.36338</v>
          </cell>
        </row>
        <row r="15238">
          <cell r="D15238" t="str">
            <v>15468056    -    CONN 104W    -    1.98</v>
          </cell>
        </row>
        <row r="15239">
          <cell r="D15239" t="str">
            <v>15468113    -    CONN    -    0.1976</v>
          </cell>
        </row>
        <row r="15240">
          <cell r="D15240" t="str">
            <v>15468266    -    TPA TERMINAL LOCK    -    0.09</v>
          </cell>
        </row>
        <row r="15241">
          <cell r="D15241" t="str">
            <v>15468267    -    TPA TERMINAL LOCK    -    0.09</v>
          </cell>
        </row>
        <row r="15242">
          <cell r="D15242" t="str">
            <v>15468634    -    CONN COV    -    0.113</v>
          </cell>
        </row>
        <row r="15243">
          <cell r="D15243" t="str">
            <v>15468680    -    CONN 56M MICRO 64    -    0.18</v>
          </cell>
        </row>
        <row r="15244">
          <cell r="D15244" t="str">
            <v>15468681    -    CONN 56M MICRO 64    -    0.18</v>
          </cell>
        </row>
        <row r="15245">
          <cell r="D15245" t="str">
            <v>15468683    -    CONN 56M MICRO 64    -    0.18</v>
          </cell>
        </row>
        <row r="15246">
          <cell r="D15246" t="str">
            <v>15469722    -    CONN    -    1.43686</v>
          </cell>
        </row>
        <row r="15247">
          <cell r="D15247" t="str">
            <v>15469836    -    COV    -    0.152612</v>
          </cell>
        </row>
        <row r="15248">
          <cell r="D15248" t="str">
            <v>15469837    -    ABDECKKAPPE    -    0.262166</v>
          </cell>
        </row>
        <row r="15249">
          <cell r="D15249" t="str">
            <v>15471933    -    MOUNT CLIP - TAPE ON    -    0.0496</v>
          </cell>
        </row>
        <row r="15250">
          <cell r="D15250" t="str">
            <v>15472336    -    LOCK STRAIN RELIEF 60 WAY    -    0.3</v>
          </cell>
        </row>
        <row r="15251">
          <cell r="D15251" t="str">
            <v>15472363    -    LOCK STRAIN RELIEF 50 WAY    -    0.235</v>
          </cell>
        </row>
        <row r="15252">
          <cell r="D15252" t="str">
            <v>15472554    -    CONNECTOR 2 W    -    0.18997</v>
          </cell>
        </row>
        <row r="15253">
          <cell r="D15253" t="str">
            <v>15472684    -    ASM TPA 3W FILTERED    -    0.38</v>
          </cell>
        </row>
        <row r="15254">
          <cell r="D15254" t="str">
            <v>15473079    -    CONNECTOR RETAINER    -    2.8332</v>
          </cell>
        </row>
        <row r="15255">
          <cell r="D15255" t="str">
            <v>15473106    -    HD CONN    -    0.1219</v>
          </cell>
        </row>
        <row r="15256">
          <cell r="D15256" t="str">
            <v>15473476    -    CONN 104W    -    1.98</v>
          </cell>
        </row>
        <row r="15257">
          <cell r="D15257" t="str">
            <v>15474007    -    CONN 2F M/P 800    -    0.098</v>
          </cell>
        </row>
        <row r="15258">
          <cell r="D15258" t="str">
            <v>15474008    -    LOCK TPA 800    -    0.04</v>
          </cell>
        </row>
        <row r="15259">
          <cell r="D15259" t="str">
            <v>15474409    -    CONN    -    0.616</v>
          </cell>
        </row>
        <row r="15260">
          <cell r="D15260" t="str">
            <v>15474430    -    CONNECTOR 42 WAY    -    1.15516</v>
          </cell>
        </row>
        <row r="15261">
          <cell r="D15261" t="str">
            <v>15474432    -    CONNECTOR 42 WAY    -    1.15516</v>
          </cell>
        </row>
        <row r="15262">
          <cell r="D15262" t="str">
            <v>15474444    -    CONN    -    0.04977</v>
          </cell>
        </row>
        <row r="15263">
          <cell r="D15263" t="str">
            <v>15474447    -    CONN 104W    -    1.98</v>
          </cell>
        </row>
        <row r="15264">
          <cell r="D15264" t="str">
            <v>15474451    -    COVER 8W F    -    7.64</v>
          </cell>
        </row>
        <row r="15265">
          <cell r="D15265" t="str">
            <v>15474456    -    CONN    -    1.95</v>
          </cell>
        </row>
        <row r="15266">
          <cell r="D15266" t="str">
            <v>15474465    -    CONN 8W BLK    -    10.51</v>
          </cell>
        </row>
        <row r="15267">
          <cell r="D15267" t="str">
            <v>15474466    -    RETAINER 8W F    -    7.84</v>
          </cell>
        </row>
        <row r="15268">
          <cell r="D15268" t="str">
            <v>15474468    -    SPACER 8W F    -    5.27</v>
          </cell>
        </row>
        <row r="15269">
          <cell r="D15269" t="str">
            <v>15474490    -    COVER    -    0.104</v>
          </cell>
        </row>
        <row r="15270">
          <cell r="D15270" t="str">
            <v>15474501    -    BLOCK ASSY-J    -    1.18</v>
          </cell>
        </row>
        <row r="15271">
          <cell r="D15271" t="str">
            <v>15474503    -    CONNECTOR    -    0.0594</v>
          </cell>
        </row>
        <row r="15272">
          <cell r="D15272" t="str">
            <v>15474512    -    CONN 42M    -    0.89102</v>
          </cell>
        </row>
        <row r="15273">
          <cell r="D15273" t="str">
            <v>15475295    -    CONN    -    0.01296</v>
          </cell>
        </row>
        <row r="15274">
          <cell r="D15274" t="str">
            <v>15475672    -    LOCK TPA/CLIP CDT 6MM    -    0.2556</v>
          </cell>
        </row>
        <row r="15275">
          <cell r="D15275" t="str">
            <v>15475869    -    CONN 40 M GT 150 280    -    0.24556</v>
          </cell>
        </row>
        <row r="15276">
          <cell r="D15276" t="str">
            <v>15475968    -    CONN    -    0.299</v>
          </cell>
        </row>
        <row r="15277">
          <cell r="D15277" t="str">
            <v>15475969    -    BACKSHELL 60 WAY    -    0.2829</v>
          </cell>
        </row>
        <row r="15278">
          <cell r="D15278" t="str">
            <v>15476189    -    CONN 6 F GT 280 SLD    -    0.15867</v>
          </cell>
        </row>
        <row r="15279">
          <cell r="D15279" t="str">
            <v>15476192    -    CONN 6 F GT 280 SLD    -    0.15909</v>
          </cell>
        </row>
        <row r="15280">
          <cell r="D15280" t="str">
            <v>15476195    -    CONN    -    0.023</v>
          </cell>
        </row>
        <row r="15281">
          <cell r="D15281" t="str">
            <v>15476200    -    CONN SDM    -    1.8</v>
          </cell>
        </row>
        <row r="15282">
          <cell r="D15282" t="str">
            <v>15476347    -    CONN 20F GT    -    0.28802</v>
          </cell>
        </row>
        <row r="15283">
          <cell r="D15283" t="str">
            <v>15476348    -    SLIDE LOCK ASSIST LH    -    0.092</v>
          </cell>
        </row>
        <row r="15284">
          <cell r="D15284" t="str">
            <v>15476349    -    SLIDE LOCK ASSIST LH    -    0.093</v>
          </cell>
        </row>
        <row r="15285">
          <cell r="D15285" t="str">
            <v>15476350    -    CONN LOCK HANDLE    -    0.0906</v>
          </cell>
        </row>
        <row r="15286">
          <cell r="D15286" t="str">
            <v>15476351    -    COVER WIRE DRESS    -    0.087</v>
          </cell>
        </row>
        <row r="15287">
          <cell r="D15287" t="str">
            <v>15476835    -    ASM CONN 60M MQS    -    0.93</v>
          </cell>
        </row>
        <row r="15288">
          <cell r="D15288" t="str">
            <v>15476913    -    LOCK CPA LEVER    -    0.065</v>
          </cell>
        </row>
        <row r="15289">
          <cell r="D15289" t="str">
            <v>15477038    -    TAXI LOCK CONN    -    0.0203</v>
          </cell>
        </row>
        <row r="15290">
          <cell r="D15290" t="str">
            <v>15477757    -    GT CONN    -    0.05249</v>
          </cell>
        </row>
        <row r="15291">
          <cell r="D15291" t="str">
            <v>15477860    -    CONN    -    0.0455</v>
          </cell>
        </row>
        <row r="15292">
          <cell r="D15292" t="str">
            <v>15477862    -    RETAINER LOCK    -    0.022</v>
          </cell>
        </row>
        <row r="15293">
          <cell r="D15293" t="str">
            <v>15478315    -    CONN 3F 150 GT    -    0.049</v>
          </cell>
        </row>
        <row r="15294">
          <cell r="D15294" t="str">
            <v>15478570    -    LOCK TERM LK    -    0.23781</v>
          </cell>
        </row>
        <row r="15295">
          <cell r="D15295" t="str">
            <v>15478606    -    090II 12F LIF CONN NAT    -    0.21709</v>
          </cell>
        </row>
        <row r="15296">
          <cell r="D15296" t="str">
            <v>15478608    -    040III 12F + 090II 4F HYBRID LIF    -    0.26727</v>
          </cell>
        </row>
        <row r="15297">
          <cell r="D15297" t="str">
            <v>15478609    -    090II 8F LIF CONN UNSLD NAT    -    0.20945</v>
          </cell>
        </row>
        <row r="15298">
          <cell r="D15298" t="str">
            <v>15478610    -    CONN HOLDER    -    0.26618</v>
          </cell>
        </row>
        <row r="15299">
          <cell r="D15299" t="str">
            <v>15478611    -    MISC    -    0.16582</v>
          </cell>
        </row>
        <row r="15300">
          <cell r="D15300" t="str">
            <v>15478612    -    BLOCK LIF CONN LEVER    -    0.16145</v>
          </cell>
        </row>
        <row r="15301">
          <cell r="D15301" t="str">
            <v>15478644    -    CONN 8W    -    0.44078</v>
          </cell>
        </row>
        <row r="15302">
          <cell r="D15302" t="str">
            <v>15479373    -    CLIP HARNESS    -    0.0555</v>
          </cell>
        </row>
        <row r="15303">
          <cell r="D15303" t="str">
            <v>15479431    -    090II CONN 5F GRY SLD    -    0.51709</v>
          </cell>
        </row>
        <row r="15304">
          <cell r="D15304" t="str">
            <v>15479432    -    CLIP    -    0.03</v>
          </cell>
        </row>
        <row r="15305">
          <cell r="D15305" t="str">
            <v>15479437    -    CONNECTOR    -    0.2723</v>
          </cell>
        </row>
        <row r="15306">
          <cell r="D15306" t="str">
            <v>15479438    -    REAR HOLDER    -    0.0325</v>
          </cell>
        </row>
        <row r="15307">
          <cell r="D15307" t="str">
            <v>15479439    -    CONN COVER    -    0.0695</v>
          </cell>
        </row>
        <row r="15308">
          <cell r="D15308" t="str">
            <v>15479450    -    CONNECTOR    -    0.0539</v>
          </cell>
        </row>
        <row r="15309">
          <cell r="D15309" t="str">
            <v>15479451    -    CONNECTOR    -    0.0211</v>
          </cell>
        </row>
        <row r="15310">
          <cell r="D15310" t="str">
            <v>15479452    -    CONNECTOR    -    0.2642</v>
          </cell>
        </row>
        <row r="15311">
          <cell r="D15311" t="str">
            <v>15479453    -    CONNECTOR    -    0.0732</v>
          </cell>
        </row>
        <row r="15312">
          <cell r="D15312" t="str">
            <v>15479454    -    COVER    -    0.000036</v>
          </cell>
        </row>
        <row r="15313">
          <cell r="D15313" t="str">
            <v>15479456    -    HOLDER    -    0.033</v>
          </cell>
        </row>
        <row r="15314">
          <cell r="D15314" t="str">
            <v>15479457    -    CONNECTOR    -    0.1176</v>
          </cell>
        </row>
        <row r="15315">
          <cell r="D15315" t="str">
            <v>15479458    -    CONNECTOR    -    0.1361</v>
          </cell>
        </row>
        <row r="15316">
          <cell r="D15316" t="str">
            <v>15479460    -    CONN    -    0.33775</v>
          </cell>
        </row>
        <row r="15317">
          <cell r="D15317" t="str">
            <v>15479461    -    HOLDER    -    0.0873</v>
          </cell>
        </row>
        <row r="15318">
          <cell r="D15318" t="str">
            <v>15479462    -    COVER    -    0.000042</v>
          </cell>
        </row>
        <row r="15319">
          <cell r="D15319" t="str">
            <v>15479484    -    CONN    -    0.053</v>
          </cell>
        </row>
        <row r="15320">
          <cell r="D15320" t="str">
            <v>15479758    -    CONN    -    0.18264</v>
          </cell>
        </row>
        <row r="15321">
          <cell r="D15321" t="str">
            <v>15479799    -    CONNECTOR    -    1.44696</v>
          </cell>
        </row>
        <row r="15322">
          <cell r="D15322" t="str">
            <v>15479800    -    CONNECTOR    -    0.30314</v>
          </cell>
        </row>
        <row r="15323">
          <cell r="D15323" t="str">
            <v>15479801    -    CONNECTOR    -    1.75458</v>
          </cell>
        </row>
        <row r="15324">
          <cell r="D15324" t="str">
            <v>15479804    -    CONNECTOR    -    0.30314</v>
          </cell>
        </row>
        <row r="15325">
          <cell r="D15325" t="str">
            <v>15479809    -    CONNECTOR    -    0.49429</v>
          </cell>
        </row>
        <row r="15326">
          <cell r="D15326" t="str">
            <v>15479816    -    CONN 76W SEALED    -    2.43685</v>
          </cell>
        </row>
        <row r="15327">
          <cell r="D15327" t="str">
            <v>15479817    -    CONN 76W SEALED    -    2.43685</v>
          </cell>
        </row>
        <row r="15328">
          <cell r="D15328" t="str">
            <v>15480177    -    CONNECTOR    -    0.0485</v>
          </cell>
        </row>
        <row r="15329">
          <cell r="D15329" t="str">
            <v>15480179    -    ASM CONN    -    0.2775</v>
          </cell>
        </row>
        <row r="15330">
          <cell r="D15330" t="str">
            <v>15480635    -    LOCK TERMINAL    -    0.055</v>
          </cell>
        </row>
        <row r="15331">
          <cell r="D15331" t="str">
            <v>15480711    -    COVER    -    0.34326</v>
          </cell>
        </row>
        <row r="15332">
          <cell r="D15332" t="str">
            <v>15480712    -    CONN    -    1.83761</v>
          </cell>
        </row>
        <row r="15333">
          <cell r="D15333" t="str">
            <v>15480715    -    CONN    -    0.08999</v>
          </cell>
        </row>
        <row r="15334">
          <cell r="D15334" t="str">
            <v>15480734    -    CONN    -    10.19</v>
          </cell>
        </row>
        <row r="15335">
          <cell r="D15335" t="str">
            <v>15480735    -    COVER    -    1.31</v>
          </cell>
        </row>
        <row r="15336">
          <cell r="D15336" t="str">
            <v>15480744    -    CONN    -    0.36466</v>
          </cell>
        </row>
        <row r="15337">
          <cell r="D15337" t="str">
            <v>15480746    -    LOCK TPA GT 150 10    -    0.036</v>
          </cell>
        </row>
        <row r="15338">
          <cell r="D15338" t="str">
            <v>15480747    -    LOCK TPA GT 150 10    -    0.0379</v>
          </cell>
        </row>
        <row r="15339">
          <cell r="D15339" t="str">
            <v>15482740    -    CONN 9 DUCON 1.5 GRA    -    0.0594</v>
          </cell>
        </row>
        <row r="15340">
          <cell r="D15340" t="str">
            <v>15482790    -    ASM CONN    -    0.2691</v>
          </cell>
        </row>
        <row r="15341">
          <cell r="D15341" t="str">
            <v>15482791    -    ASM CONN    -    0.2691</v>
          </cell>
        </row>
        <row r="15342">
          <cell r="D15342" t="str">
            <v>15482792    -    ASM CONN    -    0.2691</v>
          </cell>
        </row>
        <row r="15343">
          <cell r="D15343" t="str">
            <v>15482793    -    25 WAY CONN    -    0.2691</v>
          </cell>
        </row>
        <row r="15344">
          <cell r="D15344" t="str">
            <v>15483018    -    ASM CONN    -    1.8</v>
          </cell>
        </row>
        <row r="15345">
          <cell r="D15345" t="str">
            <v>15483019    -    ASM CONN    -    1.8</v>
          </cell>
        </row>
        <row r="15346">
          <cell r="D15346" t="str">
            <v>15483020    -    ASM CONN    -    1.8</v>
          </cell>
        </row>
        <row r="15347">
          <cell r="D15347" t="str">
            <v>15483024    -    CONNECTOR    -    1.82</v>
          </cell>
        </row>
        <row r="15348">
          <cell r="D15348" t="str">
            <v>15483103    -    CONNECTOR 8 WAY    -    0.1062</v>
          </cell>
        </row>
        <row r="15349">
          <cell r="D15349" t="str">
            <v>15483105    -    CONNECTOR 5 WAY    -    0.4029</v>
          </cell>
        </row>
        <row r="15350">
          <cell r="D15350" t="str">
            <v>15483841    -    CONN    -    0.3</v>
          </cell>
        </row>
        <row r="15351">
          <cell r="D15351" t="str">
            <v>15483847    -    CONN 46F    -    3.7835</v>
          </cell>
        </row>
        <row r="15352">
          <cell r="D15352" t="str">
            <v>15483858    -    CONN 40F    -    1.05</v>
          </cell>
        </row>
        <row r="15353">
          <cell r="D15353" t="str">
            <v>15483859    -    CONN 40F    -    1.05</v>
          </cell>
        </row>
        <row r="15354">
          <cell r="D15354" t="str">
            <v>15483874    -    CONN    -    0.1323</v>
          </cell>
        </row>
        <row r="15355">
          <cell r="D15355" t="str">
            <v>15483883    -    ASM CONN 9F    -    0.84</v>
          </cell>
        </row>
        <row r="15356">
          <cell r="D15356" t="str">
            <v>15483985    -    LOCK TPA/CLIP CDT 6MM    -    0.2909</v>
          </cell>
        </row>
        <row r="15357">
          <cell r="D15357" t="str">
            <v>15484275    -    COVER    -    0.000043</v>
          </cell>
        </row>
        <row r="15358">
          <cell r="D15358" t="str">
            <v>15484276    -    CONN COVER    -    0.0396</v>
          </cell>
        </row>
        <row r="15359">
          <cell r="D15359" t="str">
            <v>15484278    -    CONN 3F BLK SLD    -    0.762</v>
          </cell>
        </row>
        <row r="15360">
          <cell r="D15360" t="str">
            <v>15484280    -    CONN 8F 187 BLU    -    0.31912</v>
          </cell>
        </row>
        <row r="15361">
          <cell r="D15361" t="str">
            <v>15484281    -    CONN 8F 187 NAT    -    0.34647</v>
          </cell>
        </row>
        <row r="15362">
          <cell r="D15362" t="str">
            <v>15484306    -    CONN 1F 250 FRA DK    -    0.03465</v>
          </cell>
        </row>
        <row r="15363">
          <cell r="D15363" t="str">
            <v>15484419    -    COVER    -    0.0417</v>
          </cell>
        </row>
        <row r="15364">
          <cell r="D15364" t="str">
            <v>15484421    -    COVER    -    0.000045</v>
          </cell>
        </row>
        <row r="15365">
          <cell r="D15365" t="str">
            <v>15484422    -    COVER    -    0.000047</v>
          </cell>
        </row>
        <row r="15366">
          <cell r="D15366" t="str">
            <v>15484428    -    CONN    -    0.6972</v>
          </cell>
        </row>
        <row r="15367">
          <cell r="D15367" t="str">
            <v>15484429    -    HOLDER    -    0.06</v>
          </cell>
        </row>
        <row r="15368">
          <cell r="D15368" t="str">
            <v>15484430    -    CONN    -    0.24213</v>
          </cell>
        </row>
        <row r="15369">
          <cell r="D15369" t="str">
            <v>15484432    -    CONNECTOR    -    0.1089</v>
          </cell>
        </row>
        <row r="15370">
          <cell r="D15370" t="str">
            <v>15484433    -    FRONT HOLDER    -    0.0473</v>
          </cell>
        </row>
        <row r="15371">
          <cell r="D15371" t="str">
            <v>15484435    -    CONN    -    0.000128</v>
          </cell>
        </row>
        <row r="15372">
          <cell r="D15372" t="str">
            <v>15484440    -    CLIP    -    0.4952</v>
          </cell>
        </row>
        <row r="15373">
          <cell r="D15373" t="str">
            <v>15484441    -    CLIP    -    0.015</v>
          </cell>
        </row>
        <row r="15374">
          <cell r="D15374" t="str">
            <v>15484442    -    CLIP    -    0.0535</v>
          </cell>
        </row>
        <row r="15375">
          <cell r="D15375" t="str">
            <v>15484448    -    CLIP    -    0.036</v>
          </cell>
        </row>
        <row r="15376">
          <cell r="D15376" t="str">
            <v>15484876    -    2WAY CONNECTOR    -    0.458781</v>
          </cell>
        </row>
        <row r="15377">
          <cell r="D15377" t="str">
            <v>15484882    -    CONNECTOR 9WAY    -    0.128998</v>
          </cell>
        </row>
        <row r="15378">
          <cell r="D15378" t="str">
            <v>15484893    -    CONNECTOR    -    0.367025</v>
          </cell>
        </row>
        <row r="15379">
          <cell r="D15379" t="str">
            <v>15484911    -    CONN    -    0.391</v>
          </cell>
        </row>
        <row r="15380">
          <cell r="D15380" t="str">
            <v>15485039    -    RCM CONN    -    1.1</v>
          </cell>
        </row>
        <row r="15381">
          <cell r="D15381" t="str">
            <v>15485094    -    LAMP SOCKET    -    0.09298</v>
          </cell>
        </row>
        <row r="15382">
          <cell r="D15382" t="str">
            <v>15485108    -    CONN 6W    -    0.44323</v>
          </cell>
        </row>
        <row r="15383">
          <cell r="D15383" t="str">
            <v>15485512    -    CONN 2F 070 FRA DK SLD    -    0.41941</v>
          </cell>
        </row>
        <row r="15384">
          <cell r="D15384" t="str">
            <v>15485525    -    CONN 8W    -    1.9</v>
          </cell>
        </row>
        <row r="15385">
          <cell r="D15385" t="str">
            <v>15485526    -    PLUG ASSEMBLY 35W    -    5.44</v>
          </cell>
        </row>
        <row r="15386">
          <cell r="D15386" t="str">
            <v>15485527    -    STD POWER TIMER    -    0.68772</v>
          </cell>
        </row>
        <row r="15387">
          <cell r="D15387" t="str">
            <v>15485552    -    CONNECTOR    -    0.27</v>
          </cell>
        </row>
        <row r="15388">
          <cell r="D15388" t="str">
            <v>15485557    -    COVER    -    0.83104</v>
          </cell>
        </row>
        <row r="15389">
          <cell r="D15389" t="str">
            <v>15485649H    -    CONNECTOR    -    0.3219</v>
          </cell>
        </row>
        <row r="15390">
          <cell r="D15390" t="str">
            <v>15485661    -    BRACKET    -    1.338</v>
          </cell>
        </row>
        <row r="15391">
          <cell r="D15391" t="str">
            <v>15485677    -    CONNECTOR    -    0.1771</v>
          </cell>
        </row>
        <row r="15392">
          <cell r="D15392" t="str">
            <v>15485689    -    76W SLD CONN    -    2.43685</v>
          </cell>
        </row>
        <row r="15393">
          <cell r="D15393" t="str">
            <v>15485690    -    76W SLD CONN    -    2.43685</v>
          </cell>
        </row>
        <row r="15394">
          <cell r="D15394" t="str">
            <v>15485691    -    CONN    -    0.2674</v>
          </cell>
        </row>
        <row r="15395">
          <cell r="D15395" t="str">
            <v>15485692    -    CONN 8F    -    0.22999</v>
          </cell>
        </row>
        <row r="15396">
          <cell r="D15396" t="str">
            <v>15485698    -    CONN MISC N/A    -    0.34272</v>
          </cell>
        </row>
        <row r="15397">
          <cell r="D15397" t="str">
            <v>15485701    -    CONN    -    0.66617</v>
          </cell>
        </row>
        <row r="15398">
          <cell r="D15398" t="str">
            <v>15485702    -    HDAC 64 HYDRID MALE 24 CTK. GRAY    -    0.4622</v>
          </cell>
        </row>
        <row r="15399">
          <cell r="D15399" t="str">
            <v>15485705    -    CONN 76W    -    2.43685</v>
          </cell>
        </row>
        <row r="15400">
          <cell r="D15400" t="str">
            <v>15485706    -    CONN 76W    -    2.43685</v>
          </cell>
        </row>
        <row r="15401">
          <cell r="D15401" t="str">
            <v>15485707    -    CONN 76W    -    2.43685</v>
          </cell>
        </row>
        <row r="15402">
          <cell r="D15402" t="str">
            <v>15485708    -    CONN 76W    -    2.43685</v>
          </cell>
        </row>
        <row r="15403">
          <cell r="D15403" t="str">
            <v>15485709    -    CONN 76W    -    2.43685</v>
          </cell>
        </row>
        <row r="15404">
          <cell r="D15404" t="str">
            <v>15485710    -    CONN 76W    -    2.43685</v>
          </cell>
        </row>
        <row r="15405">
          <cell r="D15405" t="str">
            <v>15485711    -    CONN 76W    -    2.43685</v>
          </cell>
        </row>
        <row r="15406">
          <cell r="D15406" t="str">
            <v>15485712    -    CONN 76W    -    2.43685</v>
          </cell>
        </row>
        <row r="15407">
          <cell r="D15407" t="str">
            <v>15485713    -    MALE CONN 4 WAY    -    0.17287</v>
          </cell>
        </row>
        <row r="15408">
          <cell r="D15408" t="str">
            <v>15485715    -    16 WAY CONNECTOR    -    0.52</v>
          </cell>
        </row>
        <row r="15409">
          <cell r="D15409" t="str">
            <v>15485716    -    CONN 40W FOR RCM    -    1.1</v>
          </cell>
        </row>
        <row r="15410">
          <cell r="D15410" t="str">
            <v>15485727    -    4 WAY MALE CONN    -    0.36881</v>
          </cell>
        </row>
        <row r="15411">
          <cell r="D15411" t="str">
            <v>15485728    -    4 WAY FEMALE CONN    -    0.30641</v>
          </cell>
        </row>
        <row r="15412">
          <cell r="D15412" t="str">
            <v>15485759    -    CONNECTOR    -    1.1157</v>
          </cell>
        </row>
        <row r="15413">
          <cell r="D15413" t="str">
            <v>15485937    -    CONN 3M    -    0.129</v>
          </cell>
        </row>
        <row r="15414">
          <cell r="D15414" t="str">
            <v>15485941    -    CONN    -    0.0531</v>
          </cell>
        </row>
        <row r="15415">
          <cell r="D15415" t="str">
            <v>15486037H    -    CONNECTOR COVER    -    0.0818</v>
          </cell>
        </row>
        <row r="15416">
          <cell r="D15416" t="str">
            <v>15486362    -    ASM CONN 2M M/P 150    -    0.71419</v>
          </cell>
        </row>
        <row r="15417">
          <cell r="D15417" t="str">
            <v>15486377    -    16 WAY FEMALE CONNECTION FOR    -    0.468</v>
          </cell>
        </row>
        <row r="15418">
          <cell r="D15418" t="str">
            <v>15486378    -    CONN 104W    -    1.98</v>
          </cell>
        </row>
        <row r="15419">
          <cell r="D15419" t="str">
            <v>15486525    -    CONNECTOR    -    0.5005</v>
          </cell>
        </row>
        <row r="15420">
          <cell r="D15420" t="str">
            <v>15486576    -    BASE ELECTRICAL CENTER    -    2.2988</v>
          </cell>
        </row>
        <row r="15421">
          <cell r="D15421" t="str">
            <v>15486577    -    BASE    -    1.1</v>
          </cell>
        </row>
        <row r="15422">
          <cell r="D15422" t="str">
            <v>15486591    -    CONN 24M    -    0.289</v>
          </cell>
        </row>
        <row r="15423">
          <cell r="D15423" t="str">
            <v>15486714    -    MOUNT BRACKET    -    0.183</v>
          </cell>
        </row>
        <row r="15424">
          <cell r="D15424" t="str">
            <v>15486854    -    MICROS CONN    -    0.05</v>
          </cell>
        </row>
        <row r="15425">
          <cell r="D15425" t="str">
            <v>15486859    -    MICROS CONN    -    0.051</v>
          </cell>
        </row>
        <row r="15426">
          <cell r="D15426" t="str">
            <v>15486869    -    4 WAY CONNECTOR    -    0.30641</v>
          </cell>
        </row>
        <row r="15427">
          <cell r="D15427" t="str">
            <v>15487320    -    ASM CONN 2F 1.5 BLK SLD    -    0.12713</v>
          </cell>
        </row>
        <row r="15428">
          <cell r="D15428" t="str">
            <v>15487346H    -    CONNECTOR COVER    -    0.0836</v>
          </cell>
        </row>
        <row r="15429">
          <cell r="D15429" t="str">
            <v>15487348H    -    CONNECTOR COVER    -    0.0955</v>
          </cell>
        </row>
        <row r="15430">
          <cell r="D15430" t="str">
            <v>15487349H    -    CONNECTOR COVER    -    0.1082</v>
          </cell>
        </row>
        <row r="15431">
          <cell r="D15431" t="str">
            <v>15487785    -    TPA    -    0.055</v>
          </cell>
        </row>
        <row r="15432">
          <cell r="D15432" t="str">
            <v>15487788    -    CONN 1F    -    0.04995</v>
          </cell>
        </row>
        <row r="15433">
          <cell r="D15433" t="str">
            <v>15487798    -    CONNECTOR    -    0.311</v>
          </cell>
        </row>
        <row r="15434">
          <cell r="D15434" t="str">
            <v>15487809    -    FUEL INJECTOR CONNECTOR BLACK    -    0.103</v>
          </cell>
        </row>
        <row r="15435">
          <cell r="D15435" t="str">
            <v>15488100    -    RCM CONN 40W    -    1.1</v>
          </cell>
        </row>
        <row r="15436">
          <cell r="D15436" t="str">
            <v>15488101    -    RCM CONN 40W    -    1.1</v>
          </cell>
        </row>
        <row r="15437">
          <cell r="D15437" t="str">
            <v>15488209    -    CONN    -    0.391</v>
          </cell>
        </row>
        <row r="15438">
          <cell r="D15438" t="str">
            <v>15488224    -    CONN 17W    -    1.75635</v>
          </cell>
        </row>
        <row r="15439">
          <cell r="D15439" t="str">
            <v>15488459    -    CONN    -    0.24213</v>
          </cell>
        </row>
        <row r="15440">
          <cell r="D15440" t="str">
            <v>15488460    -    CONN    -    0.03185</v>
          </cell>
        </row>
        <row r="15441">
          <cell r="D15441" t="str">
            <v>15488471    -    CONN 12F GT 150 280 SLD    -    0.285</v>
          </cell>
        </row>
        <row r="15442">
          <cell r="D15442" t="str">
            <v>15488574    -    CONNETOR    -    0.25</v>
          </cell>
        </row>
        <row r="15443">
          <cell r="D15443" t="str">
            <v>15488575    -    CONNECTOR 2W    -    0.55043</v>
          </cell>
        </row>
        <row r="15444">
          <cell r="D15444" t="str">
            <v>15488580    -    UPPER COVER    -    1.237</v>
          </cell>
        </row>
        <row r="15445">
          <cell r="D15445" t="str">
            <v>15488581    -    LOWER COVER    -    1.731</v>
          </cell>
        </row>
        <row r="15446">
          <cell r="D15446" t="str">
            <v>15488582    -    CHANNEL COVER    -    0.29564</v>
          </cell>
        </row>
        <row r="15447">
          <cell r="D15447" t="str">
            <v>15488583    -    CHANNEL BASE    -    0.61636</v>
          </cell>
        </row>
        <row r="15448">
          <cell r="D15448" t="str">
            <v>15488584    -    CONN    -    1.08751</v>
          </cell>
        </row>
        <row r="15449">
          <cell r="D15449" t="str">
            <v>15488664    -    COVER WIRE DRESS    -    0.1814</v>
          </cell>
        </row>
        <row r="15450">
          <cell r="D15450" t="str">
            <v>15488684    -    SEALED CONN 3W    -    0.26707</v>
          </cell>
        </row>
        <row r="15451">
          <cell r="D15451" t="str">
            <v>15488685    -    ASM CONN    -    0.18</v>
          </cell>
        </row>
        <row r="15452">
          <cell r="D15452" t="str">
            <v>15488828    -    CONN SLD    -    0.2985</v>
          </cell>
        </row>
        <row r="15453">
          <cell r="D15453" t="str">
            <v>15488835    -    LOCK TPA    -    0.0382</v>
          </cell>
        </row>
        <row r="15454">
          <cell r="D15454" t="str">
            <v>15488836    -    LOCK TPA    -    0.0394</v>
          </cell>
        </row>
        <row r="15455">
          <cell r="D15455" t="str">
            <v>15488859    -    8 WAY CONNECTOR    -    0.24666</v>
          </cell>
        </row>
        <row r="15456">
          <cell r="D15456" t="str">
            <v>15488862    -    40W CONN FOR RCM    -    1.1</v>
          </cell>
        </row>
        <row r="15457">
          <cell r="D15457" t="str">
            <v>15488864    -    CONN ASSEMBLY    -    1.8</v>
          </cell>
        </row>
        <row r="15458">
          <cell r="D15458" t="str">
            <v>15488865    -    CONN ASSEMBLY    -    1.8</v>
          </cell>
        </row>
        <row r="15459">
          <cell r="D15459" t="str">
            <v>15488866    -    CONN ASSEMBLY    -    1.8</v>
          </cell>
        </row>
        <row r="15460">
          <cell r="D15460" t="str">
            <v>15488868    -    CONN    -    1.75</v>
          </cell>
        </row>
        <row r="15461">
          <cell r="D15461" t="str">
            <v>15488869    -    CONN    -    0.23</v>
          </cell>
        </row>
        <row r="15462">
          <cell r="D15462" t="str">
            <v>15489036    -    LOCKING COLLAR    -    0.4916</v>
          </cell>
        </row>
        <row r="15463">
          <cell r="D15463" t="str">
            <v>15489188    -    COVER WIRE DRESS    -    0.138739</v>
          </cell>
        </row>
        <row r="15464">
          <cell r="D15464" t="str">
            <v>15489189    -    COVER WIRE DRESS    -    0.134858</v>
          </cell>
        </row>
        <row r="15465">
          <cell r="D15465" t="str">
            <v>15489219    -    SEALED 8P    -    0.2631</v>
          </cell>
        </row>
        <row r="15466">
          <cell r="D15466" t="str">
            <v>15489278    -    PLASTIC BRACKET    -    2.6</v>
          </cell>
        </row>
        <row r="15467">
          <cell r="D15467" t="str">
            <v>15489502    -    40 WAY CONN    -    0.2197</v>
          </cell>
        </row>
        <row r="15468">
          <cell r="D15468" t="str">
            <v>15489503    -    40 WAY CONN    -    0.1904</v>
          </cell>
        </row>
        <row r="15469">
          <cell r="D15469" t="str">
            <v>15489507    -    MOUNTING SPACER    -    0.109</v>
          </cell>
        </row>
        <row r="15470">
          <cell r="D15470" t="str">
            <v>15489546    -    CONN    -    0.255</v>
          </cell>
        </row>
        <row r="15471">
          <cell r="D15471" t="str">
            <v>15489550    -    CBL TIE ROSEBUD    -    0.0338</v>
          </cell>
        </row>
        <row r="15472">
          <cell r="D15472" t="str">
            <v>15489736    -    CONN    -    1.01</v>
          </cell>
        </row>
        <row r="15473">
          <cell r="D15473" t="str">
            <v>15489738    -    CONN    -    1.98</v>
          </cell>
        </row>
        <row r="15474">
          <cell r="D15474" t="str">
            <v>15489739    -    ASM CONN    -    0.20963</v>
          </cell>
        </row>
        <row r="15475">
          <cell r="D15475" t="str">
            <v>15489740    -    CONNECTOR    -    0.28914</v>
          </cell>
        </row>
        <row r="15476">
          <cell r="D15476" t="str">
            <v>15489801    -    CONN    -    0.0102</v>
          </cell>
        </row>
        <row r="15477">
          <cell r="D15477" t="str">
            <v>15489808    -    CONN    -    0.402</v>
          </cell>
        </row>
        <row r="15478">
          <cell r="D15478" t="str">
            <v>15489815    -    ASM CONN 48F    -    1.9</v>
          </cell>
        </row>
        <row r="15479">
          <cell r="D15479" t="str">
            <v>15489824    -    CLUSTER CONNECTOR IN IP HARNESS    -    0.14</v>
          </cell>
        </row>
        <row r="15480">
          <cell r="D15480" t="str">
            <v>15489828    -    COVER    -    0.066</v>
          </cell>
        </row>
        <row r="15481">
          <cell r="D15481" t="str">
            <v>15489829    -    CONN    -    0.057</v>
          </cell>
        </row>
        <row r="15482">
          <cell r="D15482" t="str">
            <v>15489970    -    CVR    -    0.36589</v>
          </cell>
        </row>
        <row r="15483">
          <cell r="D15483" t="str">
            <v>15489972    -    CAVITY PLUG    -    0.0266</v>
          </cell>
        </row>
        <row r="15484">
          <cell r="D15484" t="str">
            <v>15490249    -    CONN COVER    -    0.113</v>
          </cell>
        </row>
        <row r="15485">
          <cell r="D15485" t="str">
            <v>15490250    -    CONN    -    0.15636</v>
          </cell>
        </row>
        <row r="15486">
          <cell r="D15486" t="str">
            <v>15490251    -    COVER    -    0.0555</v>
          </cell>
        </row>
        <row r="15487">
          <cell r="D15487" t="str">
            <v>15490252    -    COVER    -    0.0391</v>
          </cell>
        </row>
        <row r="15488">
          <cell r="D15488" t="str">
            <v>15490253    -    CLIP    -    0.0411</v>
          </cell>
        </row>
        <row r="15489">
          <cell r="D15489" t="str">
            <v>15490256    -    CONNECTOR 090-2 5P SEAL FEM S/A    -    0.51709</v>
          </cell>
        </row>
        <row r="15490">
          <cell r="D15490" t="str">
            <v>15490257    -    CONN 090II/187 M U 3-5 NAT    -    0.2847</v>
          </cell>
        </row>
        <row r="15491">
          <cell r="D15491" t="str">
            <v>15490264    -    CONN 12F UNSEAL 09011    -    0.9326</v>
          </cell>
        </row>
        <row r="15492">
          <cell r="D15492" t="str">
            <v>15490267    -    CONN 4M 090II GRAY    -    0.168</v>
          </cell>
        </row>
        <row r="15493">
          <cell r="D15493" t="str">
            <v>15490268    -    CONN 28F 025 NAT    -    0.21335</v>
          </cell>
        </row>
        <row r="15494">
          <cell r="D15494" t="str">
            <v>15490279    -    CLIP CDT    -    0.0514</v>
          </cell>
        </row>
        <row r="15495">
          <cell r="D15495" t="str">
            <v>15490280    -    CONN 08F 025II    -    0.096</v>
          </cell>
        </row>
        <row r="15496">
          <cell r="D15496" t="str">
            <v>15490282    -    CONN 8F 090/250 II BLK    -    0.2291</v>
          </cell>
        </row>
        <row r="15497">
          <cell r="D15497" t="str">
            <v>15490285    -    CLAMP    -    0.036</v>
          </cell>
        </row>
        <row r="15498">
          <cell r="D15498" t="str">
            <v>15490286    -    CLIP    -    0.0411</v>
          </cell>
        </row>
        <row r="15499">
          <cell r="D15499" t="str">
            <v>15490287    -    CLIP HARNESS    -    0.1027</v>
          </cell>
        </row>
        <row r="15500">
          <cell r="D15500" t="str">
            <v>15490288    -    TIE CLIP    -    0.0822</v>
          </cell>
        </row>
        <row r="15501">
          <cell r="D15501" t="str">
            <v>15490289    -    PROTECTOR    -    0.32326</v>
          </cell>
        </row>
        <row r="15502">
          <cell r="D15502" t="str">
            <v>15490293    -    HOUSING    -    0.1801</v>
          </cell>
        </row>
        <row r="15503">
          <cell r="D15503" t="str">
            <v>15490295    -    CLIP HARNESS    -    0.5869</v>
          </cell>
        </row>
        <row r="15504">
          <cell r="D15504" t="str">
            <v>15490296    -    CLIP CDT    -    0.1368</v>
          </cell>
        </row>
        <row r="15505">
          <cell r="D15505" t="str">
            <v>15490297    -    CLIP CDT    -    0.0616</v>
          </cell>
        </row>
        <row r="15506">
          <cell r="D15506" t="str">
            <v>15490369    -    CONN 6W    -    0.67677</v>
          </cell>
        </row>
        <row r="15507">
          <cell r="D15507" t="str">
            <v>15490370    -    90DEG COVER/WIRE DRESS 1    -    0.16139</v>
          </cell>
        </row>
        <row r="15508">
          <cell r="D15508" t="str">
            <v>15490371    -    90DEG COVER/WIRE DRESS 2    -    0.16139</v>
          </cell>
        </row>
        <row r="15509">
          <cell r="D15509" t="str">
            <v>15490372    -    90DEG COVER/WIRE DRESS 1    -    0.16139</v>
          </cell>
        </row>
        <row r="15510">
          <cell r="D15510" t="str">
            <v>15490373    -    90DEG COVER/WIRE DRESS 2    -    0.16139</v>
          </cell>
        </row>
        <row r="15511">
          <cell r="D15511" t="str">
            <v>15490374    -    CONN    -    0.30515</v>
          </cell>
        </row>
        <row r="15512">
          <cell r="D15512" t="str">
            <v>15490375    -    CONN    -    0.26718</v>
          </cell>
        </row>
        <row r="15513">
          <cell r="D15513" t="str">
            <v>15490376    -    FERRULE    -    0.15766</v>
          </cell>
        </row>
        <row r="15514">
          <cell r="D15514" t="str">
            <v>15490378    -    CONN 2W    -    0.04802</v>
          </cell>
        </row>
        <row r="15515">
          <cell r="D15515" t="str">
            <v>15490384    -    RECEPTACLE    -    5.3</v>
          </cell>
        </row>
        <row r="15516">
          <cell r="D15516" t="str">
            <v>15490412    -    COVER    -    4.520339</v>
          </cell>
        </row>
        <row r="15517">
          <cell r="D15517" t="str">
            <v>15490421    -    CONN 31W    -    4.33</v>
          </cell>
        </row>
        <row r="15518">
          <cell r="D15518" t="str">
            <v>15490437    -    CLIPP CONN    -    0.02926</v>
          </cell>
        </row>
        <row r="15519">
          <cell r="D15519" t="str">
            <v>15490457    -    CONN    -    0.0703</v>
          </cell>
        </row>
        <row r="15520">
          <cell r="D15520" t="str">
            <v>15490628    -    CONN 10W    -    0.09</v>
          </cell>
        </row>
        <row r="15521">
          <cell r="D15521" t="str">
            <v>15490629    -    CONN    -    0.556</v>
          </cell>
        </row>
        <row r="15522">
          <cell r="D15522" t="str">
            <v>15490765    -    CONN    -    0.155</v>
          </cell>
        </row>
        <row r="15523">
          <cell r="D15523" t="str">
            <v>15490953    -    CONN 2F M/P 150.2 P2S    -    0.18196</v>
          </cell>
        </row>
        <row r="15524">
          <cell r="D15524" t="str">
            <v>15490959    -    CIBB 4F MISC SLD    -    0.099</v>
          </cell>
        </row>
        <row r="15525">
          <cell r="D15525" t="str">
            <v>15491259    -    CONNECTOR    -    0.092</v>
          </cell>
        </row>
        <row r="15526">
          <cell r="D15526" t="str">
            <v>15491263    -    CONNECTOR    -    0.1219</v>
          </cell>
        </row>
        <row r="15527">
          <cell r="D15527" t="str">
            <v>15491267    -    CONNECTOR    -    1.45</v>
          </cell>
        </row>
        <row r="15528">
          <cell r="D15528" t="str">
            <v>15491277    -    CONNECTOR    -    0.1857</v>
          </cell>
        </row>
        <row r="15529">
          <cell r="D15529" t="str">
            <v>15491283    -    CONN    -    0.1835</v>
          </cell>
        </row>
        <row r="15530">
          <cell r="D15530" t="str">
            <v>15491285    -    16F PRODUCTION    -    0.1323</v>
          </cell>
        </row>
        <row r="15531">
          <cell r="D15531" t="str">
            <v>15491295    -    CONN 4W    -    0.084</v>
          </cell>
        </row>
        <row r="15532">
          <cell r="D15532" t="str">
            <v>15491307    -    CONN    -    1.67</v>
          </cell>
        </row>
        <row r="15533">
          <cell r="D15533" t="str">
            <v>15491311    -    CONN    -    3.29</v>
          </cell>
        </row>
        <row r="15534">
          <cell r="D15534" t="str">
            <v>15491312    -    CONN 2F    -    0.155</v>
          </cell>
        </row>
        <row r="15535">
          <cell r="D15535" t="str">
            <v>15491328    -    16 WAY TRANSMISSION CONNECTOR    -    1.768</v>
          </cell>
        </row>
        <row r="15536">
          <cell r="D15536" t="str">
            <v>15491640    -    JUNCTION BLOCK    -    13.5005</v>
          </cell>
        </row>
        <row r="15537">
          <cell r="D15537" t="str">
            <v>15491661    -    CAVITY PLUG    -    0.113832</v>
          </cell>
        </row>
        <row r="15538">
          <cell r="D15538" t="str">
            <v>15491664    -    CONN 12F 025 BLK    -    0.17385</v>
          </cell>
        </row>
        <row r="15539">
          <cell r="D15539" t="str">
            <v>15491665    -    CONN 4W    -    0.05866</v>
          </cell>
        </row>
        <row r="15540">
          <cell r="D15540" t="str">
            <v>15491666    -    CONNECTOR    -    0.13309</v>
          </cell>
        </row>
        <row r="15541">
          <cell r="D15541" t="str">
            <v>15491674    -    CONN 10F 040III WHT    -    0.34691</v>
          </cell>
        </row>
        <row r="15542">
          <cell r="D15542" t="str">
            <v>15491675    -    CONN 2F    -    0.18469</v>
          </cell>
        </row>
        <row r="15543">
          <cell r="D15543" t="str">
            <v>15491737    -    CONNECTOR 12F MIXED    -    0.66867</v>
          </cell>
        </row>
        <row r="15544">
          <cell r="D15544" t="str">
            <v>15491744    -    CONNECTOR 10W BLACK    -    0.6075</v>
          </cell>
        </row>
        <row r="15545">
          <cell r="D15545" t="str">
            <v>15491821    -    CONNECTOR    -    0.0627</v>
          </cell>
        </row>
        <row r="15546">
          <cell r="D15546" t="str">
            <v>15491822    -    RETAINER    -    0.0124</v>
          </cell>
        </row>
        <row r="15547">
          <cell r="D15547" t="str">
            <v>15491823    -    COVER    -    0.0452</v>
          </cell>
        </row>
        <row r="15548">
          <cell r="D15548" t="str">
            <v>15491824    -    CLIP    -    0.0144</v>
          </cell>
        </row>
        <row r="15549">
          <cell r="D15549" t="str">
            <v>15491828    -    SHELL HALF2    -    0.14105</v>
          </cell>
        </row>
        <row r="15550">
          <cell r="D15550" t="str">
            <v>15491829    -    SHELL HALF2    -    0.14105</v>
          </cell>
        </row>
        <row r="15551">
          <cell r="D15551" t="str">
            <v>15491837    -    CONNECTOR COVER    -    0.35394</v>
          </cell>
        </row>
        <row r="15552">
          <cell r="D15552" t="str">
            <v>15491909    -    CONN    -    0.13198</v>
          </cell>
        </row>
        <row r="15553">
          <cell r="D15553" t="str">
            <v>15491910    -    CONNECTOR    -    0.142</v>
          </cell>
        </row>
        <row r="15554">
          <cell r="D15554" t="str">
            <v>15491911    -    COVER    -    0.08516</v>
          </cell>
        </row>
        <row r="15555">
          <cell r="D15555" t="str">
            <v>15491913    -    CONN ASM    -    3.29</v>
          </cell>
        </row>
        <row r="15556">
          <cell r="D15556" t="str">
            <v>15491967    -    3F CONNECTOR    -    0.27381</v>
          </cell>
        </row>
        <row r="15557">
          <cell r="D15557" t="str">
            <v>15491969    -    CONN 18W    -    0.215</v>
          </cell>
        </row>
        <row r="15558">
          <cell r="D15558" t="str">
            <v>15491970    -    CONN    -    0.06906</v>
          </cell>
        </row>
        <row r="15559">
          <cell r="D15559" t="str">
            <v>15492273    -    CONN 60F    -    1.75</v>
          </cell>
        </row>
        <row r="15560">
          <cell r="D15560" t="str">
            <v>15492274    -    CONN 60F    -    1.8</v>
          </cell>
        </row>
        <row r="15561">
          <cell r="D15561" t="str">
            <v>15492275    -    CONNECTOR    -    0.148335</v>
          </cell>
        </row>
        <row r="15562">
          <cell r="D15562" t="str">
            <v>15492320    -    CONNECTOR    -    2.49</v>
          </cell>
        </row>
        <row r="15563">
          <cell r="D15563" t="str">
            <v>15492321    -    CONNECTOR    -    2.48</v>
          </cell>
        </row>
        <row r="15564">
          <cell r="D15564" t="str">
            <v>15492322    -    CONNECTOR    -    2.48</v>
          </cell>
        </row>
        <row r="15565">
          <cell r="D15565" t="str">
            <v>15492334    -    ASM CONN    -    3.29</v>
          </cell>
        </row>
        <row r="15566">
          <cell r="D15566" t="str">
            <v>15492436    -    CONNECTOR    -    0.08448</v>
          </cell>
        </row>
        <row r="15567">
          <cell r="D15567" t="str">
            <v>15496350    -    CONN LOCK RETAINER    -    0.02283</v>
          </cell>
        </row>
        <row r="15568">
          <cell r="D15568" t="str">
            <v>15496353    -    CONN LOCK RETAINER    -    0.02123</v>
          </cell>
        </row>
        <row r="15569">
          <cell r="D15569" t="str">
            <v>15496483    -    JUMPSTART CENTER HSG    -    0.42467</v>
          </cell>
        </row>
        <row r="15570">
          <cell r="D15570" t="str">
            <v>15496484    -    JUMPSTART CENTER COVER    -    0.42172</v>
          </cell>
        </row>
        <row r="15571">
          <cell r="D15571" t="str">
            <v>15496486    -    CONN    -    0.1974</v>
          </cell>
        </row>
        <row r="15572">
          <cell r="D15572" t="str">
            <v>15496540    -    ASM CONN 60M    -    1.794</v>
          </cell>
        </row>
        <row r="15573">
          <cell r="D15573" t="str">
            <v>15496721    -    CONNECTOR RETAINER    -    2.83</v>
          </cell>
        </row>
        <row r="15574">
          <cell r="D15574" t="str">
            <v>15496785    -    CONN    -    0.0496</v>
          </cell>
        </row>
        <row r="15575">
          <cell r="D15575" t="str">
            <v>15497389    -    CONNECTOR    -    1.1157</v>
          </cell>
        </row>
        <row r="15576">
          <cell r="D15576" t="str">
            <v>15497390    -    CONNECTOR    -    1.1157</v>
          </cell>
        </row>
        <row r="15577">
          <cell r="D15577" t="str">
            <v>15497391    -    CONNECTOR    -    1.1157</v>
          </cell>
        </row>
        <row r="15578">
          <cell r="D15578" t="str">
            <v>15497392    -    CONN    -    2.43685</v>
          </cell>
        </row>
        <row r="15579">
          <cell r="D15579" t="str">
            <v>15497400    -    CONNECTOR 2F GT 150 SLD    -    0.5243</v>
          </cell>
        </row>
        <row r="15580">
          <cell r="D15580" t="str">
            <v>15497403H    -    CPA    -    0.0709</v>
          </cell>
        </row>
        <row r="15581">
          <cell r="D15581" t="str">
            <v>15497538    -    SOCKET HOUSING 10 WAY    -    0.26718</v>
          </cell>
        </row>
        <row r="15582">
          <cell r="D15582" t="str">
            <v>15497541    -    CLIP    -    0.067468</v>
          </cell>
        </row>
        <row r="15583">
          <cell r="D15583" t="str">
            <v>15497543    -    CONN SOCK BLT W/LCK CLIP    -    5.44</v>
          </cell>
        </row>
        <row r="15584">
          <cell r="D15584" t="str">
            <v>15497558    -    CONN 14M GT 150 280    -    0.3532</v>
          </cell>
        </row>
        <row r="15585">
          <cell r="D15585" t="str">
            <v>15497568    -    COVER TPA F    -    0.23285</v>
          </cell>
        </row>
        <row r="15586">
          <cell r="D15586" t="str">
            <v>15497653    -    SOCKET HOUSING    -    0.26718</v>
          </cell>
        </row>
        <row r="15587">
          <cell r="D15587" t="str">
            <v>15497654    -    CONN 8W    -    0.82975</v>
          </cell>
        </row>
        <row r="15588">
          <cell r="D15588" t="str">
            <v>15497655    -    COVER CONNECTOR    -    0.40416</v>
          </cell>
        </row>
        <row r="15589">
          <cell r="D15589" t="str">
            <v>15497656    -    CONN 18W    -    0.18296</v>
          </cell>
        </row>
        <row r="15590">
          <cell r="D15590" t="str">
            <v>15497657    -    CONN 36W    -    0.20751</v>
          </cell>
        </row>
        <row r="15591">
          <cell r="D15591" t="str">
            <v>15497662    -    DIODE    -    0.85418</v>
          </cell>
        </row>
        <row r="15592">
          <cell r="D15592" t="str">
            <v>15497663    -    CONN 16 WAY MALE BLK TIMER    -    0.142856</v>
          </cell>
        </row>
        <row r="15593">
          <cell r="D15593" t="str">
            <v>15497666    -    CONN 7WAY    -    0.389964</v>
          </cell>
        </row>
        <row r="15594">
          <cell r="D15594" t="str">
            <v>15497669    -    CONNECTOR    -    0.6199</v>
          </cell>
        </row>
        <row r="15595">
          <cell r="D15595" t="str">
            <v>15497670    -    CONNECTOR    -    0.68849</v>
          </cell>
        </row>
        <row r="15596">
          <cell r="D15596" t="str">
            <v>15497678    -    CONN    -    0.29673</v>
          </cell>
        </row>
        <row r="15597">
          <cell r="D15597" t="str">
            <v>15497679    -    CONN    -    0.26836</v>
          </cell>
        </row>
        <row r="15598">
          <cell r="D15598" t="str">
            <v>15497685    -    CONN 2 F YEL    -    0.05106</v>
          </cell>
        </row>
        <row r="15599">
          <cell r="D15599" t="str">
            <v>15497686    -    CPA CONN 2F YEL    -    0.031</v>
          </cell>
        </row>
        <row r="15600">
          <cell r="D15600" t="str">
            <v>15497687    -    FERRITE    -    0.03191</v>
          </cell>
        </row>
        <row r="15601">
          <cell r="D15601" t="str">
            <v>15497688    -    CONN 24F    -    0.14679</v>
          </cell>
        </row>
        <row r="15602">
          <cell r="D15602" t="str">
            <v>15497690    -    SOCKET HOUSING 10 WAY    -    0.26718</v>
          </cell>
        </row>
        <row r="15603">
          <cell r="D15603" t="str">
            <v>15497753    -    CONN    -    0.0288</v>
          </cell>
        </row>
        <row r="15604">
          <cell r="D15604" t="str">
            <v>15497762    -    BATTERY TERMINAL COVER    -    0.145</v>
          </cell>
        </row>
        <row r="15605">
          <cell r="D15605" t="str">
            <v>15497994    -    CONN SPACER    -    0.058</v>
          </cell>
        </row>
        <row r="15606">
          <cell r="D15606" t="str">
            <v>15497997    -    COV TERM RED    -    0.092</v>
          </cell>
        </row>
        <row r="15607">
          <cell r="D15607" t="str">
            <v>15498923    -    RECEPTACLE ASSY 1 POLE    -    10.41</v>
          </cell>
        </row>
        <row r="15608">
          <cell r="D15608" t="str">
            <v>15498924    -    COVER CONNECTOR    -    1.00548</v>
          </cell>
        </row>
        <row r="15609">
          <cell r="D15609" t="str">
            <v>15498927    -    CLAMP    -    0.0514</v>
          </cell>
        </row>
        <row r="15610">
          <cell r="D15610" t="str">
            <v>15498933    -    CLIP    -    0.036</v>
          </cell>
        </row>
        <row r="15611">
          <cell r="D15611" t="str">
            <v>15498969    -    WIRE TIE BAND    -    0.3287</v>
          </cell>
        </row>
        <row r="15612">
          <cell r="D15612" t="str">
            <v>15499239    -    TPA COVER    -    0.0909</v>
          </cell>
        </row>
        <row r="15613">
          <cell r="D15613" t="str">
            <v>15499245    -    MOUNT WIRE TIE    -    0.0203</v>
          </cell>
        </row>
        <row r="15614">
          <cell r="D15614" t="str">
            <v>15499248    -    CONN    -    0.01296</v>
          </cell>
        </row>
        <row r="15615">
          <cell r="D15615" t="str">
            <v>15499366    -    CONNECTOR    -    0.0771</v>
          </cell>
        </row>
        <row r="15616">
          <cell r="D15616" t="str">
            <v>15499493    -    SEALED CAM CONN    -    4.65511</v>
          </cell>
        </row>
        <row r="15617">
          <cell r="D15617" t="str">
            <v>15499496    -    ASM CONN 73 CAV DRK BLACK    -    2.48</v>
          </cell>
        </row>
        <row r="15618">
          <cell r="D15618" t="str">
            <v>15499497    -    ASM CONN 56 CAV BLUE    -    2.49</v>
          </cell>
        </row>
        <row r="15619">
          <cell r="D15619" t="str">
            <v>15499529    -    BULKHEAD CONNECTOR    -    1.1155</v>
          </cell>
        </row>
        <row r="15620">
          <cell r="D15620" t="str">
            <v>15499530    -    BULKHEAD CONNECTOR    -    1.1152</v>
          </cell>
        </row>
        <row r="15621">
          <cell r="D15621" t="str">
            <v>15499891    -    VYNIL SONIC WELD CAP    -    0.072382</v>
          </cell>
        </row>
        <row r="15622">
          <cell r="D15622" t="str">
            <v>15499892    -    VYNIL SONIC WELD CAP    -    0.062329</v>
          </cell>
        </row>
        <row r="15623">
          <cell r="D15623" t="str">
            <v>15499895    -    CONN 1F 250 UNSEAL    -    0.03606</v>
          </cell>
        </row>
        <row r="15624">
          <cell r="D15624" t="str">
            <v>15499942    -    ASM CONN 73 CAV DRK GRAY    -    2.48</v>
          </cell>
        </row>
        <row r="15625">
          <cell r="D15625" t="str">
            <v>15960091    -    BRACKET    -    0.15543</v>
          </cell>
        </row>
        <row r="15626">
          <cell r="D15626" t="str">
            <v>25169178    -    ASM TERM/THERMISTOR    -    0.3011</v>
          </cell>
        </row>
        <row r="15627">
          <cell r="D15627" t="str">
            <v>25322726    -    INSULATOR CERAMIC LOWER (A009)    -    0.102</v>
          </cell>
        </row>
        <row r="15628">
          <cell r="D15628" t="str">
            <v>25333072    -    CONNECTOR    -    0.07437</v>
          </cell>
        </row>
        <row r="15629">
          <cell r="D15629" t="str">
            <v>25343848    -    ADAPTER OXY SENSOR    -    0.132</v>
          </cell>
        </row>
        <row r="15630">
          <cell r="D15630" t="str">
            <v>25358636    -    STRAP-FUEL FEED &amp; RTN HARN    -    0.02661</v>
          </cell>
        </row>
        <row r="15631">
          <cell r="D15631" t="str">
            <v>25359687    -    CONNECTOR, STRAIGHT    -    0.4548</v>
          </cell>
        </row>
        <row r="15632">
          <cell r="D15632" t="str">
            <v>25360658    -    CONNECTOR    -    0.022956</v>
          </cell>
        </row>
        <row r="15633">
          <cell r="D15633" t="str">
            <v>10779302    -    6W AMP CONN    -    0.00505</v>
          </cell>
        </row>
        <row r="15634">
          <cell r="D15634" t="str">
            <v>15326238    -     M/P 150 2W LOCK    -    0.0163</v>
          </cell>
        </row>
        <row r="15635">
          <cell r="D15635" t="str">
            <v>15373431    -    ASM CONN 2F    -     0.0887</v>
          </cell>
        </row>
        <row r="15636">
          <cell r="D15636" t="str">
            <v>15496393   -   CLIP    -     0.014412</v>
          </cell>
        </row>
        <row r="15637">
          <cell r="D15637" t="str">
            <v>12176632    -    TPA M/P 280    -     0.0185</v>
          </cell>
        </row>
        <row r="15638">
          <cell r="D15638" t="str">
            <v>12052200    -    CONN 7M M/P 150     -   0.1645</v>
          </cell>
        </row>
        <row r="15639">
          <cell r="D15639" t="str">
            <v>12048253    -      CONN 10M M/P 150    -    0.2655</v>
          </cell>
        </row>
        <row r="15640">
          <cell r="D15640" t="str">
            <v>12052199      -      7W M/P 150 LOCK     -     0.051</v>
          </cell>
        </row>
        <row r="15641">
          <cell r="D15641" t="str">
            <v>12160480     -    TPA M/P 150      -      0.0179</v>
          </cell>
        </row>
        <row r="15642">
          <cell r="D15642" t="str">
            <v>12092054     -     CPA STRAP      -     0.0293</v>
          </cell>
        </row>
        <row r="15643">
          <cell r="D15643" t="str">
            <v>12084924    -    CLIP    -    0.0581</v>
          </cell>
        </row>
        <row r="15644">
          <cell r="D15644" t="str">
            <v>VR 5.0-0    -    HOT SHRINK TUBE    -    0.166732</v>
          </cell>
        </row>
        <row r="15645">
          <cell r="D15645" t="str">
            <v>ZAXJ-01    -    CLIP    -    0.079741</v>
          </cell>
        </row>
        <row r="15646">
          <cell r="D15646" t="str">
            <v>ZBA 971 990A    -    CONNECTOR    -    0.048024</v>
          </cell>
        </row>
        <row r="23962">
          <cell r="D23962" t="str">
            <v>3105    -    ADRONICS    -    0.231</v>
          </cell>
        </row>
        <row r="23963">
          <cell r="D23963" t="str">
            <v>10428793    -    TENATRONICS    -    0.1529</v>
          </cell>
        </row>
        <row r="23964">
          <cell r="D23964" t="str">
            <v>16144362    -    TENATRONICS    -    0.1232</v>
          </cell>
        </row>
        <row r="23965">
          <cell r="D23965" t="str">
            <v>16144363    -    TENATRONICS    -    0.124</v>
          </cell>
        </row>
        <row r="23966">
          <cell r="D23966" t="str">
            <v>16165011    -    TENATRONICS    -    0.0574</v>
          </cell>
        </row>
        <row r="23967">
          <cell r="D23967" t="str">
            <v>16165021    -    TENATRONICS    -    0.0611</v>
          </cell>
        </row>
        <row r="23968">
          <cell r="D23968" t="str">
            <v>077335-0017    -    ITT Cannon RF    -    1.29</v>
          </cell>
        </row>
        <row r="23969">
          <cell r="D23969" t="str">
            <v>081-181-4050    -    AMPHENOL    -    0.62</v>
          </cell>
        </row>
        <row r="23970">
          <cell r="D23970" t="str">
            <v>081-201-4050    -    AMPHENOL    -    1.14</v>
          </cell>
        </row>
        <row r="23971">
          <cell r="D23971" t="str">
            <v>081-202-4050    -    AMPHENOL    -    1.33</v>
          </cell>
        </row>
        <row r="23972">
          <cell r="D23972" t="str">
            <v>081-203-4050    -     AMPHENOL    -    1.02</v>
          </cell>
        </row>
        <row r="23973">
          <cell r="D23973" t="str">
            <v>081-204-4050    -     AMPHENOL    -    1.32</v>
          </cell>
        </row>
        <row r="23974">
          <cell r="D23974" t="str">
            <v>109755-1    -     AMP    -    0.153664</v>
          </cell>
        </row>
        <row r="23975">
          <cell r="D23975" t="str">
            <v>109756-1    -    AMP    -    0.153664</v>
          </cell>
        </row>
        <row r="23976">
          <cell r="D23976" t="str">
            <v>109763-1    -    AMP    -    1.03</v>
          </cell>
        </row>
        <row r="23977">
          <cell r="D23977" t="str">
            <v>1274039-1    -    AMP    -    0.77</v>
          </cell>
        </row>
        <row r="23978">
          <cell r="D23978" t="str">
            <v>1-414946-2    -     AMP    -    0.75</v>
          </cell>
        </row>
        <row r="23979">
          <cell r="D23979" t="str">
            <v>1488032-3    -    AMP    -    0.7203</v>
          </cell>
        </row>
        <row r="23980">
          <cell r="D23980" t="str">
            <v>1488033-3    -    AMP    -    0.7203</v>
          </cell>
        </row>
        <row r="23981">
          <cell r="D23981" t="str">
            <v>167000-0358    -    ITT Cannon RF    -    1.41</v>
          </cell>
        </row>
        <row r="23982">
          <cell r="D23982" t="str">
            <v>414946-1    -    AMP    -    0.701092</v>
          </cell>
        </row>
        <row r="23983">
          <cell r="D23983" t="str">
            <v>414948-1    -    AMP    -    0.59</v>
          </cell>
        </row>
        <row r="23984">
          <cell r="D23984" t="str">
            <v>415011-1    -    AMP    -    1.15</v>
          </cell>
        </row>
        <row r="23985">
          <cell r="D23985" t="str">
            <v>415011-2    -    AMP    -    1.34</v>
          </cell>
        </row>
        <row r="23986">
          <cell r="D23986" t="str">
            <v>415012-1    -    AMP    -    0.62426</v>
          </cell>
        </row>
        <row r="23987">
          <cell r="D23987" t="str">
            <v>4200021A001    -     TCC/ANDREW    -    0.39</v>
          </cell>
        </row>
        <row r="23988">
          <cell r="D23988" t="str">
            <v>4200070A000    -    TCC/ANDREW    -    0.4</v>
          </cell>
        </row>
        <row r="23989">
          <cell r="D23989" t="str">
            <v>4200070A001    -    TCC/ANDREW    -    0.57</v>
          </cell>
        </row>
        <row r="23990">
          <cell r="D23990" t="str">
            <v>4200182A001    -    TCC/ANDREW     -    1.62</v>
          </cell>
        </row>
        <row r="23991">
          <cell r="D23991" t="str">
            <v>4200306A001    -    TCC/ANDREW    -    1.79</v>
          </cell>
        </row>
        <row r="23992">
          <cell r="D23992" t="str">
            <v>4200348A000    -    TCC/ANDREW     -    1.43</v>
          </cell>
        </row>
        <row r="23993">
          <cell r="D23993" t="str">
            <v>420327A000    -     RADIALL-LARSON    -    1.2</v>
          </cell>
        </row>
        <row r="23994">
          <cell r="D23994" t="str">
            <v>462869-0150    -     TENATRONICS    -    1.5</v>
          </cell>
        </row>
        <row r="23995">
          <cell r="D23995" t="str">
            <v>57-338    -    TENATRONICS    -    0.046</v>
          </cell>
        </row>
        <row r="23996">
          <cell r="D23996" t="str">
            <v>57-358    -    TENATRONICS    -    0.0453</v>
          </cell>
        </row>
        <row r="23997">
          <cell r="D23997" t="str">
            <v>590182A000    -     TCC/ANDREW     -    0.11</v>
          </cell>
        </row>
        <row r="23998">
          <cell r="D23998" t="str">
            <v>6098-3058    -     SUMITOMO    -    0.19</v>
          </cell>
        </row>
        <row r="23999">
          <cell r="D23999" t="str">
            <v>638731-1    -     AMP    -    2.05</v>
          </cell>
        </row>
        <row r="24000">
          <cell r="D24000" t="str">
            <v>72-268    -     TENATRONICS    -    0.0004</v>
          </cell>
        </row>
        <row r="24001">
          <cell r="D24001" t="str">
            <v>75-483    -     TENATRONICS    -    0.1315</v>
          </cell>
        </row>
        <row r="24002">
          <cell r="D24002" t="str">
            <v>75-524    -     TENATRONICS     -    0.3958</v>
          </cell>
        </row>
        <row r="24003">
          <cell r="D24003" t="str">
            <v>75-525    -    TENATRONICS    -    0.3696</v>
          </cell>
        </row>
        <row r="24004">
          <cell r="D24004" t="str">
            <v>75-526    -    TENATRONICS    -    0.4959</v>
          </cell>
        </row>
        <row r="24005">
          <cell r="D24005" t="str">
            <v>75-527    -     TENATRONICS    -    0.1331</v>
          </cell>
        </row>
        <row r="24006">
          <cell r="D24006" t="str">
            <v>75-666    -    TENATRONICS    -    0.1738</v>
          </cell>
        </row>
        <row r="24007">
          <cell r="D24007" t="str">
            <v>8100-3203    -    SUMITOMO    -    0.024</v>
          </cell>
        </row>
        <row r="24008">
          <cell r="D24008" t="str">
            <v>8100-3460    -    SUMITOMO    -    0.084</v>
          </cell>
        </row>
        <row r="24009">
          <cell r="D24009" t="str">
            <v>903-367P-51A20    -    AMPHENOL     -    0.81</v>
          </cell>
        </row>
        <row r="24010">
          <cell r="D24010" t="str">
            <v>903-532P51A    -    AMPHENOL    -    0.75</v>
          </cell>
        </row>
        <row r="24011">
          <cell r="D24011" t="str">
            <v>903-577P-51SBN    -     AMPHENOL     -    0.73</v>
          </cell>
        </row>
        <row r="24012">
          <cell r="D24012" t="str">
            <v>903-712J-51S    -     AMPHENOL     -    0.55</v>
          </cell>
        </row>
        <row r="24013">
          <cell r="D24013" t="str">
            <v>91-552    -    TENATRONICS    -    0.0154</v>
          </cell>
        </row>
        <row r="24014">
          <cell r="D24014" t="str">
            <v>FA1-NXRJ-C01-0    -     AMPHENOL     -    0.7171</v>
          </cell>
        </row>
        <row r="24015">
          <cell r="D24015" t="str">
            <v>FA1-NXSJ-C01-0    -     AMPHENOL    -    0.69</v>
          </cell>
        </row>
        <row r="24016">
          <cell r="D24016" t="str">
            <v>FA1-NXSJ-C01-6    -     AMPHENOL    -    0.79</v>
          </cell>
        </row>
        <row r="24017">
          <cell r="D24017" t="str">
            <v>FA1-NXSJ-C04-0    -     AMPHENOL    -    0.61</v>
          </cell>
        </row>
        <row r="24018">
          <cell r="D24018" t="str">
            <v>FA1-NXSP-C01-1    -    AMPHENOL    -    0.66</v>
          </cell>
        </row>
        <row r="24019">
          <cell r="D24019" t="str">
            <v>FA2-NXSJ-C00-6    -     AMPHENOL    -    1.496</v>
          </cell>
        </row>
        <row r="24020">
          <cell r="D24020" t="str">
            <v>FA2-NXSJ-C04-6    -     AMPHENOL    -    1.4396</v>
          </cell>
        </row>
        <row r="24021">
          <cell r="D24021" t="str">
            <v>FA2-NXSP-C00-9    -     AMPHENOL     -    1.3401</v>
          </cell>
        </row>
      </sheetData>
      <sheetData sheetId="13" refreshError="1">
        <row r="7">
          <cell r="D7" t="str">
            <v>Standard</v>
          </cell>
          <cell r="E7" t="str">
            <v>Packard (MX-W)</v>
          </cell>
          <cell r="F7" t="str">
            <v>Packard (MX-E)</v>
          </cell>
          <cell r="G7" t="str">
            <v>Packard (NA-Service)</v>
          </cell>
          <cell r="H7" t="str">
            <v>Furukawa</v>
          </cell>
          <cell r="I7" t="str">
            <v>Alphabet</v>
          </cell>
          <cell r="J7" t="str">
            <v>Empire</v>
          </cell>
          <cell r="K7" t="str">
            <v>DPI</v>
          </cell>
          <cell r="L7" t="str">
            <v>W.E.T</v>
          </cell>
          <cell r="M7" t="str">
            <v>Access</v>
          </cell>
          <cell r="N7" t="str">
            <v>Sterling</v>
          </cell>
          <cell r="O7" t="str">
            <v>QC Onics</v>
          </cell>
          <cell r="P7" t="str">
            <v>UNUVAR</v>
          </cell>
          <cell r="Q7" t="str">
            <v>Precision Cable</v>
          </cell>
          <cell r="R7" t="str">
            <v>Koide</v>
          </cell>
          <cell r="S7" t="str">
            <v>Texton</v>
          </cell>
          <cell r="T7" t="str">
            <v>Tenatronics</v>
          </cell>
          <cell r="U7" t="str">
            <v>Precision Harness</v>
          </cell>
        </row>
        <row r="8">
          <cell r="B8" t="str">
            <v>Sales</v>
          </cell>
          <cell r="D8">
            <v>7.0000000000000007E-2</v>
          </cell>
          <cell r="E8">
            <v>0.108</v>
          </cell>
          <cell r="F8">
            <v>0.108</v>
          </cell>
          <cell r="G8">
            <v>0.108</v>
          </cell>
          <cell r="H8">
            <v>0.1</v>
          </cell>
          <cell r="I8">
            <v>7.0000000000000007E-2</v>
          </cell>
          <cell r="J8">
            <v>0.12</v>
          </cell>
          <cell r="K8">
            <v>9.1999999999999998E-2</v>
          </cell>
          <cell r="L8">
            <v>0.1</v>
          </cell>
          <cell r="M8">
            <v>7.0000000000000007E-2</v>
          </cell>
          <cell r="N8">
            <v>0.04</v>
          </cell>
          <cell r="O8">
            <v>0.2</v>
          </cell>
          <cell r="P8">
            <v>0</v>
          </cell>
          <cell r="Q8">
            <v>0.10299999999999999</v>
          </cell>
          <cell r="R8">
            <v>6.5000000000000002E-2</v>
          </cell>
          <cell r="T8">
            <v>0</v>
          </cell>
          <cell r="U8">
            <v>0.1</v>
          </cell>
        </row>
        <row r="9">
          <cell r="B9" t="str">
            <v>Engineering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T9">
            <v>0</v>
          </cell>
          <cell r="U9">
            <v>0</v>
          </cell>
        </row>
        <row r="10">
          <cell r="B10" t="str">
            <v>Profit</v>
          </cell>
          <cell r="D10">
            <v>0.14000000000000001</v>
          </cell>
          <cell r="E10">
            <v>0.15</v>
          </cell>
          <cell r="F10">
            <v>0.15</v>
          </cell>
          <cell r="G10">
            <v>0.15</v>
          </cell>
          <cell r="H10">
            <v>0.05</v>
          </cell>
          <cell r="I10">
            <v>0.05</v>
          </cell>
          <cell r="J10">
            <v>0.1</v>
          </cell>
          <cell r="K10">
            <v>0.06</v>
          </cell>
          <cell r="L10">
            <v>0.05</v>
          </cell>
          <cell r="M10">
            <v>0.05</v>
          </cell>
          <cell r="N10">
            <v>0.11</v>
          </cell>
          <cell r="O10">
            <v>0</v>
          </cell>
          <cell r="P10">
            <v>0</v>
          </cell>
          <cell r="Q10">
            <v>0.1</v>
          </cell>
          <cell r="R10">
            <v>0.05</v>
          </cell>
          <cell r="T10">
            <v>4.7500000000000001E-2</v>
          </cell>
          <cell r="U10">
            <v>0.05</v>
          </cell>
        </row>
        <row r="11">
          <cell r="B11" t="str">
            <v>Indirect Labor-Burden Cost:</v>
          </cell>
          <cell r="D11">
            <v>1</v>
          </cell>
          <cell r="E11">
            <v>3.246</v>
          </cell>
          <cell r="F11">
            <v>2.9180000000000001</v>
          </cell>
          <cell r="G11">
            <v>0</v>
          </cell>
          <cell r="H11" t="str">
            <v>O/B</v>
          </cell>
          <cell r="I11">
            <v>2.35</v>
          </cell>
          <cell r="J11">
            <v>0.45</v>
          </cell>
          <cell r="K11">
            <v>5.24</v>
          </cell>
          <cell r="L11">
            <v>2.4</v>
          </cell>
          <cell r="M11">
            <v>2.673</v>
          </cell>
          <cell r="N11">
            <v>1</v>
          </cell>
          <cell r="O11">
            <v>0.92300000000000004</v>
          </cell>
          <cell r="P11">
            <v>0</v>
          </cell>
          <cell r="Q11">
            <v>0</v>
          </cell>
          <cell r="R11" t="str">
            <v>O/B</v>
          </cell>
          <cell r="T11">
            <v>1.415</v>
          </cell>
          <cell r="U11">
            <v>1.1200000000000001</v>
          </cell>
        </row>
        <row r="12">
          <cell r="B12" t="str">
            <v>Loaded, Direct Labor</v>
          </cell>
          <cell r="D12">
            <v>2.5299999999999998</v>
          </cell>
          <cell r="E12">
            <v>3.17</v>
          </cell>
          <cell r="F12">
            <v>2.7</v>
          </cell>
          <cell r="G12">
            <v>27.33</v>
          </cell>
          <cell r="H12">
            <v>3.26</v>
          </cell>
          <cell r="I12">
            <v>3.09</v>
          </cell>
          <cell r="J12">
            <v>2.75</v>
          </cell>
          <cell r="K12">
            <v>2.5299999999999998</v>
          </cell>
          <cell r="L12">
            <v>4.8899999999999997</v>
          </cell>
          <cell r="M12">
            <v>2.6</v>
          </cell>
          <cell r="N12">
            <v>6</v>
          </cell>
          <cell r="O12">
            <v>6.5</v>
          </cell>
          <cell r="P12">
            <v>6.6</v>
          </cell>
          <cell r="Q12">
            <v>6.5</v>
          </cell>
          <cell r="R12">
            <v>1.302</v>
          </cell>
          <cell r="S12">
            <v>4.7</v>
          </cell>
          <cell r="T12">
            <v>8.4600000000000009</v>
          </cell>
          <cell r="U12">
            <v>4</v>
          </cell>
        </row>
        <row r="37">
          <cell r="B37">
            <v>1</v>
          </cell>
          <cell r="C37">
            <v>0.1</v>
          </cell>
        </row>
        <row r="38">
          <cell r="B38">
            <v>0.95</v>
          </cell>
          <cell r="C38">
            <v>0.2</v>
          </cell>
        </row>
        <row r="39">
          <cell r="B39">
            <v>0.9</v>
          </cell>
          <cell r="C39">
            <v>0.3</v>
          </cell>
        </row>
        <row r="40">
          <cell r="B40">
            <v>0.85</v>
          </cell>
          <cell r="C40">
            <v>0.4</v>
          </cell>
        </row>
        <row r="41">
          <cell r="B41">
            <v>0.8</v>
          </cell>
          <cell r="C41">
            <v>0.5</v>
          </cell>
        </row>
        <row r="42">
          <cell r="B42">
            <v>0.75</v>
          </cell>
          <cell r="C42">
            <v>0.6</v>
          </cell>
        </row>
        <row r="43">
          <cell r="B43">
            <v>0.74</v>
          </cell>
        </row>
        <row r="44">
          <cell r="B44">
            <v>0.73</v>
          </cell>
        </row>
        <row r="45">
          <cell r="B45">
            <v>0.72</v>
          </cell>
        </row>
        <row r="46">
          <cell r="B46">
            <v>0.71</v>
          </cell>
        </row>
      </sheetData>
      <sheetData sheetId="14" refreshError="1">
        <row r="15">
          <cell r="U15" t="str">
            <v>24x15x4</v>
          </cell>
        </row>
      </sheetData>
      <sheetData sheetId="15" refreshError="1">
        <row r="6">
          <cell r="B6" t="str">
            <v>DOMESTIC TRUCKING</v>
          </cell>
        </row>
        <row r="7">
          <cell r="B7" t="str">
            <v xml:space="preserve">AUSTRALIA ,(MELBOURNE)  &gt; THAILAND ,(BANGKOK) </v>
          </cell>
          <cell r="V7" t="str">
            <v>20'</v>
          </cell>
        </row>
        <row r="8">
          <cell r="B8" t="str">
            <v xml:space="preserve">AUSTRALIA ,(MELBOURNE)  &gt; USA ,(DAYTON, OH) </v>
          </cell>
          <cell r="V8" t="str">
            <v>40'</v>
          </cell>
        </row>
        <row r="9">
          <cell r="B9" t="str">
            <v xml:space="preserve">AUSTRALIA ,(MELBOURNE)  &gt; USA ,(SAGINAW, MI) </v>
          </cell>
          <cell r="V9" t="str">
            <v>40'HC</v>
          </cell>
        </row>
        <row r="10">
          <cell r="B10" t="str">
            <v xml:space="preserve">AUSTRALIA ,(MELBOURNE)  &gt; USA ,(VANDALIA, OH) </v>
          </cell>
        </row>
        <row r="11">
          <cell r="B11" t="str">
            <v xml:space="preserve">AUSTRIA ,(GRAZ)  &gt; USA ,(COTTONDALE, AL) </v>
          </cell>
        </row>
        <row r="12">
          <cell r="B12" t="str">
            <v xml:space="preserve">AUSTRIA ,(VIENNA)  &gt; USA ,(ROMULUS, MI) </v>
          </cell>
        </row>
        <row r="13">
          <cell r="B13" t="str">
            <v xml:space="preserve">BELGIUM ,(ANTWERP)  &gt; ARGENTINA ,(BUENOS AIRES) </v>
          </cell>
        </row>
        <row r="14">
          <cell r="B14" t="str">
            <v xml:space="preserve">BELGIUM ,(ANTWERP)  &gt; BRAZIL ,(RIO GRANDE) </v>
          </cell>
          <cell r="U14" t="str">
            <v>9x9x4</v>
          </cell>
          <cell r="V14">
            <v>324</v>
          </cell>
        </row>
        <row r="15">
          <cell r="B15" t="str">
            <v xml:space="preserve">BELGIUM ,(ANTWERP)  &gt; BRAZIL ,(SANTOS 1) </v>
          </cell>
          <cell r="U15" t="str">
            <v>9x9x6</v>
          </cell>
          <cell r="V15">
            <v>486</v>
          </cell>
        </row>
        <row r="16">
          <cell r="B16" t="str">
            <v xml:space="preserve">BELGIUM ,(ANTWERP)  &gt; BRAZIL ,(SANTOS 2) </v>
          </cell>
          <cell r="U16" t="str">
            <v>12X7.5X4</v>
          </cell>
          <cell r="V16">
            <v>360</v>
          </cell>
        </row>
        <row r="17">
          <cell r="B17" t="str">
            <v xml:space="preserve">BELGIUM ,(ANTWERP)  &gt; BRAZIL ,(SANTOS 3) </v>
          </cell>
          <cell r="U17" t="str">
            <v>12X7.5X5</v>
          </cell>
          <cell r="V17">
            <v>450</v>
          </cell>
        </row>
        <row r="18">
          <cell r="B18" t="str">
            <v xml:space="preserve">BELGIUM ,(ANTWERP)  &gt; BRAZIL ,(SANTOS 4) </v>
          </cell>
          <cell r="U18" t="str">
            <v>12x15x4</v>
          </cell>
          <cell r="V18">
            <v>720</v>
          </cell>
        </row>
        <row r="19">
          <cell r="B19" t="str">
            <v xml:space="preserve">BELGIUM ,(ANTWERP)  &gt; BRAZIL ,(SANTOS 5) </v>
          </cell>
          <cell r="U19" t="str">
            <v>12X15X5</v>
          </cell>
          <cell r="V19">
            <v>900</v>
          </cell>
        </row>
        <row r="20">
          <cell r="B20" t="str">
            <v xml:space="preserve">BELGIUM ,(ANTWERP)  &gt; BRAZIL ,(SANTOS 6) </v>
          </cell>
          <cell r="U20" t="str">
            <v>12X15X7.5</v>
          </cell>
          <cell r="V20">
            <v>1350</v>
          </cell>
        </row>
        <row r="21">
          <cell r="B21" t="str">
            <v xml:space="preserve">BELGIUM ,(ANTWERP)  &gt; BRAZIL ,(SANTOS 7) </v>
          </cell>
          <cell r="U21" t="str">
            <v>12X15X9.5</v>
          </cell>
          <cell r="V21">
            <v>1710</v>
          </cell>
        </row>
        <row r="22">
          <cell r="B22" t="str">
            <v xml:space="preserve">BELGIUM ,(ANTWERP)  &gt; BRAZIL ,(RIO DE JANEIRO) </v>
          </cell>
          <cell r="U22" t="str">
            <v>24X11.25X9.5</v>
          </cell>
          <cell r="V22">
            <v>2565</v>
          </cell>
        </row>
        <row r="23">
          <cell r="B23" t="str">
            <v xml:space="preserve">BELGIUM ,(ANTWERP)  &gt; CHINA ,(HUANGPU) </v>
          </cell>
          <cell r="U23" t="str">
            <v>24x15x4</v>
          </cell>
          <cell r="V23">
            <v>1440</v>
          </cell>
        </row>
        <row r="24">
          <cell r="B24" t="str">
            <v xml:space="preserve">BELGIUM ,(ANTWERP)  &gt; INDONESIA ,(JAKARTA) </v>
          </cell>
          <cell r="U24" t="str">
            <v>24X15X5</v>
          </cell>
          <cell r="V24">
            <v>1800</v>
          </cell>
        </row>
        <row r="25">
          <cell r="B25" t="str">
            <v xml:space="preserve">BELGIUM ,(ANTWERP)  &gt; MEXICO ,(JUAREZ) </v>
          </cell>
          <cell r="U25" t="str">
            <v>24x15x7.5</v>
          </cell>
          <cell r="V25">
            <v>2700</v>
          </cell>
        </row>
        <row r="26">
          <cell r="B26" t="str">
            <v xml:space="preserve">BELGIUM ,(ANTWERP)  &gt; MEXICO ,(VERRACRUZ) </v>
          </cell>
          <cell r="U26" t="str">
            <v>24X15X9.5</v>
          </cell>
          <cell r="V26">
            <v>3420</v>
          </cell>
        </row>
        <row r="27">
          <cell r="B27" t="str">
            <v xml:space="preserve">BELGIUM ,(ANTWERP)  &gt; USA ,(BROWNSVILLE, TX) </v>
          </cell>
          <cell r="U27" t="str">
            <v>24X15X11</v>
          </cell>
          <cell r="V27">
            <v>3960</v>
          </cell>
        </row>
        <row r="28">
          <cell r="B28" t="str">
            <v xml:space="preserve">BELGIUM ,(ANTWERP)  &gt; USA ,(EL PASO, TX) </v>
          </cell>
          <cell r="U28" t="str">
            <v>24x15x14.5</v>
          </cell>
          <cell r="V28">
            <v>5220</v>
          </cell>
        </row>
        <row r="29">
          <cell r="B29" t="str">
            <v xml:space="preserve">BELGIUM ,(ANTWERP)  &gt; USA ,(HUNTSVILLE, AL) </v>
          </cell>
          <cell r="U29" t="str">
            <v>24x22.5x7.5</v>
          </cell>
          <cell r="V29">
            <v>4050</v>
          </cell>
        </row>
        <row r="30">
          <cell r="B30" t="str">
            <v xml:space="preserve">BELGIUM ,(ANTWERP)  &gt; USA ,(LOS INDIOS, TX) </v>
          </cell>
          <cell r="U30" t="str">
            <v>24X22.5X9.5</v>
          </cell>
          <cell r="V30">
            <v>5130</v>
          </cell>
        </row>
        <row r="31">
          <cell r="B31" t="str">
            <v xml:space="preserve">BELGIUM ,(ANTWERP)  &gt; USA ,(ROMULUS, MI) </v>
          </cell>
          <cell r="U31" t="str">
            <v>24x22.5x11</v>
          </cell>
          <cell r="V31">
            <v>5940</v>
          </cell>
        </row>
        <row r="32">
          <cell r="B32" t="str">
            <v xml:space="preserve">BELGIUM ,(ANTWERP)  &gt; USA ,(LAREDO) </v>
          </cell>
          <cell r="U32" t="str">
            <v>24X22.5X14.5</v>
          </cell>
          <cell r="V32">
            <v>7830</v>
          </cell>
        </row>
        <row r="33">
          <cell r="B33" t="str">
            <v xml:space="preserve">BELGIUM ,(BOOM)  &gt; CHINA ,(DALIAN) </v>
          </cell>
          <cell r="U33" t="str">
            <v>32x30x25</v>
          </cell>
          <cell r="V33">
            <v>24000</v>
          </cell>
        </row>
        <row r="34">
          <cell r="B34" t="str">
            <v xml:space="preserve">BELGIUM ,(BOOM)  &gt; CHINA ,(HUANGPU) </v>
          </cell>
          <cell r="U34" t="str">
            <v>32x30x34</v>
          </cell>
          <cell r="V34">
            <v>32640</v>
          </cell>
        </row>
        <row r="35">
          <cell r="B35" t="str">
            <v xml:space="preserve">BELGIUM ,(BOOM)  &gt; CHINA ,(SHANGHAI) </v>
          </cell>
          <cell r="U35" t="str">
            <v>48x45x25</v>
          </cell>
          <cell r="V35">
            <v>54000</v>
          </cell>
        </row>
        <row r="36">
          <cell r="B36" t="str">
            <v xml:space="preserve">BELGIUM ,(BOOM)  &gt; INDONESIA ,(JAKARTA) </v>
          </cell>
          <cell r="U36" t="str">
            <v>48x45x34</v>
          </cell>
          <cell r="V36">
            <v>73440</v>
          </cell>
        </row>
        <row r="37">
          <cell r="B37" t="str">
            <v xml:space="preserve">BELGIUM ,(BOOM )  &gt; INDIA ,(NEW DELHI) </v>
          </cell>
        </row>
        <row r="38">
          <cell r="B38" t="str">
            <v xml:space="preserve">BRAZIL ,(RIO GRANDE)  &gt; USA ,(ATHENS,AL 1) </v>
          </cell>
        </row>
        <row r="39">
          <cell r="B39" t="str">
            <v xml:space="preserve">BRAZIL ,(RIO GRANDE)  &gt; USA ,(ATHENS,AL 2) </v>
          </cell>
        </row>
        <row r="40">
          <cell r="B40" t="str">
            <v xml:space="preserve">BRAZIL ,(RIO GRANDE)  &gt; USA ,(SAGINAW, MI) </v>
          </cell>
        </row>
        <row r="41">
          <cell r="B41" t="str">
            <v xml:space="preserve">BRAZIL ,(SANTOS)  &gt; CANADA ,(OSHAWA) </v>
          </cell>
        </row>
        <row r="42">
          <cell r="B42" t="str">
            <v xml:space="preserve">BRAZIL ,(SANTOS)  &gt; MEXICO ,(SALTILLO) </v>
          </cell>
        </row>
        <row r="43">
          <cell r="B43" t="str">
            <v xml:space="preserve">BRAZIL ,(SANTOS)  &gt; USA ,(B-BROOK,IL 1) </v>
          </cell>
        </row>
        <row r="44">
          <cell r="B44" t="str">
            <v xml:space="preserve">BRAZIL ,(SANTOS)  &gt; USA ,(B-BROOK,IL 2) </v>
          </cell>
        </row>
        <row r="45">
          <cell r="B45" t="str">
            <v xml:space="preserve">BRAZIL ,(SANTOS)  &gt; USA ,(C-BURY, NJ 1) </v>
          </cell>
          <cell r="U45" t="str">
            <v>Returnable</v>
          </cell>
        </row>
        <row r="46">
          <cell r="B46" t="str">
            <v xml:space="preserve">BRAZIL ,(SANTOS)  &gt; USA ,(C-BURY, NJ 2) </v>
          </cell>
          <cell r="U46" t="str">
            <v>Expendable</v>
          </cell>
        </row>
        <row r="47">
          <cell r="B47" t="str">
            <v xml:space="preserve">BRAZIL ,(SANTOS)  &gt; USA ,(CIERRITOS,CA 1) </v>
          </cell>
        </row>
        <row r="48">
          <cell r="B48" t="str">
            <v xml:space="preserve">BRAZIL ,(SANTOS)  &gt; USA ,(CIERRITOS,CA 2) </v>
          </cell>
        </row>
        <row r="49">
          <cell r="B49" t="str">
            <v xml:space="preserve">BRAZIL ,(SANTOS)  &gt; USA ,(CINCINNATI) </v>
          </cell>
          <cell r="T49" t="str">
            <v>Metric</v>
          </cell>
          <cell r="U49" t="str">
            <v>Delphi</v>
          </cell>
          <cell r="V49" t="str">
            <v>Trucking</v>
          </cell>
        </row>
        <row r="50">
          <cell r="B50" t="str">
            <v xml:space="preserve">BRAZIL ,(SANTOS)  &gt; USA ,(EL PASO, TX) </v>
          </cell>
          <cell r="T50" t="str">
            <v>English</v>
          </cell>
          <cell r="U50" t="str">
            <v>Supplier</v>
          </cell>
          <cell r="V50" t="str">
            <v>Ocean</v>
          </cell>
        </row>
        <row r="51">
          <cell r="B51" t="str">
            <v xml:space="preserve">BRAZIL ,(SANTOS)  &gt; USA ,(JACKSONVILLE, FL 1) </v>
          </cell>
        </row>
        <row r="52">
          <cell r="B52" t="str">
            <v xml:space="preserve">BRAZIL ,(SANTOS)  &gt; USA ,(JACKSONVILLE, FL 2) </v>
          </cell>
        </row>
        <row r="53">
          <cell r="B53" t="str">
            <v xml:space="preserve">BRAZIL ,(SANTOS)  &gt; USA ,(JACKSONVILLE, FL 3) </v>
          </cell>
        </row>
        <row r="54">
          <cell r="B54" t="str">
            <v xml:space="preserve">BRAZIL ,(SANTOS)  &gt; USA ,(JACKSONVILLE, FL 4) </v>
          </cell>
        </row>
        <row r="55">
          <cell r="B55" t="str">
            <v xml:space="preserve">BRAZIL ,(SANTOS)  &gt; USA ,(KETTERING) </v>
          </cell>
        </row>
        <row r="56">
          <cell r="B56" t="str">
            <v xml:space="preserve">BRAZIL ,(SANTOS)  &gt; USA ,(LAREDO) </v>
          </cell>
        </row>
        <row r="57">
          <cell r="B57" t="str">
            <v xml:space="preserve">BRAZIL ,(SANTOS)  &gt; USA ,(NEW BRUNS., NJ 1) </v>
          </cell>
        </row>
        <row r="58">
          <cell r="B58" t="str">
            <v xml:space="preserve">BRAZIL ,(SANTOS)  &gt; USA ,(NEW BRUNS., NJ 2) </v>
          </cell>
        </row>
        <row r="59">
          <cell r="B59" t="str">
            <v xml:space="preserve">BRAZIL ,(SANTOS)  &gt; USA ,(NORFOLK) </v>
          </cell>
        </row>
        <row r="60">
          <cell r="B60" t="str">
            <v xml:space="preserve">BRAZIL ,(SANTOS)  &gt; USA ,(ROANOKE,TX) </v>
          </cell>
        </row>
        <row r="61">
          <cell r="B61" t="str">
            <v xml:space="preserve">BRAZIL ,(SANTOS)  &gt; USA ,(ROMULUS, MI) </v>
          </cell>
        </row>
        <row r="62">
          <cell r="B62" t="str">
            <v xml:space="preserve">CANADA ,(MONTREAL)  &gt; PORTUGAL ,(SEIXAL) </v>
          </cell>
        </row>
        <row r="63">
          <cell r="B63" t="str">
            <v xml:space="preserve">CANADA ,(OSHAWA, ONT)  &gt; CHINA ,(SHANGHAI) </v>
          </cell>
        </row>
        <row r="64">
          <cell r="B64" t="str">
            <v xml:space="preserve">CANADA ,(TORONTO, ONT)  &gt; CHINA ,(DALIAN) </v>
          </cell>
        </row>
        <row r="65">
          <cell r="B65" t="str">
            <v xml:space="preserve">CANADA ,(TRACY)  &gt; USA ,(SEIXAL) </v>
          </cell>
        </row>
        <row r="66">
          <cell r="B66" t="str">
            <v xml:space="preserve">CANADA ,(VANCOUVER)  &gt; CHINA ,(XINGANG) </v>
          </cell>
        </row>
        <row r="67">
          <cell r="B67" t="str">
            <v xml:space="preserve">CHINA ,(DALIAN)  &gt; THAILAND ,(JAKARTA) </v>
          </cell>
        </row>
        <row r="68">
          <cell r="B68" t="str">
            <v xml:space="preserve">CHINA ,(GUANGZHOU)  &gt; FRANCE ,(PARIS) </v>
          </cell>
        </row>
        <row r="69">
          <cell r="B69" t="str">
            <v xml:space="preserve">CHINA ,(GUANGZHOU)  &gt; GERMANY ,(RUSSELSHEIM) </v>
          </cell>
        </row>
        <row r="70">
          <cell r="B70" t="str">
            <v xml:space="preserve">CHINA ,(GUANGZHOU)  &gt; USA ,(LAREDO,TX) </v>
          </cell>
        </row>
        <row r="71">
          <cell r="B71" t="str">
            <v xml:space="preserve">CHINA ,(GUANGZHOU)  &gt; USA ,(WARREN, OH) </v>
          </cell>
        </row>
        <row r="72">
          <cell r="B72" t="str">
            <v xml:space="preserve">CHINA ,(GUANGZHOU)  &gt; USA ,(EL PASO, TX) </v>
          </cell>
        </row>
        <row r="73">
          <cell r="B73" t="str">
            <v xml:space="preserve">CHINA ,(HONG KONG)  &gt; USA ,(PLAINFIELD, IN) </v>
          </cell>
        </row>
        <row r="74">
          <cell r="B74" t="str">
            <v xml:space="preserve">CHINA ,(HUANGPU)  &gt; USA ,(EL PASO, TX) </v>
          </cell>
        </row>
        <row r="75">
          <cell r="B75" t="str">
            <v xml:space="preserve">CHINA ,(HUANGPU)  &gt; USA ,(WARREN, OH) </v>
          </cell>
        </row>
        <row r="76">
          <cell r="B76" t="str">
            <v xml:space="preserve">CHINA ,(HUANGPU )  &gt; PORTUGAL ,(GUARDA) </v>
          </cell>
        </row>
        <row r="77">
          <cell r="B77" t="str">
            <v xml:space="preserve">CHINA ,(SHANGHAI)  &gt; BELGIUM ,(BOOM) </v>
          </cell>
        </row>
        <row r="78">
          <cell r="B78" t="str">
            <v xml:space="preserve">CHINA ,(SHANGHAI)  &gt; BRAZIL ,(SANTOS) </v>
          </cell>
        </row>
        <row r="79">
          <cell r="B79" t="str">
            <v xml:space="preserve">CHINA ,(SHANGHAI)  &gt; FRANCE ,(S-MINES) </v>
          </cell>
        </row>
        <row r="80">
          <cell r="B80" t="str">
            <v xml:space="preserve">CHINA ,(SHANGHAI)  &gt; HUNGARY ,(ESZTERGOM) </v>
          </cell>
        </row>
        <row r="81">
          <cell r="B81" t="str">
            <v xml:space="preserve">CHINA ,(SHANGHAI)  &gt; INDIA ,(NH SHEVA) </v>
          </cell>
        </row>
        <row r="82">
          <cell r="B82" t="str">
            <v xml:space="preserve">CHINA ,(SHANGHAI)  &gt; MEXICO ,(JUAREZ) </v>
          </cell>
        </row>
        <row r="83">
          <cell r="B83" t="str">
            <v xml:space="preserve">CHINA ,(SHANGHAI)  &gt; SINGAPORE ,(SINGAPORE) </v>
          </cell>
        </row>
        <row r="84">
          <cell r="B84" t="str">
            <v xml:space="preserve">CHINA ,(SHANGHAI)  &gt; SPAIN ,(BARCELONA) </v>
          </cell>
        </row>
        <row r="85">
          <cell r="B85" t="str">
            <v xml:space="preserve">CHINA ,(SHANGHAI)  &gt; THAILAND ,(LM CHABANG 1) </v>
          </cell>
        </row>
        <row r="86">
          <cell r="B86" t="str">
            <v xml:space="preserve">CHINA ,(SHANGHAI)  &gt; THAILAND ,(LM. CHABANG 2) </v>
          </cell>
        </row>
        <row r="87">
          <cell r="B87" t="str">
            <v xml:space="preserve">CHINA ,(SHANGHAI)  &gt; U.K. ,(SOUTHAMPTON) </v>
          </cell>
        </row>
        <row r="88">
          <cell r="B88" t="str">
            <v xml:space="preserve">CHINA ,(SHANGHAI)  &gt; USA ,(BOLINGBROOK, IL) </v>
          </cell>
        </row>
        <row r="89">
          <cell r="B89" t="str">
            <v xml:space="preserve">CHINA ,(SHANGHAI)  &gt; USA ,(CERRITOS, CA) </v>
          </cell>
        </row>
        <row r="90">
          <cell r="B90" t="str">
            <v xml:space="preserve">CHINA ,(SHANGHAI)  &gt; USA ,(COLUMBUS, OH 1) </v>
          </cell>
        </row>
        <row r="91">
          <cell r="B91" t="str">
            <v xml:space="preserve">CHINA ,(SHANGHAI)  &gt; USA ,(COLUMBUS, OH 2) </v>
          </cell>
        </row>
        <row r="92">
          <cell r="B92" t="str">
            <v xml:space="preserve">CHINA ,(SHANGHAI)  &gt; USA ,(CRANBURY, NJ) </v>
          </cell>
        </row>
        <row r="93">
          <cell r="B93" t="str">
            <v xml:space="preserve">CHINA ,(SHANGHAI)  &gt; USA ,(DAYTON, OH) </v>
          </cell>
        </row>
        <row r="94">
          <cell r="B94" t="str">
            <v xml:space="preserve">CHINA ,(SHANGHAI)  &gt; USA ,(JACKSONVILLE, FL) </v>
          </cell>
        </row>
        <row r="95">
          <cell r="B95" t="str">
            <v xml:space="preserve">CHINA ,(SHANGHAI)  &gt; USA ,(LAREDO, TX) </v>
          </cell>
        </row>
        <row r="96">
          <cell r="B96" t="str">
            <v xml:space="preserve">CHINA ,(SHANGHAI)  &gt; USA ,(OBETZ, OH) </v>
          </cell>
        </row>
        <row r="97">
          <cell r="B97" t="str">
            <v xml:space="preserve">CHINA ,(SHANGHAI)  &gt; USA ,(ROANOKE, TX) </v>
          </cell>
        </row>
        <row r="98">
          <cell r="B98" t="str">
            <v xml:space="preserve">CHINA ,(SHANGHAI)  &gt; USA ,(WARREN, OH) </v>
          </cell>
        </row>
        <row r="99">
          <cell r="B99" t="str">
            <v xml:space="preserve">CHINA ,(SHANGHAI)  &gt; USA ,(PLAINFIELD, IN) </v>
          </cell>
        </row>
        <row r="100">
          <cell r="B100" t="str">
            <v xml:space="preserve">CHINA ,(SHANGHAI)  &gt; USA ,(YOUNGSTOWN, OH) </v>
          </cell>
        </row>
        <row r="101">
          <cell r="B101" t="str">
            <v xml:space="preserve">CHINA ,(SHANGHAI)  &gt; USA ,(NEW BRUNSWICK, NJ 1) </v>
          </cell>
        </row>
        <row r="102">
          <cell r="B102" t="str">
            <v xml:space="preserve">CHINA ,(SHANGHAI)  &gt; USA ,(NEW BRUNSWICK, NJ 2) </v>
          </cell>
        </row>
        <row r="103">
          <cell r="B103" t="str">
            <v xml:space="preserve">CHINA ,(SHANGHAI )  &gt; PAKISTAN ,(KARACHI) </v>
          </cell>
        </row>
        <row r="104">
          <cell r="B104" t="str">
            <v xml:space="preserve">CHINA ,(SHANGHAI )  &gt; POLAND ,(GLIWICE) </v>
          </cell>
        </row>
        <row r="105">
          <cell r="B105" t="str">
            <v xml:space="preserve">CHINA ,(SHANGHAI )  &gt; SPAIN ,(BARCELONA) </v>
          </cell>
        </row>
        <row r="106">
          <cell r="B106" t="str">
            <v xml:space="preserve">CHINA ,(SUZHOU)  &gt; INDONESIA ,(JAKARTA) </v>
          </cell>
        </row>
        <row r="107">
          <cell r="B107" t="str">
            <v xml:space="preserve">CHINA ,(SUZHOU)  &gt; USA ,(KOKOMO, IN) </v>
          </cell>
        </row>
        <row r="108">
          <cell r="B108" t="str">
            <v xml:space="preserve">CHINA ,(TIANJIN)  &gt; USA ,(SAGINAW, MI) </v>
          </cell>
        </row>
        <row r="109">
          <cell r="B109" t="str">
            <v xml:space="preserve">CHINA ,(XINGANG)  &gt; USA ,(SAGINAW, MI) </v>
          </cell>
        </row>
        <row r="110">
          <cell r="B110" t="str">
            <v xml:space="preserve">CZECH ,(VELKE MEZIRICI)  &gt; INDONESIA ,(JAKARTA) </v>
          </cell>
        </row>
        <row r="111">
          <cell r="B111" t="str">
            <v xml:space="preserve">FRANCE ,(ANTEUIL)  &gt; CHINA ,(HUANGPU 1) </v>
          </cell>
        </row>
        <row r="112">
          <cell r="B112" t="str">
            <v xml:space="preserve">FRANCE ,(ANTEUIL)  &gt; CHINA ,(HUANGPU 2) </v>
          </cell>
        </row>
        <row r="113">
          <cell r="B113" t="str">
            <v xml:space="preserve">FRANCE ,(ANTEUIL)  &gt; HONG KONG ,(HONG KONG) </v>
          </cell>
        </row>
        <row r="114">
          <cell r="B114" t="str">
            <v xml:space="preserve">FRANCE ,(CLERVAL )  &gt; CHINA ,(GUANGZHOU) </v>
          </cell>
        </row>
        <row r="115">
          <cell r="B115" t="str">
            <v xml:space="preserve">FRANCE ,(CLERVAL )  &gt; INDIA ,(NHAVA SHEVA) </v>
          </cell>
        </row>
        <row r="116">
          <cell r="B116" t="str">
            <v xml:space="preserve">FRANCE ,(DONCHERY)  &gt; INDIA ,(ICD NEW DELHI) </v>
          </cell>
        </row>
        <row r="117">
          <cell r="B117" t="str">
            <v xml:space="preserve">FRANCE ,(LA VERPILLIER)  &gt; BRAZIL ,(SANTOS) </v>
          </cell>
        </row>
        <row r="118">
          <cell r="B118" t="str">
            <v xml:space="preserve">FRANCE ,(SARREGIEMINES)  &gt; CHINA ,(SHANGHAI) </v>
          </cell>
        </row>
        <row r="119">
          <cell r="B119" t="str">
            <v xml:space="preserve">FRANCE ,(SARRGUEMINES)  &gt; THAILAND ,(LAEM CHABANG) </v>
          </cell>
        </row>
        <row r="120">
          <cell r="B120" t="str">
            <v xml:space="preserve">France ,(VILLERON)  &gt; USA ,(Kulpsville, PE) </v>
          </cell>
        </row>
        <row r="121">
          <cell r="B121" t="str">
            <v xml:space="preserve">GERMANY ,(BERLIN)  &gt; CHINA ,(DALIAN) </v>
          </cell>
        </row>
        <row r="122">
          <cell r="B122" t="str">
            <v xml:space="preserve">GERMANY ,(BREMEN)  &gt; CHINA ,(XINGANG) </v>
          </cell>
        </row>
        <row r="123">
          <cell r="B123" t="str">
            <v xml:space="preserve">GERMANY ,(BREMEN)  &gt; MEXICO ,(VERACRUZ) </v>
          </cell>
        </row>
        <row r="124">
          <cell r="B124" t="str">
            <v xml:space="preserve">GERMANY ,(DUDERSTADT)  &gt; USA ,(BROWNSVILLE, TX) </v>
          </cell>
        </row>
        <row r="125">
          <cell r="B125" t="str">
            <v xml:space="preserve">GERMANY ,(HALDENLEBEN)  &gt; BRAZIL ,(SANTOS) </v>
          </cell>
        </row>
        <row r="126">
          <cell r="B126" t="str">
            <v xml:space="preserve">GERMANY ,(HAMBURG)  &gt; BRAZIL ,(RIO GRANDE) </v>
          </cell>
        </row>
        <row r="127">
          <cell r="B127" t="str">
            <v xml:space="preserve">GERMANY ,(HAMBURG)  &gt; BRAZIL ,(SANTOS) </v>
          </cell>
        </row>
        <row r="128">
          <cell r="B128" t="str">
            <v xml:space="preserve">GERMANY ,(HAMBURG)  &gt; KOREA ,(PUSAN) </v>
          </cell>
        </row>
        <row r="129">
          <cell r="B129" t="str">
            <v xml:space="preserve">GERMANY ,(HAMBURG)  &gt; USA ,(COTTONDALE,AL) </v>
          </cell>
        </row>
        <row r="130">
          <cell r="B130" t="str">
            <v xml:space="preserve">GERMANY ,(HAMBURG)  &gt;  ,(ICD NEW DELHI) </v>
          </cell>
        </row>
        <row r="131">
          <cell r="B131" t="str">
            <v xml:space="preserve">GERMANY ,(HEILBRONN)  &gt; INDIA ,(New Delhi ICD) </v>
          </cell>
        </row>
        <row r="132">
          <cell r="B132" t="str">
            <v xml:space="preserve">GERMANY ,(LAGE)  &gt; USA ,(PORTLAND, TN) </v>
          </cell>
        </row>
        <row r="133">
          <cell r="B133" t="str">
            <v xml:space="preserve">GERMANY ,(NAILA)  &gt; MEXICO ,(ALTAMIRA) </v>
          </cell>
        </row>
        <row r="134">
          <cell r="B134" t="str">
            <v xml:space="preserve">GERMANY ,(NAILA)  &gt; MEXICO ,(SALTILLO) </v>
          </cell>
        </row>
        <row r="135">
          <cell r="B135" t="str">
            <v xml:space="preserve">GERMANY ,(NEUMARK)  &gt; MALAYSIA ,(PORT KLANG) </v>
          </cell>
        </row>
        <row r="136">
          <cell r="B136" t="str">
            <v xml:space="preserve">GERMANY ,(WUPPERTAL)  &gt; BRAZIL ,(SANTOS) </v>
          </cell>
        </row>
        <row r="137">
          <cell r="B137" t="str">
            <v xml:space="preserve">HOLLAND ,(ROTTERDAM)  &gt; CHINA ,(SHANGHAI) </v>
          </cell>
        </row>
        <row r="138">
          <cell r="B138" t="str">
            <v xml:space="preserve">INDIA ,(BANGALORE)  &gt; CHINA ,(SHANGHAI) </v>
          </cell>
        </row>
        <row r="139">
          <cell r="B139" t="str">
            <v xml:space="preserve">INDIA ,(BANGALORE)  &gt; POLAND ,(TYCHY) </v>
          </cell>
        </row>
        <row r="140">
          <cell r="B140" t="str">
            <v xml:space="preserve">INDIA ,(BANGALORE)  &gt; SPAIN ,(CADIZ) </v>
          </cell>
        </row>
        <row r="141">
          <cell r="B141" t="str">
            <v xml:space="preserve">INDIA ,(CHENNAI)  &gt; ITALY ,(LIVORNO) </v>
          </cell>
        </row>
        <row r="142">
          <cell r="B142" t="str">
            <v xml:space="preserve">INDIA ,(GREATER NOIDA)  &gt; ITALY ,(MOLINELLA) </v>
          </cell>
        </row>
        <row r="143">
          <cell r="B143" t="str">
            <v xml:space="preserve">INDIA ,(GRT. NOIDA)  &gt; USA ,(KETTERING, OH) </v>
          </cell>
        </row>
        <row r="144">
          <cell r="B144" t="str">
            <v xml:space="preserve">INDIA ,(NEW DELHI)  &gt; AUSTRALIA ,(MELBOURNE) </v>
          </cell>
        </row>
        <row r="145">
          <cell r="B145" t="str">
            <v xml:space="preserve">INDIA ,(NEW DELHI)  &gt; GERMANY ,(EHNINGEN) </v>
          </cell>
        </row>
        <row r="146">
          <cell r="B146" t="str">
            <v xml:space="preserve">INDIA ,(NEW DELHI)  &gt; POLAND ,(TYCHY) </v>
          </cell>
        </row>
        <row r="147">
          <cell r="B147" t="str">
            <v xml:space="preserve">INDIA ,(NEW DELHI)  &gt; SRILANKA ,(COLOMBO) </v>
          </cell>
        </row>
        <row r="148">
          <cell r="B148" t="str">
            <v xml:space="preserve">INDONESIA ,(JAKARTA)  &gt; GERMANY ,(WUPPERTAL) </v>
          </cell>
        </row>
        <row r="149">
          <cell r="B149" t="str">
            <v xml:space="preserve">INDONESIA ,(JAKARTA)  &gt; THAILAND ,(LM CHABANG) </v>
          </cell>
        </row>
        <row r="150">
          <cell r="B150" t="str">
            <v xml:space="preserve">ITALY ,(BARZANA)  &gt; MEXICO ,(SALTILLO) </v>
          </cell>
        </row>
        <row r="151">
          <cell r="B151" t="str">
            <v xml:space="preserve">ITALY ,(DESIO)  &gt; USA ,(COLUMBUS, OH) </v>
          </cell>
        </row>
        <row r="152">
          <cell r="B152" t="str">
            <v xml:space="preserve">ITALY ,(GENOA)  &gt; INDIA ,(NEW DELHI ) </v>
          </cell>
        </row>
        <row r="153">
          <cell r="B153" t="str">
            <v xml:space="preserve">ITALY ,(PARMA)  &gt; MEXICO ,(SALTILLO 1) </v>
          </cell>
        </row>
        <row r="154">
          <cell r="B154" t="str">
            <v xml:space="preserve">ITALY ,(PARMA)  &gt; MEXICO ,(SALTILLO 2) </v>
          </cell>
        </row>
        <row r="155">
          <cell r="B155" t="str">
            <v xml:space="preserve">ITALY ,(ROBASSOMERO)  &gt; USA ,(ROMULUS, MI) </v>
          </cell>
        </row>
        <row r="156">
          <cell r="B156" t="str">
            <v xml:space="preserve">ITALY ,(SAREZZO)  &gt; MEXICO ,(SALTILLO) </v>
          </cell>
        </row>
        <row r="157">
          <cell r="B157" t="str">
            <v xml:space="preserve">ITALY ,(TORINO)  &gt; TURKEY ,(ISTANBUL) </v>
          </cell>
        </row>
        <row r="158">
          <cell r="B158" t="str">
            <v xml:space="preserve">JAPAN ,(KOBE )  &gt; USA ,(BROWNSVILLE, TX) </v>
          </cell>
        </row>
        <row r="159">
          <cell r="B159" t="str">
            <v xml:space="preserve">JAPAN ,(NAGOYA)  &gt; FRANCE ,(FLERS-EN-ESCREBIEX 1) </v>
          </cell>
        </row>
        <row r="160">
          <cell r="B160" t="str">
            <v xml:space="preserve">JAPAN ,(NAGOYA)  &gt; FRANCE ,(FLERS-EN-ESCREBIEX 2) </v>
          </cell>
        </row>
        <row r="161">
          <cell r="B161" t="str">
            <v xml:space="preserve">JAPAN ,(NAGOYA)  &gt; MALAYSIA ,(PORT KLANG) </v>
          </cell>
        </row>
        <row r="162">
          <cell r="B162" t="str">
            <v xml:space="preserve">JAPAN ,(NAGOYA)  &gt; MEXICO ,(JUAREZ) </v>
          </cell>
        </row>
        <row r="163">
          <cell r="B163" t="str">
            <v xml:space="preserve">JAPAN ,(NAGOYA)  &gt; USA ,(EL PASO, TX) </v>
          </cell>
        </row>
        <row r="164">
          <cell r="B164" t="str">
            <v xml:space="preserve">JAPAN ,(SHIMIZU)  &gt; MALAYSIA ,(PT. KELANG) </v>
          </cell>
        </row>
        <row r="165">
          <cell r="B165" t="str">
            <v xml:space="preserve">JAPAN ,(TOKYO)  &gt; CHINA ,(SUZHOU) </v>
          </cell>
        </row>
        <row r="166">
          <cell r="B166" t="str">
            <v xml:space="preserve">JAPAN ,(TOKYO)  &gt; FRANCE ,(BLOIS) </v>
          </cell>
        </row>
        <row r="167">
          <cell r="B167" t="str">
            <v xml:space="preserve">JAPAN ,(TOKYO)  &gt; France ,(Donchery) </v>
          </cell>
        </row>
        <row r="168">
          <cell r="B168" t="str">
            <v xml:space="preserve">JAPAN ,(TOKYO)  &gt; HUNGARY ,(BALASSAGYARMAT 1) </v>
          </cell>
        </row>
        <row r="169">
          <cell r="B169" t="str">
            <v xml:space="preserve">JAPAN ,(TOKYO)  &gt; HUNGARY ,(BALASSAGYARMAT 2) </v>
          </cell>
        </row>
        <row r="170">
          <cell r="B170" t="str">
            <v xml:space="preserve">JAPAN ,(TOKYO)  &gt; USA ,(DAYTON, OH) </v>
          </cell>
        </row>
        <row r="171">
          <cell r="B171" t="str">
            <v xml:space="preserve">JAPAN ,(TOKYO)  &gt; USA ,(ENGLEWOOD, OH) </v>
          </cell>
        </row>
        <row r="172">
          <cell r="B172" t="str">
            <v xml:space="preserve">JAPAN ,(TOKYO)  &gt; USA ,(OAK CREEK, WI) </v>
          </cell>
        </row>
        <row r="173">
          <cell r="B173" t="str">
            <v xml:space="preserve">JAPAN ,(TOCHIGI)  &gt; FRANCE ,(FLERS-EN-ESCREBIEX) </v>
          </cell>
        </row>
        <row r="174">
          <cell r="B174" t="str">
            <v xml:space="preserve">JAPAN ,(TOCHIGI)  &gt; HUNGARY ,(BALASSAGYARMAT) </v>
          </cell>
        </row>
        <row r="175">
          <cell r="B175" t="str">
            <v xml:space="preserve">JAPAN ,(YOKAHAMA)  &gt; USA ,(SAGINAW, MI) </v>
          </cell>
        </row>
        <row r="176">
          <cell r="B176" t="str">
            <v xml:space="preserve">JAPAN ,(YOKKAICHI)  &gt; MEXICO ,(JUAREZ) </v>
          </cell>
        </row>
        <row r="177">
          <cell r="B177" t="str">
            <v xml:space="preserve">JAPAN ,(YOKKAICHI)  &gt; USA ,(EL PASO, TX) </v>
          </cell>
        </row>
        <row r="178">
          <cell r="B178" t="str">
            <v xml:space="preserve">JAPAN ,(YOKOHAMA)  &gt; CHINA ,(XINGANG) </v>
          </cell>
        </row>
        <row r="179">
          <cell r="B179" t="str">
            <v xml:space="preserve">JAPAN ,(YOKOHAMA)  &gt; INDIA ,(BANGALORE) </v>
          </cell>
        </row>
        <row r="180">
          <cell r="B180" t="str">
            <v xml:space="preserve">JAPAN ,(YOKOHAMA)  &gt; INDIA ,(CHENNAI) </v>
          </cell>
        </row>
        <row r="181">
          <cell r="B181" t="str">
            <v xml:space="preserve">JAPAN ,(YOKOHAMA)  &gt; MALAYSIA ,(PT. KELANG) </v>
          </cell>
        </row>
        <row r="182">
          <cell r="B182" t="str">
            <v xml:space="preserve">JAPAN ,(YOKOHAMA)  &gt; MEXICO ,(MANZANILLO) </v>
          </cell>
        </row>
        <row r="183">
          <cell r="B183" t="str">
            <v xml:space="preserve">KOREA ,(CHUNGUANG-DONG)  &gt; CHINA ,(SUZHOU ) </v>
          </cell>
        </row>
        <row r="184">
          <cell r="B184" t="str">
            <v xml:space="preserve">KOREA ,(INCHEON)  &gt; INDONESIA ,(JAKARTA) </v>
          </cell>
        </row>
        <row r="185">
          <cell r="B185" t="str">
            <v xml:space="preserve">KOREA ,(PUSAN)  &gt; AUSTRALIA ,(ADELAIDE) </v>
          </cell>
        </row>
        <row r="186">
          <cell r="B186" t="str">
            <v xml:space="preserve">KOREA ,(PUSAN)  &gt; AUSTRALIA ,(MELBOURNE) </v>
          </cell>
        </row>
        <row r="187">
          <cell r="B187" t="str">
            <v xml:space="preserve">KOREA ,(PUSAN)  &gt; CANADA ,(HAMILTON, ON) </v>
          </cell>
        </row>
        <row r="188">
          <cell r="B188" t="str">
            <v xml:space="preserve">KOREA ,(PUSAN)  &gt; CANADA ,(NEW WESTMINSTER, BC) </v>
          </cell>
        </row>
        <row r="189">
          <cell r="B189" t="str">
            <v xml:space="preserve">KOREA ,(PUSAN)  &gt; CHINA ,(BEIJING) </v>
          </cell>
        </row>
        <row r="190">
          <cell r="B190" t="str">
            <v xml:space="preserve">KOREA ,(PUSAN)  &gt; CHINA ,(SUZHOU) </v>
          </cell>
        </row>
        <row r="191">
          <cell r="B191" t="str">
            <v xml:space="preserve">KOREA ,(PUSAN)  &gt; CHINA ,(XINGANG) </v>
          </cell>
        </row>
        <row r="192">
          <cell r="B192" t="str">
            <v xml:space="preserve">KOREA ,(PUSAN)  &gt; FRANCE ,(FLERS-EN-ESCREBIEX) </v>
          </cell>
        </row>
        <row r="193">
          <cell r="B193" t="str">
            <v xml:space="preserve">KOREA ,(PUSAN)  &gt; HUNGARY ,(BALASSAGYARMAT) </v>
          </cell>
        </row>
        <row r="194">
          <cell r="B194" t="str">
            <v xml:space="preserve">KOREA ,(PUSAN)  &gt; INDIA ,(CHENNAI) </v>
          </cell>
        </row>
        <row r="195">
          <cell r="B195" t="str">
            <v xml:space="preserve">KOREA ,(PUSAN)  &gt; INDIA ,(NEW DELHI) </v>
          </cell>
        </row>
        <row r="196">
          <cell r="B196" t="str">
            <v xml:space="preserve">KOREA ,(PUSAN)  &gt; MALAYSIA ,(PT. KELANG) </v>
          </cell>
        </row>
        <row r="197">
          <cell r="B197" t="str">
            <v xml:space="preserve">KOREA ,(PUSAN)  &gt; POLAND ,(OSTROW. ) </v>
          </cell>
        </row>
        <row r="198">
          <cell r="B198" t="str">
            <v xml:space="preserve">KOREA ,(PUSAN)  &gt; POLAND ,(TYCHY) </v>
          </cell>
        </row>
        <row r="199">
          <cell r="B199" t="str">
            <v xml:space="preserve">KOREA ,(PUSAN)  &gt; THAILAND ,(LAEM CHABANG) </v>
          </cell>
        </row>
        <row r="200">
          <cell r="B200" t="str">
            <v xml:space="preserve">KOREA ,(PUSAN)  &gt; USA ,(ANDERSON,IN) </v>
          </cell>
        </row>
        <row r="201">
          <cell r="B201" t="str">
            <v xml:space="preserve">KOREA ,(PUSAN)  &gt; USA ,(AUBURN,MA) </v>
          </cell>
        </row>
        <row r="202">
          <cell r="B202" t="str">
            <v xml:space="preserve">KOREA ,(PUSAN)  &gt; USA ,(BOLINGBROOK, IL) </v>
          </cell>
        </row>
        <row r="203">
          <cell r="B203" t="str">
            <v xml:space="preserve">KOREA ,(PUSAN)  &gt; USA ,(CERRITOS 1) </v>
          </cell>
        </row>
        <row r="204">
          <cell r="B204" t="str">
            <v xml:space="preserve">KOREA ,(PUSAN)  &gt; USA ,(CERRITOS 2) </v>
          </cell>
        </row>
        <row r="205">
          <cell r="B205" t="str">
            <v xml:space="preserve">KOREA ,(PUSAN)  &gt; USA ,(CINCINNATI) </v>
          </cell>
        </row>
        <row r="206">
          <cell r="B206" t="str">
            <v xml:space="preserve">KOREA ,(PUSAN)  &gt; USA ,(CRANBURY, NJ 1) </v>
          </cell>
        </row>
        <row r="207">
          <cell r="B207" t="str">
            <v xml:space="preserve">KOREA ,(PUSAN)  &gt; USA ,(CRANBURY, NJ 2) </v>
          </cell>
        </row>
        <row r="208">
          <cell r="B208" t="str">
            <v xml:space="preserve">KOREA ,(PUSAN)  &gt; USA ,(DALLAS, TX) </v>
          </cell>
        </row>
        <row r="209">
          <cell r="B209" t="str">
            <v xml:space="preserve">KOREA ,(PUSAN)  &gt; USA ,(DAYTON, OH) </v>
          </cell>
        </row>
        <row r="210">
          <cell r="B210" t="str">
            <v xml:space="preserve">KOREA ,(PUSAN)  &gt; USA ,(DENVER,CO) </v>
          </cell>
        </row>
        <row r="211">
          <cell r="B211" t="str">
            <v xml:space="preserve">KOREA ,(PUSAN)  &gt; USA ,(EL PASO, TX) </v>
          </cell>
        </row>
        <row r="212">
          <cell r="B212" t="str">
            <v xml:space="preserve">KOREA ,(PUSAN)  &gt; USA ,(ENG-WOOD, OH) </v>
          </cell>
        </row>
        <row r="213">
          <cell r="B213" t="str">
            <v xml:space="preserve">KOREA ,(PUSAN)  &gt; USA ,(FRANKLIN PARK, IL) </v>
          </cell>
        </row>
        <row r="214">
          <cell r="B214" t="str">
            <v xml:space="preserve">KOREA ,(PUSAN)  &gt; USA ,(GASTONIA, NC) </v>
          </cell>
        </row>
        <row r="215">
          <cell r="B215" t="str">
            <v xml:space="preserve">KOREA ,(PUSAN)  &gt; USA ,(GOLDEN, MO) </v>
          </cell>
        </row>
        <row r="216">
          <cell r="B216" t="str">
            <v xml:space="preserve">KOREA ,(PUSAN)  &gt; USA ,(INDIANAPOLIS, IN) </v>
          </cell>
        </row>
        <row r="217">
          <cell r="B217" t="str">
            <v xml:space="preserve">KOREA ,(PUSAN)  &gt; USA ,(JACKSONVILLE, FL) </v>
          </cell>
        </row>
        <row r="218">
          <cell r="B218" t="str">
            <v xml:space="preserve">KOREA ,(PUSAN)  &gt; USA ,(KENMORE, NY) </v>
          </cell>
        </row>
        <row r="219">
          <cell r="B219" t="str">
            <v xml:space="preserve">KOREA ,(PUSAN)  &gt; USA ,(KOKOMO, IN) </v>
          </cell>
        </row>
        <row r="220">
          <cell r="B220" t="str">
            <v xml:space="preserve">KOREA ,(PUSAN)  &gt; USA ,(LA CROSSE, WI) </v>
          </cell>
        </row>
        <row r="221">
          <cell r="B221" t="str">
            <v xml:space="preserve">KOREA ,(PUSAN)  &gt; USA ,(LOCKPORT, NY) </v>
          </cell>
        </row>
        <row r="222">
          <cell r="B222" t="str">
            <v xml:space="preserve">KOREA ,(PUSAN)  &gt; USA ,(MEMPHIS, TN) </v>
          </cell>
        </row>
        <row r="223">
          <cell r="B223" t="str">
            <v xml:space="preserve">KOREA ,(PUSAN)  &gt; USA ,(ROANOKE, TX) </v>
          </cell>
        </row>
        <row r="224">
          <cell r="B224" t="str">
            <v xml:space="preserve">KOREA ,(PUSAN)  &gt; USA ,(ROCHESTER, NY) </v>
          </cell>
        </row>
        <row r="225">
          <cell r="B225" t="str">
            <v xml:space="preserve">LUXEMBOURG ,(LUXEMBOURG)  &gt; CHINA ,(SHANGHAI) </v>
          </cell>
        </row>
        <row r="226">
          <cell r="B226" t="str">
            <v xml:space="preserve">MALAYSIA ,(JITRA KEDAH)  &gt; USA ,(FRANKLIN PARK, IL) </v>
          </cell>
        </row>
        <row r="227">
          <cell r="B227" t="str">
            <v xml:space="preserve">MEXICO ,(ALTAMIRA)  &gt; BRAZIL ,(SANTOS) </v>
          </cell>
        </row>
        <row r="228">
          <cell r="B228" t="str">
            <v xml:space="preserve">MEXICO ,(CHACHAPA)  &gt; CHINA ,(SHANGHAI) </v>
          </cell>
        </row>
        <row r="229">
          <cell r="B229" t="str">
            <v xml:space="preserve">MEXICO ,(MANZANILLO)  &gt; CHINA ,(SHANGHAI) </v>
          </cell>
        </row>
        <row r="230">
          <cell r="B230" t="str">
            <v xml:space="preserve">MEXICO ,(MERIDA)  &gt; BRAZIL ,(SANTOS) </v>
          </cell>
        </row>
        <row r="231">
          <cell r="B231" t="str">
            <v xml:space="preserve">MEXICO ,(MEXICO CITY)  &gt; CHINA ,(SHANGHAI) </v>
          </cell>
        </row>
        <row r="232">
          <cell r="B232" t="str">
            <v xml:space="preserve">MEXICO ,(PUEBLA)  &gt; CHINA ,(SHANGHAI) </v>
          </cell>
        </row>
        <row r="233">
          <cell r="B233" t="str">
            <v xml:space="preserve">MEXICO ,(QUERETARO)  &gt; CHINA ,(SHANGHAI) </v>
          </cell>
        </row>
        <row r="234">
          <cell r="B234" t="str">
            <v xml:space="preserve">MEXICO ,(SALTILLO)  &gt; FRANCE  ,(SAINT WITZ 1) </v>
          </cell>
        </row>
        <row r="235">
          <cell r="B235" t="str">
            <v xml:space="preserve">MEXICO ,(SALTILLO)  &gt; FRANCE  ,(SAINT WITZ 2) </v>
          </cell>
        </row>
        <row r="236">
          <cell r="B236" t="str">
            <v xml:space="preserve">MEXICO ,(SALTILLO)  &gt; UK ,(FRADLEY PARK) </v>
          </cell>
        </row>
        <row r="237">
          <cell r="B237" t="str">
            <v xml:space="preserve">MEXICO ,(SALTILLO)  &gt; UK ,(GILLINGHAM) </v>
          </cell>
        </row>
        <row r="238">
          <cell r="B238" t="str">
            <v xml:space="preserve">MEXICO ,(SALTILLO)  &gt; UK ,(SUDBURY) </v>
          </cell>
        </row>
        <row r="239">
          <cell r="B239" t="str">
            <v xml:space="preserve">MEXICO ,(SALTILLO )  &gt; TURKEY ,(IZMIR) </v>
          </cell>
        </row>
        <row r="240">
          <cell r="B240" t="str">
            <v xml:space="preserve">MEXICO ,(SAN LUIS POTOSI)  &gt; INDIA ,(NEW DELHI) </v>
          </cell>
        </row>
        <row r="241">
          <cell r="B241" t="str">
            <v xml:space="preserve">MEXICO ,(TLAXCALA)  &gt; BRAZIL ,(SANTOS) </v>
          </cell>
        </row>
        <row r="242">
          <cell r="B242" t="str">
            <v xml:space="preserve">MEXICO ,(TLAXCALA)  &gt; CHINA ,(SHANGHAI) </v>
          </cell>
        </row>
        <row r="243">
          <cell r="B243" t="str">
            <v xml:space="preserve">MEXICO ,(VERACRUZ)  &gt; BRAZIL ,(SANTOS) </v>
          </cell>
        </row>
        <row r="244">
          <cell r="B244" t="str">
            <v xml:space="preserve">PHILIPPINE ,(CEBU)  &gt; INDONESIA ,(JAKARTA) </v>
          </cell>
        </row>
        <row r="245">
          <cell r="B245" t="str">
            <v xml:space="preserve">POLAND ,(BLONIE)  &gt; USA ,(ST. MARY'S, PA) </v>
          </cell>
        </row>
        <row r="246">
          <cell r="B246" t="str">
            <v xml:space="preserve">POLAND ,(BLONIE)  &gt; USA ,(ROMULUS, MI) </v>
          </cell>
        </row>
        <row r="247">
          <cell r="B247" t="str">
            <v xml:space="preserve">POLAND ,(KROSNO)  &gt; EGYPT ,(DAMIETTA) </v>
          </cell>
        </row>
        <row r="248">
          <cell r="B248" t="str">
            <v xml:space="preserve">POLAND ,(KROSNO)  &gt; USA ,(KETTERING, OH) </v>
          </cell>
        </row>
        <row r="249">
          <cell r="B249" t="str">
            <v xml:space="preserve">POLAND ,(OSTROW)  &gt; INDIA ,(NHAVA SHEVA) </v>
          </cell>
        </row>
        <row r="250">
          <cell r="B250" t="str">
            <v xml:space="preserve">POLAND ,(OSTROW)  &gt; MEXICO ,(JUAREZ) </v>
          </cell>
        </row>
        <row r="251">
          <cell r="B251" t="str">
            <v xml:space="preserve">POLAND ,(TYCHY)  &gt; CHINA ,(SHANGHAI) </v>
          </cell>
        </row>
        <row r="252">
          <cell r="B252" t="str">
            <v xml:space="preserve">POLAND ,(TYCHY)  &gt; INDIA ,(NEW DELHI ) </v>
          </cell>
        </row>
        <row r="253">
          <cell r="B253" t="str">
            <v xml:space="preserve">POLAND ,(TYCHY)  &gt; USA ,(SAGINAW, MI) </v>
          </cell>
        </row>
        <row r="254">
          <cell r="B254" t="str">
            <v xml:space="preserve">PORTUGAL ,(GUARDA)  &gt; CHINA ,(HUANGPU 1) </v>
          </cell>
        </row>
        <row r="255">
          <cell r="B255" t="str">
            <v xml:space="preserve">PORTUGAL ,(GUARDA)  &gt; CHINA ,(HUANGPU 2) </v>
          </cell>
        </row>
        <row r="256">
          <cell r="B256" t="str">
            <v xml:space="preserve">PORTUGAL ,(PONTE DE SOR)  &gt; MEXICO ,(ALTAMIRA) </v>
          </cell>
        </row>
        <row r="257">
          <cell r="B257" t="str">
            <v xml:space="preserve">PORTUGAL ,(PONTE DE SOR)  &gt; MEXICO ,(SALTILLO) </v>
          </cell>
        </row>
        <row r="258">
          <cell r="B258" t="str">
            <v xml:space="preserve">PORTUGAL ,(PONTE DE SOR)  &gt; USA ,(MORAINE, OH 1) </v>
          </cell>
        </row>
        <row r="259">
          <cell r="B259" t="str">
            <v xml:space="preserve">PORTUGAL ,(PONTE DE SOR)  &gt; USA ,(MORAINE, OH 2) </v>
          </cell>
        </row>
        <row r="260">
          <cell r="B260" t="str">
            <v xml:space="preserve">S. ARABIA ,(DAMMAM)  &gt; CHINA ,(SHANGHAI) </v>
          </cell>
        </row>
        <row r="261">
          <cell r="B261" t="str">
            <v xml:space="preserve">SAUDI ARABIA ,(DAMMAM)  &gt; FRANCE ,(SARREGUIMINES) </v>
          </cell>
        </row>
        <row r="262">
          <cell r="B262" t="str">
            <v xml:space="preserve">SAUDI ARABIA ,(DAMMAM)  &gt; USA ,(BOLINBROOK, IL) </v>
          </cell>
        </row>
        <row r="263">
          <cell r="B263" t="str">
            <v xml:space="preserve">SAUDI ARABIA ,(DAMMAM)  &gt; USA ,(CERRITOS, CA) </v>
          </cell>
        </row>
        <row r="264">
          <cell r="B264" t="str">
            <v xml:space="preserve">SAUDI ARABIA ,(DAMMAM)  &gt; USA ,(CRANBURY, NJ) </v>
          </cell>
        </row>
        <row r="265">
          <cell r="B265" t="str">
            <v xml:space="preserve">SAUDI ARABIA ,(DAMMAM)  &gt; USA ,(JACKSONVILLE,FL) </v>
          </cell>
        </row>
        <row r="266">
          <cell r="B266" t="str">
            <v xml:space="preserve">SAUDI ARABIA ,(DAMMAM)  &gt; USA ,(ROANOKE, TX) </v>
          </cell>
        </row>
        <row r="267">
          <cell r="B267" t="str">
            <v xml:space="preserve">SINGAPORE ,(SINGAPORE)  &gt; IN ,(PLAINFIELD, IN) </v>
          </cell>
        </row>
        <row r="268">
          <cell r="B268" t="str">
            <v xml:space="preserve">SPAIN ,(BARCELONA)  &gt; BRAZIL ,(SANTOS) </v>
          </cell>
        </row>
        <row r="269">
          <cell r="B269" t="str">
            <v xml:space="preserve">SPAIN ,(BARCELONA)  &gt; CHINA ,(SHANGHAI) </v>
          </cell>
        </row>
        <row r="270">
          <cell r="B270" t="str">
            <v xml:space="preserve">SPAIN ,(BARCELONA)  &gt; MEXICO ,(ALTAMIRA) </v>
          </cell>
        </row>
        <row r="271">
          <cell r="B271" t="str">
            <v xml:space="preserve">SPAIN ,(BARCELONA)  &gt; MEXICO ,(VERACRUZ) </v>
          </cell>
        </row>
        <row r="272">
          <cell r="B272" t="str">
            <v xml:space="preserve">SPAIN ,(BARCELONA)  &gt; TURKEY ,(ISTANBUL) </v>
          </cell>
        </row>
        <row r="273">
          <cell r="B273" t="str">
            <v xml:space="preserve">SPAIN ,(BARCELONA)  &gt; USA ,(BROWNSVILLE, TX) </v>
          </cell>
        </row>
        <row r="274">
          <cell r="B274" t="str">
            <v xml:space="preserve">SPAIN ,(BILBAO)  &gt; MEXICO ,(ALTAMIRA) </v>
          </cell>
        </row>
        <row r="275">
          <cell r="B275" t="str">
            <v xml:space="preserve">SPAIN ,(CADIZ)  &gt; AUSTRALIA ,(MELBOURNE) </v>
          </cell>
        </row>
        <row r="276">
          <cell r="B276" t="str">
            <v xml:space="preserve">SPAIN ,(CADIZ)  &gt; CHINA ,(SHANGHAI) </v>
          </cell>
        </row>
        <row r="277">
          <cell r="B277" t="str">
            <v xml:space="preserve">SPAIN ,(CADIZ)  &gt; USA ,(SAGINAW, MI) </v>
          </cell>
        </row>
        <row r="278">
          <cell r="B278" t="str">
            <v xml:space="preserve">SPAIN ,(LEGUTIANO)  &gt; MEXICO ,(VERACRUZ) </v>
          </cell>
        </row>
        <row r="279">
          <cell r="B279" t="str">
            <v xml:space="preserve">SPAIN ,(PAMPLONA)  &gt; BRAZIL ,(SANTOS) </v>
          </cell>
        </row>
        <row r="280">
          <cell r="B280" t="str">
            <v xml:space="preserve">SPAIN ,(PUERTO REAL CADIZ)  &gt; INDIA ,(CHENNAI) </v>
          </cell>
        </row>
        <row r="281">
          <cell r="B281" t="str">
            <v xml:space="preserve">SPAIN ,(SAN ROQUE)  &gt; INDIA ,(New Delhi ICD) </v>
          </cell>
        </row>
        <row r="282">
          <cell r="B282" t="str">
            <v xml:space="preserve">SPAIN ,(ZERATAMO)  &gt; MEXICO ,(VERACRUZ) </v>
          </cell>
        </row>
        <row r="283">
          <cell r="B283" t="str">
            <v xml:space="preserve">SWEDEN ,(GOTHENBURG)  &gt; INDIA ,(NEW DELHI ) </v>
          </cell>
        </row>
        <row r="284">
          <cell r="B284" t="str">
            <v xml:space="preserve">SWEDEN ,(VARGARDA(Ex Gotenburg))  &gt; KOREA ,(BUSAN) </v>
          </cell>
        </row>
        <row r="285">
          <cell r="B285" t="str">
            <v xml:space="preserve">TAIWAN ,(KEELUNG)  &gt; POLAND ,(TYCHY) </v>
          </cell>
        </row>
        <row r="286">
          <cell r="B286" t="str">
            <v xml:space="preserve">TAIWAN ,(KEELUNG)  &gt; SPAIN ,(CADIZ) </v>
          </cell>
        </row>
        <row r="287">
          <cell r="B287" t="str">
            <v xml:space="preserve">TAIWAN ,(KEELUNG)  &gt; USA ,(SAGINAW, MI) </v>
          </cell>
        </row>
        <row r="288">
          <cell r="B288" t="str">
            <v xml:space="preserve">THAILAND ,(BANGKOK)  &gt; SPAIN ,(ALGECIRAS) </v>
          </cell>
        </row>
        <row r="289">
          <cell r="B289" t="str">
            <v xml:space="preserve">THAILAND ,(LAEM CHABANG)  &gt; INDIA ,(NEW DELHI) </v>
          </cell>
        </row>
        <row r="290">
          <cell r="B290" t="str">
            <v xml:space="preserve">THAILAND ,(LAEM CHABANG)  &gt; MALAYSIA ,(PORT KLANG) </v>
          </cell>
        </row>
        <row r="291">
          <cell r="B291" t="str">
            <v xml:space="preserve">TURKEY ,(IZMIR)  &gt; PAKISTAN ,(KARACHI) </v>
          </cell>
        </row>
        <row r="292">
          <cell r="B292" t="str">
            <v xml:space="preserve">U.K. ,(SOUTHAMPTON)  &gt; USA ,(ROMULUS, MI) </v>
          </cell>
        </row>
        <row r="293">
          <cell r="B293" t="str">
            <v xml:space="preserve">UK ,(FELIXTOWE)  &gt; TURKEY ,(IZMIR) </v>
          </cell>
        </row>
        <row r="294">
          <cell r="B294" t="str">
            <v xml:space="preserve">UK ,(HARMONDSWORTH)  &gt; MEXICO ,(SALTILLO) </v>
          </cell>
        </row>
        <row r="295">
          <cell r="B295" t="str">
            <v xml:space="preserve">UK ,(LIVERPOOL)  &gt; TURKEY ,(IZMIR) </v>
          </cell>
        </row>
        <row r="296">
          <cell r="B296" t="str">
            <v xml:space="preserve">UK ,(SHEFFIELD)  &gt; MEXICO ,(SALTILLO) </v>
          </cell>
        </row>
        <row r="297">
          <cell r="B297" t="str">
            <v xml:space="preserve">USA ,(ANAHEIM, CA)  &gt; BRAZIL ,(SANTOS) </v>
          </cell>
        </row>
        <row r="298">
          <cell r="B298" t="str">
            <v xml:space="preserve">USA ,(ANAHEIM, CA)  &gt; CHINA ,(SHANGHAI) </v>
          </cell>
        </row>
        <row r="299">
          <cell r="B299" t="str">
            <v xml:space="preserve">USA ,(ATLANTA, GA)  &gt; CHINA ,(DALIAN) </v>
          </cell>
        </row>
        <row r="300">
          <cell r="B300" t="str">
            <v xml:space="preserve">USA ,(BENSENVILLE, IL)  &gt; INDIA ,(CHENNAI) </v>
          </cell>
        </row>
        <row r="301">
          <cell r="B301" t="str">
            <v xml:space="preserve">USA ,(BEREA, OH)  &gt; INDONESIA ,(JAKARTA) </v>
          </cell>
        </row>
        <row r="302">
          <cell r="B302" t="str">
            <v xml:space="preserve">USA ,(BEREA, OH)  &gt; THAILAND ,(LAEM CHABANG) </v>
          </cell>
        </row>
        <row r="303">
          <cell r="B303" t="str">
            <v xml:space="preserve">USA ,(BROWNSVILLE, TX)  &gt; CHINA ,(SUZHOU) </v>
          </cell>
        </row>
        <row r="304">
          <cell r="B304" t="str">
            <v xml:space="preserve">USA ,(BROWNSVILLE, TX)  &gt; PORTUGAL ,(LISBON) </v>
          </cell>
        </row>
        <row r="305">
          <cell r="B305" t="str">
            <v xml:space="preserve">USA ,(BROWNSVILLE, TX)  &gt; PORTUGAL ,(PT DE SOR) </v>
          </cell>
        </row>
        <row r="306">
          <cell r="B306" t="str">
            <v xml:space="preserve">USA ,(CHICAGO,IL)  &gt; ARGENTINA ,(BUENOS AIRES) </v>
          </cell>
        </row>
        <row r="307">
          <cell r="B307" t="str">
            <v xml:space="preserve">USA ,(CHICAGO,IL)  &gt; ARGENTINA ,(R-GRANDE) </v>
          </cell>
        </row>
        <row r="308">
          <cell r="B308" t="str">
            <v xml:space="preserve">USA ,(CITY OF INDUSTRY, CA)  &gt; CHINA ,(SHANGHAI) </v>
          </cell>
        </row>
        <row r="309">
          <cell r="B309" t="str">
            <v xml:space="preserve">USA ,(COLUMBUS, OH)  &gt; CHINA ,(SHANGHAI 1) </v>
          </cell>
        </row>
        <row r="310">
          <cell r="B310" t="str">
            <v xml:space="preserve">USA ,(COLUMBUS, OH)  &gt; CHINA ,(SHANGHAI 2) </v>
          </cell>
        </row>
        <row r="311">
          <cell r="B311" t="str">
            <v xml:space="preserve">USA ,(CORNING, NY)  &gt; CHINA ,(SHANGHAI) </v>
          </cell>
        </row>
        <row r="312">
          <cell r="B312" t="str">
            <v xml:space="preserve">USA ,(COTTONDALE, AL)  &gt; GERMANY ,(HAMBURG) </v>
          </cell>
        </row>
        <row r="313">
          <cell r="B313" t="str">
            <v xml:space="preserve">USA ,(COVINGTON, VA)  &gt; INDIA ,(ICD NEW DELHI) </v>
          </cell>
        </row>
        <row r="314">
          <cell r="B314" t="str">
            <v xml:space="preserve">USA ,(DAYTON, OH)  &gt; CHINA ,(SHANGHAI) </v>
          </cell>
        </row>
        <row r="315">
          <cell r="B315" t="str">
            <v xml:space="preserve">USA ,(EL PASO, TX)  &gt; GERMANY ,(NEUMARKT) </v>
          </cell>
        </row>
        <row r="316">
          <cell r="B316" t="str">
            <v xml:space="preserve">USA ,(EL PASO, TX)  &gt; UK ,(LUTON) </v>
          </cell>
        </row>
        <row r="317">
          <cell r="B317" t="str">
            <v xml:space="preserve">USA ,(FITZGERALD, GA)  &gt; CHINA ,(SHANGHAI) </v>
          </cell>
        </row>
        <row r="318">
          <cell r="B318" t="str">
            <v xml:space="preserve">USA ,(FRANKLIN PARK, IL)  &gt; AUSTRALIA ,(MELBOURNE) </v>
          </cell>
        </row>
        <row r="319">
          <cell r="B319" t="str">
            <v xml:space="preserve">USA ,(FRANKLIN PARK, IL)  &gt; CHINA ,(DALIAN) </v>
          </cell>
        </row>
        <row r="320">
          <cell r="B320" t="str">
            <v xml:space="preserve">USA ,(FRANKLIN PARK, IL)  &gt; CHINA ,(HUANGPU) </v>
          </cell>
        </row>
        <row r="321">
          <cell r="B321" t="str">
            <v xml:space="preserve">USA ,(FRANKLIN PARK, IL)  &gt; CHINA ,(SHANGHAI) </v>
          </cell>
        </row>
        <row r="322">
          <cell r="B322" t="str">
            <v xml:space="preserve">USA ,(FRANKLIN PARK, IL)  &gt; CHINA ,(XINGANG) </v>
          </cell>
        </row>
        <row r="323">
          <cell r="B323" t="str">
            <v xml:space="preserve">USA ,(FRANKLIN PARK, IL)  &gt; JAPAN ,(NAGOYA) </v>
          </cell>
        </row>
        <row r="324">
          <cell r="B324" t="str">
            <v xml:space="preserve">USA ,(FRANKLIN PARK, IL)  &gt; JAPAN ,(OSAKA) </v>
          </cell>
        </row>
        <row r="325">
          <cell r="B325" t="str">
            <v xml:space="preserve">USA ,(FRANKLIN PARK, IL)  &gt; SINGAPORE ,(SINGAPORE) </v>
          </cell>
        </row>
        <row r="326">
          <cell r="B326" t="str">
            <v xml:space="preserve">USA ,(FT. WORTH, TX)  &gt; INDIA ,(ICD NEW DELHI) </v>
          </cell>
        </row>
        <row r="327">
          <cell r="B327" t="str">
            <v xml:space="preserve">USA ,(GERMANTOWN, WI)  &gt; BRAZIL ,(SANTOS) </v>
          </cell>
        </row>
        <row r="328">
          <cell r="B328" t="str">
            <v xml:space="preserve">USA ,(HENDERSON, KY)  &gt; HUNGARY ,(BALASSAGYARMAT) </v>
          </cell>
        </row>
        <row r="329">
          <cell r="B329" t="str">
            <v xml:space="preserve">USA ,(HENRIETTA, NY)  &gt; JAPAN ,(TOKYO) </v>
          </cell>
        </row>
        <row r="330">
          <cell r="B330" t="str">
            <v xml:space="preserve">USA ,(HORSEHEADS, NY)  &gt; CHINA ,(SHANGHAI) </v>
          </cell>
        </row>
        <row r="331">
          <cell r="B331" t="str">
            <v xml:space="preserve">USA ,(HOUSTON)  &gt; BRAZIL ,(SANTOS) </v>
          </cell>
        </row>
        <row r="332">
          <cell r="B332" t="str">
            <v xml:space="preserve">USA ,(HOUSTON, TX)  &gt; ARGENTINA ,(BUENOS AIRES) </v>
          </cell>
        </row>
        <row r="333">
          <cell r="B333" t="str">
            <v xml:space="preserve">USA ,(HOUSTON, TX)  &gt; ARGENTINA ,(R-GRANDE) </v>
          </cell>
        </row>
        <row r="334">
          <cell r="B334" t="str">
            <v xml:space="preserve">USA ,(LAUREL, MS)  &gt; BRAZIL ,(SANTOS) </v>
          </cell>
        </row>
        <row r="335">
          <cell r="B335" t="str">
            <v xml:space="preserve">USA ,(LAUREL, MS)  &gt; CHINA ,(SHANGHAI) </v>
          </cell>
        </row>
        <row r="336">
          <cell r="B336" t="str">
            <v xml:space="preserve">USA ,(LAUREL, MS)  &gt; FRANCE ,(SARREGUEMINES) </v>
          </cell>
        </row>
        <row r="337">
          <cell r="B337" t="str">
            <v xml:space="preserve">USA ,(LOCKPORT, NY)  &gt; AUSTRALIA ,(MELBOURNE) </v>
          </cell>
        </row>
        <row r="338">
          <cell r="B338" t="str">
            <v xml:space="preserve">USA ,(LOCKPORT, NY)  &gt; BRAZIL ,(SANTOS) </v>
          </cell>
        </row>
        <row r="339">
          <cell r="B339" t="str">
            <v xml:space="preserve">USA ,(LONG BEACH, CA)  &gt; CHINA ,(DALIAN) </v>
          </cell>
        </row>
        <row r="340">
          <cell r="B340" t="str">
            <v xml:space="preserve">USA ,(LOS ANGELES, CA)  &gt; AUSTRALIA ,(MELBOURNE) </v>
          </cell>
        </row>
        <row r="341">
          <cell r="B341" t="str">
            <v xml:space="preserve">USA ,(LOS ANGELES, CA)  &gt; CHINA ,(DALIAN) </v>
          </cell>
        </row>
        <row r="342">
          <cell r="B342" t="str">
            <v xml:space="preserve">USA ,(MADISON, MS)  &gt; CHINA ,(DALIAN) </v>
          </cell>
        </row>
        <row r="343">
          <cell r="B343" t="str">
            <v xml:space="preserve">USA ,(NEW BRUNSWICK, NJ)  &gt; BRAZIL ,(SANTOS) </v>
          </cell>
        </row>
        <row r="344">
          <cell r="B344" t="str">
            <v xml:space="preserve">USA ,(NITRO, WV)  &gt; BRAZIL ,(SANTOS) </v>
          </cell>
        </row>
        <row r="345">
          <cell r="B345" t="str">
            <v xml:space="preserve">USA ,(NORCROSS, GA)  &gt; CHINA ,(SHANGHAI) </v>
          </cell>
        </row>
        <row r="346">
          <cell r="B346" t="str">
            <v xml:space="preserve">USA ,(OAK CREEK, WI)  &gt; JAPAN ,(NAGOYA) </v>
          </cell>
        </row>
        <row r="347">
          <cell r="B347" t="str">
            <v xml:space="preserve">USA ,(OAKLAND, CA)  &gt; CHINA ,(XINGANG) </v>
          </cell>
        </row>
        <row r="348">
          <cell r="B348" t="str">
            <v xml:space="preserve">USA ,(OLATHE, KS)  &gt; CHINA ,(SHANGHAI) </v>
          </cell>
        </row>
        <row r="349">
          <cell r="B349" t="str">
            <v xml:space="preserve">USA ,(OLATHE, KS)  &gt; INDIA ,(CHENNAI) </v>
          </cell>
        </row>
        <row r="350">
          <cell r="B350" t="str">
            <v xml:space="preserve">USA ,(OLEAN, NY)  &gt; PORTUGAL ,(SEIXAL) </v>
          </cell>
        </row>
        <row r="351">
          <cell r="B351" t="str">
            <v xml:space="preserve">USA ,(PLAINFIELD, IN)  &gt; UK ,(WARWICK) </v>
          </cell>
        </row>
        <row r="352">
          <cell r="B352" t="str">
            <v xml:space="preserve">USA ,(PRINCETON, LA)  &gt; INDIA ,(GREATER NOIDA) </v>
          </cell>
        </row>
        <row r="353">
          <cell r="B353" t="str">
            <v xml:space="preserve">USA ,(ROMULUS, MI)  &gt; ARGENTINA ,(R-GRANDE) </v>
          </cell>
        </row>
        <row r="354">
          <cell r="B354" t="str">
            <v xml:space="preserve">USA ,(ROMULUS, MI)  &gt; AUSTRALIA ,(MELBOURNE) </v>
          </cell>
        </row>
        <row r="355">
          <cell r="B355" t="str">
            <v xml:space="preserve">USA ,(ROMULUS, MI)  &gt; BELGIUM ,(ANTWERP 1) </v>
          </cell>
        </row>
        <row r="356">
          <cell r="B356" t="str">
            <v xml:space="preserve">USA ,(ROMULUS, MI)  &gt; BELGIUM ,(ANTWERP 2) </v>
          </cell>
        </row>
        <row r="357">
          <cell r="B357" t="str">
            <v xml:space="preserve">USA ,(ROMULUS, MI)  &gt; BRAZIL ,(R-GRANDE) </v>
          </cell>
        </row>
        <row r="358">
          <cell r="B358" t="str">
            <v xml:space="preserve">USA ,(ROMULUS, MI)  &gt; BRAZIL ,(RIO DE JANEIRO) </v>
          </cell>
        </row>
        <row r="359">
          <cell r="B359" t="str">
            <v xml:space="preserve">USA ,(ROMULUS, MI)  &gt; BRAZIL ,(SANTOS 1) </v>
          </cell>
        </row>
        <row r="360">
          <cell r="B360" t="str">
            <v xml:space="preserve">USA ,(ROMULUS, MI)  &gt; BRAZIL ,(SANTOS 2) </v>
          </cell>
        </row>
        <row r="361">
          <cell r="B361" t="str">
            <v xml:space="preserve">USA ,(ROMULUS, MI)  &gt; CHINA ,(SHANGHAI) </v>
          </cell>
        </row>
        <row r="362">
          <cell r="B362" t="str">
            <v xml:space="preserve">USA ,(ROMULUS, MI)  &gt; FRANCE ,(ESCREBIEUX) </v>
          </cell>
        </row>
        <row r="363">
          <cell r="B363" t="str">
            <v xml:space="preserve">USA ,(ROMULUS, MI)  &gt; FRANCE ,(STRASBOURG) </v>
          </cell>
        </row>
        <row r="364">
          <cell r="B364" t="str">
            <v xml:space="preserve">USA ,(ROMULUS, MI)  &gt; POLAND ,(BLONIE) </v>
          </cell>
        </row>
        <row r="365">
          <cell r="B365" t="str">
            <v xml:space="preserve">USA ,(ROMULUS, MI)  &gt; POLAND ,(OSTROW. ) </v>
          </cell>
        </row>
        <row r="366">
          <cell r="B366" t="str">
            <v xml:space="preserve">USA ,(ROMULUS, MI)  &gt; POLAND ,(TYCHY) </v>
          </cell>
        </row>
        <row r="367">
          <cell r="B367" t="str">
            <v xml:space="preserve">USA ,(ROMULUS, MI)  &gt; PORTUGAL ,(LISBON) </v>
          </cell>
        </row>
        <row r="368">
          <cell r="B368" t="str">
            <v xml:space="preserve">USA ,(ROMULUS, MI)  &gt; PORTUGAL ,(PT DE SOR) </v>
          </cell>
        </row>
        <row r="369">
          <cell r="B369" t="str">
            <v xml:space="preserve">USA ,(ROMULUS, MI)  &gt; RUSSIA ,(SAMARA) </v>
          </cell>
        </row>
        <row r="370">
          <cell r="B370" t="str">
            <v xml:space="preserve">USA ,(ROMULUS, MI)  &gt; SPAIN ,(CADIZ) </v>
          </cell>
        </row>
        <row r="371">
          <cell r="B371" t="str">
            <v xml:space="preserve">USA ,(RUSSELLVILLE, KY)  &gt; HUNGARY ,(BALASSAGYARMAT) </v>
          </cell>
        </row>
        <row r="372">
          <cell r="B372" t="str">
            <v xml:space="preserve">USA ,(SAGINAW, MI)  &gt; INDIA ,(CHENNAI) </v>
          </cell>
        </row>
        <row r="373">
          <cell r="B373" t="str">
            <v xml:space="preserve">USA ,(SOLON, OHIO)  &gt; CHINA ,(HUANGPU) </v>
          </cell>
        </row>
        <row r="374">
          <cell r="B374" t="str">
            <v xml:space="preserve">USA ,(SOLON, OHIO)  &gt; CHINA ,(SHANGHAI) </v>
          </cell>
        </row>
        <row r="375">
          <cell r="B375" t="str">
            <v xml:space="preserve">USA ,(TANGENT, OR)  &gt; BRAZIL ,(SANTOS) </v>
          </cell>
        </row>
        <row r="376">
          <cell r="B376" t="str">
            <v xml:space="preserve">USA ,(TANGENT, OR)  &gt; CHINA ,(SHANGHAI) </v>
          </cell>
        </row>
        <row r="377">
          <cell r="B377" t="str">
            <v xml:space="preserve">USA ,(TANGENT, OR)  &gt; FRANCE ,(S-MINES) </v>
          </cell>
        </row>
        <row r="378">
          <cell r="B378" t="str">
            <v xml:space="preserve">USA ,(WARREN, OH)  &gt; BRAZIL ,(SANTOS) </v>
          </cell>
        </row>
        <row r="379">
          <cell r="B379" t="str">
            <v xml:space="preserve">USA ,(WARREN, OH)  &gt; CHINA ,(SHANGHAI) </v>
          </cell>
        </row>
        <row r="380">
          <cell r="B380" t="str">
            <v xml:space="preserve">USA ,(WARREN, OH)  &gt; GERMANY ,(NEUMARKT) </v>
          </cell>
        </row>
        <row r="381">
          <cell r="B381" t="str">
            <v xml:space="preserve">USA ,(WATSONTOWN, PA)  &gt; PORTUGAL ,(SEIXAL) </v>
          </cell>
        </row>
        <row r="382">
          <cell r="B382" t="str">
            <v xml:space="preserve">USA ,(WYOMING, MI)  &gt; AUSTRIA ,(WIEN) 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l of Mat"/>
      <sheetName val="Production Plan"/>
      <sheetName val="Mat Req"/>
      <sheetName val="PO Overview"/>
      <sheetName val="Ideal Cost"/>
      <sheetName val="Machine Data"/>
      <sheetName val="Machine Rate Data"/>
      <sheetName val="Material Data"/>
      <sheetName val="2005 DGSS Component Prices"/>
      <sheetName val="Transportation Data"/>
      <sheetName val="Markup Data"/>
      <sheetName val="Common Cost Data"/>
      <sheetName val="Indirect Labor Allocation"/>
      <sheetName val="Transportation"/>
      <sheetName val="圧着条件"/>
      <sheetName val="月次データ"/>
      <sheetName val="ﾏﾙﾁ回路"/>
      <sheetName val="ＣＡＭＹ　ＭⅢ"/>
      <sheetName val="SCH"/>
      <sheetName val="基準"/>
      <sheetName val="Ｍss.４Ｒ要員"/>
      <sheetName val="三重組立（1万）"/>
      <sheetName val="2_Plan_FMR,VOR"/>
      <sheetName val="AE1218"/>
      <sheetName val="3.４Ｒ損益"/>
      <sheetName val="Machine Balance"/>
      <sheetName val="Takt"/>
      <sheetName val="Workshop Summary"/>
      <sheetName val="04年度長期操業予測_金額_0408月3発反映_長計修正"/>
      <sheetName val="_MISSION"/>
      <sheetName val="General_listings"/>
      <sheetName val="CO2 EFs"/>
      <sheetName val="Tier 1 CH4  EFs"/>
      <sheetName val="06年度長期操業予測_金額_0701月3発反映_070112"/>
      <sheetName val="工数海外比率"/>
      <sheetName val="表紙"/>
    </sheetNames>
    <sheetDataSet>
      <sheetData sheetId="0" refreshError="1">
        <row r="4">
          <cell r="A4" t="str">
            <v>X001</v>
          </cell>
          <cell r="B4" t="str">
            <v>Screw (VOR-001)</v>
          </cell>
          <cell r="C4">
            <v>0</v>
          </cell>
          <cell r="D4">
            <v>0</v>
          </cell>
          <cell r="E4">
            <v>1</v>
          </cell>
          <cell r="F4">
            <v>0</v>
          </cell>
          <cell r="G4" t="str">
            <v>pcs</v>
          </cell>
          <cell r="I4" t="str">
            <v>Bölhoff</v>
          </cell>
        </row>
        <row r="5">
          <cell r="A5" t="str">
            <v>X002</v>
          </cell>
          <cell r="B5" t="str">
            <v>Rotator (FMR-001)</v>
          </cell>
          <cell r="C5">
            <v>1</v>
          </cell>
          <cell r="D5">
            <v>0</v>
          </cell>
          <cell r="E5">
            <v>0</v>
          </cell>
          <cell r="F5">
            <v>0</v>
          </cell>
          <cell r="G5" t="str">
            <v>pcs</v>
          </cell>
          <cell r="I5" t="str">
            <v>FACE</v>
          </cell>
        </row>
        <row r="6">
          <cell r="A6" t="str">
            <v>X003</v>
          </cell>
          <cell r="B6" t="str">
            <v>Rotator (FMR-003)</v>
          </cell>
          <cell r="C6">
            <v>0</v>
          </cell>
          <cell r="D6">
            <v>1</v>
          </cell>
          <cell r="E6">
            <v>0</v>
          </cell>
          <cell r="F6">
            <v>0</v>
          </cell>
          <cell r="G6" t="str">
            <v>pcs</v>
          </cell>
          <cell r="I6" t="str">
            <v>FACE</v>
          </cell>
        </row>
        <row r="7">
          <cell r="A7" t="str">
            <v>X004</v>
          </cell>
          <cell r="B7" t="str">
            <v>Rotator (VOR-001)</v>
          </cell>
          <cell r="C7">
            <v>0</v>
          </cell>
          <cell r="D7">
            <v>0</v>
          </cell>
          <cell r="E7">
            <v>1</v>
          </cell>
          <cell r="F7">
            <v>0</v>
          </cell>
          <cell r="G7" t="str">
            <v>pcs</v>
          </cell>
          <cell r="I7" t="str">
            <v>FACE</v>
          </cell>
        </row>
        <row r="8">
          <cell r="A8" t="str">
            <v>X005</v>
          </cell>
          <cell r="B8" t="str">
            <v>Sleeve (FMR-001,003)</v>
          </cell>
          <cell r="C8">
            <v>1</v>
          </cell>
          <cell r="D8">
            <v>1</v>
          </cell>
          <cell r="E8">
            <v>0</v>
          </cell>
          <cell r="F8">
            <v>0</v>
          </cell>
          <cell r="G8" t="str">
            <v>pcs</v>
          </cell>
          <cell r="I8" t="str">
            <v>FACE</v>
          </cell>
        </row>
        <row r="9">
          <cell r="A9" t="str">
            <v>X006</v>
          </cell>
          <cell r="B9" t="str">
            <v>Sleeve (VOR-001)</v>
          </cell>
          <cell r="C9">
            <v>0</v>
          </cell>
          <cell r="D9">
            <v>0</v>
          </cell>
          <cell r="E9">
            <v>1</v>
          </cell>
          <cell r="F9">
            <v>0</v>
          </cell>
          <cell r="G9" t="str">
            <v>pcs</v>
          </cell>
          <cell r="I9" t="str">
            <v>FACE</v>
          </cell>
        </row>
        <row r="10">
          <cell r="A10" t="str">
            <v>X007</v>
          </cell>
          <cell r="B10" t="str">
            <v>Stator (FMR-001,003)</v>
          </cell>
          <cell r="C10">
            <v>1</v>
          </cell>
          <cell r="D10">
            <v>1</v>
          </cell>
          <cell r="E10">
            <v>0</v>
          </cell>
          <cell r="F10">
            <v>0</v>
          </cell>
          <cell r="G10" t="str">
            <v>pcs</v>
          </cell>
          <cell r="I10" t="str">
            <v>FACE</v>
          </cell>
        </row>
        <row r="11">
          <cell r="A11" t="str">
            <v>X008</v>
          </cell>
          <cell r="B11" t="str">
            <v>Stator (VOR-001)</v>
          </cell>
          <cell r="C11">
            <v>0</v>
          </cell>
          <cell r="D11">
            <v>0</v>
          </cell>
          <cell r="E11">
            <v>1</v>
          </cell>
          <cell r="F11">
            <v>0</v>
          </cell>
          <cell r="G11" t="str">
            <v>pcs</v>
          </cell>
          <cell r="I11" t="str">
            <v>FACE</v>
          </cell>
        </row>
        <row r="12">
          <cell r="A12" t="str">
            <v>X009</v>
          </cell>
          <cell r="B12" t="str">
            <v>Sub-stator (FMR-001)</v>
          </cell>
          <cell r="C12">
            <v>1</v>
          </cell>
          <cell r="D12">
            <v>0</v>
          </cell>
          <cell r="E12">
            <v>0</v>
          </cell>
          <cell r="F12">
            <v>0</v>
          </cell>
          <cell r="G12" t="str">
            <v>pcs</v>
          </cell>
          <cell r="I12" t="str">
            <v>FACE</v>
          </cell>
        </row>
        <row r="13">
          <cell r="A13" t="str">
            <v>X010</v>
          </cell>
          <cell r="B13" t="str">
            <v>Sub-stator (FMR-003)</v>
          </cell>
          <cell r="C13">
            <v>0</v>
          </cell>
          <cell r="D13">
            <v>1</v>
          </cell>
          <cell r="E13">
            <v>0</v>
          </cell>
          <cell r="F13">
            <v>0</v>
          </cell>
          <cell r="G13" t="str">
            <v>pcs</v>
          </cell>
          <cell r="I13" t="str">
            <v>FACE</v>
          </cell>
        </row>
        <row r="14">
          <cell r="A14" t="str">
            <v>X011</v>
          </cell>
          <cell r="B14" t="str">
            <v>Sub-stator (VOR-001)</v>
          </cell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 t="str">
            <v>pcs</v>
          </cell>
          <cell r="I14" t="str">
            <v>FACE</v>
          </cell>
        </row>
        <row r="15">
          <cell r="A15" t="str">
            <v>X012</v>
          </cell>
          <cell r="B15" t="str">
            <v>Squib Connector 14005105 (all)</v>
          </cell>
          <cell r="C15">
            <v>1</v>
          </cell>
          <cell r="D15">
            <v>1</v>
          </cell>
          <cell r="E15">
            <v>1</v>
          </cell>
          <cell r="F15">
            <v>0</v>
          </cell>
          <cell r="G15" t="str">
            <v>pcs</v>
          </cell>
          <cell r="I15" t="str">
            <v>FCI</v>
          </cell>
        </row>
        <row r="16">
          <cell r="A16" t="str">
            <v>X013</v>
          </cell>
          <cell r="B16" t="str">
            <v>Squib Connector 14005115 (FMR-001,003)</v>
          </cell>
          <cell r="C16">
            <v>1</v>
          </cell>
          <cell r="D16">
            <v>1</v>
          </cell>
          <cell r="E16">
            <v>0</v>
          </cell>
          <cell r="F16">
            <v>0</v>
          </cell>
          <cell r="G16" t="str">
            <v>pcs</v>
          </cell>
          <cell r="I16" t="str">
            <v>FCI</v>
          </cell>
        </row>
        <row r="17">
          <cell r="A17" t="str">
            <v>X014</v>
          </cell>
          <cell r="B17" t="str">
            <v>Squib Connector 14005125 (VOR-001)</v>
          </cell>
          <cell r="C17">
            <v>0</v>
          </cell>
          <cell r="D17">
            <v>0</v>
          </cell>
          <cell r="E17">
            <v>1</v>
          </cell>
          <cell r="F17">
            <v>0</v>
          </cell>
          <cell r="G17" t="str">
            <v>pcs</v>
          </cell>
          <cell r="I17" t="str">
            <v>FCI</v>
          </cell>
        </row>
        <row r="18">
          <cell r="A18" t="str">
            <v>X015</v>
          </cell>
          <cell r="B18" t="str">
            <v>Barcode Label (all)</v>
          </cell>
          <cell r="C18">
            <v>1</v>
          </cell>
          <cell r="D18">
            <v>1</v>
          </cell>
          <cell r="E18">
            <v>1</v>
          </cell>
          <cell r="F18">
            <v>0</v>
          </cell>
          <cell r="G18" t="str">
            <v>pcs</v>
          </cell>
          <cell r="I18" t="str">
            <v>FEC</v>
          </cell>
        </row>
        <row r="19">
          <cell r="A19" t="str">
            <v>X016</v>
          </cell>
          <cell r="B19" t="str">
            <v>Carbon Ribon (all)</v>
          </cell>
          <cell r="C19">
            <v>1</v>
          </cell>
          <cell r="D19">
            <v>1</v>
          </cell>
          <cell r="E19">
            <v>1</v>
          </cell>
          <cell r="F19">
            <v>0</v>
          </cell>
          <cell r="G19" t="str">
            <v>pcs</v>
          </cell>
          <cell r="I19" t="str">
            <v>FEC</v>
          </cell>
        </row>
        <row r="20">
          <cell r="A20" t="str">
            <v>X017</v>
          </cell>
          <cell r="B20" t="str">
            <v>Caution Label 1+2 (VOR-001)</v>
          </cell>
          <cell r="C20">
            <v>0</v>
          </cell>
          <cell r="D20">
            <v>0</v>
          </cell>
          <cell r="E20">
            <v>1</v>
          </cell>
          <cell r="F20">
            <v>0</v>
          </cell>
          <cell r="G20" t="str">
            <v>pcs</v>
          </cell>
          <cell r="I20" t="str">
            <v>FEC</v>
          </cell>
        </row>
        <row r="21">
          <cell r="A21" t="str">
            <v>X018</v>
          </cell>
          <cell r="B21" t="str">
            <v>Caution Label 1+2+Cdisplay (FMR-001,003)</v>
          </cell>
          <cell r="C21">
            <v>1</v>
          </cell>
          <cell r="D21">
            <v>1</v>
          </cell>
          <cell r="E21">
            <v>0</v>
          </cell>
          <cell r="F21">
            <v>0</v>
          </cell>
          <cell r="G21" t="str">
            <v>pcs</v>
          </cell>
          <cell r="I21" t="str">
            <v>FEC</v>
          </cell>
        </row>
        <row r="22">
          <cell r="A22" t="str">
            <v>X019</v>
          </cell>
          <cell r="B22" t="str">
            <v>Connector IL-AG5-5S-S3C1 (VOR-001)</v>
          </cell>
          <cell r="C22">
            <v>0</v>
          </cell>
          <cell r="D22">
            <v>0</v>
          </cell>
          <cell r="E22">
            <v>1</v>
          </cell>
          <cell r="F22">
            <v>0</v>
          </cell>
          <cell r="G22" t="str">
            <v>pcs</v>
          </cell>
          <cell r="I22" t="str">
            <v>FEC</v>
          </cell>
        </row>
        <row r="23">
          <cell r="A23" t="str">
            <v>X020</v>
          </cell>
          <cell r="B23" t="str">
            <v>FFC film 6ch (FMR-003)</v>
          </cell>
          <cell r="C23">
            <v>0</v>
          </cell>
          <cell r="D23">
            <v>0.94</v>
          </cell>
          <cell r="E23">
            <v>0</v>
          </cell>
          <cell r="F23">
            <v>0</v>
          </cell>
          <cell r="G23" t="str">
            <v>m</v>
          </cell>
          <cell r="I23" t="str">
            <v>FEC</v>
          </cell>
        </row>
        <row r="24">
          <cell r="A24" t="str">
            <v>X021</v>
          </cell>
          <cell r="B24" t="str">
            <v>FFC film 9ch (FMR-001,003)</v>
          </cell>
          <cell r="C24">
            <v>0.88</v>
          </cell>
          <cell r="D24">
            <v>0.88</v>
          </cell>
          <cell r="E24">
            <v>0</v>
          </cell>
          <cell r="F24">
            <v>0</v>
          </cell>
          <cell r="G24" t="str">
            <v>m</v>
          </cell>
          <cell r="I24" t="str">
            <v>FEC</v>
          </cell>
        </row>
        <row r="25">
          <cell r="A25" t="str">
            <v>X022</v>
          </cell>
          <cell r="B25" t="str">
            <v>Grease (all)</v>
          </cell>
          <cell r="C25">
            <v>2.5</v>
          </cell>
          <cell r="D25">
            <v>2.5</v>
          </cell>
          <cell r="E25">
            <v>1.5</v>
          </cell>
          <cell r="F25">
            <v>0</v>
          </cell>
          <cell r="G25" t="str">
            <v>g</v>
          </cell>
          <cell r="I25" t="str">
            <v>FEC</v>
          </cell>
        </row>
        <row r="26">
          <cell r="A26" t="str">
            <v>X023</v>
          </cell>
          <cell r="B26" t="str">
            <v>Lead Wire AVSS 0,5 G (VOR-001)</v>
          </cell>
          <cell r="C26">
            <v>0</v>
          </cell>
          <cell r="D26">
            <v>0</v>
          </cell>
          <cell r="E26">
            <v>0.125</v>
          </cell>
          <cell r="F26">
            <v>0</v>
          </cell>
          <cell r="G26" t="str">
            <v>m</v>
          </cell>
          <cell r="I26" t="str">
            <v>FEC</v>
          </cell>
        </row>
        <row r="27">
          <cell r="A27" t="str">
            <v>X024</v>
          </cell>
          <cell r="B27" t="str">
            <v>Lead Wire AVSS 0,5 Gr (VOR-001)</v>
          </cell>
          <cell r="C27">
            <v>0</v>
          </cell>
          <cell r="D27">
            <v>0</v>
          </cell>
          <cell r="E27">
            <v>0.125</v>
          </cell>
          <cell r="F27">
            <v>0</v>
          </cell>
          <cell r="G27" t="str">
            <v>m</v>
          </cell>
          <cell r="I27" t="str">
            <v>FEC</v>
          </cell>
        </row>
        <row r="28">
          <cell r="A28" t="str">
            <v>X025</v>
          </cell>
          <cell r="B28" t="str">
            <v>Lead Wire AVSS 0,5 W (VOR-001)</v>
          </cell>
          <cell r="C28">
            <v>0</v>
          </cell>
          <cell r="D28">
            <v>0</v>
          </cell>
          <cell r="E28">
            <v>0.125</v>
          </cell>
          <cell r="F28">
            <v>0</v>
          </cell>
          <cell r="G28" t="str">
            <v>m</v>
          </cell>
          <cell r="I28" t="str">
            <v>FEC</v>
          </cell>
        </row>
        <row r="29">
          <cell r="A29" t="str">
            <v>X026</v>
          </cell>
          <cell r="B29" t="str">
            <v>Lead Wire AVSS 0,5 Y (VOR-001)</v>
          </cell>
          <cell r="C29">
            <v>0</v>
          </cell>
          <cell r="D29">
            <v>0</v>
          </cell>
          <cell r="E29">
            <v>0.125</v>
          </cell>
          <cell r="F29">
            <v>0</v>
          </cell>
          <cell r="G29" t="str">
            <v>m</v>
          </cell>
          <cell r="I29" t="str">
            <v>FEC</v>
          </cell>
        </row>
        <row r="30">
          <cell r="A30" t="str">
            <v>X027</v>
          </cell>
          <cell r="B30" t="str">
            <v>Lead Wire AVSS 0,5 Y/B (VOR-001)</v>
          </cell>
          <cell r="C30">
            <v>0</v>
          </cell>
          <cell r="D30">
            <v>0</v>
          </cell>
          <cell r="E30">
            <v>0.125</v>
          </cell>
          <cell r="F30">
            <v>0</v>
          </cell>
          <cell r="G30" t="str">
            <v>m</v>
          </cell>
          <cell r="I30" t="str">
            <v>FEC</v>
          </cell>
        </row>
        <row r="31">
          <cell r="A31" t="str">
            <v>X028</v>
          </cell>
          <cell r="B31" t="str">
            <v>PET film 12.5mm (VOR-001)</v>
          </cell>
          <cell r="C31">
            <v>0</v>
          </cell>
          <cell r="D31">
            <v>0</v>
          </cell>
          <cell r="E31">
            <v>1.635</v>
          </cell>
          <cell r="F31">
            <v>0</v>
          </cell>
          <cell r="G31" t="str">
            <v>m</v>
          </cell>
          <cell r="I31" t="str">
            <v>FEC</v>
          </cell>
        </row>
        <row r="32">
          <cell r="A32" t="str">
            <v>X029</v>
          </cell>
          <cell r="B32" t="str">
            <v>PET film 17.5mm (FMR-001,003)</v>
          </cell>
          <cell r="C32">
            <v>3.03</v>
          </cell>
          <cell r="D32">
            <v>1.99</v>
          </cell>
          <cell r="E32">
            <v>0</v>
          </cell>
          <cell r="F32">
            <v>0</v>
          </cell>
          <cell r="G32" t="str">
            <v>m</v>
          </cell>
          <cell r="I32" t="str">
            <v>FEC</v>
          </cell>
        </row>
        <row r="33">
          <cell r="A33" t="str">
            <v>X030</v>
          </cell>
          <cell r="B33" t="str">
            <v>Rubber Cover (all)</v>
          </cell>
          <cell r="C33">
            <v>2</v>
          </cell>
          <cell r="D33">
            <v>2</v>
          </cell>
          <cell r="E33">
            <v>2</v>
          </cell>
          <cell r="F33">
            <v>0</v>
          </cell>
          <cell r="G33" t="str">
            <v>pcs</v>
          </cell>
          <cell r="I33" t="str">
            <v>FEC</v>
          </cell>
        </row>
        <row r="34">
          <cell r="A34" t="str">
            <v>X031</v>
          </cell>
          <cell r="B34" t="str">
            <v>Terminal IL-AG5-C1-5000 (VOR-001)</v>
          </cell>
          <cell r="C34">
            <v>0</v>
          </cell>
          <cell r="D34">
            <v>0</v>
          </cell>
          <cell r="E34">
            <v>5</v>
          </cell>
          <cell r="F34">
            <v>0</v>
          </cell>
          <cell r="G34" t="str">
            <v>pcs</v>
          </cell>
          <cell r="I34" t="str">
            <v>FEC</v>
          </cell>
        </row>
        <row r="35">
          <cell r="A35" t="str">
            <v>X032</v>
          </cell>
          <cell r="B35" t="str">
            <v>VM Tube (B) 7*8 (VOR-001)</v>
          </cell>
          <cell r="C35">
            <v>0</v>
          </cell>
          <cell r="D35">
            <v>0</v>
          </cell>
          <cell r="E35">
            <v>0.09</v>
          </cell>
          <cell r="F35">
            <v>0</v>
          </cell>
          <cell r="G35" t="str">
            <v>m</v>
          </cell>
          <cell r="I35" t="str">
            <v>FEC</v>
          </cell>
        </row>
        <row r="36">
          <cell r="A36" t="str">
            <v>X033</v>
          </cell>
          <cell r="B36" t="str">
            <v>VM Tube (Or.) 5*6 (VOR-001)</v>
          </cell>
          <cell r="C36">
            <v>0</v>
          </cell>
          <cell r="D36">
            <v>0</v>
          </cell>
          <cell r="E36">
            <v>0.32</v>
          </cell>
          <cell r="F36">
            <v>0</v>
          </cell>
          <cell r="G36" t="str">
            <v>m</v>
          </cell>
          <cell r="I36" t="str">
            <v>FEC</v>
          </cell>
        </row>
        <row r="37">
          <cell r="A37" t="str">
            <v>X034</v>
          </cell>
          <cell r="B37" t="str">
            <v>VM Tube (Y) 3.5*4.5 (FMR-001)</v>
          </cell>
          <cell r="C37">
            <v>0.23</v>
          </cell>
          <cell r="D37">
            <v>0</v>
          </cell>
          <cell r="E37">
            <v>0</v>
          </cell>
          <cell r="F37">
            <v>0</v>
          </cell>
          <cell r="G37" t="str">
            <v>m</v>
          </cell>
          <cell r="I37" t="str">
            <v>FEC</v>
          </cell>
        </row>
        <row r="38">
          <cell r="A38" t="str">
            <v>X035</v>
          </cell>
          <cell r="B38" t="str">
            <v>VM Tube (Y) 5*6 (FMR-003)</v>
          </cell>
          <cell r="C38">
            <v>0</v>
          </cell>
          <cell r="D38">
            <v>0.23</v>
          </cell>
          <cell r="E38">
            <v>0</v>
          </cell>
          <cell r="F38">
            <v>0</v>
          </cell>
          <cell r="G38" t="str">
            <v>m</v>
          </cell>
          <cell r="I38" t="str">
            <v>FEC</v>
          </cell>
        </row>
        <row r="39">
          <cell r="A39" t="str">
            <v>X036</v>
          </cell>
          <cell r="B39" t="str">
            <v>FFC film 4ch (VOR-001)</v>
          </cell>
          <cell r="C39">
            <v>0</v>
          </cell>
          <cell r="D39">
            <v>0</v>
          </cell>
          <cell r="E39">
            <v>0.61</v>
          </cell>
          <cell r="F39">
            <v>0</v>
          </cell>
          <cell r="G39" t="str">
            <v>m</v>
          </cell>
          <cell r="I39" t="str">
            <v>FEC</v>
          </cell>
        </row>
        <row r="40">
          <cell r="A40" t="str">
            <v>X037</v>
          </cell>
          <cell r="B40" t="str">
            <v>FFC film 5ch (VOR-001)</v>
          </cell>
          <cell r="C40">
            <v>0</v>
          </cell>
          <cell r="D40">
            <v>0</v>
          </cell>
          <cell r="E40">
            <v>0.59</v>
          </cell>
          <cell r="F40">
            <v>0</v>
          </cell>
          <cell r="G40" t="str">
            <v>m</v>
          </cell>
          <cell r="I40" t="str">
            <v>FEC</v>
          </cell>
        </row>
        <row r="41">
          <cell r="A41" t="str">
            <v>X038</v>
          </cell>
          <cell r="B41" t="str">
            <v>1st Molding Cover (FMR-001,003)</v>
          </cell>
          <cell r="C41">
            <v>2</v>
          </cell>
          <cell r="D41">
            <v>4</v>
          </cell>
          <cell r="E41">
            <v>0</v>
          </cell>
          <cell r="F41">
            <v>0</v>
          </cell>
          <cell r="G41" t="str">
            <v>pcs</v>
          </cell>
          <cell r="I41" t="str">
            <v>Steffen</v>
          </cell>
        </row>
        <row r="42">
          <cell r="A42" t="str">
            <v>X039</v>
          </cell>
          <cell r="B42" t="str">
            <v>1st Molding Cover (VOR-001)</v>
          </cell>
          <cell r="C42">
            <v>0</v>
          </cell>
          <cell r="D42">
            <v>0</v>
          </cell>
          <cell r="E42">
            <v>4</v>
          </cell>
          <cell r="F42">
            <v>0</v>
          </cell>
          <cell r="G42" t="str">
            <v>pcs</v>
          </cell>
          <cell r="I42" t="str">
            <v>Steffen</v>
          </cell>
        </row>
        <row r="43">
          <cell r="A43" t="str">
            <v>X040</v>
          </cell>
          <cell r="B43" t="str">
            <v>Locking Pin (FMR-001)</v>
          </cell>
          <cell r="C43">
            <v>1</v>
          </cell>
          <cell r="D43">
            <v>0</v>
          </cell>
          <cell r="E43">
            <v>0</v>
          </cell>
          <cell r="F43">
            <v>0</v>
          </cell>
          <cell r="G43" t="str">
            <v>pcs</v>
          </cell>
          <cell r="I43" t="str">
            <v>Steffen</v>
          </cell>
        </row>
        <row r="44">
          <cell r="A44" t="str">
            <v>X041</v>
          </cell>
          <cell r="B44" t="str">
            <v>Mold Holder (FMR-001,003)</v>
          </cell>
          <cell r="C44">
            <v>1</v>
          </cell>
          <cell r="D44">
            <v>1</v>
          </cell>
          <cell r="E44">
            <v>0</v>
          </cell>
          <cell r="F44">
            <v>0</v>
          </cell>
          <cell r="G44" t="str">
            <v>pcs</v>
          </cell>
          <cell r="I44" t="str">
            <v>Steffen</v>
          </cell>
        </row>
        <row r="45">
          <cell r="A45" t="str">
            <v>X042</v>
          </cell>
          <cell r="B45" t="str">
            <v>Mold Holder (VOR-001)</v>
          </cell>
          <cell r="C45">
            <v>0</v>
          </cell>
          <cell r="D45">
            <v>0</v>
          </cell>
          <cell r="E45">
            <v>1</v>
          </cell>
          <cell r="F45">
            <v>0</v>
          </cell>
          <cell r="G45" t="str">
            <v>pcs</v>
          </cell>
          <cell r="I45" t="str">
            <v>Steffen</v>
          </cell>
        </row>
        <row r="46">
          <cell r="A46" t="str">
            <v>X043</v>
          </cell>
          <cell r="B46" t="str">
            <v>Post Cover (FMR-001,003)</v>
          </cell>
          <cell r="C46">
            <v>2</v>
          </cell>
          <cell r="D46">
            <v>2</v>
          </cell>
          <cell r="E46">
            <v>0</v>
          </cell>
          <cell r="F46">
            <v>0</v>
          </cell>
          <cell r="G46" t="str">
            <v>pcs</v>
          </cell>
          <cell r="I46" t="str">
            <v>Steffen</v>
          </cell>
        </row>
        <row r="47">
          <cell r="A47" t="str">
            <v>X044</v>
          </cell>
          <cell r="B47" t="str">
            <v>Stator housing (VOR-001)</v>
          </cell>
          <cell r="C47">
            <v>0</v>
          </cell>
          <cell r="D47">
            <v>0</v>
          </cell>
          <cell r="E47">
            <v>1</v>
          </cell>
          <cell r="F47">
            <v>0</v>
          </cell>
          <cell r="G47" t="str">
            <v>pcs</v>
          </cell>
          <cell r="I47" t="str">
            <v>Steffen</v>
          </cell>
        </row>
        <row r="48">
          <cell r="A48" t="str">
            <v>X045</v>
          </cell>
          <cell r="B48" t="str">
            <v>Stator housing 9ch (FMR-001,003)</v>
          </cell>
          <cell r="C48">
            <v>1</v>
          </cell>
          <cell r="D48">
            <v>1</v>
          </cell>
          <cell r="E48">
            <v>0</v>
          </cell>
          <cell r="F48">
            <v>0</v>
          </cell>
          <cell r="G48" t="str">
            <v>pcs</v>
          </cell>
          <cell r="I48" t="str">
            <v>Steffen</v>
          </cell>
        </row>
        <row r="49">
          <cell r="A49" t="str">
            <v>X046</v>
          </cell>
          <cell r="B49" t="str">
            <v>Locking Pin (FMR-003)</v>
          </cell>
          <cell r="C49">
            <v>0</v>
          </cell>
          <cell r="D49">
            <v>1</v>
          </cell>
          <cell r="E49">
            <v>0</v>
          </cell>
          <cell r="F49">
            <v>0</v>
          </cell>
          <cell r="G49" t="str">
            <v>pcs</v>
          </cell>
          <cell r="I49" t="str">
            <v>Techplast</v>
          </cell>
        </row>
        <row r="50">
          <cell r="A50" t="str">
            <v>X047</v>
          </cell>
          <cell r="B50" t="str">
            <v>Mold Cover 6ch (mold holder) (FMR-003)</v>
          </cell>
          <cell r="C50">
            <v>0</v>
          </cell>
          <cell r="D50">
            <v>1</v>
          </cell>
          <cell r="E50">
            <v>0</v>
          </cell>
          <cell r="F50">
            <v>0</v>
          </cell>
          <cell r="G50" t="str">
            <v>pcs</v>
          </cell>
          <cell r="I50" t="str">
            <v>Techplast</v>
          </cell>
        </row>
        <row r="51">
          <cell r="A51" t="str">
            <v>X048</v>
          </cell>
          <cell r="B51" t="str">
            <v>Stator housing 6ch (FMR-003)</v>
          </cell>
          <cell r="C51">
            <v>0</v>
          </cell>
          <cell r="D51">
            <v>1</v>
          </cell>
          <cell r="E51">
            <v>0</v>
          </cell>
          <cell r="F51">
            <v>0</v>
          </cell>
          <cell r="G51" t="str">
            <v>pcs</v>
          </cell>
          <cell r="I51" t="str">
            <v>Techplast</v>
          </cell>
        </row>
        <row r="52">
          <cell r="A52" t="str">
            <v>X049</v>
          </cell>
          <cell r="B52" t="str">
            <v>1st Molding 4ch (C) (VOR-001)</v>
          </cell>
          <cell r="C52">
            <v>0</v>
          </cell>
          <cell r="D52">
            <v>0</v>
          </cell>
          <cell r="E52">
            <v>1</v>
          </cell>
          <cell r="F52">
            <v>0</v>
          </cell>
          <cell r="G52" t="str">
            <v>pcs</v>
          </cell>
          <cell r="I52" t="str">
            <v>Tesla</v>
          </cell>
        </row>
        <row r="53">
          <cell r="A53" t="str">
            <v>X050</v>
          </cell>
          <cell r="B53" t="str">
            <v>1st Molding 4ch (S) (VOR-001)</v>
          </cell>
          <cell r="C53">
            <v>0</v>
          </cell>
          <cell r="D53">
            <v>0</v>
          </cell>
          <cell r="E53">
            <v>1</v>
          </cell>
          <cell r="F53">
            <v>0</v>
          </cell>
          <cell r="G53" t="str">
            <v>pcs</v>
          </cell>
          <cell r="I53" t="str">
            <v>Tesla</v>
          </cell>
        </row>
        <row r="54">
          <cell r="A54" t="str">
            <v>X051</v>
          </cell>
          <cell r="B54" t="str">
            <v>1st Molding 5ch (C) (VOR-001)</v>
          </cell>
          <cell r="C54">
            <v>0</v>
          </cell>
          <cell r="D54">
            <v>0</v>
          </cell>
          <cell r="E54">
            <v>1</v>
          </cell>
          <cell r="F54">
            <v>0</v>
          </cell>
          <cell r="G54" t="str">
            <v>pcs</v>
          </cell>
          <cell r="I54" t="str">
            <v>Tesla</v>
          </cell>
        </row>
        <row r="55">
          <cell r="A55" t="str">
            <v>X052</v>
          </cell>
          <cell r="B55" t="str">
            <v>1st Molding 5ch (S) (VOR-001)</v>
          </cell>
          <cell r="C55">
            <v>0</v>
          </cell>
          <cell r="D55">
            <v>0</v>
          </cell>
          <cell r="E55">
            <v>1</v>
          </cell>
          <cell r="F55">
            <v>0</v>
          </cell>
          <cell r="G55" t="str">
            <v>pcs</v>
          </cell>
          <cell r="I55" t="str">
            <v>Tesla</v>
          </cell>
        </row>
        <row r="56">
          <cell r="A56" t="str">
            <v>X053</v>
          </cell>
          <cell r="B56" t="str">
            <v>1st Molding 6ch (C) (FMR-003)</v>
          </cell>
          <cell r="C56">
            <v>0</v>
          </cell>
          <cell r="D56">
            <v>1</v>
          </cell>
          <cell r="E56">
            <v>0</v>
          </cell>
          <cell r="F56">
            <v>0</v>
          </cell>
          <cell r="G56" t="str">
            <v>pcs</v>
          </cell>
          <cell r="I56" t="str">
            <v>Tesla</v>
          </cell>
        </row>
        <row r="57">
          <cell r="A57" t="str">
            <v>X054</v>
          </cell>
          <cell r="B57" t="str">
            <v>1st Molding 6ch (S) (FMR-003)</v>
          </cell>
          <cell r="C57">
            <v>0</v>
          </cell>
          <cell r="D57">
            <v>1</v>
          </cell>
          <cell r="E57">
            <v>0</v>
          </cell>
          <cell r="F57">
            <v>0</v>
          </cell>
          <cell r="G57" t="str">
            <v>pcs</v>
          </cell>
          <cell r="I57" t="str">
            <v>Tesla</v>
          </cell>
        </row>
        <row r="58">
          <cell r="A58" t="str">
            <v>X055</v>
          </cell>
          <cell r="B58" t="str">
            <v>1st Molding 9ch (C) (FMR-001,003)</v>
          </cell>
          <cell r="C58">
            <v>1</v>
          </cell>
          <cell r="D58">
            <v>1</v>
          </cell>
          <cell r="E58">
            <v>0</v>
          </cell>
          <cell r="F58">
            <v>0</v>
          </cell>
          <cell r="G58" t="str">
            <v>pcs</v>
          </cell>
          <cell r="I58" t="str">
            <v>Tesla</v>
          </cell>
        </row>
        <row r="59">
          <cell r="A59" t="str">
            <v>X056</v>
          </cell>
          <cell r="B59" t="str">
            <v>1st Molding 9ch (S) (FMR-001,003)</v>
          </cell>
          <cell r="C59">
            <v>1</v>
          </cell>
          <cell r="D59">
            <v>1</v>
          </cell>
          <cell r="E59">
            <v>0</v>
          </cell>
          <cell r="F59">
            <v>0</v>
          </cell>
          <cell r="G59" t="str">
            <v>pcs</v>
          </cell>
          <cell r="I59" t="str">
            <v>Tesla</v>
          </cell>
        </row>
        <row r="60">
          <cell r="A60" t="str">
            <v>X057</v>
          </cell>
          <cell r="B60" t="str">
            <v>Short Circuit Spring (FMR-001,003)</v>
          </cell>
          <cell r="C60">
            <v>2</v>
          </cell>
          <cell r="D60">
            <v>2</v>
          </cell>
          <cell r="E60">
            <v>0</v>
          </cell>
          <cell r="F60">
            <v>0</v>
          </cell>
          <cell r="G60" t="str">
            <v>pcs</v>
          </cell>
          <cell r="I60" t="str">
            <v>TYCO</v>
          </cell>
        </row>
        <row r="61">
          <cell r="A61" t="str">
            <v>X058</v>
          </cell>
          <cell r="B61" t="str">
            <v>Short Circuit Spring (VOR-001)</v>
          </cell>
          <cell r="C61">
            <v>0</v>
          </cell>
          <cell r="D61">
            <v>0</v>
          </cell>
          <cell r="E61">
            <v>2</v>
          </cell>
          <cell r="F61">
            <v>0</v>
          </cell>
          <cell r="G61" t="str">
            <v>pcs</v>
          </cell>
          <cell r="I61" t="str">
            <v>TYCO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OfContents"/>
      <sheetName val="Workshop Summary"/>
      <sheetName val="Notes"/>
      <sheetName val="Value Stream"/>
      <sheetName val="Takt"/>
      <sheetName val="Precedence Diagram"/>
      <sheetName val="Mfg Sequence Chart"/>
      <sheetName val="Machine Balance"/>
      <sheetName val="Layout"/>
      <sheetName val="line propose"/>
      <sheetName val="DATA CollectionACTUAL"/>
      <sheetName val="actual line"/>
      <sheetName val="Actual OperBal"/>
      <sheetName val="Actual OperBalimpro"/>
      <sheetName val="Alt Labor Linearity"/>
      <sheetName val="Incremental Investment"/>
      <sheetName val="PartPresPlan"/>
      <sheetName val="Action Items"/>
      <sheetName val="MSD Plan"/>
    </sheetNames>
    <sheetDataSet>
      <sheetData sheetId="0" refreshError="1"/>
      <sheetData sheetId="1" refreshError="1">
        <row r="5">
          <cell r="C5" t="str">
            <v>GMT800 LINE 7</v>
          </cell>
        </row>
      </sheetData>
      <sheetData sheetId="2" refreshError="1"/>
      <sheetData sheetId="3" refreshError="1"/>
      <sheetData sheetId="4" refreshError="1">
        <row r="7">
          <cell r="F7">
            <v>930</v>
          </cell>
        </row>
        <row r="10">
          <cell r="F10">
            <v>870</v>
          </cell>
        </row>
        <row r="21">
          <cell r="F21">
            <v>43.5</v>
          </cell>
        </row>
      </sheetData>
      <sheetData sheetId="5" refreshError="1"/>
      <sheetData sheetId="6" refreshError="1"/>
      <sheetData sheetId="7" refreshError="1">
        <row r="10">
          <cell r="G10">
            <v>1</v>
          </cell>
          <cell r="AM10">
            <v>0</v>
          </cell>
        </row>
        <row r="11">
          <cell r="G11">
            <v>1</v>
          </cell>
          <cell r="AM11">
            <v>0</v>
          </cell>
        </row>
        <row r="12">
          <cell r="G12">
            <v>1</v>
          </cell>
          <cell r="AM12">
            <v>0</v>
          </cell>
        </row>
        <row r="15">
          <cell r="K15">
            <v>43.5</v>
          </cell>
        </row>
        <row r="24">
          <cell r="Z24">
            <v>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A813~（22_号機別）"/>
      <sheetName val="EA801~（22_号機別）"/>
      <sheetName val="成形(22)"/>
      <sheetName val="EA300（22_号機別）"/>
      <sheetName val="EA200（22_号機別）"/>
      <sheetName val="成形 (23)"/>
      <sheetName val="成形（23_号機別） "/>
      <sheetName val="コード表"/>
      <sheetName val="2002年（22_23）"/>
      <sheetName val="グラフ22_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N2" t="str">
            <v>山</v>
          </cell>
          <cell r="P2" t="str">
            <v>長</v>
          </cell>
        </row>
        <row r="3">
          <cell r="N3" t="str">
            <v>浅</v>
          </cell>
          <cell r="P3" t="str">
            <v>石</v>
          </cell>
        </row>
        <row r="4">
          <cell r="N4" t="str">
            <v>野</v>
          </cell>
          <cell r="P4" t="str">
            <v>今</v>
          </cell>
        </row>
        <row r="5">
          <cell r="N5" t="str">
            <v>鶴</v>
          </cell>
          <cell r="P5" t="str">
            <v>北</v>
          </cell>
        </row>
        <row r="6">
          <cell r="N6" t="str">
            <v>若</v>
          </cell>
          <cell r="P6" t="str">
            <v>土</v>
          </cell>
        </row>
        <row r="7">
          <cell r="N7" t="str">
            <v>三</v>
          </cell>
          <cell r="P7" t="str">
            <v>中</v>
          </cell>
        </row>
        <row r="9">
          <cell r="N9" t="str">
            <v>山</v>
          </cell>
          <cell r="P9" t="str">
            <v>長</v>
          </cell>
        </row>
        <row r="10">
          <cell r="N10" t="str">
            <v>浅</v>
          </cell>
          <cell r="P10" t="str">
            <v>石</v>
          </cell>
        </row>
        <row r="11">
          <cell r="N11" t="str">
            <v>野</v>
          </cell>
          <cell r="P11" t="str">
            <v>今</v>
          </cell>
        </row>
        <row r="12">
          <cell r="N12" t="str">
            <v>鶴</v>
          </cell>
          <cell r="P12" t="str">
            <v>北</v>
          </cell>
        </row>
        <row r="13">
          <cell r="N13" t="str">
            <v>若</v>
          </cell>
          <cell r="P13" t="str">
            <v>土</v>
          </cell>
        </row>
        <row r="14">
          <cell r="N14" t="str">
            <v>三</v>
          </cell>
        </row>
      </sheetData>
      <sheetData sheetId="8"/>
      <sheetData sheetId="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ＨＩ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."/>
      <sheetName val="Tickmarks"/>
      <sheetName val="FAV"/>
      <sheetName val="GPC"/>
      <sheetName val="JAH"/>
      <sheetName val="基準"/>
      <sheetName val="sale_noida"/>
      <sheetName val="①評価項目_メーカー"/>
      <sheetName val="MOTO"/>
      <sheetName val="l&amp;oh-97"/>
      <sheetName val="SCH"/>
      <sheetName val="損益予算Muster"/>
      <sheetName val="AE1218"/>
      <sheetName val="３発デ－タ"/>
      <sheetName val="月次データ"/>
      <sheetName val="72直直明細.下"/>
      <sheetName val="PARAM"/>
      <sheetName val="73(下)直直要員明細"/>
      <sheetName val="73(下)省人実績表 "/>
      <sheetName val="成型負荷data"/>
      <sheetName val="派生　ＨＩ"/>
      <sheetName val="99-02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ual line (2)"/>
      <sheetName val="OperBal (2)"/>
      <sheetName val="actual line"/>
      <sheetName val="OperBal"/>
      <sheetName val="CF&amp;CX&amp;RF&amp;FI"/>
      <sheetName val="Calc."/>
      <sheetName val="X02A (DF) TERMINAL LIST"/>
      <sheetName val="SCH"/>
      <sheetName val="Véhicule"/>
      <sheetName val="FAV"/>
      <sheetName val="GPC"/>
      <sheetName val="JAH"/>
      <sheetName val="ＳＱＬ"/>
      <sheetName val="T_見積品番"/>
      <sheetName val="画面総括"/>
      <sheetName val="画面要求"/>
      <sheetName val="原紙_原価積算"/>
      <sheetName val="DATA"/>
      <sheetName val="MOTO"/>
      <sheetName val="長滞ﾘｽ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ＭⅢ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申請書１"/>
      <sheetName val="申請書２"/>
      <sheetName val="特定管理"/>
      <sheetName val="やりきり 1月"/>
      <sheetName val="74上"/>
      <sheetName val="車種別台当り"/>
      <sheetName val="ﾛｲ(北米)"/>
      <sheetName val="PY指摘脇だし"/>
      <sheetName val="その他経"/>
      <sheetName val="達成729"/>
      <sheetName val="県別ﾏﾙﾁ"/>
      <sheetName val="#REF!"/>
      <sheetName val="DB単1"/>
      <sheetName val="DB累1"/>
      <sheetName val="長滞ﾘｽﾄ"/>
      <sheetName val="必要数・稼働ＢＡＣＫＤＡＴＡ"/>
      <sheetName val="826"/>
      <sheetName val="やりきり_1月"/>
      <sheetName val="年初"/>
      <sheetName val="重管list"/>
      <sheetName val="ﾛｲﾔﾘﾃｨ-"/>
      <sheetName val="月報費用"/>
      <sheetName val="LIST"/>
      <sheetName val="LNG･ﾏｽﾀｰ差異"/>
      <sheetName val="定量化結果"/>
      <sheetName val="MOTO"/>
      <sheetName val="３発デ－タ"/>
      <sheetName val="3ﾄﾗﾝｸ閉まり"/>
      <sheetName val="MPL 技連"/>
      <sheetName val="342E BLOCK"/>
      <sheetName val="ＣＡＭＹ　ＭⅢ"/>
      <sheetName val="QUOTE Data Entry"/>
      <sheetName val="A表(3)"/>
      <sheetName val="要員稼働(2)"/>
      <sheetName val="DATE"/>
      <sheetName val="基PLBS"/>
      <sheetName val="KL生産数"/>
      <sheetName val="75 Nig."/>
      <sheetName val="SRP FH"/>
      <sheetName val="Profit"/>
      <sheetName val="紹介販売政策費"/>
      <sheetName val="Sheet1"/>
      <sheetName val="Calendar Español"/>
      <sheetName val="ＣＡＭＹ_ＭⅢ"/>
      <sheetName val="計算DATA"/>
      <sheetName val="ﾊﾟｲﾌﾟ"/>
      <sheetName val="他材料費"/>
      <sheetName val="熱延鋼板"/>
      <sheetName val="冷延鋼板"/>
      <sheetName val="スコアカード (2)"/>
      <sheetName val="CKD STOCK"/>
      <sheetName val="Sheet2"/>
      <sheetName val="やりきり_1月1"/>
      <sheetName val="QUOTE_Data_Entry"/>
      <sheetName val="営業部"/>
      <sheetName val="Sheet4"/>
      <sheetName val="見積書"/>
      <sheetName val="日分割パターン"/>
      <sheetName val="CIVIC 1.7L(7ｶ国MA輸出)GKN同一"/>
      <sheetName val="関連ファイル読込"/>
      <sheetName val="★"/>
      <sheetName val="M1"/>
      <sheetName val="TB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プレス入力"/>
    </sheetNames>
    <sheetDataSet>
      <sheetData sheetId="0">
        <row r="69">
          <cell r="B69" t="str">
            <v>AE　MT無し</v>
          </cell>
          <cell r="C69">
            <v>1.29</v>
          </cell>
          <cell r="D69">
            <v>2256</v>
          </cell>
          <cell r="E69">
            <v>0</v>
          </cell>
        </row>
        <row r="70">
          <cell r="B70" t="str">
            <v>AE後工程</v>
          </cell>
          <cell r="C70">
            <v>1.29</v>
          </cell>
          <cell r="D70">
            <v>2256</v>
          </cell>
          <cell r="E70">
            <v>444.3</v>
          </cell>
        </row>
        <row r="71">
          <cell r="B71" t="str">
            <v>AE実装</v>
          </cell>
          <cell r="C71">
            <v>1.29</v>
          </cell>
          <cell r="D71">
            <v>2256</v>
          </cell>
          <cell r="E71">
            <v>5916.6</v>
          </cell>
          <cell r="H71" t="str">
            <v>ブロック</v>
          </cell>
          <cell r="I71">
            <v>0.10873368402812893</v>
          </cell>
          <cell r="J71">
            <v>0.10620942321336301</v>
          </cell>
          <cell r="K71">
            <v>9.9072381702695791E-2</v>
          </cell>
          <cell r="L71">
            <v>7.1370415106672197E-3</v>
          </cell>
        </row>
        <row r="72">
          <cell r="B72" t="str">
            <v>AH　MT無し</v>
          </cell>
          <cell r="C72">
            <v>1.26</v>
          </cell>
          <cell r="D72">
            <v>2160</v>
          </cell>
          <cell r="E72">
            <v>0</v>
          </cell>
          <cell r="H72" t="str">
            <v>SRC</v>
          </cell>
          <cell r="I72">
            <v>0.14691781963504247</v>
          </cell>
          <cell r="J72">
            <v>0.10012725101996002</v>
          </cell>
          <cell r="K72">
            <v>9.2990209509292807E-2</v>
          </cell>
          <cell r="L72">
            <v>7.1370415106672197E-3</v>
          </cell>
        </row>
        <row r="73">
          <cell r="B73" t="str">
            <v>AH多工程</v>
          </cell>
          <cell r="C73">
            <v>1.26</v>
          </cell>
          <cell r="D73">
            <v>2160</v>
          </cell>
          <cell r="E73">
            <v>3267.5</v>
          </cell>
          <cell r="H73" t="str">
            <v>コネクタ</v>
          </cell>
          <cell r="I73">
            <v>0.15191997084553735</v>
          </cell>
          <cell r="J73">
            <v>0.15975659144445623</v>
          </cell>
          <cell r="K73">
            <v>0.15261954993378901</v>
          </cell>
          <cell r="L73">
            <v>7.1370415106672197E-3</v>
          </cell>
        </row>
        <row r="74">
          <cell r="B74" t="str">
            <v>AH単発</v>
          </cell>
          <cell r="C74">
            <v>1.26</v>
          </cell>
          <cell r="D74">
            <v>2160</v>
          </cell>
          <cell r="E74">
            <v>1359.8</v>
          </cell>
          <cell r="H74" t="str">
            <v>電子部品</v>
          </cell>
          <cell r="I74">
            <v>0.12776448626690007</v>
          </cell>
          <cell r="J74">
            <v>0.10748490492857321</v>
          </cell>
          <cell r="K74">
            <v>0.100347863417906</v>
          </cell>
          <cell r="L74">
            <v>7.1370415106672197E-3</v>
          </cell>
        </row>
        <row r="75">
          <cell r="B75" t="str">
            <v>AM　MT無し</v>
          </cell>
          <cell r="C75">
            <v>1.23</v>
          </cell>
          <cell r="D75">
            <v>1998.9</v>
          </cell>
          <cell r="E75">
            <v>0</v>
          </cell>
          <cell r="H75" t="str">
            <v>スマコネ</v>
          </cell>
          <cell r="I75">
            <v>8.0383473021592142E-2</v>
          </cell>
          <cell r="J75">
            <v>9.7183588744586519E-2</v>
          </cell>
          <cell r="K75">
            <v>9.0046547233919305E-2</v>
          </cell>
          <cell r="L75">
            <v>7.1370415106672197E-3</v>
          </cell>
        </row>
        <row r="76">
          <cell r="B76" t="str">
            <v>AM組立</v>
          </cell>
          <cell r="C76">
            <v>1.23</v>
          </cell>
          <cell r="D76">
            <v>1998.9</v>
          </cell>
          <cell r="E76">
            <v>1471.5</v>
          </cell>
          <cell r="H76" t="str">
            <v>アンテナ</v>
          </cell>
          <cell r="I76">
            <v>0.26533659300296641</v>
          </cell>
          <cell r="J76">
            <v>0</v>
          </cell>
          <cell r="K76">
            <v>0</v>
          </cell>
          <cell r="L76">
            <v>0</v>
          </cell>
        </row>
        <row r="77">
          <cell r="B77" t="str">
            <v>AS　MT無し</v>
          </cell>
          <cell r="C77">
            <v>1.59</v>
          </cell>
          <cell r="D77">
            <v>1848.5</v>
          </cell>
          <cell r="E77">
            <v>0</v>
          </cell>
          <cell r="H77" t="str">
            <v>その他</v>
          </cell>
          <cell r="I77">
            <v>0.12776448626690007</v>
          </cell>
          <cell r="J77">
            <v>0.10748490492857321</v>
          </cell>
          <cell r="K77">
            <v>0.100347863417906</v>
          </cell>
          <cell r="L77">
            <v>7.1370415106672197E-3</v>
          </cell>
        </row>
        <row r="78">
          <cell r="B78" t="str">
            <v>AS多工程</v>
          </cell>
          <cell r="C78">
            <v>1.59</v>
          </cell>
          <cell r="D78">
            <v>1848.5</v>
          </cell>
          <cell r="E78">
            <v>1179</v>
          </cell>
        </row>
        <row r="79">
          <cell r="B79" t="str">
            <v>AS単発</v>
          </cell>
          <cell r="C79">
            <v>1.59</v>
          </cell>
          <cell r="D79">
            <v>1848.5</v>
          </cell>
          <cell r="E79">
            <v>1179</v>
          </cell>
        </row>
        <row r="80">
          <cell r="B80" t="str">
            <v>JB MT無し</v>
          </cell>
          <cell r="C80">
            <v>1.29</v>
          </cell>
          <cell r="D80">
            <v>2931.1</v>
          </cell>
          <cell r="E80">
            <v>0</v>
          </cell>
        </row>
        <row r="81">
          <cell r="B81" t="str">
            <v>JB成形</v>
          </cell>
          <cell r="C81">
            <v>1.29</v>
          </cell>
          <cell r="D81">
            <v>2931.1</v>
          </cell>
          <cell r="E81">
            <v>1781.2</v>
          </cell>
        </row>
        <row r="82">
          <cell r="B82" t="str">
            <v>JC旧成形</v>
          </cell>
          <cell r="C82">
            <v>1.19</v>
          </cell>
          <cell r="D82">
            <v>2598.9</v>
          </cell>
          <cell r="E82">
            <v>1155.5999999999999</v>
          </cell>
        </row>
        <row r="83">
          <cell r="B83" t="str">
            <v>JC新成形</v>
          </cell>
          <cell r="C83">
            <v>1.19</v>
          </cell>
          <cell r="D83">
            <v>2598.9</v>
          </cell>
          <cell r="E83">
            <v>1292.3</v>
          </cell>
        </row>
        <row r="84">
          <cell r="B84" t="str">
            <v>JP400トンプレス</v>
          </cell>
          <cell r="C84">
            <v>1.18</v>
          </cell>
          <cell r="D84">
            <v>2435.6999999999998</v>
          </cell>
          <cell r="E84">
            <v>6685.6</v>
          </cell>
        </row>
        <row r="85">
          <cell r="B85" t="str">
            <v>JP高速プレス</v>
          </cell>
          <cell r="C85">
            <v>1.18</v>
          </cell>
          <cell r="D85">
            <v>2435.6999999999998</v>
          </cell>
          <cell r="E85">
            <v>3729.4</v>
          </cell>
        </row>
        <row r="86">
          <cell r="B86" t="str">
            <v>JP積層プレス</v>
          </cell>
          <cell r="C86">
            <v>1.18</v>
          </cell>
          <cell r="D86">
            <v>2435.6999999999998</v>
          </cell>
          <cell r="E86">
            <v>3360</v>
          </cell>
        </row>
        <row r="87">
          <cell r="B87" t="str">
            <v>JS　MT無し</v>
          </cell>
          <cell r="C87">
            <v>1.25</v>
          </cell>
          <cell r="D87">
            <v>2109.1999999999998</v>
          </cell>
          <cell r="E87">
            <v>0</v>
          </cell>
        </row>
        <row r="88">
          <cell r="B88" t="str">
            <v>JSコネクタ二次加工</v>
          </cell>
          <cell r="C88">
            <v>1.25</v>
          </cell>
          <cell r="D88">
            <v>2109.1999999999998</v>
          </cell>
          <cell r="E88">
            <v>461.9</v>
          </cell>
        </row>
        <row r="89">
          <cell r="B89" t="str">
            <v>JSブロック</v>
          </cell>
          <cell r="C89">
            <v>1.25</v>
          </cell>
          <cell r="D89">
            <v>2109.1999999999998</v>
          </cell>
          <cell r="E89">
            <v>2279</v>
          </cell>
        </row>
        <row r="90">
          <cell r="B90" t="str">
            <v>RB　MT無し</v>
          </cell>
          <cell r="C90">
            <v>1.1599999999999999</v>
          </cell>
          <cell r="D90">
            <v>2351.1</v>
          </cell>
          <cell r="E90">
            <v>0</v>
          </cell>
        </row>
        <row r="91">
          <cell r="B91" t="str">
            <v>RBラミネート</v>
          </cell>
          <cell r="C91">
            <v>1.1599999999999999</v>
          </cell>
          <cell r="D91">
            <v>2351.1</v>
          </cell>
          <cell r="E91">
            <v>1127.0983213429256</v>
          </cell>
        </row>
        <row r="92">
          <cell r="B92" t="str">
            <v>RB圧延</v>
          </cell>
          <cell r="C92">
            <v>1.1599999999999999</v>
          </cell>
          <cell r="D92">
            <v>2351.1</v>
          </cell>
          <cell r="E92">
            <v>511.48851148851151</v>
          </cell>
        </row>
        <row r="93">
          <cell r="B93" t="str">
            <v>RB束取</v>
          </cell>
          <cell r="C93">
            <v>1.1599999999999999</v>
          </cell>
          <cell r="D93">
            <v>2351.1</v>
          </cell>
          <cell r="E93">
            <v>2151.6</v>
          </cell>
        </row>
        <row r="94">
          <cell r="B94" t="str">
            <v>RC</v>
          </cell>
          <cell r="C94">
            <v>1.25</v>
          </cell>
          <cell r="D94">
            <v>1965.8</v>
          </cell>
          <cell r="E94">
            <v>2734.8</v>
          </cell>
        </row>
        <row r="95">
          <cell r="B95" t="str">
            <v>再検査</v>
          </cell>
          <cell r="C95">
            <v>1</v>
          </cell>
          <cell r="D95">
            <v>0</v>
          </cell>
          <cell r="E95">
            <v>2214.6999999999998</v>
          </cell>
        </row>
        <row r="96">
          <cell r="B96" t="str">
            <v>杉本電装（内作）</v>
          </cell>
          <cell r="C96">
            <v>1</v>
          </cell>
          <cell r="D96">
            <v>0</v>
          </cell>
          <cell r="E96">
            <v>973.3</v>
          </cell>
        </row>
        <row r="97">
          <cell r="B97" t="str">
            <v>保田産業（内作）</v>
          </cell>
          <cell r="C97">
            <v>1</v>
          </cell>
          <cell r="D97">
            <v>0</v>
          </cell>
          <cell r="E97">
            <v>1467.8</v>
          </cell>
        </row>
        <row r="98">
          <cell r="B98" t="str">
            <v>&lt;手入力用_1&gt;</v>
          </cell>
        </row>
        <row r="99">
          <cell r="B99" t="str">
            <v>&lt;手入力用_2&gt;</v>
          </cell>
        </row>
        <row r="100">
          <cell r="B100" t="str">
            <v>&lt;手入力用_3&gt;</v>
          </cell>
        </row>
        <row r="101">
          <cell r="B101" t="str">
            <v>&lt;手入力用_4&gt;</v>
          </cell>
        </row>
        <row r="102">
          <cell r="B102" t="str">
            <v>&lt;手入力用_5&gt;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プレス入力"/>
    </sheetNames>
    <sheetDataSet>
      <sheetData sheetId="0">
        <row r="69">
          <cell r="B69" t="str">
            <v>AE　MT無し</v>
          </cell>
          <cell r="C69">
            <v>1.29</v>
          </cell>
          <cell r="D69">
            <v>2256</v>
          </cell>
          <cell r="E69">
            <v>0</v>
          </cell>
        </row>
        <row r="70">
          <cell r="B70" t="str">
            <v>AE後工程</v>
          </cell>
          <cell r="C70">
            <v>1.29</v>
          </cell>
          <cell r="D70">
            <v>2256</v>
          </cell>
          <cell r="E70">
            <v>444.3</v>
          </cell>
        </row>
        <row r="71">
          <cell r="B71" t="str">
            <v>AE実装</v>
          </cell>
          <cell r="C71">
            <v>1.29</v>
          </cell>
          <cell r="D71">
            <v>2256</v>
          </cell>
          <cell r="E71">
            <v>5916.6</v>
          </cell>
          <cell r="H71" t="str">
            <v>ブロック</v>
          </cell>
          <cell r="I71">
            <v>0.10873368402812893</v>
          </cell>
          <cell r="J71">
            <v>0.10620942321336301</v>
          </cell>
          <cell r="K71">
            <v>9.9072381702695791E-2</v>
          </cell>
          <cell r="L71">
            <v>7.1370415106672197E-3</v>
          </cell>
        </row>
        <row r="72">
          <cell r="B72" t="str">
            <v>AH　MT無し</v>
          </cell>
          <cell r="C72">
            <v>1.26</v>
          </cell>
          <cell r="D72">
            <v>2160</v>
          </cell>
          <cell r="E72">
            <v>0</v>
          </cell>
          <cell r="H72" t="str">
            <v>SRC</v>
          </cell>
          <cell r="I72">
            <v>0.14691781963504247</v>
          </cell>
          <cell r="J72">
            <v>0.10012725101996002</v>
          </cell>
          <cell r="K72">
            <v>9.2990209509292807E-2</v>
          </cell>
          <cell r="L72">
            <v>7.1370415106672197E-3</v>
          </cell>
        </row>
        <row r="73">
          <cell r="B73" t="str">
            <v>AH多工程</v>
          </cell>
          <cell r="C73">
            <v>1.26</v>
          </cell>
          <cell r="D73">
            <v>2160</v>
          </cell>
          <cell r="E73">
            <v>3267.5</v>
          </cell>
          <cell r="H73" t="str">
            <v>コネクタ</v>
          </cell>
          <cell r="I73">
            <v>0.15191997084553735</v>
          </cell>
          <cell r="J73">
            <v>0.15975659144445623</v>
          </cell>
          <cell r="K73">
            <v>0.15261954993378901</v>
          </cell>
          <cell r="L73">
            <v>7.1370415106672197E-3</v>
          </cell>
        </row>
        <row r="74">
          <cell r="B74" t="str">
            <v>AH単発</v>
          </cell>
          <cell r="C74">
            <v>1.26</v>
          </cell>
          <cell r="D74">
            <v>2160</v>
          </cell>
          <cell r="E74">
            <v>1359.8</v>
          </cell>
          <cell r="H74" t="str">
            <v>電子部品</v>
          </cell>
          <cell r="I74">
            <v>0.12776448626690007</v>
          </cell>
          <cell r="J74">
            <v>0.10748490492857321</v>
          </cell>
          <cell r="K74">
            <v>0.100347863417906</v>
          </cell>
          <cell r="L74">
            <v>7.1370415106672197E-3</v>
          </cell>
        </row>
        <row r="75">
          <cell r="B75" t="str">
            <v>AM　MT無し</v>
          </cell>
          <cell r="C75">
            <v>1.23</v>
          </cell>
          <cell r="D75">
            <v>1998.9</v>
          </cell>
          <cell r="E75">
            <v>0</v>
          </cell>
          <cell r="H75" t="str">
            <v>スマコネ</v>
          </cell>
          <cell r="I75">
            <v>8.0383473021592142E-2</v>
          </cell>
          <cell r="J75">
            <v>9.7183588744586519E-2</v>
          </cell>
          <cell r="K75">
            <v>9.0046547233919305E-2</v>
          </cell>
          <cell r="L75">
            <v>7.1370415106672197E-3</v>
          </cell>
        </row>
        <row r="76">
          <cell r="B76" t="str">
            <v>AM組立</v>
          </cell>
          <cell r="C76">
            <v>1.23</v>
          </cell>
          <cell r="D76">
            <v>1998.9</v>
          </cell>
          <cell r="E76">
            <v>1471.5</v>
          </cell>
          <cell r="H76" t="str">
            <v>アンテナ</v>
          </cell>
          <cell r="I76">
            <v>0.26533659300296641</v>
          </cell>
          <cell r="J76">
            <v>0</v>
          </cell>
          <cell r="K76">
            <v>0</v>
          </cell>
          <cell r="L76">
            <v>0</v>
          </cell>
        </row>
        <row r="77">
          <cell r="B77" t="str">
            <v>AS　MT無し</v>
          </cell>
          <cell r="C77">
            <v>1.59</v>
          </cell>
          <cell r="D77">
            <v>1848.5</v>
          </cell>
          <cell r="E77">
            <v>0</v>
          </cell>
          <cell r="H77" t="str">
            <v>その他</v>
          </cell>
          <cell r="I77">
            <v>0.12776448626690007</v>
          </cell>
          <cell r="J77">
            <v>0.10748490492857321</v>
          </cell>
          <cell r="K77">
            <v>0.100347863417906</v>
          </cell>
          <cell r="L77">
            <v>7.1370415106672197E-3</v>
          </cell>
        </row>
        <row r="78">
          <cell r="B78" t="str">
            <v>AS多工程</v>
          </cell>
          <cell r="C78">
            <v>1.59</v>
          </cell>
          <cell r="D78">
            <v>1848.5</v>
          </cell>
          <cell r="E78">
            <v>1179</v>
          </cell>
        </row>
        <row r="79">
          <cell r="B79" t="str">
            <v>AS単発</v>
          </cell>
          <cell r="C79">
            <v>1.59</v>
          </cell>
          <cell r="D79">
            <v>1848.5</v>
          </cell>
          <cell r="E79">
            <v>1179</v>
          </cell>
        </row>
        <row r="80">
          <cell r="B80" t="str">
            <v>JB MT無し</v>
          </cell>
          <cell r="C80">
            <v>1.29</v>
          </cell>
          <cell r="D80">
            <v>2931.1</v>
          </cell>
          <cell r="E80">
            <v>0</v>
          </cell>
        </row>
        <row r="81">
          <cell r="B81" t="str">
            <v>JB成形</v>
          </cell>
          <cell r="C81">
            <v>1.29</v>
          </cell>
          <cell r="D81">
            <v>2931.1</v>
          </cell>
          <cell r="E81">
            <v>1781.2</v>
          </cell>
        </row>
        <row r="82">
          <cell r="B82" t="str">
            <v>JC旧成形</v>
          </cell>
          <cell r="C82">
            <v>1.19</v>
          </cell>
          <cell r="D82">
            <v>2598.9</v>
          </cell>
          <cell r="E82">
            <v>1155.5999999999999</v>
          </cell>
        </row>
        <row r="83">
          <cell r="B83" t="str">
            <v>JC新成形</v>
          </cell>
          <cell r="C83">
            <v>1.19</v>
          </cell>
          <cell r="D83">
            <v>2598.9</v>
          </cell>
          <cell r="E83">
            <v>1292.3</v>
          </cell>
        </row>
        <row r="84">
          <cell r="B84" t="str">
            <v>JP400トンプレス</v>
          </cell>
          <cell r="C84">
            <v>1.18</v>
          </cell>
          <cell r="D84">
            <v>2435.6999999999998</v>
          </cell>
          <cell r="E84">
            <v>6685.6</v>
          </cell>
        </row>
        <row r="85">
          <cell r="B85" t="str">
            <v>JP高速プレス</v>
          </cell>
          <cell r="C85">
            <v>1.18</v>
          </cell>
          <cell r="D85">
            <v>2435.6999999999998</v>
          </cell>
          <cell r="E85">
            <v>3729.4</v>
          </cell>
        </row>
        <row r="86">
          <cell r="B86" t="str">
            <v>JP積層プレス</v>
          </cell>
          <cell r="C86">
            <v>1.18</v>
          </cell>
          <cell r="D86">
            <v>2435.6999999999998</v>
          </cell>
          <cell r="E86">
            <v>3360</v>
          </cell>
        </row>
        <row r="87">
          <cell r="B87" t="str">
            <v>JS　MT無し</v>
          </cell>
          <cell r="C87">
            <v>1.25</v>
          </cell>
          <cell r="D87">
            <v>2109.1999999999998</v>
          </cell>
          <cell r="E87">
            <v>0</v>
          </cell>
        </row>
        <row r="88">
          <cell r="B88" t="str">
            <v>JSコネクタ二次加工</v>
          </cell>
          <cell r="C88">
            <v>1.25</v>
          </cell>
          <cell r="D88">
            <v>2109.1999999999998</v>
          </cell>
          <cell r="E88">
            <v>461.9</v>
          </cell>
        </row>
        <row r="89">
          <cell r="B89" t="str">
            <v>JSブロック</v>
          </cell>
          <cell r="C89">
            <v>1.25</v>
          </cell>
          <cell r="D89">
            <v>2109.1999999999998</v>
          </cell>
          <cell r="E89">
            <v>2279</v>
          </cell>
        </row>
        <row r="90">
          <cell r="B90" t="str">
            <v>RB　MT無し</v>
          </cell>
          <cell r="C90">
            <v>1.1599999999999999</v>
          </cell>
          <cell r="D90">
            <v>2351.1</v>
          </cell>
          <cell r="E90">
            <v>0</v>
          </cell>
        </row>
        <row r="91">
          <cell r="B91" t="str">
            <v>RBラミネート</v>
          </cell>
          <cell r="C91">
            <v>1.1599999999999999</v>
          </cell>
          <cell r="D91">
            <v>2351.1</v>
          </cell>
          <cell r="E91">
            <v>1127.0983213429256</v>
          </cell>
        </row>
        <row r="92">
          <cell r="B92" t="str">
            <v>RB圧延</v>
          </cell>
          <cell r="C92">
            <v>1.1599999999999999</v>
          </cell>
          <cell r="D92">
            <v>2351.1</v>
          </cell>
          <cell r="E92">
            <v>511.48851148851151</v>
          </cell>
        </row>
        <row r="93">
          <cell r="B93" t="str">
            <v>RB束取</v>
          </cell>
          <cell r="C93">
            <v>1.1599999999999999</v>
          </cell>
          <cell r="D93">
            <v>2351.1</v>
          </cell>
          <cell r="E93">
            <v>2151.6</v>
          </cell>
        </row>
        <row r="94">
          <cell r="B94" t="str">
            <v>RC</v>
          </cell>
          <cell r="C94">
            <v>1.25</v>
          </cell>
          <cell r="D94">
            <v>1965.8</v>
          </cell>
          <cell r="E94">
            <v>2734.8</v>
          </cell>
        </row>
        <row r="95">
          <cell r="B95" t="str">
            <v>再検査</v>
          </cell>
          <cell r="C95">
            <v>1</v>
          </cell>
          <cell r="D95">
            <v>0</v>
          </cell>
          <cell r="E95">
            <v>2214.6999999999998</v>
          </cell>
        </row>
        <row r="96">
          <cell r="B96" t="str">
            <v>杉本電装（内作）</v>
          </cell>
          <cell r="C96">
            <v>1</v>
          </cell>
          <cell r="D96">
            <v>0</v>
          </cell>
          <cell r="E96">
            <v>973.3</v>
          </cell>
        </row>
        <row r="97">
          <cell r="B97" t="str">
            <v>保田産業（内作）</v>
          </cell>
          <cell r="C97">
            <v>1</v>
          </cell>
          <cell r="D97">
            <v>0</v>
          </cell>
          <cell r="E97">
            <v>1467.8</v>
          </cell>
        </row>
        <row r="98">
          <cell r="B98" t="str">
            <v>&lt;手入力用_1&gt;</v>
          </cell>
        </row>
        <row r="99">
          <cell r="B99" t="str">
            <v>&lt;手入力用_2&gt;</v>
          </cell>
        </row>
        <row r="100">
          <cell r="B100" t="str">
            <v>&lt;手入力用_3&gt;</v>
          </cell>
        </row>
        <row r="101">
          <cell r="B101" t="str">
            <v>&lt;手入力用_4&gt;</v>
          </cell>
        </row>
        <row r="102">
          <cell r="B102" t="str">
            <v>&lt;手入力用_5&gt;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SS0.3F"/>
      <sheetName val="AVSS0.5F"/>
      <sheetName val="AVSS0.75F"/>
      <sheetName val="AVSS1.25Ｆ"/>
      <sheetName val="AVSS2F"/>
      <sheetName val="AVSS0.3"/>
      <sheetName val="AVSS0.5"/>
      <sheetName val="AVSS0.85"/>
      <sheetName val="AVSS1.25"/>
      <sheetName val="AVS0.5"/>
      <sheetName val="AVS0.85"/>
      <sheetName val="AVS1.25"/>
      <sheetName val="AVS2"/>
      <sheetName val="AVS3"/>
      <sheetName val="AVS5"/>
      <sheetName val="AVS8"/>
      <sheetName val="AVS10"/>
      <sheetName val="AVS15"/>
      <sheetName val="AV0.3F"/>
      <sheetName val="AV0.5F"/>
      <sheetName val="AV0.75F"/>
      <sheetName val="AV1.25F"/>
      <sheetName val="AV2F"/>
      <sheetName val="AV0.3"/>
      <sheetName val="AV0.5"/>
      <sheetName val="AV0.85"/>
      <sheetName val="AV1.25"/>
      <sheetName val="AV2"/>
      <sheetName val="AV3"/>
      <sheetName val="AV5"/>
      <sheetName val="AV8"/>
      <sheetName val="AV10"/>
      <sheetName val="AV15"/>
      <sheetName val="AV20"/>
      <sheetName val="AV30"/>
      <sheetName val="AV40"/>
      <sheetName val="AV50"/>
      <sheetName val="Sheet1"/>
      <sheetName val="標準単価ﾏｽﾀ"/>
      <sheetName val="発煙特性ｸﾞﾗﾌﾃﾞｰﾀ"/>
      <sheetName val="費用明細-ASSY盤"/>
      <sheetName val="費用明細-導通盤"/>
      <sheetName val="ＣＡＭＹ　ＭⅢ"/>
      <sheetName val="ﾊﾟｲﾌﾟ"/>
      <sheetName val="他材料費"/>
      <sheetName val="冷延鋼板"/>
      <sheetName val="熱延鋼板"/>
      <sheetName val="ｺｰﾄﾞ"/>
      <sheetName val="液圧拡張ｺｽﾄ比較"/>
      <sheetName val="申請書２"/>
      <sheetName val="ES4"/>
      <sheetName val="MPL 技連"/>
      <sheetName val="342E BLOCK"/>
      <sheetName val="工数集計"/>
      <sheetName val="MOTO"/>
      <sheetName val="X02A (DF) TERMINAL LIST"/>
      <sheetName val="Source"/>
      <sheetName val="RFQ"/>
      <sheetName val="リスト"/>
      <sheetName val="計算DATA"/>
      <sheetName val="原材料_Gr別在庫履歴のクロス集計"/>
      <sheetName val="スコアカード (2)"/>
      <sheetName val="費用明細_ASSY盤"/>
      <sheetName val="費用明細_導通盤"/>
      <sheetName val="評価単価明細"/>
      <sheetName val="リスト2"/>
      <sheetName val="単価リスト1"/>
      <sheetName val="WJ素材費"/>
      <sheetName val="P5P諸元"/>
      <sheetName val="04年度長期操業予測_数量_0412月3発反映"/>
      <sheetName val="電線早見表"/>
      <sheetName val="県別ﾏﾙﾁ"/>
      <sheetName val="サイン・経歴記入欄"/>
      <sheetName val="ﾃｽﾄﾃﾞｰﾀｰ日本用"/>
      <sheetName val="94登録"/>
      <sheetName val="３発デ－タ"/>
      <sheetName val="経費推移"/>
      <sheetName val="前後の山積表"/>
      <sheetName val="CHHS AVSS6"/>
      <sheetName val="ﾟ発表No 1"/>
      <sheetName val="条件表"/>
      <sheetName val="部門ﾏｽﾀｰ"/>
      <sheetName val="SCH"/>
      <sheetName val="特殊線のｺｱ線種名挿入のクロス集計"/>
      <sheetName val="CHART COST n GM"/>
      <sheetName val="月次データ"/>
      <sheetName val="６２３Ｔ"/>
      <sheetName val="4-m sheets"/>
      <sheetName val="Ramp-up"/>
      <sheetName val="Summary"/>
      <sheetName val="งบทดลอง - ต.ค.2547"/>
      <sheetName val="クエリ2"/>
      <sheetName val="3ﾄﾗﾝｸ閉まり"/>
      <sheetName val="週数量"/>
      <sheetName val="車両仕様"/>
      <sheetName val="DATE"/>
      <sheetName val="主要WH売上"/>
      <sheetName val="DOM-競合車SPEC"/>
      <sheetName val="箔Data"/>
      <sheetName val="軽戦略YOSHIMA"/>
      <sheetName val="ﾛｲ"/>
      <sheetName val="定量化結果"/>
      <sheetName val="工数海外比率"/>
      <sheetName val="作業場"/>
      <sheetName val="班部番別"/>
      <sheetName val="総括"/>
      <sheetName val="購入実績M"/>
      <sheetName val="元データ"/>
      <sheetName val="圧着条件"/>
      <sheetName val="ﾏﾙﾁ回路"/>
      <sheetName val="ＭⅢ"/>
      <sheetName val="9加締め部抵抗"/>
      <sheetName val="出荷指示書"/>
      <sheetName val="指示数入力"/>
      <sheetName val="原紙_原価積算"/>
      <sheetName val="11月"/>
      <sheetName val="A"/>
      <sheetName val="ﾘﾝｸﾃﾞｰﾀ"/>
      <sheetName val="日程"/>
      <sheetName val="進め方"/>
      <sheetName val="営業部"/>
      <sheetName val="入力規則"/>
      <sheetName val="#REF"/>
      <sheetName val="工数(MC Calib.)"/>
      <sheetName val="静ﾊﾟﾀﾝ分析"/>
      <sheetName val="テスト"/>
      <sheetName val="評価試験依頼書"/>
      <sheetName val="評価試験依頼書_本体"/>
      <sheetName val="不具合再発防止対策書 "/>
      <sheetName val="ﾒｰｶｰ名"/>
      <sheetName val="データー"/>
      <sheetName val="Sheet2"/>
      <sheetName val="検索･参照"/>
      <sheetName val="投資ﾌｫﾛｰ"/>
      <sheetName val="４-1．設備・治工具導入管理表"/>
      <sheetName val="①"/>
      <sheetName val="OperBal"/>
      <sheetName val="原紙"/>
      <sheetName val="ｶﾞﾗｽ円環 直材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>
        <row r="39">
          <cell r="F39">
            <v>141.00671313805992</v>
          </cell>
        </row>
        <row r="40">
          <cell r="F40">
            <v>115.50991148829594</v>
          </cell>
        </row>
        <row r="41">
          <cell r="F41">
            <v>100.36258117696151</v>
          </cell>
        </row>
        <row r="42">
          <cell r="F42">
            <v>90.060759156058793</v>
          </cell>
        </row>
        <row r="43">
          <cell r="F43">
            <v>82.482272305443715</v>
          </cell>
        </row>
        <row r="44">
          <cell r="F44">
            <v>76.612512864038933</v>
          </cell>
        </row>
        <row r="45">
          <cell r="F45">
            <v>71.897380612225177</v>
          </cell>
        </row>
        <row r="46">
          <cell r="F46">
            <v>68.005336089695518</v>
          </cell>
        </row>
        <row r="47">
          <cell r="F47">
            <v>64.724287799161772</v>
          </cell>
        </row>
        <row r="48">
          <cell r="F48">
            <v>61.911428213595791</v>
          </cell>
        </row>
        <row r="49">
          <cell r="F49">
            <v>59.466623281974123</v>
          </cell>
        </row>
        <row r="50">
          <cell r="F50">
            <v>57.317311766822137</v>
          </cell>
        </row>
        <row r="51">
          <cell r="F51">
            <v>55.409459312351842</v>
          </cell>
        </row>
        <row r="52">
          <cell r="F52">
            <v>53.701892949950683</v>
          </cell>
        </row>
        <row r="53">
          <cell r="F53">
            <v>52.162618060929191</v>
          </cell>
        </row>
        <row r="54">
          <cell r="F54">
            <v>50.766347028236801</v>
          </cell>
        </row>
        <row r="55">
          <cell r="F55">
            <v>49.492795077471271</v>
          </cell>
        </row>
        <row r="56">
          <cell r="F56">
            <v>48.325476905361725</v>
          </cell>
        </row>
        <row r="57">
          <cell r="F57">
            <v>47.250839017427673</v>
          </cell>
        </row>
        <row r="58">
          <cell r="F58">
            <v>39.802199073760171</v>
          </cell>
        </row>
        <row r="59">
          <cell r="F59">
            <v>35.535968948139541</v>
          </cell>
        </row>
        <row r="60">
          <cell r="F60">
            <v>32.744080194987099</v>
          </cell>
        </row>
        <row r="61">
          <cell r="F61">
            <v>30.771834671712934</v>
          </cell>
        </row>
        <row r="62">
          <cell r="F62">
            <v>29.307966470275897</v>
          </cell>
        </row>
        <row r="63">
          <cell r="F63">
            <v>28.183390633403786</v>
          </cell>
        </row>
        <row r="64">
          <cell r="F64">
            <v>27.297454694462616</v>
          </cell>
        </row>
        <row r="65">
          <cell r="F65">
            <v>26.586089164824667</v>
          </cell>
        </row>
        <row r="66">
          <cell r="F66">
            <v>26.006364648806358</v>
          </cell>
        </row>
        <row r="67">
          <cell r="F67">
            <v>25.528326724732022</v>
          </cell>
        </row>
        <row r="68">
          <cell r="F68">
            <v>25.130377351390234</v>
          </cell>
        </row>
        <row r="69">
          <cell r="F69">
            <v>24.79651676330618</v>
          </cell>
        </row>
        <row r="70">
          <cell r="F70">
            <v>24.514621239750102</v>
          </cell>
        </row>
        <row r="71">
          <cell r="F71">
            <v>24.275326691308344</v>
          </cell>
        </row>
        <row r="72">
          <cell r="F72">
            <v>24.071281510477185</v>
          </cell>
        </row>
        <row r="73">
          <cell r="F73">
            <v>23.896632587764586</v>
          </cell>
        </row>
        <row r="74">
          <cell r="F74">
            <v>23.746663119268877</v>
          </cell>
        </row>
        <row r="75">
          <cell r="F75">
            <v>23.617531903004391</v>
          </cell>
        </row>
        <row r="76">
          <cell r="F76">
            <v>22.979128310748816</v>
          </cell>
        </row>
        <row r="77">
          <cell r="F77">
            <v>22.817139560995784</v>
          </cell>
        </row>
        <row r="78">
          <cell r="F78">
            <v>22.77443542531358</v>
          </cell>
        </row>
        <row r="79">
          <cell r="F79">
            <v>22.76306606826012</v>
          </cell>
        </row>
        <row r="80">
          <cell r="F80">
            <v>22.760031232300086</v>
          </cell>
        </row>
        <row r="81">
          <cell r="F81">
            <v>22.759220576277571</v>
          </cell>
        </row>
        <row r="82">
          <cell r="F82">
            <v>22.759003996120995</v>
          </cell>
        </row>
        <row r="83">
          <cell r="F83">
            <v>22.758946130281249</v>
          </cell>
        </row>
        <row r="84">
          <cell r="F84">
            <v>22.758930669493669</v>
          </cell>
        </row>
        <row r="85">
          <cell r="F85">
            <v>22.758926538614375</v>
          </cell>
        </row>
        <row r="86">
          <cell r="F86">
            <v>22.758925434907351</v>
          </cell>
        </row>
        <row r="87">
          <cell r="F87">
            <v>22.75892514001384</v>
          </cell>
        </row>
        <row r="88">
          <cell r="F88">
            <v>22.758925061222829</v>
          </cell>
        </row>
        <row r="89">
          <cell r="F89">
            <v>22.758925040171082</v>
          </cell>
        </row>
        <row r="90">
          <cell r="F90">
            <v>22.75892503454638</v>
          </cell>
        </row>
        <row r="91">
          <cell r="F91">
            <v>22.758925033043546</v>
          </cell>
        </row>
        <row r="92">
          <cell r="F92">
            <v>22.758925032642015</v>
          </cell>
        </row>
        <row r="93">
          <cell r="F93">
            <v>22.758925032534727</v>
          </cell>
        </row>
      </sheetData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ﾌｫﾛｰ表"/>
      <sheetName val="ｸﾞﾗﾌ"/>
      <sheetName val="経費推移"/>
      <sheetName val="依頼月別発注実績"/>
      <sheetName val="生産性向上（下期）"/>
      <sheetName val="ﾈｼﾞ締改善前"/>
      <sheetName val="ﾈｼﾞ締改善後"/>
      <sheetName val="ﾈｼﾞ締ﾁｮｺ停"/>
      <sheetName val="加工ﾎﾞｰﾄﾞ1"/>
      <sheetName val="加工ﾎﾞｰﾄﾞ2"/>
      <sheetName val="条件表"/>
      <sheetName val="購入実績M"/>
      <sheetName val="標準単価ﾏｽﾀ"/>
      <sheetName val="原紙_原価積算"/>
      <sheetName val="ﾃﾞｰﾀﾍﾞｰｽ"/>
      <sheetName val="ﾃｽﾄﾃﾞｰﾀｰ日本用"/>
      <sheetName val="WJ素材費"/>
      <sheetName val="原価低減推進ﾌｫﾛｰ('04年度"/>
      <sheetName val="製検"/>
      <sheetName val="スコアカード (2)"/>
      <sheetName val="出荷指示書"/>
      <sheetName val="指示数入力"/>
      <sheetName val="コード表"/>
      <sheetName val="軽戦略YOSHIMA"/>
      <sheetName val="ｺｰﾄﾞ"/>
      <sheetName val="営業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購入実績M"/>
      <sheetName val="購入実績E"/>
      <sheetName val="購入実績K"/>
      <sheetName val="費用明細-ASSY盤"/>
      <sheetName val="費用明細-導通盤"/>
      <sheetName val="コード表"/>
      <sheetName val="Sheet1"/>
      <sheetName val="プレス入力"/>
      <sheetName val="購入実績"/>
      <sheetName val="スコアカード (2)"/>
      <sheetName val="Backデータ2"/>
      <sheetName val="申請書２"/>
      <sheetName val="ｺｰﾄﾞ"/>
      <sheetName val="原材料_Gr別在庫履歴のクロス集計"/>
      <sheetName val="ＣＡＭＹ　ＭⅢ"/>
      <sheetName val="月次データ"/>
      <sheetName val="ﾏﾙﾁ回路"/>
      <sheetName val="クエリ3"/>
    </sheetNames>
    <sheetDataSet>
      <sheetData sheetId="0" refreshError="1">
        <row r="4">
          <cell r="A4" t="str">
            <v>件名／品名</v>
          </cell>
          <cell r="B4" t="str">
            <v>仕様</v>
          </cell>
          <cell r="C4" t="str">
            <v>メーカー</v>
          </cell>
          <cell r="D4" t="str">
            <v>数量</v>
          </cell>
          <cell r="E4" t="str">
            <v>単位</v>
          </cell>
          <cell r="F4" t="str">
            <v>単価</v>
          </cell>
          <cell r="G4" t="str">
            <v>納入金額</v>
          </cell>
        </row>
        <row r="5">
          <cell r="A5" t="str">
            <v>超音波プラスチックウェルダ　ホーン</v>
          </cell>
          <cell r="B5" t="str">
            <v>ﾐﾆｳｪﾙﾀﾞ P128-H用 ﾎｰﾝ刻印47H-929</v>
          </cell>
          <cell r="C5" t="str">
            <v>超音波工業(株)</v>
          </cell>
          <cell r="D5">
            <v>1</v>
          </cell>
          <cell r="E5" t="str">
            <v>本</v>
          </cell>
          <cell r="F5">
            <v>49000</v>
          </cell>
          <cell r="G5">
            <v>49000</v>
          </cell>
        </row>
        <row r="6">
          <cell r="A6" t="str">
            <v>ショックアブソーバ</v>
          </cell>
          <cell r="B6" t="str">
            <v>KBM10-30-16</v>
          </cell>
          <cell r="C6" t="str">
            <v>カヤバ工業（株）</v>
          </cell>
          <cell r="D6">
            <v>1</v>
          </cell>
          <cell r="E6" t="str">
            <v>本</v>
          </cell>
          <cell r="F6">
            <v>17000</v>
          </cell>
          <cell r="G6">
            <v>17000</v>
          </cell>
        </row>
        <row r="7">
          <cell r="A7" t="str">
            <v>射出ラム　パッキン類</v>
          </cell>
          <cell r="B7" t="str">
            <v>FS210S50ASE(S/N S21G027)用</v>
          </cell>
          <cell r="C7" t="str">
            <v>日精樹脂工業(株)</v>
          </cell>
          <cell r="D7">
            <v>1</v>
          </cell>
          <cell r="E7" t="str">
            <v>式</v>
          </cell>
          <cell r="G7">
            <v>14000</v>
          </cell>
        </row>
        <row r="8">
          <cell r="A8" t="str">
            <v>射出ラム　パッキン類</v>
          </cell>
          <cell r="B8" t="str">
            <v>AR-150 ｶｰﾎﾞﾝｲﾘPTFE</v>
          </cell>
          <cell r="D8">
            <v>1</v>
          </cell>
          <cell r="E8" t="str">
            <v>本</v>
          </cell>
          <cell r="F8">
            <v>8650</v>
          </cell>
        </row>
        <row r="9">
          <cell r="A9" t="str">
            <v>射出ラム　パッキン類</v>
          </cell>
          <cell r="B9" t="str">
            <v>P-UHR150 X163X7.5 ﾄｸ TP</v>
          </cell>
          <cell r="D9">
            <v>1</v>
          </cell>
          <cell r="E9" t="str">
            <v>本</v>
          </cell>
          <cell r="F9">
            <v>4480</v>
          </cell>
        </row>
        <row r="10">
          <cell r="A10" t="str">
            <v>射出ラム　パッキン類</v>
          </cell>
          <cell r="B10" t="str">
            <v>G180 JIS B2401-1B</v>
          </cell>
          <cell r="D10">
            <v>1</v>
          </cell>
          <cell r="E10" t="str">
            <v>本</v>
          </cell>
          <cell r="F10">
            <v>420</v>
          </cell>
        </row>
        <row r="11">
          <cell r="A11" t="str">
            <v>ロータリエンコーダ</v>
          </cell>
          <cell r="B11" t="str">
            <v>E6B-CWZ3E 500P/R</v>
          </cell>
          <cell r="C11" t="str">
            <v>オムロン(株)</v>
          </cell>
          <cell r="D11">
            <v>1</v>
          </cell>
          <cell r="E11" t="str">
            <v>個</v>
          </cell>
          <cell r="F11">
            <v>8600</v>
          </cell>
          <cell r="G11">
            <v>8600</v>
          </cell>
        </row>
        <row r="12">
          <cell r="A12" t="str">
            <v>リングジョイント</v>
          </cell>
          <cell r="B12" t="str">
            <v>EA426AG-28</v>
          </cell>
          <cell r="C12" t="str">
            <v>(株)エスコ</v>
          </cell>
          <cell r="D12">
            <v>6</v>
          </cell>
          <cell r="E12" t="str">
            <v>個</v>
          </cell>
          <cell r="F12">
            <v>249</v>
          </cell>
          <cell r="G12">
            <v>4476</v>
          </cell>
        </row>
        <row r="13">
          <cell r="A13" t="str">
            <v>リングエルボ</v>
          </cell>
          <cell r="B13" t="str">
            <v>EA426AH-28</v>
          </cell>
          <cell r="C13" t="str">
            <v>(株)エスコ</v>
          </cell>
          <cell r="D13">
            <v>6</v>
          </cell>
          <cell r="E13" t="str">
            <v>個</v>
          </cell>
          <cell r="F13">
            <v>497</v>
          </cell>
        </row>
        <row r="14">
          <cell r="A14" t="str">
            <v>エアスライドテーブル</v>
          </cell>
          <cell r="B14" t="str">
            <v>MXP10-10</v>
          </cell>
          <cell r="C14" t="str">
            <v>ＳＭＣ(株)</v>
          </cell>
          <cell r="D14">
            <v>1</v>
          </cell>
          <cell r="E14" t="str">
            <v>個</v>
          </cell>
          <cell r="F14">
            <v>12920</v>
          </cell>
          <cell r="G14">
            <v>12920</v>
          </cell>
        </row>
        <row r="15">
          <cell r="A15" t="str">
            <v>固定刃</v>
          </cell>
          <cell r="B15" t="str">
            <v>図番MQD77AM342△1</v>
          </cell>
          <cell r="C15" t="str">
            <v>古河電気工業(株)</v>
          </cell>
          <cell r="D15">
            <v>1</v>
          </cell>
          <cell r="E15" t="str">
            <v>個</v>
          </cell>
          <cell r="F15">
            <v>26500</v>
          </cell>
          <cell r="G15">
            <v>26500</v>
          </cell>
        </row>
        <row r="16">
          <cell r="A16" t="str">
            <v>可動刃</v>
          </cell>
          <cell r="B16" t="str">
            <v>図番MQD77AM341△1</v>
          </cell>
          <cell r="C16" t="str">
            <v>古河電気工業(株)</v>
          </cell>
          <cell r="D16">
            <v>1</v>
          </cell>
          <cell r="E16" t="str">
            <v>個</v>
          </cell>
          <cell r="F16">
            <v>21000</v>
          </cell>
          <cell r="G16">
            <v>21000</v>
          </cell>
        </row>
        <row r="17">
          <cell r="A17" t="str">
            <v>ツメ</v>
          </cell>
          <cell r="B17" t="str">
            <v>図番K3801-H01-011</v>
          </cell>
          <cell r="C17" t="str">
            <v>(株)ヒカリ</v>
          </cell>
          <cell r="D17">
            <v>2</v>
          </cell>
          <cell r="E17" t="str">
            <v>本</v>
          </cell>
          <cell r="F17">
            <v>26500</v>
          </cell>
          <cell r="G17">
            <v>53000</v>
          </cell>
        </row>
        <row r="18">
          <cell r="A18" t="str">
            <v>クラッチソレノイドバルブ用マフラー</v>
          </cell>
          <cell r="B18" t="str">
            <v>ASL-08</v>
          </cell>
          <cell r="C18" t="str">
            <v>豊興工業(株)</v>
          </cell>
          <cell r="D18">
            <v>2</v>
          </cell>
          <cell r="E18" t="str">
            <v>個</v>
          </cell>
          <cell r="F18">
            <v>1850</v>
          </cell>
          <cell r="G18">
            <v>3700</v>
          </cell>
        </row>
        <row r="19">
          <cell r="A19" t="str">
            <v>浄油機エレメント</v>
          </cell>
          <cell r="B19" t="str">
            <v>FE80S9E用 TR-2023</v>
          </cell>
          <cell r="C19" t="str">
            <v>日精樹脂工業(株)</v>
          </cell>
          <cell r="D19">
            <v>2</v>
          </cell>
          <cell r="E19" t="str">
            <v>個</v>
          </cell>
          <cell r="F19">
            <v>2350</v>
          </cell>
          <cell r="G19">
            <v>4700</v>
          </cell>
        </row>
        <row r="20">
          <cell r="A20" t="str">
            <v>ロータリアクチュエータ</v>
          </cell>
          <cell r="B20" t="str">
            <v>CDRB2BW10-180S</v>
          </cell>
          <cell r="C20" t="str">
            <v>ＳＭＣ(株)</v>
          </cell>
          <cell r="D20">
            <v>1</v>
          </cell>
          <cell r="E20" t="str">
            <v>個</v>
          </cell>
          <cell r="F20">
            <v>9610</v>
          </cell>
          <cell r="G20">
            <v>9610</v>
          </cell>
        </row>
        <row r="21">
          <cell r="A21" t="str">
            <v>空圧バルブ</v>
          </cell>
          <cell r="B21" t="str">
            <v>4L2-4-FG-S3-M6</v>
          </cell>
          <cell r="C21" t="str">
            <v>ＣＫＤ(株)</v>
          </cell>
          <cell r="D21">
            <v>1</v>
          </cell>
          <cell r="E21" t="str">
            <v>個</v>
          </cell>
          <cell r="F21">
            <v>6500</v>
          </cell>
          <cell r="G21">
            <v>6500</v>
          </cell>
        </row>
        <row r="22">
          <cell r="A22" t="str">
            <v>ダイ２</v>
          </cell>
          <cell r="B22" t="str">
            <v>図番MQ-TJB11-M07803-E306-02</v>
          </cell>
          <cell r="C22" t="str">
            <v>古河電気工業(株)</v>
          </cell>
          <cell r="D22">
            <v>1</v>
          </cell>
          <cell r="E22" t="str">
            <v>個</v>
          </cell>
          <cell r="F22">
            <v>85000</v>
          </cell>
          <cell r="G22">
            <v>85000</v>
          </cell>
        </row>
        <row r="23">
          <cell r="A23" t="str">
            <v>搬送用ベルト</v>
          </cell>
          <cell r="B23" t="str">
            <v>GU-7ANL 250×5225E</v>
          </cell>
          <cell r="C23" t="str">
            <v>ニッタ(株)</v>
          </cell>
          <cell r="D23">
            <v>1</v>
          </cell>
          <cell r="E23" t="str">
            <v>本</v>
          </cell>
          <cell r="F23">
            <v>13500</v>
          </cell>
          <cell r="G23">
            <v>13500</v>
          </cell>
        </row>
        <row r="24">
          <cell r="A24" t="str">
            <v>タイミングベルト</v>
          </cell>
          <cell r="B24" t="str">
            <v>B150S5M375</v>
          </cell>
          <cell r="C24" t="str">
            <v>三ツ星ベルト(株)</v>
          </cell>
          <cell r="D24">
            <v>4</v>
          </cell>
          <cell r="E24" t="str">
            <v>本</v>
          </cell>
          <cell r="F24">
            <v>700</v>
          </cell>
          <cell r="G24">
            <v>2800</v>
          </cell>
        </row>
        <row r="25">
          <cell r="A25" t="str">
            <v>ロータリテーブル</v>
          </cell>
          <cell r="B25" t="str">
            <v>MDSUB7-90D</v>
          </cell>
          <cell r="C25" t="str">
            <v>ＳＭＣ(株)</v>
          </cell>
          <cell r="D25">
            <v>1</v>
          </cell>
          <cell r="E25" t="str">
            <v>個</v>
          </cell>
          <cell r="F25">
            <v>30440</v>
          </cell>
          <cell r="G25">
            <v>30440</v>
          </cell>
        </row>
        <row r="26">
          <cell r="A26" t="str">
            <v>標準三相モータ</v>
          </cell>
          <cell r="B26" t="str">
            <v>MRH8115M 3.7kw 4P 440V</v>
          </cell>
          <cell r="C26" t="str">
            <v>富士電機(株)</v>
          </cell>
          <cell r="D26">
            <v>1</v>
          </cell>
          <cell r="E26" t="str">
            <v>台</v>
          </cell>
          <cell r="F26">
            <v>25400</v>
          </cell>
          <cell r="G26">
            <v>25400</v>
          </cell>
        </row>
        <row r="27">
          <cell r="A27" t="str">
            <v>フローチェッカ</v>
          </cell>
          <cell r="B27" t="str">
            <v>FC-S40B-MNJS</v>
          </cell>
          <cell r="C27" t="str">
            <v>日精樹脂工業(株)</v>
          </cell>
          <cell r="D27">
            <v>2</v>
          </cell>
          <cell r="E27" t="str">
            <v>個</v>
          </cell>
          <cell r="F27">
            <v>13100</v>
          </cell>
          <cell r="G27">
            <v>26600</v>
          </cell>
        </row>
        <row r="28">
          <cell r="A28" t="str">
            <v>ベローズカップリングミニ</v>
          </cell>
          <cell r="B28" t="str">
            <v>BM4040F1-12×14</v>
          </cell>
          <cell r="C28" t="str">
            <v>(株)ツバキエマソン</v>
          </cell>
          <cell r="D28">
            <v>1</v>
          </cell>
          <cell r="E28" t="str">
            <v>個</v>
          </cell>
          <cell r="F28">
            <v>5000</v>
          </cell>
          <cell r="G28">
            <v>5000</v>
          </cell>
        </row>
        <row r="29">
          <cell r="A29" t="str">
            <v>サーモスタット</v>
          </cell>
          <cell r="B29" t="str">
            <v>P-V71-3002#02#003</v>
          </cell>
          <cell r="C29" t="str">
            <v>(株)神戸製鋼所</v>
          </cell>
          <cell r="D29">
            <v>1</v>
          </cell>
          <cell r="E29" t="str">
            <v>個</v>
          </cell>
          <cell r="F29">
            <v>13950</v>
          </cell>
          <cell r="G29">
            <v>13950</v>
          </cell>
        </row>
        <row r="30">
          <cell r="A30" t="str">
            <v>オンチョウベンシール</v>
          </cell>
          <cell r="B30" t="str">
            <v>P-V71-3002#02#004</v>
          </cell>
          <cell r="C30" t="str">
            <v>(株)神戸製鋼所</v>
          </cell>
          <cell r="D30">
            <v>2</v>
          </cell>
          <cell r="E30" t="str">
            <v>枚</v>
          </cell>
          <cell r="F30">
            <v>1350</v>
          </cell>
          <cell r="G30">
            <v>2700</v>
          </cell>
        </row>
        <row r="31">
          <cell r="A31" t="str">
            <v>油回収器エレメント</v>
          </cell>
          <cell r="B31" t="str">
            <v>P-CE03-521</v>
          </cell>
          <cell r="C31" t="str">
            <v>(株)神戸製鋼所</v>
          </cell>
          <cell r="D31">
            <v>1</v>
          </cell>
          <cell r="E31" t="str">
            <v>個</v>
          </cell>
          <cell r="F31">
            <v>31950</v>
          </cell>
          <cell r="G31">
            <v>31950</v>
          </cell>
        </row>
        <row r="32">
          <cell r="A32" t="str">
            <v>ソフトアブソーバー</v>
          </cell>
          <cell r="B32" t="str">
            <v>FWM-2530GBD-S</v>
          </cell>
          <cell r="C32" t="str">
            <v>不二ラテックス(株)</v>
          </cell>
          <cell r="D32">
            <v>1</v>
          </cell>
          <cell r="E32" t="str">
            <v>個</v>
          </cell>
          <cell r="F32">
            <v>6300</v>
          </cell>
          <cell r="G32">
            <v>6300</v>
          </cell>
        </row>
        <row r="33">
          <cell r="A33" t="str">
            <v>ベアリング</v>
          </cell>
          <cell r="B33" t="str">
            <v>6204ZZ</v>
          </cell>
          <cell r="C33" t="str">
            <v>光洋精工(株)</v>
          </cell>
          <cell r="D33">
            <v>4</v>
          </cell>
          <cell r="E33" t="str">
            <v>個</v>
          </cell>
          <cell r="F33">
            <v>189</v>
          </cell>
          <cell r="G33">
            <v>756</v>
          </cell>
        </row>
        <row r="34">
          <cell r="A34" t="str">
            <v>ユニオンパッキン</v>
          </cell>
          <cell r="B34" t="str">
            <v>3/4"用</v>
          </cell>
          <cell r="D34">
            <v>20</v>
          </cell>
          <cell r="E34" t="str">
            <v>枚</v>
          </cell>
          <cell r="F34">
            <v>18</v>
          </cell>
          <cell r="G34">
            <v>360</v>
          </cell>
        </row>
        <row r="35">
          <cell r="A35" t="str">
            <v>圧縮機油</v>
          </cell>
          <cell r="B35" t="str">
            <v>ﾌｪｱｺｰﾙRA32</v>
          </cell>
          <cell r="C35" t="str">
            <v>新日本石油(株)</v>
          </cell>
          <cell r="D35">
            <v>1</v>
          </cell>
          <cell r="E35" t="str">
            <v>缶</v>
          </cell>
          <cell r="F35">
            <v>3840</v>
          </cell>
          <cell r="G35">
            <v>3840</v>
          </cell>
        </row>
        <row r="36">
          <cell r="A36" t="str">
            <v>レジンボンドクロスベルト</v>
          </cell>
          <cell r="B36" t="str">
            <v>363A 粒度A-120X ｻｲｽﾞ100mm×915mm 10本入</v>
          </cell>
          <cell r="C36" t="str">
            <v>住友スリーエム(株)</v>
          </cell>
          <cell r="D36">
            <v>1</v>
          </cell>
          <cell r="E36" t="str">
            <v>箱</v>
          </cell>
          <cell r="F36">
            <v>4300</v>
          </cell>
          <cell r="G36">
            <v>4300</v>
          </cell>
        </row>
        <row r="37">
          <cell r="A37" t="str">
            <v>真空ユニット</v>
          </cell>
          <cell r="B37" t="str">
            <v>ZX1101-K15LZ-F</v>
          </cell>
          <cell r="C37" t="str">
            <v>ＳＭＣ(株)</v>
          </cell>
          <cell r="D37">
            <v>1</v>
          </cell>
          <cell r="E37" t="str">
            <v>個</v>
          </cell>
          <cell r="F37">
            <v>12680</v>
          </cell>
          <cell r="G37">
            <v>12680</v>
          </cell>
        </row>
        <row r="38">
          <cell r="A38" t="str">
            <v>ドライバビット</v>
          </cell>
          <cell r="B38" t="str">
            <v>SF51-2-120D</v>
          </cell>
          <cell r="C38" t="str">
            <v>日東精工(株)</v>
          </cell>
          <cell r="D38">
            <v>3</v>
          </cell>
          <cell r="E38" t="str">
            <v>本</v>
          </cell>
          <cell r="F38">
            <v>300</v>
          </cell>
          <cell r="G38">
            <v>3000</v>
          </cell>
        </row>
        <row r="39">
          <cell r="A39" t="str">
            <v>ストリッパ固定用パイロットパンチ</v>
          </cell>
          <cell r="B39" t="str">
            <v>TPTP2.5-14.0-P1.75-BC3.0</v>
          </cell>
          <cell r="C39" t="str">
            <v>(株)ミスミ</v>
          </cell>
          <cell r="D39">
            <v>5</v>
          </cell>
          <cell r="E39" t="str">
            <v>本</v>
          </cell>
          <cell r="F39">
            <v>1230</v>
          </cell>
          <cell r="G39">
            <v>6150</v>
          </cell>
        </row>
        <row r="40">
          <cell r="A40" t="str">
            <v>ストリッパ固定用パイロットパンチ</v>
          </cell>
          <cell r="B40" t="str">
            <v>TPTP2.5-14.0-P1.85-BC3.0</v>
          </cell>
          <cell r="C40" t="str">
            <v>(株)ミスミ</v>
          </cell>
          <cell r="D40">
            <v>5</v>
          </cell>
          <cell r="E40" t="str">
            <v>本</v>
          </cell>
          <cell r="F40">
            <v>1230</v>
          </cell>
          <cell r="G40">
            <v>6150</v>
          </cell>
        </row>
        <row r="41">
          <cell r="A41" t="str">
            <v>真空ユニット</v>
          </cell>
          <cell r="B41" t="str">
            <v>ZX1101-K15LZ-F</v>
          </cell>
          <cell r="C41" t="str">
            <v>ＳＭＣ(株)</v>
          </cell>
          <cell r="D41">
            <v>2</v>
          </cell>
          <cell r="E41" t="str">
            <v>個</v>
          </cell>
          <cell r="F41">
            <v>12680</v>
          </cell>
          <cell r="G41">
            <v>25360</v>
          </cell>
        </row>
        <row r="42">
          <cell r="A42" t="str">
            <v>型開閉バルブ　パッキン類</v>
          </cell>
          <cell r="C42" t="str">
            <v>住友重機械工業(株)</v>
          </cell>
          <cell r="D42">
            <v>2</v>
          </cell>
          <cell r="E42" t="str">
            <v>式</v>
          </cell>
          <cell r="G42">
            <v>13200</v>
          </cell>
        </row>
        <row r="43">
          <cell r="A43" t="str">
            <v>型開閉バルブ　パッキン類</v>
          </cell>
          <cell r="B43" t="str">
            <v>AS568-024(1116-90)</v>
          </cell>
          <cell r="D43">
            <v>2</v>
          </cell>
          <cell r="E43" t="str">
            <v>個</v>
          </cell>
          <cell r="F43">
            <v>100</v>
          </cell>
        </row>
        <row r="44">
          <cell r="A44" t="str">
            <v>型開閉バルブ　パッキン類</v>
          </cell>
          <cell r="B44" t="str">
            <v>1800021424</v>
          </cell>
          <cell r="D44">
            <v>6</v>
          </cell>
          <cell r="E44" t="str">
            <v>個</v>
          </cell>
          <cell r="F44">
            <v>210</v>
          </cell>
        </row>
        <row r="45">
          <cell r="A45" t="str">
            <v>型開閉バルブ　パッキン類</v>
          </cell>
          <cell r="B45" t="str">
            <v>AS568-020(1198-90)</v>
          </cell>
          <cell r="D45">
            <v>4</v>
          </cell>
          <cell r="E45" t="str">
            <v>個</v>
          </cell>
          <cell r="F45">
            <v>100</v>
          </cell>
        </row>
        <row r="46">
          <cell r="A46" t="str">
            <v>型開閉バルブ　パッキン類</v>
          </cell>
          <cell r="B46" t="str">
            <v>1BP12</v>
          </cell>
          <cell r="D46">
            <v>2</v>
          </cell>
          <cell r="E46" t="str">
            <v>個</v>
          </cell>
          <cell r="F46">
            <v>80</v>
          </cell>
        </row>
        <row r="47">
          <cell r="A47" t="str">
            <v>型開閉バルブ　パッキン類</v>
          </cell>
          <cell r="B47" t="str">
            <v>1BP9</v>
          </cell>
          <cell r="D47">
            <v>12</v>
          </cell>
          <cell r="E47" t="str">
            <v>個</v>
          </cell>
          <cell r="F47">
            <v>60</v>
          </cell>
        </row>
        <row r="48">
          <cell r="A48" t="str">
            <v>型開閉バルブ　パッキン類</v>
          </cell>
          <cell r="B48" t="str">
            <v>MS28774-129</v>
          </cell>
          <cell r="D48">
            <v>2</v>
          </cell>
          <cell r="E48" t="str">
            <v>個</v>
          </cell>
          <cell r="F48">
            <v>1800</v>
          </cell>
        </row>
        <row r="49">
          <cell r="A49" t="str">
            <v>型開閉バルブ　パッキン類</v>
          </cell>
          <cell r="B49" t="str">
            <v>MS28774-024</v>
          </cell>
          <cell r="D49">
            <v>2</v>
          </cell>
          <cell r="E49" t="str">
            <v>個</v>
          </cell>
          <cell r="F49">
            <v>1660</v>
          </cell>
        </row>
        <row r="50">
          <cell r="A50" t="str">
            <v>型開閉バルブ　パッキン類</v>
          </cell>
          <cell r="B50" t="str">
            <v>AS568-129(1116-90)</v>
          </cell>
          <cell r="D50">
            <v>2</v>
          </cell>
          <cell r="E50" t="str">
            <v>個</v>
          </cell>
          <cell r="F50">
            <v>100</v>
          </cell>
        </row>
        <row r="51">
          <cell r="A51" t="str">
            <v>型開閉バルブ　パッキン類</v>
          </cell>
          <cell r="B51" t="str">
            <v>1800021442</v>
          </cell>
          <cell r="D51">
            <v>8</v>
          </cell>
          <cell r="E51" t="str">
            <v>個</v>
          </cell>
          <cell r="F51">
            <v>310</v>
          </cell>
        </row>
        <row r="52">
          <cell r="A52" t="str">
            <v>型開閉バルブ　パッキン類</v>
          </cell>
          <cell r="B52" t="str">
            <v>AS568-122(1116-90)</v>
          </cell>
          <cell r="D52">
            <v>4</v>
          </cell>
          <cell r="E52" t="str">
            <v>個</v>
          </cell>
          <cell r="F52">
            <v>70</v>
          </cell>
        </row>
        <row r="53">
          <cell r="A53" t="str">
            <v>型開閉バルブ　パッキン類</v>
          </cell>
          <cell r="B53" t="str">
            <v>1BP16</v>
          </cell>
          <cell r="D53">
            <v>2</v>
          </cell>
          <cell r="E53" t="str">
            <v>個</v>
          </cell>
          <cell r="F53">
            <v>80</v>
          </cell>
        </row>
        <row r="54">
          <cell r="A54" t="str">
            <v>型開閉バルブ　パッキン類</v>
          </cell>
          <cell r="B54" t="str">
            <v>1800021424</v>
          </cell>
          <cell r="D54">
            <v>2</v>
          </cell>
          <cell r="E54" t="str">
            <v>個</v>
          </cell>
          <cell r="F54">
            <v>210</v>
          </cell>
        </row>
        <row r="55">
          <cell r="A55" t="str">
            <v>ウエス</v>
          </cell>
          <cell r="B55" t="str">
            <v>五色ﾒﾘﾔｽｳｴｽ</v>
          </cell>
          <cell r="C55" t="str">
            <v>(株)酒重</v>
          </cell>
          <cell r="D55">
            <v>60</v>
          </cell>
          <cell r="E55" t="str">
            <v>kg</v>
          </cell>
          <cell r="F55">
            <v>92</v>
          </cell>
          <cell r="G55">
            <v>5520</v>
          </cell>
        </row>
        <row r="56">
          <cell r="A56" t="str">
            <v>六角ナット</v>
          </cell>
          <cell r="B56" t="str">
            <v>M8×P1.25</v>
          </cell>
          <cell r="D56">
            <v>50</v>
          </cell>
          <cell r="E56" t="str">
            <v>個</v>
          </cell>
          <cell r="F56">
            <v>2</v>
          </cell>
          <cell r="G56">
            <v>100</v>
          </cell>
        </row>
        <row r="57">
          <cell r="A57" t="str">
            <v>平ワッシャー</v>
          </cell>
          <cell r="B57" t="str">
            <v>M8</v>
          </cell>
          <cell r="D57">
            <v>100</v>
          </cell>
          <cell r="E57" t="str">
            <v>枚</v>
          </cell>
          <cell r="F57">
            <v>1</v>
          </cell>
          <cell r="G57">
            <v>100</v>
          </cell>
        </row>
        <row r="58">
          <cell r="A58" t="str">
            <v>ワンタッチ管継手</v>
          </cell>
          <cell r="B58" t="str">
            <v>KQ2U06-00</v>
          </cell>
          <cell r="C58" t="str">
            <v>ＳＭＣ(株)</v>
          </cell>
          <cell r="D58">
            <v>5</v>
          </cell>
          <cell r="E58" t="str">
            <v>個</v>
          </cell>
          <cell r="F58">
            <v>210</v>
          </cell>
          <cell r="G58">
            <v>1050</v>
          </cell>
        </row>
        <row r="59">
          <cell r="A59" t="str">
            <v>ワンタッチ管継手</v>
          </cell>
          <cell r="B59" t="str">
            <v>KQ2L10-03S</v>
          </cell>
          <cell r="C59" t="str">
            <v>ＳＭＣ(株)</v>
          </cell>
          <cell r="D59">
            <v>5</v>
          </cell>
          <cell r="E59" t="str">
            <v>個</v>
          </cell>
          <cell r="F59">
            <v>226</v>
          </cell>
          <cell r="G59">
            <v>1130</v>
          </cell>
        </row>
        <row r="60">
          <cell r="A60" t="str">
            <v>スピードコントローラ</v>
          </cell>
          <cell r="B60" t="str">
            <v>AS1211F-M5-06S</v>
          </cell>
          <cell r="C60" t="str">
            <v>ＳＭＣ(株)</v>
          </cell>
          <cell r="D60">
            <v>5</v>
          </cell>
          <cell r="E60" t="str">
            <v>個</v>
          </cell>
          <cell r="F60">
            <v>460</v>
          </cell>
          <cell r="G60">
            <v>2300</v>
          </cell>
        </row>
        <row r="61">
          <cell r="A61" t="str">
            <v>手洗い石けん液</v>
          </cell>
          <cell r="B61" t="str">
            <v>ｽｸﾗﾋﾞﾝN 3kg</v>
          </cell>
          <cell r="C61" t="str">
            <v>東京サラヤ(株)</v>
          </cell>
          <cell r="D61">
            <v>2</v>
          </cell>
          <cell r="E61" t="str">
            <v>個</v>
          </cell>
          <cell r="F61">
            <v>2100</v>
          </cell>
          <cell r="G61">
            <v>4200</v>
          </cell>
        </row>
        <row r="62">
          <cell r="A62" t="str">
            <v>パンチ２</v>
          </cell>
          <cell r="B62" t="str">
            <v>図番MQ-TJB11-M07803-E307-02△B</v>
          </cell>
          <cell r="C62" t="str">
            <v>古河電気工業(株)</v>
          </cell>
          <cell r="D62">
            <v>2</v>
          </cell>
          <cell r="E62" t="str">
            <v>個</v>
          </cell>
          <cell r="F62">
            <v>5500</v>
          </cell>
          <cell r="G62">
            <v>11000</v>
          </cell>
        </row>
        <row r="63">
          <cell r="A63" t="str">
            <v>搬送用ベルト</v>
          </cell>
          <cell r="B63" t="str">
            <v>GU-7ANL 250×5225E</v>
          </cell>
          <cell r="C63" t="str">
            <v>ニッタ(株)</v>
          </cell>
          <cell r="D63">
            <v>2</v>
          </cell>
          <cell r="E63" t="str">
            <v>本</v>
          </cell>
          <cell r="F63">
            <v>12000</v>
          </cell>
          <cell r="G63">
            <v>24000</v>
          </cell>
        </row>
        <row r="64">
          <cell r="A64" t="str">
            <v>管継手</v>
          </cell>
          <cell r="B64" t="str">
            <v>ﾌﾞｯｼﾝｸﾞ 1/8"×1/4"</v>
          </cell>
          <cell r="D64">
            <v>10</v>
          </cell>
          <cell r="E64" t="str">
            <v>個</v>
          </cell>
          <cell r="F64">
            <v>106</v>
          </cell>
          <cell r="G64">
            <v>1060</v>
          </cell>
        </row>
        <row r="65">
          <cell r="A65" t="str">
            <v>管継手</v>
          </cell>
          <cell r="B65" t="str">
            <v>ﾌﾞｯｼﾝｸﾞ 1/4"×3/8"</v>
          </cell>
          <cell r="D65">
            <v>10</v>
          </cell>
          <cell r="E65" t="str">
            <v>個</v>
          </cell>
          <cell r="F65">
            <v>106</v>
          </cell>
          <cell r="G65">
            <v>1060</v>
          </cell>
        </row>
        <row r="66">
          <cell r="A66" t="str">
            <v>ショックアブソーバ</v>
          </cell>
          <cell r="B66" t="str">
            <v>RB1412</v>
          </cell>
          <cell r="C66" t="str">
            <v>ＳＭＣ(株)</v>
          </cell>
          <cell r="D66">
            <v>1</v>
          </cell>
          <cell r="E66" t="str">
            <v>本</v>
          </cell>
          <cell r="F66">
            <v>3040</v>
          </cell>
          <cell r="G66">
            <v>3040</v>
          </cell>
        </row>
        <row r="67">
          <cell r="A67" t="str">
            <v>合成潤滑剤</v>
          </cell>
          <cell r="B67" t="str">
            <v>ｽｰﾊﾟｰﾙﾌﾞ</v>
          </cell>
          <cell r="C67" t="str">
            <v>(株)神戸製鋼所</v>
          </cell>
          <cell r="D67">
            <v>3</v>
          </cell>
          <cell r="E67" t="str">
            <v>缶</v>
          </cell>
          <cell r="F67">
            <v>11500</v>
          </cell>
          <cell r="G67">
            <v>34500</v>
          </cell>
        </row>
        <row r="68">
          <cell r="A68" t="str">
            <v>スプリングワッシャー</v>
          </cell>
          <cell r="B68" t="str">
            <v>M8</v>
          </cell>
          <cell r="D68">
            <v>100</v>
          </cell>
          <cell r="E68" t="str">
            <v>枚</v>
          </cell>
          <cell r="F68">
            <v>1</v>
          </cell>
          <cell r="G68">
            <v>100</v>
          </cell>
        </row>
        <row r="69">
          <cell r="A69" t="str">
            <v>ポリウレタンチューブ</v>
          </cell>
          <cell r="B69" t="str">
            <v>TU0604BU-20</v>
          </cell>
          <cell r="C69" t="str">
            <v>ＳＭＣ(株)</v>
          </cell>
          <cell r="D69">
            <v>1</v>
          </cell>
          <cell r="E69" t="str">
            <v>巻</v>
          </cell>
          <cell r="F69">
            <v>1130</v>
          </cell>
          <cell r="G69">
            <v>1130</v>
          </cell>
        </row>
        <row r="70">
          <cell r="A70" t="str">
            <v>軍手</v>
          </cell>
          <cell r="B70" t="str">
            <v>混紡D</v>
          </cell>
          <cell r="C70" t="str">
            <v>シマツ(株)</v>
          </cell>
          <cell r="D70">
            <v>200</v>
          </cell>
          <cell r="E70" t="str">
            <v>双</v>
          </cell>
          <cell r="F70">
            <v>18</v>
          </cell>
          <cell r="G70">
            <v>3600</v>
          </cell>
        </row>
        <row r="71">
          <cell r="A71" t="str">
            <v>旋削チップ</v>
          </cell>
          <cell r="B71" t="str">
            <v>TNMG160404R-K:4015</v>
          </cell>
          <cell r="C71" t="str">
            <v>サンドビック(株)</v>
          </cell>
          <cell r="D71">
            <v>10</v>
          </cell>
          <cell r="E71" t="str">
            <v>個</v>
          </cell>
          <cell r="F71">
            <v>450</v>
          </cell>
          <cell r="G71">
            <v>4500</v>
          </cell>
        </row>
        <row r="72">
          <cell r="A72" t="str">
            <v>油圧作動油</v>
          </cell>
          <cell r="B72" t="str">
            <v>ｽｰﾊﾟｰﾊｲﾗﾝﾄﾞ46</v>
          </cell>
          <cell r="C72" t="str">
            <v>新日本石油(株)</v>
          </cell>
          <cell r="D72">
            <v>600</v>
          </cell>
          <cell r="E72" t="str">
            <v>㍑</v>
          </cell>
          <cell r="F72">
            <v>87</v>
          </cell>
          <cell r="G72">
            <v>52200</v>
          </cell>
        </row>
        <row r="73">
          <cell r="A73" t="str">
            <v>電動ドライバー　修理</v>
          </cell>
          <cell r="B73" t="str">
            <v>CLF-7000XH</v>
          </cell>
          <cell r="C73" t="str">
            <v>(株)ハイオス</v>
          </cell>
          <cell r="D73">
            <v>1</v>
          </cell>
          <cell r="E73" t="str">
            <v>本</v>
          </cell>
          <cell r="F73">
            <v>5000</v>
          </cell>
          <cell r="G73">
            <v>5000</v>
          </cell>
        </row>
        <row r="74">
          <cell r="A74" t="str">
            <v>圧縮機油</v>
          </cell>
          <cell r="B74" t="str">
            <v>ﾌｪｱｺｰﾙRA32</v>
          </cell>
          <cell r="C74" t="str">
            <v>新日本石油(株)</v>
          </cell>
          <cell r="D74">
            <v>1</v>
          </cell>
          <cell r="E74" t="str">
            <v>缶</v>
          </cell>
          <cell r="F74">
            <v>3840</v>
          </cell>
          <cell r="G74">
            <v>3840</v>
          </cell>
        </row>
        <row r="75">
          <cell r="A75" t="str">
            <v>ビニルテープ</v>
          </cell>
          <cell r="B75" t="str">
            <v>青色,黄色,赤色 0.2mm×19mm×20m</v>
          </cell>
          <cell r="C75" t="str">
            <v>(株)ケイユー</v>
          </cell>
          <cell r="D75">
            <v>30</v>
          </cell>
          <cell r="E75" t="str">
            <v>巻</v>
          </cell>
          <cell r="F75">
            <v>70</v>
          </cell>
          <cell r="G75">
            <v>2100</v>
          </cell>
        </row>
        <row r="76">
          <cell r="A76" t="str">
            <v>ビニルテープ</v>
          </cell>
          <cell r="B76" t="str">
            <v>茶色 0.2mm×19mm×20m</v>
          </cell>
          <cell r="C76" t="str">
            <v>日東電工(株)</v>
          </cell>
          <cell r="D76">
            <v>1</v>
          </cell>
          <cell r="E76" t="str">
            <v>ﾊﾟｯｸ</v>
          </cell>
          <cell r="F76">
            <v>1050</v>
          </cell>
          <cell r="G76">
            <v>1050</v>
          </cell>
        </row>
        <row r="77">
          <cell r="A77" t="str">
            <v>Ｖ形ベルト</v>
          </cell>
          <cell r="B77" t="str">
            <v>A64</v>
          </cell>
          <cell r="C77" t="str">
            <v>三ツ星ベルト(株)</v>
          </cell>
          <cell r="D77">
            <v>3</v>
          </cell>
          <cell r="E77" t="str">
            <v>本</v>
          </cell>
          <cell r="F77">
            <v>209</v>
          </cell>
          <cell r="G77">
            <v>627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7"/>
  <dimension ref="A1:AB859"/>
  <sheetViews>
    <sheetView topLeftCell="A151" workbookViewId="0">
      <selection activeCell="M35" sqref="M35"/>
    </sheetView>
  </sheetViews>
  <sheetFormatPr defaultColWidth="9" defaultRowHeight="13.5"/>
  <cols>
    <col min="1" max="1" width="4.125" style="171" customWidth="1"/>
    <col min="2" max="5" width="9" style="171"/>
    <col min="6" max="6" width="9.5" style="171" bestFit="1" customWidth="1"/>
    <col min="7" max="7" width="11" style="171" customWidth="1"/>
    <col min="8" max="9" width="9.125" style="171" bestFit="1" customWidth="1"/>
    <col min="10" max="11" width="9" style="171"/>
    <col min="12" max="12" width="4.25" style="171" customWidth="1"/>
    <col min="13" max="16384" width="9" style="171"/>
  </cols>
  <sheetData>
    <row r="1" spans="1:9" ht="24">
      <c r="A1" s="170" t="s">
        <v>380</v>
      </c>
    </row>
    <row r="2" spans="1:9" ht="17.25">
      <c r="A2" s="172" t="s">
        <v>381</v>
      </c>
    </row>
    <row r="3" spans="1:9">
      <c r="B3" s="1303" t="s">
        <v>70</v>
      </c>
      <c r="C3" s="1304"/>
      <c r="D3" s="3" t="s">
        <v>71</v>
      </c>
      <c r="E3" s="3" t="s">
        <v>72</v>
      </c>
      <c r="F3" s="3" t="s">
        <v>73</v>
      </c>
      <c r="G3" s="3" t="s">
        <v>74</v>
      </c>
      <c r="H3" s="3" t="s">
        <v>75</v>
      </c>
      <c r="I3" s="173"/>
    </row>
    <row r="4" spans="1:9">
      <c r="B4" s="4" t="s">
        <v>76</v>
      </c>
      <c r="C4" s="5"/>
      <c r="D4" s="6" t="s">
        <v>77</v>
      </c>
      <c r="E4" s="174">
        <v>1.1499999999999999</v>
      </c>
      <c r="F4" s="175">
        <v>2679.4</v>
      </c>
      <c r="G4" s="175">
        <v>6920.6</v>
      </c>
      <c r="H4" s="8" t="s">
        <v>78</v>
      </c>
      <c r="I4" s="173"/>
    </row>
    <row r="5" spans="1:9">
      <c r="B5" s="4" t="s">
        <v>79</v>
      </c>
      <c r="C5" s="5"/>
      <c r="D5" s="6" t="s">
        <v>80</v>
      </c>
      <c r="E5" s="174">
        <v>1.1499999999999999</v>
      </c>
      <c r="F5" s="175">
        <v>2679.4</v>
      </c>
      <c r="G5" s="175">
        <v>1369.5</v>
      </c>
      <c r="H5" s="8" t="s">
        <v>78</v>
      </c>
      <c r="I5" s="176"/>
    </row>
    <row r="6" spans="1:9">
      <c r="B6" s="4" t="s">
        <v>300</v>
      </c>
      <c r="C6" s="5"/>
      <c r="D6" s="6" t="s">
        <v>82</v>
      </c>
      <c r="E6" s="174">
        <v>1.1499999999999999</v>
      </c>
      <c r="F6" s="175">
        <v>2679.4</v>
      </c>
      <c r="G6" s="175">
        <v>0</v>
      </c>
      <c r="H6" s="8" t="s">
        <v>78</v>
      </c>
      <c r="I6" s="177" t="s">
        <v>83</v>
      </c>
    </row>
    <row r="7" spans="1:9">
      <c r="B7" s="4" t="s">
        <v>84</v>
      </c>
      <c r="C7" s="5"/>
      <c r="D7" s="6" t="s">
        <v>85</v>
      </c>
      <c r="E7" s="174">
        <v>1.28</v>
      </c>
      <c r="F7" s="175">
        <v>2330.1</v>
      </c>
      <c r="G7" s="175">
        <v>2521.3000000000002</v>
      </c>
      <c r="H7" s="8" t="s">
        <v>86</v>
      </c>
      <c r="I7" s="176"/>
    </row>
    <row r="8" spans="1:9">
      <c r="B8" s="4" t="s">
        <v>87</v>
      </c>
      <c r="C8" s="5"/>
      <c r="D8" s="6" t="s">
        <v>88</v>
      </c>
      <c r="E8" s="174">
        <v>1.28</v>
      </c>
      <c r="F8" s="175">
        <v>2330.1</v>
      </c>
      <c r="G8" s="175">
        <v>474.8</v>
      </c>
      <c r="H8" s="8" t="s">
        <v>86</v>
      </c>
      <c r="I8" s="176"/>
    </row>
    <row r="9" spans="1:9">
      <c r="B9" s="4" t="s">
        <v>382</v>
      </c>
      <c r="C9" s="5"/>
      <c r="D9" s="6" t="s">
        <v>90</v>
      </c>
      <c r="E9" s="174">
        <v>1.28</v>
      </c>
      <c r="F9" s="175">
        <v>2330.1</v>
      </c>
      <c r="G9" s="175">
        <v>0</v>
      </c>
      <c r="H9" s="8" t="s">
        <v>86</v>
      </c>
      <c r="I9" s="177" t="s">
        <v>83</v>
      </c>
    </row>
    <row r="10" spans="1:9">
      <c r="B10" s="4" t="s">
        <v>91</v>
      </c>
      <c r="C10" s="5"/>
      <c r="D10" s="6" t="s">
        <v>92</v>
      </c>
      <c r="E10" s="174">
        <v>1.18</v>
      </c>
      <c r="F10" s="175">
        <v>2357.1</v>
      </c>
      <c r="G10" s="175">
        <v>1408.7</v>
      </c>
      <c r="H10" s="8" t="s">
        <v>93</v>
      </c>
      <c r="I10" s="176"/>
    </row>
    <row r="11" spans="1:9">
      <c r="B11" s="4" t="s">
        <v>94</v>
      </c>
      <c r="C11" s="5"/>
      <c r="D11" s="6" t="s">
        <v>95</v>
      </c>
      <c r="E11" s="174">
        <v>1.18</v>
      </c>
      <c r="F11" s="175">
        <v>2357.1</v>
      </c>
      <c r="G11" s="175">
        <v>0</v>
      </c>
      <c r="H11" s="8" t="s">
        <v>93</v>
      </c>
      <c r="I11" s="177" t="s">
        <v>83</v>
      </c>
    </row>
    <row r="12" spans="1:9">
      <c r="B12" s="4" t="s">
        <v>96</v>
      </c>
      <c r="C12" s="5"/>
      <c r="D12" s="6" t="s">
        <v>97</v>
      </c>
      <c r="E12" s="174">
        <v>1.37</v>
      </c>
      <c r="F12" s="175">
        <v>2022.6</v>
      </c>
      <c r="G12" s="175">
        <v>957.4</v>
      </c>
      <c r="H12" s="8" t="s">
        <v>98</v>
      </c>
      <c r="I12" s="176"/>
    </row>
    <row r="13" spans="1:9">
      <c r="B13" s="4" t="s">
        <v>101</v>
      </c>
      <c r="C13" s="5"/>
      <c r="D13" s="6" t="s">
        <v>102</v>
      </c>
      <c r="E13" s="174">
        <v>1.37</v>
      </c>
      <c r="F13" s="175">
        <v>2022.6</v>
      </c>
      <c r="G13" s="175">
        <v>0</v>
      </c>
      <c r="H13" s="8" t="s">
        <v>98</v>
      </c>
      <c r="I13" s="177" t="s">
        <v>83</v>
      </c>
    </row>
    <row r="14" spans="1:9">
      <c r="B14" s="4" t="s">
        <v>103</v>
      </c>
      <c r="C14" s="5"/>
      <c r="D14" s="6" t="s">
        <v>104</v>
      </c>
      <c r="E14" s="174">
        <v>1.21</v>
      </c>
      <c r="F14" s="175">
        <v>2879.5</v>
      </c>
      <c r="G14" s="175">
        <v>1779.4</v>
      </c>
      <c r="H14" s="8" t="s">
        <v>105</v>
      </c>
      <c r="I14" s="177"/>
    </row>
    <row r="15" spans="1:9">
      <c r="B15" s="4" t="s">
        <v>106</v>
      </c>
      <c r="C15" s="5"/>
      <c r="D15" s="6" t="s">
        <v>107</v>
      </c>
      <c r="E15" s="174">
        <v>1.21</v>
      </c>
      <c r="F15" s="175">
        <v>2879.5</v>
      </c>
      <c r="G15" s="175">
        <v>0</v>
      </c>
      <c r="H15" s="8" t="s">
        <v>105</v>
      </c>
      <c r="I15" s="177" t="s">
        <v>83</v>
      </c>
    </row>
    <row r="16" spans="1:9">
      <c r="B16" s="4" t="s">
        <v>108</v>
      </c>
      <c r="C16" s="5"/>
      <c r="D16" s="6" t="s">
        <v>109</v>
      </c>
      <c r="E16" s="174">
        <v>1.19</v>
      </c>
      <c r="F16" s="175">
        <v>2390.8000000000002</v>
      </c>
      <c r="G16" s="175">
        <v>1155.5999999999999</v>
      </c>
      <c r="H16" s="8" t="s">
        <v>110</v>
      </c>
      <c r="I16" s="176" t="s">
        <v>383</v>
      </c>
    </row>
    <row r="17" spans="2:9">
      <c r="B17" s="4" t="s">
        <v>111</v>
      </c>
      <c r="C17" s="5"/>
      <c r="D17" s="6" t="s">
        <v>112</v>
      </c>
      <c r="E17" s="174">
        <v>1.19</v>
      </c>
      <c r="F17" s="175">
        <v>2390.8000000000002</v>
      </c>
      <c r="G17" s="175">
        <v>1264.5</v>
      </c>
      <c r="H17" s="8" t="s">
        <v>110</v>
      </c>
      <c r="I17" s="176"/>
    </row>
    <row r="18" spans="2:9">
      <c r="B18" s="4" t="s">
        <v>115</v>
      </c>
      <c r="C18" s="5"/>
      <c r="D18" s="6" t="s">
        <v>116</v>
      </c>
      <c r="E18" s="174">
        <v>1.1299999999999999</v>
      </c>
      <c r="F18" s="175">
        <v>2608.9</v>
      </c>
      <c r="G18" s="175">
        <v>5391.7</v>
      </c>
      <c r="H18" s="8" t="s">
        <v>117</v>
      </c>
      <c r="I18" s="176"/>
    </row>
    <row r="19" spans="2:9">
      <c r="B19" s="4" t="s">
        <v>118</v>
      </c>
      <c r="C19" s="5"/>
      <c r="D19" s="6" t="s">
        <v>119</v>
      </c>
      <c r="E19" s="174">
        <v>1.1299999999999999</v>
      </c>
      <c r="F19" s="175">
        <v>2608.9</v>
      </c>
      <c r="G19" s="175">
        <v>3729.4</v>
      </c>
      <c r="H19" s="8" t="s">
        <v>117</v>
      </c>
      <c r="I19" s="176" t="s">
        <v>384</v>
      </c>
    </row>
    <row r="20" spans="2:9">
      <c r="B20" s="4" t="s">
        <v>120</v>
      </c>
      <c r="C20" s="5"/>
      <c r="D20" s="6" t="s">
        <v>121</v>
      </c>
      <c r="E20" s="174">
        <v>1.1299999999999999</v>
      </c>
      <c r="F20" s="175">
        <v>2608.9</v>
      </c>
      <c r="G20" s="175">
        <v>1372.1</v>
      </c>
      <c r="H20" s="8" t="s">
        <v>117</v>
      </c>
      <c r="I20" s="176"/>
    </row>
    <row r="21" spans="2:9">
      <c r="B21" s="4" t="s">
        <v>385</v>
      </c>
      <c r="C21" s="5"/>
      <c r="D21" s="6" t="s">
        <v>350</v>
      </c>
      <c r="E21" s="174">
        <v>1.1299999999999999</v>
      </c>
      <c r="F21" s="175">
        <v>2608.9</v>
      </c>
      <c r="G21" s="175">
        <v>0</v>
      </c>
      <c r="H21" s="8" t="s">
        <v>117</v>
      </c>
      <c r="I21" s="177" t="s">
        <v>83</v>
      </c>
    </row>
    <row r="22" spans="2:9">
      <c r="B22" s="4" t="s">
        <v>122</v>
      </c>
      <c r="C22" s="5"/>
      <c r="D22" s="6" t="s">
        <v>123</v>
      </c>
      <c r="E22" s="174">
        <v>1.1399999999999999</v>
      </c>
      <c r="F22" s="175">
        <v>1993</v>
      </c>
      <c r="G22" s="175">
        <v>1537.6</v>
      </c>
      <c r="H22" s="8" t="s">
        <v>124</v>
      </c>
      <c r="I22" s="176"/>
    </row>
    <row r="23" spans="2:9">
      <c r="B23" s="4" t="s">
        <v>125</v>
      </c>
      <c r="C23" s="5"/>
      <c r="D23" s="6" t="s">
        <v>126</v>
      </c>
      <c r="E23" s="174">
        <v>1.1399999999999999</v>
      </c>
      <c r="F23" s="175">
        <v>1993</v>
      </c>
      <c r="G23" s="175">
        <v>533.1</v>
      </c>
      <c r="H23" s="8" t="s">
        <v>124</v>
      </c>
      <c r="I23" s="176"/>
    </row>
    <row r="24" spans="2:9">
      <c r="B24" s="4" t="s">
        <v>127</v>
      </c>
      <c r="C24" s="5"/>
      <c r="D24" s="6" t="s">
        <v>128</v>
      </c>
      <c r="E24" s="174">
        <v>1.1399999999999999</v>
      </c>
      <c r="F24" s="175">
        <v>1993</v>
      </c>
      <c r="G24" s="175">
        <v>0</v>
      </c>
      <c r="H24" s="8" t="s">
        <v>124</v>
      </c>
      <c r="I24" s="177" t="s">
        <v>83</v>
      </c>
    </row>
    <row r="25" spans="2:9">
      <c r="B25" s="4" t="s">
        <v>129</v>
      </c>
      <c r="C25" s="5"/>
      <c r="D25" s="6" t="s">
        <v>130</v>
      </c>
      <c r="E25" s="174">
        <v>1.1200000000000001</v>
      </c>
      <c r="F25" s="175">
        <v>2761.4</v>
      </c>
      <c r="G25" s="175">
        <v>1031.7862165963431</v>
      </c>
      <c r="H25" s="8" t="s">
        <v>131</v>
      </c>
      <c r="I25" s="176" t="s">
        <v>386</v>
      </c>
    </row>
    <row r="26" spans="2:9">
      <c r="B26" s="4" t="s">
        <v>132</v>
      </c>
      <c r="C26" s="5"/>
      <c r="D26" s="6" t="s">
        <v>133</v>
      </c>
      <c r="E26" s="174">
        <v>1.1200000000000001</v>
      </c>
      <c r="F26" s="175">
        <v>2761.4</v>
      </c>
      <c r="G26" s="175">
        <v>2305.6999999999998</v>
      </c>
      <c r="H26" s="8" t="s">
        <v>131</v>
      </c>
      <c r="I26" s="176"/>
    </row>
    <row r="27" spans="2:9">
      <c r="B27" s="4" t="s">
        <v>134</v>
      </c>
      <c r="C27" s="5"/>
      <c r="D27" s="6" t="s">
        <v>135</v>
      </c>
      <c r="E27" s="174">
        <v>1.1200000000000001</v>
      </c>
      <c r="F27" s="175">
        <v>2761.4</v>
      </c>
      <c r="G27" s="175">
        <v>586.00337268128169</v>
      </c>
      <c r="H27" s="8" t="s">
        <v>131</v>
      </c>
      <c r="I27" s="176" t="s">
        <v>387</v>
      </c>
    </row>
    <row r="28" spans="2:9">
      <c r="B28" s="4" t="s">
        <v>136</v>
      </c>
      <c r="C28" s="5"/>
      <c r="D28" s="6" t="s">
        <v>388</v>
      </c>
      <c r="E28" s="174">
        <v>1.1200000000000001</v>
      </c>
      <c r="F28" s="175">
        <v>2761.4</v>
      </c>
      <c r="G28" s="175">
        <v>0</v>
      </c>
      <c r="H28" s="8" t="s">
        <v>131</v>
      </c>
      <c r="I28" s="177" t="s">
        <v>83</v>
      </c>
    </row>
    <row r="29" spans="2:9">
      <c r="B29" s="4" t="s">
        <v>138</v>
      </c>
      <c r="C29" s="5"/>
      <c r="D29" s="6" t="s">
        <v>139</v>
      </c>
      <c r="E29" s="174">
        <v>1.23</v>
      </c>
      <c r="F29" s="175">
        <v>2323.4</v>
      </c>
      <c r="G29" s="175">
        <v>2088.3000000000002</v>
      </c>
      <c r="H29" s="8" t="s">
        <v>140</v>
      </c>
      <c r="I29" s="176"/>
    </row>
    <row r="30" spans="2:9">
      <c r="B30" s="4" t="s">
        <v>141</v>
      </c>
      <c r="C30" s="5"/>
      <c r="D30" s="6" t="s">
        <v>142</v>
      </c>
      <c r="E30" s="174">
        <v>1</v>
      </c>
      <c r="F30" s="175">
        <v>0</v>
      </c>
      <c r="G30" s="175">
        <v>847.7</v>
      </c>
      <c r="H30" s="10" t="s">
        <v>143</v>
      </c>
      <c r="I30" s="173"/>
    </row>
    <row r="31" spans="2:9">
      <c r="B31" s="4" t="s">
        <v>144</v>
      </c>
      <c r="C31" s="5"/>
      <c r="D31" s="6" t="s">
        <v>145</v>
      </c>
      <c r="E31" s="174">
        <v>1</v>
      </c>
      <c r="F31" s="175">
        <v>0</v>
      </c>
      <c r="G31" s="175">
        <v>1111.0999999999999</v>
      </c>
      <c r="H31" s="10" t="s">
        <v>146</v>
      </c>
      <c r="I31" s="176" t="s">
        <v>147</v>
      </c>
    </row>
    <row r="32" spans="2:9">
      <c r="B32" s="178" t="s">
        <v>148</v>
      </c>
      <c r="C32" s="179"/>
      <c r="D32" s="180" t="s">
        <v>149</v>
      </c>
      <c r="E32" s="174">
        <v>1</v>
      </c>
      <c r="F32" s="175">
        <v>0</v>
      </c>
      <c r="G32" s="175">
        <v>2319.1</v>
      </c>
      <c r="H32" s="181" t="s">
        <v>150</v>
      </c>
      <c r="I32" s="176" t="s">
        <v>151</v>
      </c>
    </row>
    <row r="33" spans="1:11">
      <c r="B33" s="75" t="s">
        <v>389</v>
      </c>
    </row>
    <row r="34" spans="1:11" ht="13.5" customHeight="1">
      <c r="B34" s="79" t="s">
        <v>390</v>
      </c>
    </row>
    <row r="36" spans="1:11" ht="17.25">
      <c r="A36" s="172" t="s">
        <v>391</v>
      </c>
      <c r="E36" s="90" t="s">
        <v>263</v>
      </c>
    </row>
    <row r="37" spans="1:11" s="173" customFormat="1">
      <c r="A37" s="171"/>
      <c r="B37" s="171" t="s">
        <v>392</v>
      </c>
      <c r="C37" s="171"/>
      <c r="D37" s="171"/>
      <c r="E37" s="171"/>
      <c r="F37" s="171"/>
      <c r="G37" s="171"/>
      <c r="H37" s="171"/>
    </row>
    <row r="39" spans="1:11">
      <c r="B39" s="182" t="s">
        <v>393</v>
      </c>
    </row>
    <row r="40" spans="1:11">
      <c r="B40" s="183"/>
      <c r="C40" s="171" t="s">
        <v>1210</v>
      </c>
    </row>
    <row r="41" spans="1:11">
      <c r="C41" s="171" t="s">
        <v>1211</v>
      </c>
    </row>
    <row r="42" spans="1:11">
      <c r="I42" s="184"/>
    </row>
    <row r="43" spans="1:11" s="173" customFormat="1">
      <c r="A43" s="171"/>
      <c r="B43" s="171"/>
      <c r="C43" s="171"/>
      <c r="D43" s="171"/>
      <c r="E43" s="185" t="s">
        <v>351</v>
      </c>
      <c r="F43" s="185" t="s">
        <v>352</v>
      </c>
      <c r="G43" s="185" t="s">
        <v>353</v>
      </c>
      <c r="H43" s="186" t="s">
        <v>963</v>
      </c>
      <c r="I43" s="171"/>
      <c r="J43" s="171"/>
      <c r="K43" s="171"/>
    </row>
    <row r="44" spans="1:11" s="173" customFormat="1">
      <c r="A44" s="171"/>
      <c r="B44" s="187" t="s">
        <v>1212</v>
      </c>
      <c r="C44" s="188"/>
      <c r="D44" s="189"/>
      <c r="E44" s="39">
        <v>9.2088227895460503E-3</v>
      </c>
      <c r="F44" s="39">
        <v>1.0264874175287805E-2</v>
      </c>
      <c r="G44" s="39">
        <v>3.697281565693896E-3</v>
      </c>
      <c r="H44" s="139">
        <f>SUM(E44:G44)</f>
        <v>2.3170978530527752E-2</v>
      </c>
      <c r="I44" s="171"/>
    </row>
    <row r="45" spans="1:11" s="173" customFormat="1">
      <c r="A45" s="171"/>
      <c r="B45" s="187" t="s">
        <v>1213</v>
      </c>
      <c r="C45" s="188"/>
      <c r="D45" s="189"/>
      <c r="E45" s="39">
        <v>0</v>
      </c>
      <c r="F45" s="39">
        <v>1.0264874175287805E-2</v>
      </c>
      <c r="G45" s="39">
        <v>3.697281565693896E-3</v>
      </c>
      <c r="H45" s="139">
        <f>SUM(E45:G45)</f>
        <v>1.3962155740981702E-2</v>
      </c>
      <c r="I45" s="171"/>
    </row>
    <row r="46" spans="1:11" s="173" customFormat="1">
      <c r="A46" s="171"/>
      <c r="B46" s="190" t="s">
        <v>1214</v>
      </c>
      <c r="C46" s="191"/>
      <c r="D46" s="192"/>
      <c r="E46" s="39">
        <v>0</v>
      </c>
      <c r="F46" s="39">
        <v>0</v>
      </c>
      <c r="G46" s="39">
        <v>3.697281565693896E-3</v>
      </c>
      <c r="H46" s="139">
        <f>SUM(E46:G46)</f>
        <v>3.697281565693896E-3</v>
      </c>
      <c r="I46" s="171"/>
    </row>
    <row r="47" spans="1:11" s="173" customFormat="1">
      <c r="A47" s="171"/>
      <c r="B47" s="171"/>
      <c r="C47" s="171"/>
      <c r="D47" s="171"/>
      <c r="E47" s="171"/>
      <c r="F47" s="171"/>
      <c r="G47" s="171"/>
      <c r="H47" s="171"/>
      <c r="I47" s="171"/>
    </row>
    <row r="48" spans="1:11" s="173" customFormat="1">
      <c r="A48" s="171"/>
      <c r="B48" s="182" t="s">
        <v>1215</v>
      </c>
      <c r="C48" s="171"/>
      <c r="D48" s="171"/>
      <c r="E48" s="171"/>
      <c r="F48" s="171"/>
      <c r="G48" s="171"/>
      <c r="H48" s="171"/>
      <c r="I48" s="171"/>
    </row>
    <row r="49" spans="1:9" s="173" customFormat="1">
      <c r="A49" s="171"/>
      <c r="B49" s="171"/>
      <c r="C49" s="171" t="s">
        <v>1216</v>
      </c>
      <c r="D49" s="171"/>
      <c r="E49" s="171"/>
      <c r="F49" s="171"/>
      <c r="G49" s="171"/>
      <c r="H49" s="171"/>
      <c r="I49" s="171"/>
    </row>
    <row r="50" spans="1:9" s="173" customFormat="1">
      <c r="A50" s="171"/>
      <c r="B50" s="171"/>
      <c r="C50" s="182" t="s">
        <v>164</v>
      </c>
      <c r="D50" s="182"/>
      <c r="E50" s="193" t="s">
        <v>165</v>
      </c>
      <c r="F50" s="171"/>
      <c r="G50" s="171"/>
      <c r="H50" s="171"/>
      <c r="I50" s="171"/>
    </row>
    <row r="51" spans="1:9" s="173" customFormat="1">
      <c r="A51" s="171"/>
      <c r="B51" s="171"/>
      <c r="C51" s="30" t="s">
        <v>354</v>
      </c>
      <c r="D51" s="31"/>
      <c r="E51" s="139">
        <v>0</v>
      </c>
      <c r="F51" s="171"/>
      <c r="G51" s="171"/>
      <c r="H51" s="171"/>
      <c r="I51" s="171"/>
    </row>
    <row r="52" spans="1:9" s="173" customFormat="1">
      <c r="A52" s="171"/>
      <c r="B52" s="171"/>
      <c r="C52" s="30" t="s">
        <v>953</v>
      </c>
      <c r="D52" s="31"/>
      <c r="E52" s="139">
        <v>1.2313299594892444E-2</v>
      </c>
      <c r="F52" s="171"/>
      <c r="G52" s="171"/>
      <c r="H52" s="171"/>
      <c r="I52" s="171"/>
    </row>
    <row r="53" spans="1:9" s="173" customFormat="1">
      <c r="A53" s="171"/>
      <c r="B53" s="171"/>
      <c r="C53" s="30" t="s">
        <v>954</v>
      </c>
      <c r="D53" s="31"/>
      <c r="E53" s="139">
        <v>8.5972741852477514E-3</v>
      </c>
      <c r="F53" s="171"/>
      <c r="G53" s="171"/>
      <c r="H53" s="171"/>
      <c r="I53" s="171"/>
    </row>
    <row r="54" spans="1:9">
      <c r="C54" s="30" t="s">
        <v>955</v>
      </c>
      <c r="D54" s="31"/>
      <c r="E54" s="139">
        <v>1.3556088824767562E-2</v>
      </c>
      <c r="F54" s="176" t="s">
        <v>1217</v>
      </c>
    </row>
    <row r="55" spans="1:9">
      <c r="C55" s="30" t="s">
        <v>956</v>
      </c>
      <c r="D55" s="31"/>
      <c r="E55" s="139">
        <v>1.3725746443130241E-2</v>
      </c>
      <c r="F55" s="176" t="s">
        <v>1217</v>
      </c>
    </row>
    <row r="56" spans="1:9">
      <c r="C56" s="30" t="s">
        <v>957</v>
      </c>
      <c r="D56" s="31"/>
      <c r="E56" s="139">
        <v>1.1559355080795176E-2</v>
      </c>
    </row>
    <row r="57" spans="1:9">
      <c r="C57" s="30" t="s">
        <v>958</v>
      </c>
      <c r="D57" s="31"/>
      <c r="E57" s="194">
        <v>1.0725969359480864E-2</v>
      </c>
    </row>
    <row r="58" spans="1:9">
      <c r="C58" s="30" t="s">
        <v>959</v>
      </c>
      <c r="D58" s="31"/>
      <c r="E58" s="194">
        <v>1.0725969359480864E-2</v>
      </c>
      <c r="F58" s="176" t="s">
        <v>1218</v>
      </c>
    </row>
    <row r="59" spans="1:9">
      <c r="C59" s="30" t="s">
        <v>960</v>
      </c>
      <c r="D59" s="31"/>
      <c r="E59" s="139">
        <v>5.0303430291518444E-2</v>
      </c>
    </row>
    <row r="65" spans="1:12">
      <c r="B65" s="182" t="s">
        <v>1219</v>
      </c>
    </row>
    <row r="66" spans="1:12">
      <c r="C66" s="171" t="s">
        <v>1220</v>
      </c>
    </row>
    <row r="67" spans="1:12">
      <c r="C67" s="171" t="s">
        <v>1221</v>
      </c>
    </row>
    <row r="68" spans="1:12">
      <c r="C68" s="171" t="s">
        <v>1222</v>
      </c>
    </row>
    <row r="71" spans="1:12" s="173" customFormat="1" ht="17.25">
      <c r="A71" s="172" t="s">
        <v>1223</v>
      </c>
      <c r="B71" s="172"/>
      <c r="C71" s="171"/>
      <c r="D71" s="171"/>
      <c r="E71" s="171"/>
      <c r="F71" s="90" t="s">
        <v>263</v>
      </c>
      <c r="G71" s="171"/>
      <c r="H71" s="171"/>
      <c r="I71" s="171"/>
    </row>
    <row r="72" spans="1:12" s="173" customFormat="1" ht="17.25">
      <c r="A72" s="171"/>
      <c r="B72" s="171"/>
      <c r="C72" s="172"/>
      <c r="D72" s="172"/>
      <c r="E72" s="171"/>
      <c r="F72" s="171"/>
      <c r="G72" s="171"/>
      <c r="H72" s="171"/>
      <c r="I72" s="171"/>
    </row>
    <row r="73" spans="1:12" s="173" customFormat="1">
      <c r="A73" s="171"/>
      <c r="B73" s="195" t="s">
        <v>1224</v>
      </c>
      <c r="C73" s="196"/>
      <c r="D73" s="171"/>
      <c r="E73" s="171"/>
      <c r="F73" s="171"/>
      <c r="G73" s="171"/>
      <c r="H73" s="171"/>
    </row>
    <row r="74" spans="1:12" s="197" customFormat="1">
      <c r="B74" s="19"/>
      <c r="C74" s="19"/>
      <c r="D74" s="20" t="s">
        <v>1225</v>
      </c>
      <c r="E74" s="20" t="s">
        <v>154</v>
      </c>
      <c r="F74" s="20" t="s">
        <v>1226</v>
      </c>
      <c r="G74" s="20" t="s">
        <v>1227</v>
      </c>
      <c r="H74" s="20" t="s">
        <v>832</v>
      </c>
      <c r="I74" s="20" t="s">
        <v>1228</v>
      </c>
      <c r="J74" s="20" t="s">
        <v>1229</v>
      </c>
    </row>
    <row r="75" spans="1:12" s="197" customFormat="1" ht="14.25">
      <c r="B75" s="1314" t="s">
        <v>1230</v>
      </c>
      <c r="C75" s="1315"/>
      <c r="D75" s="21">
        <v>8.9495565197362292E-2</v>
      </c>
      <c r="E75" s="21">
        <v>0.14516844178597138</v>
      </c>
      <c r="F75" s="21">
        <v>0.13367012379437343</v>
      </c>
      <c r="G75" s="21">
        <v>0.11282735991439866</v>
      </c>
      <c r="H75" s="21">
        <v>0.10206880229732697</v>
      </c>
      <c r="I75" s="21">
        <v>0.12230238916220393</v>
      </c>
      <c r="J75" s="21">
        <v>0.12230238916220393</v>
      </c>
      <c r="K75" s="198"/>
      <c r="L75" s="173"/>
    </row>
    <row r="76" spans="1:12" s="197" customFormat="1" ht="14.25">
      <c r="B76" s="1314" t="s">
        <v>1231</v>
      </c>
      <c r="C76" s="1315"/>
      <c r="D76" s="21">
        <v>8.2573264452016751E-2</v>
      </c>
      <c r="E76" s="21">
        <v>0.10239413022069892</v>
      </c>
      <c r="F76" s="21">
        <v>0.13971240193416065</v>
      </c>
      <c r="G76" s="21">
        <v>9.6822429003387459E-2</v>
      </c>
      <c r="H76" s="21">
        <v>5.48265611833402E-2</v>
      </c>
      <c r="I76" s="199"/>
      <c r="J76" s="21">
        <v>9.6822429003387459E-2</v>
      </c>
      <c r="K76" s="198"/>
    </row>
    <row r="77" spans="1:12" s="197" customFormat="1" ht="14.25">
      <c r="B77" s="1305" t="s">
        <v>870</v>
      </c>
      <c r="C77" s="1306"/>
      <c r="D77" s="21">
        <v>1.0160453212115397E-3</v>
      </c>
      <c r="E77" s="21">
        <v>1.0160453212115397E-3</v>
      </c>
      <c r="F77" s="21">
        <v>1.0160453212115397E-3</v>
      </c>
      <c r="G77" s="21">
        <v>1.0160453212115397E-3</v>
      </c>
      <c r="H77" s="21">
        <v>1.0160453212115397E-3</v>
      </c>
      <c r="I77" s="199"/>
      <c r="J77" s="21">
        <v>1.0160453212115397E-3</v>
      </c>
    </row>
    <row r="78" spans="1:12" s="173" customFormat="1">
      <c r="A78" s="171"/>
      <c r="B78" s="171"/>
      <c r="C78" s="171"/>
      <c r="D78" s="173" t="s">
        <v>157</v>
      </c>
      <c r="E78" s="171"/>
      <c r="F78" s="171"/>
      <c r="G78" s="200"/>
      <c r="H78" s="200"/>
      <c r="I78" s="200" t="s">
        <v>1232</v>
      </c>
      <c r="J78" s="201"/>
    </row>
    <row r="79" spans="1:12" s="173" customFormat="1" ht="13.5" customHeight="1">
      <c r="A79" s="171"/>
      <c r="B79" s="171"/>
      <c r="C79" s="171"/>
      <c r="D79" s="201"/>
      <c r="F79" s="171"/>
      <c r="G79" s="200" t="s">
        <v>1233</v>
      </c>
      <c r="H79" s="200"/>
      <c r="I79" s="200"/>
      <c r="K79" s="201"/>
    </row>
    <row r="80" spans="1:12" s="173" customFormat="1">
      <c r="A80" s="171"/>
      <c r="B80" s="171"/>
      <c r="C80" s="171"/>
      <c r="D80" s="201"/>
      <c r="E80" s="171"/>
      <c r="F80" s="171"/>
      <c r="G80" s="171"/>
      <c r="H80" s="171"/>
      <c r="I80" s="171"/>
      <c r="K80" s="201"/>
    </row>
    <row r="81" spans="1:20" s="173" customFormat="1">
      <c r="A81" s="171"/>
      <c r="B81" s="195" t="s">
        <v>1234</v>
      </c>
      <c r="C81" s="171"/>
      <c r="D81" s="201"/>
      <c r="E81" s="171"/>
      <c r="F81" s="171"/>
      <c r="G81" s="171"/>
      <c r="H81" s="171"/>
      <c r="I81" s="171"/>
      <c r="K81" s="201"/>
    </row>
    <row r="82" spans="1:20" customFormat="1">
      <c r="D82" s="20" t="s">
        <v>827</v>
      </c>
      <c r="E82" s="20" t="s">
        <v>154</v>
      </c>
      <c r="F82" s="20" t="s">
        <v>829</v>
      </c>
      <c r="G82" s="20" t="s">
        <v>830</v>
      </c>
      <c r="H82" s="20" t="s">
        <v>832</v>
      </c>
      <c r="I82" s="20" t="s">
        <v>355</v>
      </c>
      <c r="J82" s="20" t="s">
        <v>356</v>
      </c>
      <c r="M82" s="173"/>
      <c r="N82" s="173"/>
      <c r="O82" s="173"/>
      <c r="P82" s="173"/>
      <c r="Q82" s="173"/>
      <c r="R82" s="173"/>
      <c r="S82" s="173"/>
    </row>
    <row r="83" spans="1:20" customFormat="1" ht="14.25">
      <c r="B83" s="1314" t="s">
        <v>357</v>
      </c>
      <c r="C83" s="1306"/>
      <c r="D83" s="21">
        <v>7.1030171240695994E-2</v>
      </c>
      <c r="E83" s="21">
        <v>0.14229332098786585</v>
      </c>
      <c r="F83" s="21">
        <v>0.1032642766690527</v>
      </c>
      <c r="G83" s="21">
        <v>0.10769959419499726</v>
      </c>
      <c r="H83" s="21">
        <v>8.5208159344899378E-2</v>
      </c>
      <c r="I83" s="21">
        <v>0.10407820216800284</v>
      </c>
      <c r="J83" s="21">
        <v>0.10407820216800284</v>
      </c>
      <c r="M83" s="173"/>
      <c r="N83" s="173"/>
      <c r="O83" s="173"/>
      <c r="P83" s="173"/>
      <c r="Q83" s="173"/>
      <c r="R83" s="173"/>
      <c r="S83" s="173"/>
      <c r="T83" s="202"/>
    </row>
    <row r="84" spans="1:20" customFormat="1" ht="14.25">
      <c r="B84" s="203"/>
      <c r="C84" s="204" t="s">
        <v>358</v>
      </c>
      <c r="D84" s="205">
        <v>2.3032829220037507E-2</v>
      </c>
      <c r="E84" s="205">
        <v>5.4682370122471763E-2</v>
      </c>
      <c r="F84" s="205">
        <v>3.4880664559268325E-2</v>
      </c>
      <c r="G84" s="205">
        <v>5.6294235237066004E-2</v>
      </c>
      <c r="H84" s="205">
        <v>2.8718615072879969E-2</v>
      </c>
      <c r="I84" s="205">
        <v>3.7118799374602413E-2</v>
      </c>
      <c r="J84" s="205">
        <v>3.7118799374602413E-2</v>
      </c>
      <c r="M84" s="173"/>
      <c r="N84" s="173"/>
      <c r="O84" s="173"/>
      <c r="P84" s="173"/>
      <c r="Q84" s="173"/>
      <c r="R84" s="173"/>
      <c r="S84" s="173"/>
      <c r="T84" s="202"/>
    </row>
    <row r="85" spans="1:20" customFormat="1" ht="14.25">
      <c r="B85" s="203"/>
      <c r="C85" s="204" t="s">
        <v>359</v>
      </c>
      <c r="D85" s="206">
        <v>1.0577624067646814E-2</v>
      </c>
      <c r="E85" s="206">
        <v>1.5056491366960162E-2</v>
      </c>
      <c r="F85" s="206">
        <v>1.5083542815404085E-2</v>
      </c>
      <c r="G85" s="206">
        <v>4.666332528271059E-2</v>
      </c>
      <c r="H85" s="206">
        <v>1.3228254897369899E-2</v>
      </c>
      <c r="I85" s="206">
        <v>1.455639191160879E-2</v>
      </c>
      <c r="J85" s="206">
        <v>1.455639191160879E-2</v>
      </c>
      <c r="M85" s="173"/>
      <c r="N85" s="173"/>
      <c r="O85" s="173"/>
      <c r="P85" s="173"/>
      <c r="Q85" s="173"/>
      <c r="R85" s="173"/>
      <c r="S85" s="173"/>
      <c r="T85" s="202"/>
    </row>
    <row r="86" spans="1:20" customFormat="1" ht="14.25">
      <c r="B86" s="203"/>
      <c r="C86" s="204" t="s">
        <v>360</v>
      </c>
      <c r="D86" s="206">
        <v>1.6849816448670712E-2</v>
      </c>
      <c r="E86" s="206">
        <v>4.3802476881837887E-2</v>
      </c>
      <c r="F86" s="206">
        <v>1.9375296193215874E-2</v>
      </c>
      <c r="G86" s="206">
        <v>1.5841465219033476E-3</v>
      </c>
      <c r="H86" s="206">
        <v>1.5343146961490497E-2</v>
      </c>
      <c r="I86" s="206">
        <v>2.6201505440895823E-2</v>
      </c>
      <c r="J86" s="206">
        <v>2.6201505440895823E-2</v>
      </c>
      <c r="M86" s="173"/>
      <c r="N86" s="173"/>
      <c r="O86" s="173"/>
      <c r="P86" s="173"/>
      <c r="Q86" s="173"/>
      <c r="R86" s="173"/>
      <c r="S86" s="173"/>
      <c r="T86" s="202"/>
    </row>
    <row r="87" spans="1:20" customFormat="1" ht="14.25">
      <c r="B87" s="207"/>
      <c r="C87" s="204" t="s">
        <v>361</v>
      </c>
      <c r="D87" s="208">
        <v>2.0569901504340963E-2</v>
      </c>
      <c r="E87" s="208">
        <v>2.8751982616596047E-2</v>
      </c>
      <c r="F87" s="208">
        <v>3.3924773101164443E-2</v>
      </c>
      <c r="G87" s="208">
        <v>3.1578871533173044E-3</v>
      </c>
      <c r="H87" s="208">
        <v>2.7918142413159021E-2</v>
      </c>
      <c r="I87" s="208">
        <v>2.6201505440895823E-2</v>
      </c>
      <c r="J87" s="208">
        <v>2.6201505440895823E-2</v>
      </c>
      <c r="M87" s="173"/>
      <c r="N87" s="173"/>
      <c r="O87" s="173"/>
      <c r="P87" s="173"/>
      <c r="Q87" s="173"/>
      <c r="R87" s="173"/>
      <c r="S87" s="173"/>
      <c r="T87" s="202"/>
    </row>
    <row r="88" spans="1:20" customFormat="1" ht="14.25">
      <c r="B88" s="1305" t="s">
        <v>362</v>
      </c>
      <c r="C88" s="1306"/>
      <c r="D88" s="21">
        <v>1.6044362009654768E-3</v>
      </c>
      <c r="E88" s="21">
        <v>2.9168555518185816E-3</v>
      </c>
      <c r="F88" s="21">
        <v>1.2825056479137923E-3</v>
      </c>
      <c r="G88" s="21">
        <v>2.208073324897768E-3</v>
      </c>
      <c r="H88" s="21">
        <v>1.0789437484811841E-3</v>
      </c>
      <c r="I88" s="21">
        <v>1.8571096447814496E-3</v>
      </c>
      <c r="J88" s="21">
        <v>1.8571096447814496E-3</v>
      </c>
      <c r="M88" s="173"/>
      <c r="N88" s="173"/>
      <c r="O88" s="173"/>
      <c r="P88" s="173"/>
      <c r="Q88" s="173"/>
      <c r="R88" s="173"/>
      <c r="S88" s="173"/>
      <c r="T88" s="202"/>
    </row>
    <row r="89" spans="1:20" customFormat="1" ht="14.25">
      <c r="B89" s="1305" t="s">
        <v>363</v>
      </c>
      <c r="C89" s="1306"/>
      <c r="D89" s="21">
        <v>2.8925250933052839E-2</v>
      </c>
      <c r="E89" s="21">
        <v>1.413591877445178E-2</v>
      </c>
      <c r="F89" s="21">
        <v>4.943203113796376E-2</v>
      </c>
      <c r="G89" s="21">
        <v>1.410316405988944E-2</v>
      </c>
      <c r="H89" s="21">
        <v>2.711082726669934E-2</v>
      </c>
      <c r="I89" s="21">
        <v>3.0186698239374202E-2</v>
      </c>
      <c r="J89" s="21">
        <v>3.0186698239374202E-2</v>
      </c>
      <c r="M89" s="173"/>
      <c r="N89" s="173"/>
      <c r="O89" s="173"/>
      <c r="P89" s="173"/>
      <c r="Q89" s="173"/>
      <c r="R89" s="173"/>
      <c r="S89" s="173"/>
      <c r="T89" s="202"/>
    </row>
    <row r="90" spans="1:20" customFormat="1" ht="14.25">
      <c r="B90" s="1305" t="s">
        <v>364</v>
      </c>
      <c r="C90" s="1306"/>
      <c r="D90" s="21">
        <v>7.0411752543025679E-4</v>
      </c>
      <c r="E90" s="21">
        <v>9.8419405882614304E-4</v>
      </c>
      <c r="F90" s="21">
        <v>1.1612611407854248E-3</v>
      </c>
      <c r="G90" s="21">
        <v>1.0809598128180324E-4</v>
      </c>
      <c r="H90" s="21">
        <v>9.5565131152497678E-4</v>
      </c>
      <c r="I90" s="21">
        <v>8.9660550241111333E-4</v>
      </c>
      <c r="J90" s="21">
        <v>8.9660550241111333E-4</v>
      </c>
      <c r="M90" s="173"/>
      <c r="N90" s="173"/>
      <c r="O90" s="173"/>
      <c r="P90" s="173"/>
      <c r="Q90" s="173"/>
      <c r="R90" s="173"/>
      <c r="S90" s="173"/>
      <c r="T90" s="202"/>
    </row>
    <row r="91" spans="1:20" customFormat="1" ht="14.25">
      <c r="B91" s="1305" t="s">
        <v>1235</v>
      </c>
      <c r="C91" s="1306"/>
      <c r="D91" s="209">
        <v>-1.2768410702782271E-2</v>
      </c>
      <c r="E91" s="209">
        <v>-1.5161847586990969E-2</v>
      </c>
      <c r="F91" s="209">
        <v>-2.1469950801342248E-2</v>
      </c>
      <c r="G91" s="209">
        <v>-1.1291567646667626E-2</v>
      </c>
      <c r="H91" s="209">
        <v>-1.2284779374277941E-2</v>
      </c>
      <c r="I91" s="209">
        <v>-1.4683211109791844E-2</v>
      </c>
      <c r="J91" s="209">
        <v>-1.4683211109791844E-2</v>
      </c>
      <c r="K91" s="9" t="s">
        <v>1236</v>
      </c>
      <c r="M91" s="173"/>
      <c r="N91" s="173"/>
      <c r="O91" s="173"/>
      <c r="P91" s="173"/>
      <c r="Q91" s="173"/>
      <c r="R91" s="173"/>
      <c r="S91" s="173"/>
      <c r="T91" s="202"/>
    </row>
    <row r="92" spans="1:20" customFormat="1">
      <c r="D92" s="48">
        <f t="shared" ref="D92:J92" si="0">D83+D88+D89+D90+D91</f>
        <v>8.9495565197362306E-2</v>
      </c>
      <c r="E92" s="48">
        <f t="shared" si="0"/>
        <v>0.14516844178597138</v>
      </c>
      <c r="F92" s="48">
        <f t="shared" si="0"/>
        <v>0.13367012379437343</v>
      </c>
      <c r="G92" s="48">
        <f t="shared" si="0"/>
        <v>0.11282735991439866</v>
      </c>
      <c r="H92" s="48">
        <f t="shared" si="0"/>
        <v>0.10206880229732693</v>
      </c>
      <c r="I92" s="48">
        <f t="shared" si="0"/>
        <v>0.12233540444477775</v>
      </c>
      <c r="J92" s="48">
        <f t="shared" si="0"/>
        <v>0.12233540444477775</v>
      </c>
      <c r="M92" s="173"/>
      <c r="N92" s="173"/>
      <c r="O92" s="173"/>
      <c r="P92" s="173"/>
      <c r="Q92" s="173"/>
      <c r="R92" s="173"/>
      <c r="S92" s="173"/>
    </row>
    <row r="93" spans="1:20" customFormat="1">
      <c r="M93" s="173"/>
      <c r="N93" s="173"/>
      <c r="O93" s="173"/>
      <c r="P93" s="173"/>
      <c r="Q93" s="173"/>
      <c r="R93" s="173"/>
      <c r="S93" s="173"/>
    </row>
    <row r="94" spans="1:20" customFormat="1">
      <c r="B94" s="195" t="s">
        <v>1237</v>
      </c>
      <c r="M94" s="173"/>
      <c r="N94" s="173"/>
      <c r="O94" s="173"/>
      <c r="P94" s="173"/>
      <c r="Q94" s="173"/>
      <c r="R94" s="173"/>
      <c r="S94" s="173"/>
    </row>
    <row r="95" spans="1:20" customFormat="1">
      <c r="D95" s="20" t="s">
        <v>827</v>
      </c>
      <c r="E95" s="20" t="s">
        <v>154</v>
      </c>
      <c r="F95" s="20" t="s">
        <v>829</v>
      </c>
      <c r="G95" s="20" t="s">
        <v>1238</v>
      </c>
      <c r="H95" s="20" t="s">
        <v>832</v>
      </c>
      <c r="I95" s="210"/>
      <c r="J95" s="20" t="s">
        <v>356</v>
      </c>
    </row>
    <row r="96" spans="1:20" customFormat="1" ht="14.25">
      <c r="B96" s="1305" t="s">
        <v>1239</v>
      </c>
      <c r="C96" s="1306"/>
      <c r="D96" s="21">
        <v>5.1749164168323696E-2</v>
      </c>
      <c r="E96" s="21">
        <v>5.7920826118796016E-2</v>
      </c>
      <c r="F96" s="21">
        <v>8.9088816899582909E-2</v>
      </c>
      <c r="G96" s="21">
        <v>6.142575861079122E-2</v>
      </c>
      <c r="H96" s="21">
        <v>3.3921167400128162E-2</v>
      </c>
      <c r="I96" s="211"/>
      <c r="J96" s="21">
        <v>6.142575861079122E-2</v>
      </c>
    </row>
    <row r="97" spans="1:11" customFormat="1" ht="14.25">
      <c r="B97" s="1305" t="s">
        <v>1240</v>
      </c>
      <c r="C97" s="1306"/>
      <c r="D97" s="21">
        <v>1.2705208830570006E-2</v>
      </c>
      <c r="E97" s="21">
        <v>1.7758954429591238E-2</v>
      </c>
      <c r="F97" s="21">
        <v>2.0953981072249554E-2</v>
      </c>
      <c r="G97" s="21">
        <v>1.4593580279724808E-2</v>
      </c>
      <c r="H97" s="21">
        <v>9.2530879105147783E-3</v>
      </c>
      <c r="I97" s="211"/>
      <c r="J97" s="21">
        <v>1.4593580279724808E-2</v>
      </c>
    </row>
    <row r="98" spans="1:11" customFormat="1" ht="14.25">
      <c r="B98" s="1307" t="s">
        <v>1241</v>
      </c>
      <c r="C98" s="1308"/>
      <c r="D98" s="21">
        <v>2.4719862506670368E-2</v>
      </c>
      <c r="E98" s="21">
        <v>3.4552671869937684E-2</v>
      </c>
      <c r="F98" s="21">
        <v>4.0769068653721909E-2</v>
      </c>
      <c r="G98" s="21">
        <v>2.8393968395611851E-2</v>
      </c>
      <c r="H98" s="21">
        <v>1.8003250789526547E-2</v>
      </c>
      <c r="I98" s="211"/>
      <c r="J98" s="21">
        <v>2.8393968395611851E-2</v>
      </c>
    </row>
    <row r="99" spans="1:11" customFormat="1" ht="14.25">
      <c r="B99" s="1305" t="s">
        <v>1235</v>
      </c>
      <c r="C99" s="1306"/>
      <c r="D99" s="209">
        <v>-6.6009710535473243E-3</v>
      </c>
      <c r="E99" s="209">
        <v>-7.8383221976260058E-3</v>
      </c>
      <c r="F99" s="209">
        <v>-1.1099464691393708E-2</v>
      </c>
      <c r="G99" s="209">
        <v>-7.5640784504988285E-3</v>
      </c>
      <c r="H99" s="209">
        <v>-6.3509449168293007E-3</v>
      </c>
      <c r="I99" s="211"/>
      <c r="J99" s="209">
        <v>-7.5640784504988285E-3</v>
      </c>
      <c r="K99" s="9" t="s">
        <v>1236</v>
      </c>
    </row>
    <row r="100" spans="1:11" customFormat="1">
      <c r="D100" s="48">
        <f>D96+D97+D98+D99</f>
        <v>8.2573264452016737E-2</v>
      </c>
      <c r="E100" s="48">
        <f>E96+E97+E98+E99</f>
        <v>0.10239413022069893</v>
      </c>
      <c r="F100" s="48">
        <f>F96+F97+F98+F99</f>
        <v>0.13971240193416068</v>
      </c>
      <c r="G100" s="48">
        <f>G96+G97+G98+G99</f>
        <v>9.6849228835629048E-2</v>
      </c>
      <c r="H100" s="48">
        <f>H96+H97+H98+H99</f>
        <v>5.4826561183340186E-2</v>
      </c>
      <c r="I100" s="48"/>
      <c r="J100" s="48">
        <f>J96+J97+J98+J99</f>
        <v>9.6849228835629048E-2</v>
      </c>
    </row>
    <row r="101" spans="1:11" customFormat="1">
      <c r="D101" s="48"/>
      <c r="E101" s="48"/>
      <c r="F101" s="48"/>
      <c r="G101" s="48"/>
      <c r="H101" s="48"/>
      <c r="I101" s="48"/>
      <c r="J101" s="48"/>
    </row>
    <row r="102" spans="1:11">
      <c r="B102" s="212" t="s">
        <v>1242</v>
      </c>
      <c r="C102" s="213"/>
      <c r="D102" s="213"/>
      <c r="E102" s="214"/>
      <c r="F102" s="212" t="s">
        <v>1243</v>
      </c>
      <c r="G102" s="213"/>
      <c r="H102" s="213"/>
      <c r="I102" s="213"/>
      <c r="J102" s="215"/>
    </row>
    <row r="103" spans="1:11" s="173" customFormat="1">
      <c r="A103" s="171"/>
      <c r="B103" s="216"/>
      <c r="C103" s="168" t="s">
        <v>1244</v>
      </c>
      <c r="D103" s="217"/>
      <c r="E103" s="218"/>
      <c r="F103" s="219" t="s">
        <v>1245</v>
      </c>
      <c r="G103" s="220"/>
      <c r="H103" s="220"/>
      <c r="I103" s="220"/>
      <c r="J103" s="221"/>
    </row>
    <row r="104" spans="1:11" s="173" customFormat="1">
      <c r="A104" s="171"/>
      <c r="B104" s="222"/>
      <c r="C104" s="223"/>
      <c r="D104" s="224"/>
      <c r="E104" s="225"/>
      <c r="F104" s="226"/>
      <c r="G104" s="184"/>
      <c r="H104" s="184"/>
      <c r="I104" s="184"/>
      <c r="J104" s="227"/>
    </row>
    <row r="105" spans="1:11" s="173" customFormat="1">
      <c r="A105" s="171"/>
      <c r="B105" s="228"/>
      <c r="C105" s="167"/>
      <c r="D105" s="229"/>
      <c r="E105" s="230"/>
      <c r="F105" s="231"/>
      <c r="G105" s="232"/>
      <c r="H105" s="232"/>
      <c r="I105" s="232"/>
      <c r="J105" s="233"/>
    </row>
    <row r="106" spans="1:11" s="173" customFormat="1">
      <c r="A106" s="171"/>
      <c r="B106" s="234" t="s">
        <v>1246</v>
      </c>
      <c r="C106" s="168" t="s">
        <v>1247</v>
      </c>
      <c r="D106" s="235"/>
      <c r="E106" s="236"/>
      <c r="F106" s="219" t="s">
        <v>1245</v>
      </c>
      <c r="G106" s="237"/>
      <c r="H106" s="237"/>
      <c r="I106" s="237"/>
      <c r="J106" s="221"/>
    </row>
    <row r="107" spans="1:11" s="173" customFormat="1">
      <c r="A107" s="171"/>
      <c r="B107" s="222"/>
      <c r="C107" s="223"/>
      <c r="D107" s="224"/>
      <c r="E107" s="225"/>
      <c r="F107" s="238" t="s">
        <v>1248</v>
      </c>
      <c r="G107" s="184"/>
      <c r="H107" s="184"/>
      <c r="I107" s="184"/>
      <c r="J107" s="227"/>
    </row>
    <row r="108" spans="1:11" s="173" customFormat="1">
      <c r="A108" s="171"/>
      <c r="B108" s="228"/>
      <c r="C108" s="167"/>
      <c r="D108" s="229"/>
      <c r="E108" s="230"/>
      <c r="F108" s="239"/>
      <c r="G108" s="232"/>
      <c r="H108" s="232"/>
      <c r="I108" s="232"/>
      <c r="J108" s="233"/>
    </row>
    <row r="109" spans="1:11" s="173" customFormat="1">
      <c r="A109" s="171"/>
      <c r="B109" s="222" t="s">
        <v>1249</v>
      </c>
      <c r="C109" s="168" t="s">
        <v>1250</v>
      </c>
      <c r="D109" s="235"/>
      <c r="E109" s="236"/>
      <c r="F109" s="240" t="s">
        <v>1022</v>
      </c>
      <c r="G109" s="237"/>
      <c r="H109" s="237"/>
      <c r="I109" s="237"/>
      <c r="J109" s="221"/>
    </row>
    <row r="110" spans="1:11" s="173" customFormat="1">
      <c r="A110" s="171"/>
      <c r="B110" s="222"/>
      <c r="C110" s="223"/>
      <c r="D110" s="224"/>
      <c r="E110" s="225"/>
      <c r="F110" s="241" t="s">
        <v>1023</v>
      </c>
      <c r="G110" s="184"/>
      <c r="H110" s="184"/>
      <c r="I110" s="184"/>
      <c r="J110" s="227"/>
    </row>
    <row r="111" spans="1:11">
      <c r="B111" s="228"/>
      <c r="C111" s="167"/>
      <c r="D111" s="229"/>
      <c r="E111" s="230"/>
      <c r="F111" s="231"/>
      <c r="G111" s="232"/>
      <c r="H111" s="232"/>
      <c r="I111" s="232"/>
      <c r="J111" s="230"/>
    </row>
    <row r="112" spans="1:11">
      <c r="C112" s="24" t="s">
        <v>1024</v>
      </c>
    </row>
    <row r="113" spans="1:9" s="2" customFormat="1"/>
    <row r="114" spans="1:9" s="2" customFormat="1" ht="17.25">
      <c r="A114" s="1"/>
      <c r="B114" s="195" t="s">
        <v>1025</v>
      </c>
    </row>
    <row r="115" spans="1:9" s="2" customFormat="1">
      <c r="B115" s="195" t="s">
        <v>1026</v>
      </c>
    </row>
    <row r="116" spans="1:9" s="2" customFormat="1">
      <c r="B116" s="195" t="s">
        <v>1027</v>
      </c>
      <c r="I116" s="24"/>
    </row>
    <row r="117" spans="1:9" s="2" customFormat="1">
      <c r="B117" s="195" t="s">
        <v>1028</v>
      </c>
    </row>
    <row r="118" spans="1:9">
      <c r="B118" s="242"/>
    </row>
    <row r="119" spans="1:9" s="2" customFormat="1"/>
    <row r="120" spans="1:9" s="2" customFormat="1">
      <c r="B120" s="132"/>
      <c r="C120" s="35"/>
      <c r="D120" s="35"/>
      <c r="E120" s="35"/>
      <c r="F120" s="35"/>
      <c r="G120" s="35"/>
      <c r="H120" s="35"/>
      <c r="I120" s="35"/>
    </row>
    <row r="123" spans="1:9" s="243" customFormat="1" ht="12"/>
    <row r="124" spans="1:9" s="243" customFormat="1" ht="12"/>
    <row r="125" spans="1:9" s="243" customFormat="1" ht="12"/>
    <row r="126" spans="1:9" s="243" customFormat="1" ht="12"/>
    <row r="127" spans="1:9" s="243" customFormat="1" ht="12"/>
    <row r="128" spans="1:9" s="243" customFormat="1" ht="12"/>
    <row r="129" spans="1:12" s="243" customFormat="1" ht="17.25">
      <c r="A129" s="244" t="s">
        <v>1029</v>
      </c>
      <c r="F129" s="245">
        <v>750</v>
      </c>
      <c r="G129" s="246" t="s">
        <v>189</v>
      </c>
    </row>
    <row r="130" spans="1:12" s="243" customFormat="1" ht="12"/>
    <row r="131" spans="1:12" s="243" customFormat="1" ht="12"/>
    <row r="132" spans="1:12" s="243" customFormat="1" ht="17.25">
      <c r="A132" s="244" t="s">
        <v>1030</v>
      </c>
    </row>
    <row r="133" spans="1:12" s="248" customFormat="1">
      <c r="A133" s="171"/>
      <c r="B133" s="243"/>
      <c r="C133" s="62" t="s">
        <v>191</v>
      </c>
      <c r="D133" s="63"/>
      <c r="E133" s="64" t="s">
        <v>192</v>
      </c>
      <c r="F133" s="247">
        <v>85</v>
      </c>
      <c r="G133" s="63" t="s">
        <v>193</v>
      </c>
      <c r="H133" s="243"/>
      <c r="I133" s="243"/>
      <c r="K133" s="243"/>
      <c r="L133" s="243"/>
    </row>
    <row r="134" spans="1:12" s="248" customFormat="1">
      <c r="A134" s="243"/>
      <c r="B134" s="243"/>
      <c r="C134" s="62" t="s">
        <v>194</v>
      </c>
      <c r="D134" s="63"/>
      <c r="E134" s="64" t="s">
        <v>195</v>
      </c>
      <c r="F134" s="247">
        <v>110</v>
      </c>
      <c r="G134" s="63" t="s">
        <v>193</v>
      </c>
      <c r="H134" s="243"/>
      <c r="I134" s="243"/>
      <c r="K134" s="243"/>
      <c r="L134" s="243"/>
    </row>
    <row r="135" spans="1:12" s="248" customFormat="1">
      <c r="A135" s="243"/>
      <c r="B135" s="243"/>
      <c r="C135" s="62" t="s">
        <v>365</v>
      </c>
      <c r="D135" s="63"/>
      <c r="E135" s="64" t="s">
        <v>197</v>
      </c>
      <c r="F135" s="247">
        <v>132.5</v>
      </c>
      <c r="G135" s="63" t="s">
        <v>193</v>
      </c>
      <c r="H135" s="243"/>
      <c r="I135" s="243"/>
      <c r="K135" s="243"/>
      <c r="L135" s="243"/>
    </row>
    <row r="136" spans="1:12" s="248" customFormat="1">
      <c r="A136" s="243"/>
      <c r="B136" s="243"/>
      <c r="C136" s="62" t="s">
        <v>366</v>
      </c>
      <c r="D136" s="63"/>
      <c r="E136" s="64" t="s">
        <v>199</v>
      </c>
      <c r="F136" s="249">
        <v>10.94</v>
      </c>
      <c r="G136" s="63" t="s">
        <v>193</v>
      </c>
      <c r="H136" s="243"/>
      <c r="I136" s="243"/>
      <c r="J136" s="243"/>
      <c r="K136" s="243"/>
      <c r="L136" s="243"/>
    </row>
    <row r="137" spans="1:12" s="248" customFormat="1">
      <c r="A137" s="243"/>
      <c r="B137" s="243"/>
      <c r="C137" s="62" t="s">
        <v>367</v>
      </c>
      <c r="D137" s="63"/>
      <c r="E137" s="64" t="s">
        <v>201</v>
      </c>
      <c r="F137" s="249">
        <v>64.959999999999994</v>
      </c>
      <c r="G137" s="63" t="s">
        <v>193</v>
      </c>
      <c r="H137" s="243"/>
      <c r="I137" s="243"/>
      <c r="J137" s="243"/>
      <c r="K137" s="243"/>
      <c r="L137" s="243"/>
    </row>
    <row r="138" spans="1:12" s="248" customFormat="1">
      <c r="A138" s="243"/>
      <c r="B138" s="243"/>
      <c r="C138" s="62" t="s">
        <v>202</v>
      </c>
      <c r="D138" s="63"/>
      <c r="E138" s="64" t="s">
        <v>203</v>
      </c>
      <c r="F138" s="247">
        <v>12.5</v>
      </c>
      <c r="G138" s="63" t="s">
        <v>193</v>
      </c>
      <c r="H138" s="243"/>
      <c r="I138" s="243"/>
      <c r="J138" s="243"/>
      <c r="K138" s="243"/>
      <c r="L138" s="243"/>
    </row>
    <row r="139" spans="1:12" s="248" customFormat="1">
      <c r="A139" s="243"/>
      <c r="B139" s="243"/>
      <c r="C139" s="62" t="s">
        <v>368</v>
      </c>
      <c r="D139" s="63"/>
      <c r="E139" s="64" t="s">
        <v>205</v>
      </c>
      <c r="F139" s="249">
        <v>2.81</v>
      </c>
      <c r="G139" s="63" t="s">
        <v>193</v>
      </c>
      <c r="H139" s="243"/>
      <c r="I139" s="243"/>
      <c r="J139" s="243"/>
      <c r="K139" s="243"/>
      <c r="L139" s="243"/>
    </row>
    <row r="140" spans="1:12" s="248" customFormat="1">
      <c r="A140" s="243"/>
      <c r="B140" s="243"/>
      <c r="C140" s="62" t="s">
        <v>369</v>
      </c>
      <c r="D140" s="63"/>
      <c r="E140" s="64" t="s">
        <v>207</v>
      </c>
      <c r="F140" s="249">
        <v>1.92</v>
      </c>
      <c r="G140" s="63" t="s">
        <v>193</v>
      </c>
      <c r="H140" s="243"/>
      <c r="I140" s="243"/>
      <c r="J140" s="243"/>
      <c r="K140" s="243"/>
      <c r="L140" s="243"/>
    </row>
    <row r="141" spans="1:12" s="248" customFormat="1">
      <c r="A141" s="243"/>
      <c r="B141" s="243"/>
      <c r="C141" s="62" t="s">
        <v>1031</v>
      </c>
      <c r="D141" s="63"/>
      <c r="E141" s="64" t="s">
        <v>209</v>
      </c>
      <c r="F141" s="250">
        <v>9.300000000000001E-3</v>
      </c>
      <c r="G141" s="63" t="s">
        <v>193</v>
      </c>
      <c r="H141" s="243"/>
      <c r="I141" s="243"/>
      <c r="J141" s="243"/>
      <c r="K141" s="243"/>
      <c r="L141" s="243"/>
    </row>
    <row r="142" spans="1:12" s="248" customFormat="1">
      <c r="A142" s="243"/>
      <c r="B142" s="243"/>
      <c r="C142" s="62" t="s">
        <v>370</v>
      </c>
      <c r="D142" s="63"/>
      <c r="E142" s="64" t="s">
        <v>211</v>
      </c>
      <c r="F142" s="249">
        <v>2.75</v>
      </c>
      <c r="G142" s="63" t="s">
        <v>193</v>
      </c>
      <c r="H142" s="243"/>
      <c r="I142" s="243"/>
      <c r="J142" s="243"/>
      <c r="L142" s="243"/>
    </row>
    <row r="143" spans="1:12" s="248" customFormat="1">
      <c r="A143" s="243"/>
      <c r="B143" s="243"/>
      <c r="C143" s="62" t="s">
        <v>572</v>
      </c>
      <c r="D143" s="63"/>
      <c r="E143" s="64" t="s">
        <v>213</v>
      </c>
      <c r="F143" s="251">
        <v>7.1999999999999995E-2</v>
      </c>
      <c r="G143" s="63" t="s">
        <v>193</v>
      </c>
      <c r="H143" s="243"/>
      <c r="I143" s="243"/>
      <c r="J143" s="243"/>
    </row>
    <row r="144" spans="1:12" s="248" customFormat="1">
      <c r="A144" s="243"/>
      <c r="B144" s="243"/>
      <c r="C144" s="62" t="s">
        <v>573</v>
      </c>
      <c r="D144" s="63"/>
      <c r="E144" s="64" t="s">
        <v>215</v>
      </c>
      <c r="F144" s="249">
        <v>49.53</v>
      </c>
      <c r="G144" s="63" t="s">
        <v>826</v>
      </c>
      <c r="H144" s="243"/>
      <c r="I144" s="243"/>
      <c r="J144" s="243"/>
    </row>
    <row r="145" spans="1:11" s="248" customFormat="1">
      <c r="A145" s="243"/>
      <c r="B145" s="243"/>
      <c r="C145" s="62" t="s">
        <v>574</v>
      </c>
      <c r="D145" s="63"/>
      <c r="E145" s="64" t="s">
        <v>217</v>
      </c>
      <c r="F145" s="247">
        <v>84.7</v>
      </c>
      <c r="G145" s="63" t="s">
        <v>826</v>
      </c>
      <c r="H145" s="243"/>
      <c r="I145" s="243"/>
    </row>
    <row r="146" spans="1:11" s="248" customFormat="1">
      <c r="A146" s="243"/>
      <c r="B146" s="243"/>
      <c r="C146" s="62" t="s">
        <v>575</v>
      </c>
      <c r="D146" s="63"/>
      <c r="E146" s="64" t="s">
        <v>371</v>
      </c>
      <c r="F146" s="249">
        <v>4.37</v>
      </c>
      <c r="G146" s="63" t="s">
        <v>826</v>
      </c>
      <c r="H146" s="243"/>
      <c r="I146" s="243"/>
    </row>
    <row r="147" spans="1:11" s="248" customFormat="1">
      <c r="A147" s="243"/>
      <c r="B147" s="243"/>
      <c r="C147" s="62" t="s">
        <v>372</v>
      </c>
      <c r="D147" s="63"/>
      <c r="E147" s="64" t="s">
        <v>373</v>
      </c>
      <c r="F147" s="249">
        <v>1.85</v>
      </c>
      <c r="G147" s="63" t="s">
        <v>826</v>
      </c>
      <c r="H147" s="243"/>
      <c r="I147" s="243"/>
    </row>
    <row r="148" spans="1:11" s="248" customFormat="1">
      <c r="A148" s="243"/>
      <c r="B148" s="243"/>
      <c r="C148" s="62" t="s">
        <v>576</v>
      </c>
      <c r="D148" s="63"/>
      <c r="E148" s="64" t="s">
        <v>223</v>
      </c>
      <c r="F148" s="249">
        <v>26.46</v>
      </c>
      <c r="G148" s="63" t="s">
        <v>193</v>
      </c>
      <c r="H148" s="243"/>
      <c r="I148" s="243"/>
    </row>
    <row r="149" spans="1:11" s="248" customFormat="1">
      <c r="A149" s="243"/>
      <c r="B149" s="243"/>
      <c r="C149" s="62" t="s">
        <v>374</v>
      </c>
      <c r="D149" s="63"/>
      <c r="E149" s="64" t="s">
        <v>375</v>
      </c>
      <c r="F149" s="249">
        <v>0.39</v>
      </c>
      <c r="G149" s="63" t="s">
        <v>193</v>
      </c>
      <c r="H149" s="243"/>
      <c r="I149" s="243"/>
    </row>
    <row r="150" spans="1:11" s="248" customFormat="1" ht="12">
      <c r="A150" s="243"/>
      <c r="B150" s="243"/>
      <c r="C150" s="243"/>
      <c r="D150" s="243"/>
      <c r="E150" s="243"/>
      <c r="F150" s="243"/>
      <c r="G150" s="243"/>
      <c r="H150" s="243"/>
      <c r="I150" s="243"/>
    </row>
    <row r="151" spans="1:11" s="248" customFormat="1" ht="12">
      <c r="A151" s="243"/>
      <c r="B151" s="243"/>
      <c r="C151" s="243"/>
      <c r="D151" s="243"/>
      <c r="E151" s="243"/>
      <c r="F151" s="243"/>
      <c r="G151" s="243"/>
      <c r="H151" s="243"/>
      <c r="I151" s="243"/>
      <c r="J151" s="243"/>
      <c r="K151" s="243"/>
    </row>
    <row r="152" spans="1:11" s="248" customFormat="1" ht="12">
      <c r="A152" s="243"/>
      <c r="B152" s="243"/>
      <c r="C152" s="243"/>
      <c r="D152" s="243"/>
      <c r="E152" s="243"/>
      <c r="F152" s="243"/>
      <c r="G152" s="243"/>
      <c r="H152" s="243"/>
      <c r="I152" s="243"/>
      <c r="J152" s="243"/>
      <c r="K152" s="243"/>
    </row>
    <row r="153" spans="1:11" s="248" customFormat="1" ht="12">
      <c r="A153" s="243"/>
      <c r="B153" s="243"/>
      <c r="C153" s="243"/>
      <c r="D153" s="243"/>
      <c r="E153" s="243"/>
      <c r="F153" s="243"/>
      <c r="G153" s="243"/>
      <c r="H153" s="243"/>
      <c r="I153" s="243"/>
      <c r="J153" s="243"/>
      <c r="K153" s="243"/>
    </row>
    <row r="154" spans="1:11" s="243" customFormat="1" ht="12"/>
    <row r="155" spans="1:11" s="243" customFormat="1" ht="17.25">
      <c r="A155" s="244" t="s">
        <v>577</v>
      </c>
      <c r="F155" s="252"/>
    </row>
    <row r="156" spans="1:11" s="248" customFormat="1" ht="12">
      <c r="A156" s="243"/>
      <c r="B156" s="243"/>
      <c r="C156" s="243"/>
      <c r="D156" s="243"/>
      <c r="E156" s="243"/>
      <c r="F156" s="243"/>
      <c r="G156" s="243"/>
      <c r="H156" s="243"/>
      <c r="I156" s="243"/>
      <c r="J156" s="243"/>
      <c r="K156" s="243"/>
    </row>
    <row r="157" spans="1:11" s="243" customFormat="1">
      <c r="B157" s="253" t="s">
        <v>578</v>
      </c>
      <c r="F157" s="252"/>
    </row>
    <row r="158" spans="1:11" s="248" customFormat="1" ht="12">
      <c r="A158" s="243"/>
      <c r="B158" s="243"/>
      <c r="C158" s="243"/>
      <c r="D158" s="243"/>
      <c r="E158" s="243"/>
      <c r="F158" s="243"/>
      <c r="G158" s="243"/>
      <c r="H158" s="243"/>
      <c r="I158" s="243"/>
    </row>
    <row r="159" spans="1:11" s="248" customFormat="1">
      <c r="A159" s="243"/>
      <c r="B159" s="254" t="s">
        <v>579</v>
      </c>
      <c r="C159" s="243"/>
      <c r="D159" s="243"/>
      <c r="E159" s="243"/>
      <c r="F159" s="243"/>
      <c r="G159" s="243"/>
      <c r="H159" s="243"/>
      <c r="I159" s="1302" t="s">
        <v>226</v>
      </c>
      <c r="J159" s="1302"/>
      <c r="K159" s="1302"/>
    </row>
    <row r="160" spans="1:11" s="248" customFormat="1" ht="12">
      <c r="A160" s="243"/>
      <c r="B160" s="1303" t="s">
        <v>227</v>
      </c>
      <c r="C160" s="1304"/>
      <c r="D160" s="1303" t="s">
        <v>228</v>
      </c>
      <c r="E160" s="1304"/>
      <c r="F160" s="3" t="s">
        <v>73</v>
      </c>
      <c r="G160" s="3" t="s">
        <v>74</v>
      </c>
      <c r="H160" s="72" t="s">
        <v>229</v>
      </c>
      <c r="I160" s="73" t="s">
        <v>73</v>
      </c>
      <c r="J160" s="73" t="s">
        <v>74</v>
      </c>
      <c r="K160" s="73" t="s">
        <v>229</v>
      </c>
    </row>
    <row r="161" spans="1:11" s="248" customFormat="1">
      <c r="A161" s="243"/>
      <c r="B161" s="74" t="s">
        <v>580</v>
      </c>
      <c r="C161" s="75"/>
      <c r="D161" s="4" t="s">
        <v>581</v>
      </c>
      <c r="E161" s="76"/>
      <c r="F161" s="119">
        <v>3.26</v>
      </c>
      <c r="G161" s="119">
        <v>17.37</v>
      </c>
      <c r="H161" s="6" t="s">
        <v>237</v>
      </c>
      <c r="I161" s="255">
        <f t="shared" ref="I161:I171" si="1">F161*$F$133</f>
        <v>277.09999999999997</v>
      </c>
      <c r="J161" s="255">
        <f t="shared" ref="J161:J171" si="2">G161*$F$133</f>
        <v>1476.45</v>
      </c>
      <c r="K161" s="256" t="s">
        <v>238</v>
      </c>
    </row>
    <row r="162" spans="1:11" s="248" customFormat="1">
      <c r="A162" s="243"/>
      <c r="B162" s="78"/>
      <c r="C162" s="79"/>
      <c r="D162" s="4" t="s">
        <v>582</v>
      </c>
      <c r="E162" s="76"/>
      <c r="F162" s="119">
        <v>2.06</v>
      </c>
      <c r="G162" s="119">
        <v>17.11</v>
      </c>
      <c r="H162" s="6" t="s">
        <v>237</v>
      </c>
      <c r="I162" s="255">
        <f t="shared" si="1"/>
        <v>175.1</v>
      </c>
      <c r="J162" s="255">
        <f t="shared" si="2"/>
        <v>1454.35</v>
      </c>
      <c r="K162" s="256" t="s">
        <v>238</v>
      </c>
    </row>
    <row r="163" spans="1:11" s="248" customFormat="1">
      <c r="A163" s="243"/>
      <c r="B163" s="78"/>
      <c r="C163" s="79"/>
      <c r="D163" s="4" t="s">
        <v>583</v>
      </c>
      <c r="E163" s="76"/>
      <c r="F163" s="119">
        <v>3.21</v>
      </c>
      <c r="G163" s="119">
        <v>10.27</v>
      </c>
      <c r="H163" s="6" t="s">
        <v>237</v>
      </c>
      <c r="I163" s="255">
        <f t="shared" si="1"/>
        <v>272.85000000000002</v>
      </c>
      <c r="J163" s="255">
        <f t="shared" si="2"/>
        <v>872.94999999999993</v>
      </c>
      <c r="K163" s="256" t="s">
        <v>238</v>
      </c>
    </row>
    <row r="164" spans="1:11" s="248" customFormat="1">
      <c r="A164" s="243"/>
      <c r="B164" s="78"/>
      <c r="C164" s="79"/>
      <c r="D164" s="4" t="s">
        <v>236</v>
      </c>
      <c r="E164" s="76"/>
      <c r="F164" s="119">
        <v>4.13</v>
      </c>
      <c r="G164" s="119">
        <v>10.37</v>
      </c>
      <c r="H164" s="6" t="s">
        <v>237</v>
      </c>
      <c r="I164" s="255">
        <f t="shared" si="1"/>
        <v>351.05</v>
      </c>
      <c r="J164" s="255">
        <f t="shared" si="2"/>
        <v>881.44999999999993</v>
      </c>
      <c r="K164" s="256" t="s">
        <v>238</v>
      </c>
    </row>
    <row r="165" spans="1:11" s="248" customFormat="1">
      <c r="A165" s="243"/>
      <c r="B165" s="78"/>
      <c r="C165" s="79"/>
      <c r="D165" s="4" t="s">
        <v>239</v>
      </c>
      <c r="E165" s="76"/>
      <c r="F165" s="119">
        <v>3.36</v>
      </c>
      <c r="G165" s="119">
        <v>2.31</v>
      </c>
      <c r="H165" s="6" t="s">
        <v>237</v>
      </c>
      <c r="I165" s="255">
        <f t="shared" si="1"/>
        <v>285.59999999999997</v>
      </c>
      <c r="J165" s="255">
        <f t="shared" si="2"/>
        <v>196.35</v>
      </c>
      <c r="K165" s="256" t="s">
        <v>238</v>
      </c>
    </row>
    <row r="166" spans="1:11" s="248" customFormat="1">
      <c r="A166" s="243"/>
      <c r="B166" s="78"/>
      <c r="C166" s="79"/>
      <c r="D166" s="4" t="s">
        <v>240</v>
      </c>
      <c r="E166" s="76"/>
      <c r="F166" s="119">
        <v>5.23</v>
      </c>
      <c r="G166" s="119">
        <v>31.4</v>
      </c>
      <c r="H166" s="6" t="s">
        <v>237</v>
      </c>
      <c r="I166" s="255">
        <f t="shared" si="1"/>
        <v>444.55</v>
      </c>
      <c r="J166" s="255">
        <f t="shared" si="2"/>
        <v>2669</v>
      </c>
      <c r="K166" s="256" t="s">
        <v>238</v>
      </c>
    </row>
    <row r="167" spans="1:11" s="248" customFormat="1">
      <c r="A167" s="243"/>
      <c r="B167" s="78"/>
      <c r="C167" s="79"/>
      <c r="D167" s="4" t="s">
        <v>241</v>
      </c>
      <c r="E167" s="76"/>
      <c r="F167" s="119">
        <v>4.08</v>
      </c>
      <c r="G167" s="119">
        <v>5.38</v>
      </c>
      <c r="H167" s="6" t="s">
        <v>584</v>
      </c>
      <c r="I167" s="255">
        <f t="shared" si="1"/>
        <v>346.8</v>
      </c>
      <c r="J167" s="255">
        <f t="shared" si="2"/>
        <v>457.3</v>
      </c>
      <c r="K167" s="256" t="s">
        <v>585</v>
      </c>
    </row>
    <row r="168" spans="1:11" s="248" customFormat="1">
      <c r="A168" s="243"/>
      <c r="B168" s="78"/>
      <c r="C168" s="79"/>
      <c r="D168" s="4" t="s">
        <v>586</v>
      </c>
      <c r="E168" s="76"/>
      <c r="F168" s="119">
        <v>4.55</v>
      </c>
      <c r="G168" s="119">
        <v>6.51</v>
      </c>
      <c r="H168" s="6" t="s">
        <v>584</v>
      </c>
      <c r="I168" s="255">
        <f t="shared" si="1"/>
        <v>386.75</v>
      </c>
      <c r="J168" s="255">
        <f t="shared" si="2"/>
        <v>553.35</v>
      </c>
      <c r="K168" s="256" t="s">
        <v>585</v>
      </c>
    </row>
    <row r="169" spans="1:11" s="248" customFormat="1">
      <c r="A169" s="243"/>
      <c r="B169" s="78"/>
      <c r="C169" s="79"/>
      <c r="D169" s="4" t="s">
        <v>242</v>
      </c>
      <c r="E169" s="76"/>
      <c r="F169" s="119">
        <v>3.18</v>
      </c>
      <c r="G169" s="119">
        <v>3.76</v>
      </c>
      <c r="H169" s="6" t="s">
        <v>237</v>
      </c>
      <c r="I169" s="255">
        <f t="shared" si="1"/>
        <v>270.3</v>
      </c>
      <c r="J169" s="255">
        <f t="shared" si="2"/>
        <v>319.59999999999997</v>
      </c>
      <c r="K169" s="256" t="s">
        <v>238</v>
      </c>
    </row>
    <row r="170" spans="1:11" s="248" customFormat="1">
      <c r="A170" s="243"/>
      <c r="B170" s="78"/>
      <c r="C170" s="79"/>
      <c r="D170" s="80" t="s">
        <v>243</v>
      </c>
      <c r="E170" s="76"/>
      <c r="F170" s="119">
        <v>3.75</v>
      </c>
      <c r="G170" s="119">
        <v>0.88</v>
      </c>
      <c r="H170" s="6" t="s">
        <v>244</v>
      </c>
      <c r="I170" s="255">
        <f t="shared" si="1"/>
        <v>318.75</v>
      </c>
      <c r="J170" s="255">
        <f t="shared" si="2"/>
        <v>74.8</v>
      </c>
      <c r="K170" s="256" t="s">
        <v>245</v>
      </c>
    </row>
    <row r="171" spans="1:11" s="248" customFormat="1">
      <c r="A171" s="243"/>
      <c r="B171" s="81"/>
      <c r="C171" s="82"/>
      <c r="D171" s="4" t="s">
        <v>246</v>
      </c>
      <c r="E171" s="76"/>
      <c r="F171" s="119">
        <v>2.5</v>
      </c>
      <c r="G171" s="119">
        <v>0.13</v>
      </c>
      <c r="H171" s="6" t="s">
        <v>244</v>
      </c>
      <c r="I171" s="255">
        <f t="shared" si="1"/>
        <v>212.5</v>
      </c>
      <c r="J171" s="255">
        <f t="shared" si="2"/>
        <v>11.05</v>
      </c>
      <c r="K171" s="256" t="s">
        <v>245</v>
      </c>
    </row>
    <row r="172" spans="1:11" s="248" customFormat="1">
      <c r="A172" s="243"/>
      <c r="B172" s="74" t="s">
        <v>247</v>
      </c>
      <c r="C172" s="75"/>
      <c r="D172" s="4" t="s">
        <v>248</v>
      </c>
      <c r="E172" s="76"/>
      <c r="F172" s="119">
        <v>123.627</v>
      </c>
      <c r="G172" s="119">
        <v>38</v>
      </c>
      <c r="H172" s="6" t="s">
        <v>249</v>
      </c>
      <c r="I172" s="255">
        <f>F172*$F$146</f>
        <v>540.24999000000003</v>
      </c>
      <c r="J172" s="255">
        <f>G172*$F$146</f>
        <v>166.06</v>
      </c>
      <c r="K172" s="256" t="s">
        <v>238</v>
      </c>
    </row>
    <row r="173" spans="1:11" s="248" customFormat="1">
      <c r="A173" s="243"/>
      <c r="B173" s="81"/>
      <c r="C173" s="82"/>
      <c r="D173" s="4" t="s">
        <v>250</v>
      </c>
      <c r="E173" s="76"/>
      <c r="F173" s="119">
        <v>123.627</v>
      </c>
      <c r="G173" s="119">
        <v>38</v>
      </c>
      <c r="H173" s="6" t="s">
        <v>249</v>
      </c>
      <c r="I173" s="255">
        <f>F173*$F$146</f>
        <v>540.24999000000003</v>
      </c>
      <c r="J173" s="255">
        <f>G173*$F$146</f>
        <v>166.06</v>
      </c>
      <c r="K173" s="256" t="s">
        <v>238</v>
      </c>
    </row>
    <row r="174" spans="1:11" s="248" customFormat="1">
      <c r="A174" s="243"/>
      <c r="B174" s="74" t="s">
        <v>172</v>
      </c>
      <c r="C174" s="75"/>
      <c r="D174" s="4" t="s">
        <v>248</v>
      </c>
      <c r="E174" s="76"/>
      <c r="F174" s="119">
        <v>54.46</v>
      </c>
      <c r="G174" s="119">
        <v>124.14</v>
      </c>
      <c r="H174" s="6" t="s">
        <v>251</v>
      </c>
      <c r="I174" s="255">
        <f t="shared" ref="I174:J176" si="3">F174*$F$139</f>
        <v>153.0326</v>
      </c>
      <c r="J174" s="255">
        <f t="shared" si="3"/>
        <v>348.83339999999998</v>
      </c>
      <c r="K174" s="256" t="s">
        <v>238</v>
      </c>
    </row>
    <row r="175" spans="1:11" s="248" customFormat="1">
      <c r="A175" s="243"/>
      <c r="B175" s="78"/>
      <c r="C175" s="79"/>
      <c r="D175" s="4" t="s">
        <v>250</v>
      </c>
      <c r="E175" s="76"/>
      <c r="F175" s="119">
        <v>54.46</v>
      </c>
      <c r="G175" s="119">
        <v>53.71</v>
      </c>
      <c r="H175" s="6" t="s">
        <v>251</v>
      </c>
      <c r="I175" s="255">
        <f t="shared" si="3"/>
        <v>153.0326</v>
      </c>
      <c r="J175" s="255">
        <f t="shared" si="3"/>
        <v>150.92510000000001</v>
      </c>
      <c r="K175" s="256" t="s">
        <v>238</v>
      </c>
    </row>
    <row r="176" spans="1:11" s="248" customFormat="1">
      <c r="A176" s="243"/>
      <c r="B176" s="78"/>
      <c r="C176" s="79"/>
      <c r="D176" s="4" t="s">
        <v>587</v>
      </c>
      <c r="E176" s="76"/>
      <c r="F176" s="119">
        <v>47.22</v>
      </c>
      <c r="G176" s="119">
        <v>63.73</v>
      </c>
      <c r="H176" s="6" t="s">
        <v>251</v>
      </c>
      <c r="I176" s="255">
        <f t="shared" si="3"/>
        <v>132.68819999999999</v>
      </c>
      <c r="J176" s="255">
        <f t="shared" si="3"/>
        <v>179.0813</v>
      </c>
      <c r="K176" s="256" t="s">
        <v>238</v>
      </c>
    </row>
    <row r="177" spans="1:11" s="248" customFormat="1">
      <c r="A177" s="243"/>
      <c r="B177" s="74" t="s">
        <v>169</v>
      </c>
      <c r="C177" s="75"/>
      <c r="D177" s="4" t="s">
        <v>248</v>
      </c>
      <c r="E177" s="76"/>
      <c r="F177" s="119">
        <v>143.76</v>
      </c>
      <c r="G177" s="119">
        <v>622.91</v>
      </c>
      <c r="H177" s="6" t="s">
        <v>238</v>
      </c>
      <c r="I177" s="255">
        <v>143.76</v>
      </c>
      <c r="J177" s="255">
        <v>622.91</v>
      </c>
      <c r="K177" s="256" t="s">
        <v>238</v>
      </c>
    </row>
    <row r="178" spans="1:11" s="248" customFormat="1">
      <c r="A178" s="243"/>
      <c r="B178" s="78"/>
      <c r="C178" s="79"/>
      <c r="D178" s="4" t="s">
        <v>260</v>
      </c>
      <c r="E178" s="76"/>
      <c r="F178" s="119">
        <v>207.18</v>
      </c>
      <c r="G178" s="119">
        <v>185.51</v>
      </c>
      <c r="H178" s="6" t="s">
        <v>238</v>
      </c>
      <c r="I178" s="255">
        <v>207.18</v>
      </c>
      <c r="J178" s="255">
        <v>185.51</v>
      </c>
      <c r="K178" s="256" t="s">
        <v>238</v>
      </c>
    </row>
    <row r="179" spans="1:11" s="248" customFormat="1">
      <c r="A179" s="243"/>
      <c r="B179" s="81"/>
      <c r="C179" s="82"/>
      <c r="D179" s="4" t="s">
        <v>250</v>
      </c>
      <c r="E179" s="76"/>
      <c r="F179" s="119">
        <v>226.09</v>
      </c>
      <c r="G179" s="119">
        <v>53.68</v>
      </c>
      <c r="H179" s="6" t="s">
        <v>238</v>
      </c>
      <c r="I179" s="255">
        <v>226.09</v>
      </c>
      <c r="J179" s="255">
        <v>53.68</v>
      </c>
      <c r="K179" s="256" t="s">
        <v>238</v>
      </c>
    </row>
    <row r="180" spans="1:11" s="248" customFormat="1">
      <c r="A180" s="243"/>
      <c r="B180" s="257" t="s">
        <v>171</v>
      </c>
      <c r="C180" s="258"/>
      <c r="D180" s="259" t="s">
        <v>236</v>
      </c>
      <c r="E180" s="260"/>
      <c r="F180" s="261">
        <v>7.5</v>
      </c>
      <c r="G180" s="262">
        <v>47.4</v>
      </c>
      <c r="H180" s="263" t="s">
        <v>261</v>
      </c>
      <c r="I180" s="255">
        <f>F180*$F$138</f>
        <v>93.75</v>
      </c>
      <c r="J180" s="255">
        <f>G180</f>
        <v>47.4</v>
      </c>
      <c r="K180" s="256" t="s">
        <v>238</v>
      </c>
    </row>
    <row r="181" spans="1:11" s="248" customFormat="1">
      <c r="A181" s="243"/>
      <c r="B181" s="81"/>
      <c r="C181" s="82"/>
      <c r="D181" s="4" t="s">
        <v>250</v>
      </c>
      <c r="E181" s="76"/>
      <c r="F181" s="261">
        <v>7.5</v>
      </c>
      <c r="G181" s="264">
        <v>47.4</v>
      </c>
      <c r="H181" s="263" t="s">
        <v>261</v>
      </c>
      <c r="I181" s="255">
        <f>F181*$F$138</f>
        <v>93.75</v>
      </c>
      <c r="J181" s="255">
        <f>G181</f>
        <v>47.4</v>
      </c>
      <c r="K181" s="256" t="s">
        <v>238</v>
      </c>
    </row>
    <row r="182" spans="1:11" s="248" customFormat="1">
      <c r="A182" s="243"/>
      <c r="B182" s="4" t="s">
        <v>174</v>
      </c>
      <c r="C182" s="89"/>
      <c r="D182" s="4"/>
      <c r="E182" s="76"/>
      <c r="F182" s="119">
        <v>20.74</v>
      </c>
      <c r="G182" s="119">
        <v>43.42</v>
      </c>
      <c r="H182" s="6" t="s">
        <v>588</v>
      </c>
      <c r="I182" s="255">
        <f>F182*$F$138</f>
        <v>259.25</v>
      </c>
      <c r="J182" s="255">
        <f>G182*$F$138</f>
        <v>542.75</v>
      </c>
      <c r="K182" s="256" t="s">
        <v>585</v>
      </c>
    </row>
    <row r="183" spans="1:11" s="248" customFormat="1">
      <c r="A183" s="243"/>
      <c r="B183" s="74" t="s">
        <v>589</v>
      </c>
      <c r="C183" s="265"/>
      <c r="D183" s="4" t="s">
        <v>894</v>
      </c>
      <c r="E183" s="5"/>
      <c r="F183" s="266">
        <v>0.95400000000000007</v>
      </c>
      <c r="G183" s="267">
        <f>0.134*60</f>
        <v>8.0400000000000009</v>
      </c>
      <c r="H183" s="6" t="s">
        <v>237</v>
      </c>
      <c r="I183" s="255">
        <f t="shared" ref="I183:J187" si="4">F183*$F$133</f>
        <v>81.09</v>
      </c>
      <c r="J183" s="255">
        <f t="shared" si="4"/>
        <v>683.40000000000009</v>
      </c>
      <c r="K183" s="6" t="s">
        <v>238</v>
      </c>
    </row>
    <row r="184" spans="1:11" s="248" customFormat="1">
      <c r="A184" s="243"/>
      <c r="B184" s="78"/>
      <c r="C184" s="268"/>
      <c r="D184" s="4" t="s">
        <v>248</v>
      </c>
      <c r="E184" s="5"/>
      <c r="F184" s="266">
        <v>0.95400000000000007</v>
      </c>
      <c r="G184" s="267">
        <f>0.1462*60</f>
        <v>8.7720000000000002</v>
      </c>
      <c r="H184" s="6" t="s">
        <v>237</v>
      </c>
      <c r="I184" s="255">
        <f t="shared" si="4"/>
        <v>81.09</v>
      </c>
      <c r="J184" s="255">
        <f t="shared" si="4"/>
        <v>745.62</v>
      </c>
      <c r="K184" s="6" t="s">
        <v>238</v>
      </c>
    </row>
    <row r="185" spans="1:11" s="248" customFormat="1">
      <c r="A185" s="243"/>
      <c r="B185" s="78"/>
      <c r="C185" s="268"/>
      <c r="D185" s="4" t="s">
        <v>895</v>
      </c>
      <c r="E185" s="5"/>
      <c r="F185" s="266">
        <v>0.95400000000000007</v>
      </c>
      <c r="G185" s="267">
        <f>0.1644*60</f>
        <v>9.863999999999999</v>
      </c>
      <c r="H185" s="6" t="s">
        <v>237</v>
      </c>
      <c r="I185" s="255">
        <f t="shared" si="4"/>
        <v>81.09</v>
      </c>
      <c r="J185" s="255">
        <f t="shared" si="4"/>
        <v>838.43999999999994</v>
      </c>
      <c r="K185" s="6" t="s">
        <v>238</v>
      </c>
    </row>
    <row r="186" spans="1:11" s="248" customFormat="1">
      <c r="A186" s="243"/>
      <c r="B186" s="78"/>
      <c r="C186" s="268"/>
      <c r="D186" s="4" t="s">
        <v>896</v>
      </c>
      <c r="E186" s="5"/>
      <c r="F186" s="266">
        <v>0.95400000000000007</v>
      </c>
      <c r="G186" s="267">
        <f>0.1985*60</f>
        <v>11.91</v>
      </c>
      <c r="H186" s="6" t="s">
        <v>237</v>
      </c>
      <c r="I186" s="255">
        <f t="shared" si="4"/>
        <v>81.09</v>
      </c>
      <c r="J186" s="255">
        <f t="shared" si="4"/>
        <v>1012.35</v>
      </c>
      <c r="K186" s="6" t="s">
        <v>238</v>
      </c>
    </row>
    <row r="187" spans="1:11" s="248" customFormat="1">
      <c r="A187" s="243"/>
      <c r="B187" s="81"/>
      <c r="C187" s="269"/>
      <c r="D187" s="4" t="s">
        <v>897</v>
      </c>
      <c r="E187" s="5"/>
      <c r="F187" s="266">
        <v>0.95400000000000007</v>
      </c>
      <c r="G187" s="267">
        <f>0.2619*60</f>
        <v>15.714000000000002</v>
      </c>
      <c r="H187" s="6" t="s">
        <v>237</v>
      </c>
      <c r="I187" s="255">
        <f t="shared" si="4"/>
        <v>81.09</v>
      </c>
      <c r="J187" s="255">
        <f t="shared" si="4"/>
        <v>1335.6900000000003</v>
      </c>
      <c r="K187" s="6" t="s">
        <v>238</v>
      </c>
    </row>
    <row r="188" spans="1:11" s="248" customFormat="1" ht="12">
      <c r="A188" s="243"/>
      <c r="B188" s="243"/>
      <c r="C188" s="243"/>
      <c r="D188" s="243"/>
      <c r="E188" s="243"/>
      <c r="F188" s="243"/>
      <c r="G188" s="243"/>
      <c r="H188" s="243"/>
      <c r="I188" s="243"/>
      <c r="J188" s="243"/>
      <c r="K188" s="243"/>
    </row>
    <row r="189" spans="1:11" s="248" customFormat="1" ht="12">
      <c r="A189" s="243"/>
      <c r="B189" s="243"/>
      <c r="C189" s="243"/>
      <c r="D189" s="243"/>
      <c r="E189" s="243"/>
      <c r="F189" s="243"/>
      <c r="G189" s="243"/>
      <c r="H189" s="243"/>
      <c r="I189" s="243"/>
      <c r="J189" s="243"/>
      <c r="K189" s="243"/>
    </row>
    <row r="190" spans="1:11" s="248" customFormat="1" ht="12">
      <c r="A190" s="243"/>
      <c r="B190" s="243"/>
      <c r="C190" s="243"/>
      <c r="D190" s="243"/>
      <c r="E190" s="243"/>
      <c r="F190" s="243"/>
      <c r="G190" s="243"/>
      <c r="H190" s="243"/>
      <c r="I190" s="243"/>
      <c r="J190" s="243"/>
      <c r="K190" s="243"/>
    </row>
    <row r="191" spans="1:11" s="248" customFormat="1" ht="12">
      <c r="A191" s="243"/>
      <c r="B191" s="243"/>
      <c r="C191" s="243"/>
      <c r="D191" s="243"/>
      <c r="E191" s="243"/>
      <c r="F191" s="243"/>
      <c r="G191" s="243"/>
      <c r="H191" s="243"/>
      <c r="I191" s="243"/>
      <c r="J191" s="243"/>
      <c r="K191" s="243"/>
    </row>
    <row r="192" spans="1:11" s="248" customFormat="1" ht="12">
      <c r="A192" s="243"/>
      <c r="B192" s="243"/>
      <c r="C192" s="243"/>
      <c r="D192" s="243"/>
      <c r="E192" s="243"/>
      <c r="F192" s="243"/>
      <c r="G192" s="243"/>
      <c r="H192" s="243"/>
      <c r="I192" s="243"/>
      <c r="J192" s="243"/>
      <c r="K192" s="243"/>
    </row>
    <row r="193" spans="1:12" s="248" customFormat="1" ht="12">
      <c r="A193" s="243"/>
      <c r="B193" s="243"/>
      <c r="C193" s="243"/>
      <c r="D193" s="243"/>
      <c r="E193" s="243"/>
      <c r="F193" s="243"/>
      <c r="G193" s="243"/>
      <c r="H193" s="243"/>
      <c r="I193" s="243"/>
      <c r="J193" s="243"/>
      <c r="K193" s="243"/>
    </row>
    <row r="194" spans="1:12" s="248" customFormat="1" ht="12">
      <c r="A194" s="243"/>
      <c r="B194" s="243"/>
      <c r="C194" s="243"/>
      <c r="D194" s="243"/>
      <c r="E194" s="243"/>
      <c r="F194" s="243"/>
      <c r="G194" s="243"/>
      <c r="H194" s="243"/>
      <c r="I194" s="243"/>
      <c r="J194" s="243"/>
      <c r="K194" s="243"/>
    </row>
    <row r="195" spans="1:12" s="248" customFormat="1" ht="12">
      <c r="A195" s="243"/>
      <c r="B195" s="243"/>
      <c r="C195" s="243"/>
      <c r="D195" s="243"/>
      <c r="E195" s="243"/>
      <c r="F195" s="243"/>
      <c r="G195" s="243"/>
      <c r="H195" s="243"/>
      <c r="I195" s="243"/>
      <c r="J195" s="243"/>
      <c r="K195" s="243"/>
    </row>
    <row r="196" spans="1:12" s="248" customFormat="1">
      <c r="A196" s="243"/>
      <c r="B196" s="270" t="s">
        <v>590</v>
      </c>
      <c r="C196" s="243"/>
      <c r="D196" s="243"/>
      <c r="E196" s="243"/>
      <c r="F196" s="243"/>
      <c r="G196" s="243"/>
      <c r="H196" s="243"/>
    </row>
    <row r="197" spans="1:12" s="243" customFormat="1" ht="27">
      <c r="B197" s="271" t="s">
        <v>591</v>
      </c>
      <c r="C197" s="272" t="s">
        <v>592</v>
      </c>
      <c r="D197" s="91" t="s">
        <v>593</v>
      </c>
      <c r="E197" s="272" t="s">
        <v>594</v>
      </c>
      <c r="F197" s="271" t="s">
        <v>629</v>
      </c>
    </row>
    <row r="198" spans="1:12" s="248" customFormat="1">
      <c r="A198" s="243"/>
      <c r="B198" s="169" t="s">
        <v>1377</v>
      </c>
      <c r="C198" s="273">
        <f>7.2%+6.6%</f>
        <v>0.13800000000000001</v>
      </c>
      <c r="D198" s="273">
        <v>0.128</v>
      </c>
      <c r="E198" s="274">
        <v>1.6E-2</v>
      </c>
      <c r="F198" s="275" t="s">
        <v>630</v>
      </c>
      <c r="G198" s="276" t="s">
        <v>631</v>
      </c>
      <c r="I198" s="243"/>
      <c r="J198" s="243"/>
      <c r="K198" s="243"/>
      <c r="L198" s="243"/>
    </row>
    <row r="199" spans="1:12" s="248" customFormat="1">
      <c r="A199" s="243"/>
      <c r="B199" s="169" t="s">
        <v>632</v>
      </c>
      <c r="C199" s="277">
        <v>0.128</v>
      </c>
      <c r="D199" s="277">
        <v>8.2000000000000003E-2</v>
      </c>
      <c r="E199" s="278">
        <v>6.5000000000000002E-2</v>
      </c>
      <c r="F199" s="279" t="s">
        <v>630</v>
      </c>
      <c r="G199" s="276" t="s">
        <v>633</v>
      </c>
      <c r="I199" s="243"/>
      <c r="J199" s="243"/>
      <c r="K199" s="243"/>
      <c r="L199" s="243"/>
    </row>
    <row r="200" spans="1:12" s="243" customFormat="1">
      <c r="B200" s="169" t="s">
        <v>634</v>
      </c>
      <c r="C200" s="277">
        <v>6.9000000000000006E-2</v>
      </c>
      <c r="D200" s="277">
        <v>7.6600000000000001E-2</v>
      </c>
      <c r="E200" s="278">
        <v>5.8200000000000002E-2</v>
      </c>
      <c r="F200" s="279" t="s">
        <v>630</v>
      </c>
      <c r="G200" s="276" t="s">
        <v>635</v>
      </c>
    </row>
    <row r="201" spans="1:12" s="243" customFormat="1" ht="13.5" customHeight="1">
      <c r="B201" s="169" t="s">
        <v>636</v>
      </c>
      <c r="C201" s="273">
        <v>0.17</v>
      </c>
      <c r="D201" s="273">
        <v>3.7999999999999999E-2</v>
      </c>
      <c r="E201" s="278">
        <v>2.9000000000000001E-2</v>
      </c>
      <c r="F201" s="275" t="s">
        <v>630</v>
      </c>
      <c r="G201" s="276" t="s">
        <v>637</v>
      </c>
    </row>
    <row r="202" spans="1:12" s="243" customFormat="1">
      <c r="B202" s="169" t="s">
        <v>342</v>
      </c>
      <c r="C202" s="274">
        <v>9.1999999999999998E-2</v>
      </c>
      <c r="D202" s="274">
        <v>5.7000000000000002E-2</v>
      </c>
      <c r="E202" s="274">
        <f>3.5%+0.7%</f>
        <v>4.2000000000000003E-2</v>
      </c>
      <c r="F202" s="275" t="s">
        <v>630</v>
      </c>
      <c r="G202" s="280" t="s">
        <v>638</v>
      </c>
    </row>
    <row r="203" spans="1:12" s="243" customFormat="1">
      <c r="B203" s="169" t="s">
        <v>174</v>
      </c>
      <c r="C203" s="273">
        <v>0.1</v>
      </c>
      <c r="D203" s="273">
        <v>7.0000000000000007E-2</v>
      </c>
      <c r="E203" s="274">
        <f>1%+1%</f>
        <v>0.02</v>
      </c>
      <c r="F203" s="275" t="s">
        <v>630</v>
      </c>
      <c r="G203" s="276" t="s">
        <v>639</v>
      </c>
    </row>
    <row r="204" spans="1:12" s="243" customFormat="1">
      <c r="B204" s="281" t="s">
        <v>0</v>
      </c>
      <c r="C204" s="282">
        <v>0.17349999999999999</v>
      </c>
      <c r="D204" s="282">
        <f>6.61%+C204*6.61%</f>
        <v>7.7568350000000008E-2</v>
      </c>
      <c r="E204" s="283" t="s">
        <v>640</v>
      </c>
      <c r="F204" s="284" t="s">
        <v>641</v>
      </c>
      <c r="G204" s="276" t="s">
        <v>642</v>
      </c>
    </row>
    <row r="205" spans="1:12" s="243" customFormat="1" ht="12">
      <c r="E205" s="276" t="s">
        <v>643</v>
      </c>
    </row>
    <row r="206" spans="1:12" s="243" customFormat="1" ht="12">
      <c r="B206" s="276"/>
      <c r="E206" s="276" t="s">
        <v>376</v>
      </c>
    </row>
    <row r="207" spans="1:12" s="243" customFormat="1" ht="12">
      <c r="E207" s="276" t="s">
        <v>377</v>
      </c>
    </row>
    <row r="208" spans="1:12" s="243" customFormat="1" ht="12">
      <c r="E208" s="276"/>
    </row>
    <row r="209" spans="2:10" s="243" customFormat="1" ht="12"/>
    <row r="210" spans="2:10" s="243" customFormat="1" ht="17.25">
      <c r="B210" s="285" t="s">
        <v>644</v>
      </c>
      <c r="C210" s="248"/>
      <c r="D210" s="285"/>
      <c r="E210" s="90"/>
      <c r="F210" s="286"/>
      <c r="J210" s="248"/>
    </row>
    <row r="211" spans="2:10" s="243" customFormat="1">
      <c r="B211" s="263"/>
      <c r="C211" s="20" t="s">
        <v>645</v>
      </c>
      <c r="D211" s="20" t="s">
        <v>646</v>
      </c>
      <c r="E211" s="20" t="s">
        <v>647</v>
      </c>
      <c r="F211" s="20" t="s">
        <v>648</v>
      </c>
      <c r="G211" s="287" t="s">
        <v>174</v>
      </c>
      <c r="H211" s="20" t="s">
        <v>649</v>
      </c>
      <c r="I211" s="20" t="s">
        <v>589</v>
      </c>
      <c r="J211" s="288"/>
    </row>
    <row r="212" spans="2:10" s="243" customFormat="1">
      <c r="B212" s="144" t="s">
        <v>276</v>
      </c>
      <c r="C212" s="289">
        <v>6.5000000000000002E-2</v>
      </c>
      <c r="D212" s="289">
        <v>0.05</v>
      </c>
      <c r="E212" s="289">
        <v>0.15</v>
      </c>
      <c r="F212" s="289">
        <v>7.5999999999999998E-2</v>
      </c>
      <c r="G212" s="290" t="s">
        <v>650</v>
      </c>
      <c r="H212" s="291">
        <v>3.8800000000000001E-2</v>
      </c>
      <c r="I212" s="291">
        <v>0</v>
      </c>
      <c r="J212" s="292"/>
    </row>
    <row r="213" spans="2:10" s="243" customFormat="1">
      <c r="B213" s="144" t="s">
        <v>277</v>
      </c>
      <c r="C213" s="289">
        <v>4.8000000000000001E-2</v>
      </c>
      <c r="D213" s="289">
        <v>0.1</v>
      </c>
      <c r="E213" s="289">
        <v>7.0000000000000007E-2</v>
      </c>
      <c r="F213" s="293"/>
      <c r="G213" s="290">
        <v>0.04</v>
      </c>
      <c r="H213" s="291">
        <v>3.8800000000000001E-2</v>
      </c>
      <c r="I213" s="291">
        <v>0</v>
      </c>
      <c r="J213" s="292"/>
    </row>
    <row r="214" spans="2:10" s="243" customFormat="1">
      <c r="B214" s="294" t="s">
        <v>278</v>
      </c>
      <c r="C214" s="289">
        <v>3.6999999999999998E-2</v>
      </c>
      <c r="D214" s="289">
        <v>0.1</v>
      </c>
      <c r="E214" s="289">
        <v>0.01</v>
      </c>
      <c r="F214" s="289">
        <v>0.1</v>
      </c>
      <c r="G214" s="295" t="s">
        <v>651</v>
      </c>
      <c r="H214" s="291">
        <v>3.8800000000000001E-2</v>
      </c>
      <c r="I214" s="291">
        <v>0</v>
      </c>
      <c r="J214" s="292"/>
    </row>
    <row r="215" spans="2:10" s="243" customFormat="1">
      <c r="B215" s="294" t="s">
        <v>652</v>
      </c>
      <c r="C215" s="289">
        <v>3.6999999999999998E-2</v>
      </c>
      <c r="D215" s="289">
        <v>0.3</v>
      </c>
      <c r="E215" s="290">
        <v>0.01</v>
      </c>
      <c r="F215" s="289">
        <v>0.1</v>
      </c>
      <c r="G215" s="296"/>
      <c r="H215" s="291">
        <v>3.8800000000000001E-2</v>
      </c>
      <c r="I215" s="291">
        <v>0</v>
      </c>
      <c r="J215" s="292"/>
    </row>
    <row r="216" spans="2:10" s="243" customFormat="1">
      <c r="B216" s="144" t="s">
        <v>1370</v>
      </c>
      <c r="C216" s="289">
        <v>3.6999999999999998E-2</v>
      </c>
      <c r="D216" s="289">
        <v>0.3</v>
      </c>
      <c r="E216" s="290">
        <v>0.01</v>
      </c>
      <c r="F216" s="289">
        <v>0</v>
      </c>
      <c r="G216" s="297">
        <v>0</v>
      </c>
      <c r="H216" s="291">
        <v>3.8800000000000001E-2</v>
      </c>
      <c r="I216" s="291">
        <v>0</v>
      </c>
      <c r="J216" s="292"/>
    </row>
    <row r="217" spans="2:10" s="243" customFormat="1">
      <c r="B217" s="144" t="s">
        <v>1374</v>
      </c>
      <c r="C217" s="289">
        <v>1.7000000000000001E-2</v>
      </c>
      <c r="D217" s="289">
        <v>0.1</v>
      </c>
      <c r="E217" s="289">
        <v>0.03</v>
      </c>
      <c r="F217" s="293" t="s">
        <v>653</v>
      </c>
      <c r="G217" s="293" t="s">
        <v>654</v>
      </c>
      <c r="H217" s="289"/>
      <c r="I217" s="289"/>
      <c r="J217" s="298"/>
    </row>
    <row r="218" spans="2:10" s="243" customFormat="1">
      <c r="B218" s="144" t="s">
        <v>1375</v>
      </c>
      <c r="C218" s="289">
        <v>1.7000000000000001E-2</v>
      </c>
      <c r="D218" s="289">
        <v>0.1</v>
      </c>
      <c r="E218" s="289">
        <v>0.01</v>
      </c>
      <c r="F218" s="289">
        <v>0</v>
      </c>
      <c r="G218" s="289">
        <v>0</v>
      </c>
      <c r="H218" s="289"/>
      <c r="I218" s="289"/>
      <c r="J218" s="248"/>
    </row>
    <row r="219" spans="2:10" s="243" customFormat="1">
      <c r="B219" s="144" t="s">
        <v>280</v>
      </c>
      <c r="C219" s="299"/>
      <c r="D219" s="299"/>
      <c r="E219" s="299"/>
      <c r="F219" s="289">
        <v>0.17</v>
      </c>
      <c r="G219" s="289">
        <v>0.17</v>
      </c>
      <c r="H219" s="299"/>
      <c r="I219" s="299" t="s">
        <v>655</v>
      </c>
      <c r="J219" s="248"/>
    </row>
    <row r="220" spans="2:10" s="243" customFormat="1">
      <c r="B220" s="294" t="s">
        <v>1376</v>
      </c>
      <c r="C220" s="289">
        <v>0.01</v>
      </c>
      <c r="D220" s="300">
        <v>10000</v>
      </c>
      <c r="E220" s="289"/>
      <c r="F220" s="301">
        <v>15000</v>
      </c>
      <c r="G220" s="302" t="s">
        <v>656</v>
      </c>
      <c r="H220" s="303" t="s">
        <v>657</v>
      </c>
      <c r="I220" s="303"/>
      <c r="J220" s="304" t="s">
        <v>378</v>
      </c>
    </row>
    <row r="221" spans="2:10" s="243" customFormat="1">
      <c r="B221" s="248"/>
      <c r="C221" s="248"/>
      <c r="D221" s="248"/>
      <c r="E221" s="248"/>
      <c r="F221" s="248"/>
      <c r="G221" s="304" t="s">
        <v>658</v>
      </c>
      <c r="H221" s="305"/>
      <c r="I221" s="304" t="s">
        <v>659</v>
      </c>
      <c r="J221" s="306"/>
    </row>
    <row r="222" spans="2:10" s="243" customFormat="1">
      <c r="B222" s="307"/>
      <c r="C222" s="307"/>
      <c r="D222" s="307"/>
      <c r="E222" s="307"/>
      <c r="F222" s="307"/>
      <c r="G222" s="304" t="s">
        <v>660</v>
      </c>
      <c r="H222" s="306"/>
      <c r="I222" s="304" t="s">
        <v>661</v>
      </c>
      <c r="J222" s="307"/>
    </row>
    <row r="223" spans="2:10" s="243" customFormat="1">
      <c r="B223" s="307"/>
      <c r="C223" s="307"/>
      <c r="D223" s="307"/>
      <c r="E223" s="307"/>
      <c r="F223" s="307"/>
      <c r="G223" s="306"/>
      <c r="H223" s="306"/>
      <c r="I223" s="304" t="s">
        <v>379</v>
      </c>
      <c r="J223" s="307"/>
    </row>
    <row r="224" spans="2:10" s="243" customFormat="1" ht="12">
      <c r="B224" s="307"/>
      <c r="C224" s="307"/>
      <c r="D224" s="307"/>
      <c r="E224" s="307"/>
      <c r="F224" s="307"/>
      <c r="G224" s="307"/>
      <c r="H224" s="307"/>
      <c r="I224" s="307"/>
      <c r="J224" s="307"/>
    </row>
    <row r="225" spans="2:10" s="243" customFormat="1" ht="12">
      <c r="B225" s="307"/>
      <c r="C225" s="307"/>
      <c r="D225" s="307"/>
      <c r="E225" s="307"/>
      <c r="F225" s="307"/>
      <c r="G225" s="307"/>
      <c r="H225" s="307"/>
      <c r="I225" s="307"/>
      <c r="J225" s="307"/>
    </row>
    <row r="226" spans="2:10" s="243" customFormat="1" ht="12">
      <c r="B226" s="307"/>
      <c r="C226" s="307"/>
      <c r="D226" s="307"/>
      <c r="E226" s="307"/>
      <c r="F226" s="307"/>
      <c r="G226" s="307"/>
      <c r="H226" s="307"/>
      <c r="I226" s="307"/>
      <c r="J226" s="307"/>
    </row>
    <row r="227" spans="2:10" s="243" customFormat="1" ht="12">
      <c r="B227" s="307"/>
      <c r="C227" s="307"/>
      <c r="D227" s="307"/>
      <c r="E227" s="307"/>
      <c r="F227" s="307"/>
      <c r="G227" s="307"/>
      <c r="H227" s="307"/>
      <c r="I227" s="307"/>
      <c r="J227" s="307"/>
    </row>
    <row r="228" spans="2:10" s="243" customFormat="1" ht="12">
      <c r="B228" s="307"/>
      <c r="C228" s="307"/>
      <c r="D228" s="307"/>
      <c r="E228" s="307"/>
      <c r="F228" s="307"/>
      <c r="G228" s="307"/>
      <c r="H228" s="307"/>
      <c r="I228" s="307"/>
      <c r="J228" s="307"/>
    </row>
    <row r="229" spans="2:10" s="243" customFormat="1" ht="12">
      <c r="B229" s="307"/>
      <c r="C229" s="307"/>
      <c r="D229" s="307"/>
      <c r="E229" s="307"/>
      <c r="F229" s="307"/>
      <c r="G229" s="307"/>
      <c r="H229" s="307"/>
      <c r="I229" s="307"/>
      <c r="J229" s="307"/>
    </row>
    <row r="230" spans="2:10" s="243" customFormat="1" ht="12">
      <c r="B230" s="307"/>
      <c r="C230" s="307"/>
      <c r="D230" s="307"/>
      <c r="E230" s="307"/>
      <c r="F230" s="307"/>
      <c r="G230" s="307"/>
      <c r="H230" s="307"/>
      <c r="I230" s="307"/>
      <c r="J230" s="307"/>
    </row>
    <row r="231" spans="2:10" s="243" customFormat="1" ht="12">
      <c r="B231" s="307"/>
      <c r="C231" s="307"/>
      <c r="D231" s="307"/>
      <c r="E231" s="307"/>
      <c r="F231" s="307"/>
      <c r="G231" s="307"/>
      <c r="H231" s="307"/>
      <c r="I231" s="307"/>
      <c r="J231" s="307"/>
    </row>
    <row r="232" spans="2:10" s="243" customFormat="1" ht="12">
      <c r="B232" s="307"/>
      <c r="C232" s="307"/>
      <c r="D232" s="307"/>
      <c r="E232" s="307"/>
      <c r="F232" s="307"/>
      <c r="G232" s="307"/>
      <c r="H232" s="307"/>
      <c r="I232" s="307"/>
      <c r="J232" s="307"/>
    </row>
    <row r="233" spans="2:10" s="243" customFormat="1" ht="12">
      <c r="B233" s="307"/>
      <c r="C233" s="307"/>
      <c r="D233" s="307"/>
      <c r="E233" s="307"/>
      <c r="F233" s="307"/>
      <c r="G233" s="307"/>
      <c r="H233" s="307"/>
      <c r="I233" s="307"/>
      <c r="J233" s="307"/>
    </row>
    <row r="234" spans="2:10" s="243" customFormat="1" ht="12">
      <c r="B234" s="307"/>
      <c r="C234" s="307"/>
      <c r="D234" s="307"/>
      <c r="E234" s="307"/>
      <c r="F234" s="307"/>
      <c r="G234" s="307"/>
      <c r="H234" s="307"/>
      <c r="I234" s="307"/>
      <c r="J234" s="307"/>
    </row>
    <row r="235" spans="2:10" s="243" customFormat="1" ht="12">
      <c r="B235" s="307"/>
      <c r="C235" s="307"/>
      <c r="D235" s="307"/>
      <c r="E235" s="307"/>
      <c r="F235" s="307"/>
      <c r="G235" s="307"/>
      <c r="H235" s="307"/>
      <c r="I235" s="307"/>
      <c r="J235" s="307"/>
    </row>
    <row r="236" spans="2:10" s="243" customFormat="1" ht="12">
      <c r="B236" s="307"/>
      <c r="C236" s="307"/>
      <c r="D236" s="307"/>
      <c r="E236" s="307"/>
      <c r="F236" s="307"/>
      <c r="G236" s="307"/>
      <c r="H236" s="307"/>
      <c r="I236" s="307"/>
      <c r="J236" s="307"/>
    </row>
    <row r="237" spans="2:10" s="243" customFormat="1" ht="12">
      <c r="B237" s="307"/>
      <c r="C237" s="307"/>
      <c r="D237" s="307"/>
      <c r="E237" s="307"/>
      <c r="F237" s="307"/>
      <c r="G237" s="307"/>
      <c r="H237" s="307"/>
      <c r="I237" s="307"/>
      <c r="J237" s="307"/>
    </row>
    <row r="238" spans="2:10" s="243" customFormat="1" ht="12">
      <c r="B238" s="307"/>
      <c r="C238" s="307"/>
      <c r="D238" s="307"/>
      <c r="E238" s="307"/>
      <c r="F238" s="307"/>
      <c r="G238" s="307"/>
      <c r="H238" s="307"/>
      <c r="I238" s="307"/>
      <c r="J238" s="307"/>
    </row>
    <row r="239" spans="2:10" s="243" customFormat="1" ht="12">
      <c r="B239" s="307"/>
      <c r="C239" s="307"/>
      <c r="D239" s="307"/>
      <c r="E239" s="307"/>
      <c r="F239" s="307"/>
      <c r="G239" s="307"/>
      <c r="H239" s="307"/>
      <c r="I239" s="307"/>
      <c r="J239" s="307"/>
    </row>
    <row r="240" spans="2:10" s="243" customFormat="1" ht="12">
      <c r="B240" s="307"/>
      <c r="C240" s="307"/>
      <c r="D240" s="307"/>
      <c r="E240" s="307"/>
      <c r="F240" s="307"/>
      <c r="G240" s="307"/>
      <c r="H240" s="307"/>
      <c r="I240" s="307"/>
      <c r="J240" s="307"/>
    </row>
    <row r="241" spans="2:10" s="243" customFormat="1" ht="12">
      <c r="B241" s="307"/>
      <c r="C241" s="307"/>
      <c r="D241" s="307"/>
      <c r="E241" s="307"/>
      <c r="F241" s="307"/>
      <c r="G241" s="307"/>
      <c r="H241" s="307"/>
      <c r="I241" s="307"/>
      <c r="J241" s="307"/>
    </row>
    <row r="242" spans="2:10" s="243" customFormat="1" ht="12">
      <c r="B242" s="307"/>
      <c r="C242" s="307"/>
      <c r="D242" s="307"/>
      <c r="E242" s="307"/>
      <c r="F242" s="307"/>
      <c r="G242" s="307"/>
      <c r="H242" s="307"/>
      <c r="I242" s="307"/>
      <c r="J242" s="307"/>
    </row>
    <row r="243" spans="2:10" s="243" customFormat="1" ht="12">
      <c r="B243" s="307"/>
      <c r="C243" s="307"/>
      <c r="D243" s="307"/>
      <c r="E243" s="307"/>
      <c r="F243" s="307"/>
      <c r="G243" s="307"/>
      <c r="H243" s="307"/>
      <c r="I243" s="307"/>
      <c r="J243" s="307"/>
    </row>
    <row r="244" spans="2:10" s="243" customFormat="1" ht="12">
      <c r="B244" s="307"/>
      <c r="C244" s="307"/>
      <c r="D244" s="307"/>
      <c r="E244" s="307"/>
      <c r="F244" s="307"/>
      <c r="G244" s="307"/>
      <c r="H244" s="307"/>
      <c r="I244" s="307"/>
      <c r="J244" s="307"/>
    </row>
    <row r="245" spans="2:10" s="243" customFormat="1" ht="12">
      <c r="B245" s="307"/>
      <c r="C245" s="307"/>
      <c r="D245" s="307"/>
      <c r="E245" s="307"/>
      <c r="F245" s="307"/>
      <c r="G245" s="307"/>
      <c r="H245" s="307"/>
      <c r="I245" s="307"/>
      <c r="J245" s="307"/>
    </row>
    <row r="246" spans="2:10" s="243" customFormat="1" ht="12">
      <c r="B246" s="307"/>
      <c r="C246" s="307"/>
      <c r="D246" s="307"/>
      <c r="E246" s="307"/>
      <c r="F246" s="307"/>
      <c r="G246" s="307"/>
      <c r="H246" s="307"/>
      <c r="I246" s="307"/>
      <c r="J246" s="307"/>
    </row>
    <row r="247" spans="2:10" s="243" customFormat="1" ht="12">
      <c r="B247" s="307"/>
      <c r="C247" s="307"/>
      <c r="D247" s="307"/>
      <c r="E247" s="307"/>
      <c r="F247" s="307"/>
      <c r="G247" s="307"/>
      <c r="H247" s="307"/>
      <c r="I247" s="307"/>
      <c r="J247" s="307"/>
    </row>
    <row r="248" spans="2:10" s="243" customFormat="1" ht="12">
      <c r="B248" s="307"/>
      <c r="C248" s="307"/>
      <c r="D248" s="307"/>
      <c r="E248" s="307"/>
      <c r="F248" s="307"/>
      <c r="G248" s="307"/>
      <c r="H248" s="307"/>
      <c r="I248" s="307"/>
      <c r="J248" s="307"/>
    </row>
    <row r="249" spans="2:10" s="243" customFormat="1" ht="12">
      <c r="B249" s="307"/>
      <c r="C249" s="307"/>
      <c r="D249" s="307"/>
      <c r="E249" s="307"/>
      <c r="F249" s="307"/>
      <c r="G249" s="307"/>
      <c r="H249" s="307"/>
      <c r="I249" s="307"/>
      <c r="J249" s="307"/>
    </row>
    <row r="250" spans="2:10" s="243" customFormat="1" ht="12">
      <c r="B250" s="307"/>
      <c r="C250" s="307"/>
      <c r="D250" s="307"/>
      <c r="E250" s="307"/>
      <c r="F250" s="307"/>
      <c r="G250" s="307"/>
      <c r="H250" s="307"/>
      <c r="I250" s="307"/>
      <c r="J250" s="307"/>
    </row>
    <row r="251" spans="2:10" s="243" customFormat="1" ht="12">
      <c r="B251" s="307"/>
      <c r="C251" s="307"/>
      <c r="D251" s="307"/>
      <c r="E251" s="307"/>
      <c r="F251" s="307"/>
      <c r="G251" s="307"/>
      <c r="H251" s="307"/>
      <c r="I251" s="307"/>
      <c r="J251" s="307"/>
    </row>
    <row r="252" spans="2:10" s="243" customFormat="1" ht="12">
      <c r="B252" s="307"/>
      <c r="C252" s="307"/>
      <c r="D252" s="307"/>
      <c r="E252" s="307"/>
      <c r="F252" s="307"/>
      <c r="G252" s="307"/>
      <c r="H252" s="307"/>
      <c r="I252" s="307"/>
      <c r="J252" s="307"/>
    </row>
    <row r="253" spans="2:10" s="243" customFormat="1" ht="12">
      <c r="B253" s="307"/>
      <c r="C253" s="307"/>
      <c r="D253" s="307"/>
      <c r="E253" s="307"/>
      <c r="F253" s="307"/>
      <c r="G253" s="307"/>
      <c r="H253" s="307"/>
      <c r="I253" s="307"/>
      <c r="J253" s="307"/>
    </row>
    <row r="254" spans="2:10" s="243" customFormat="1" ht="12">
      <c r="B254" s="307"/>
      <c r="C254" s="307"/>
      <c r="D254" s="307"/>
      <c r="E254" s="307"/>
      <c r="F254" s="307"/>
      <c r="G254" s="307"/>
      <c r="H254" s="307"/>
      <c r="I254" s="307"/>
      <c r="J254" s="307"/>
    </row>
    <row r="255" spans="2:10" s="243" customFormat="1" ht="12">
      <c r="B255" s="307"/>
      <c r="C255" s="307"/>
      <c r="D255" s="307"/>
      <c r="E255" s="307"/>
      <c r="F255" s="307"/>
      <c r="G255" s="307"/>
      <c r="H255" s="307"/>
      <c r="I255" s="307"/>
      <c r="J255" s="307"/>
    </row>
    <row r="256" spans="2:10" s="243" customFormat="1" ht="12">
      <c r="B256" s="307"/>
      <c r="C256" s="307"/>
      <c r="D256" s="307"/>
      <c r="E256" s="307"/>
      <c r="F256" s="307"/>
      <c r="G256" s="307"/>
      <c r="H256" s="307"/>
      <c r="I256" s="307"/>
      <c r="J256" s="307"/>
    </row>
    <row r="257" spans="1:19" s="243" customFormat="1" ht="12">
      <c r="B257" s="307"/>
      <c r="C257" s="307"/>
      <c r="D257" s="307"/>
      <c r="E257" s="307"/>
      <c r="F257" s="307"/>
      <c r="G257" s="307"/>
      <c r="H257" s="307"/>
      <c r="I257" s="307"/>
      <c r="J257" s="307"/>
    </row>
    <row r="258" spans="1:19" s="243" customFormat="1" ht="12">
      <c r="B258" s="307"/>
      <c r="C258" s="307"/>
      <c r="D258" s="307"/>
      <c r="E258" s="307"/>
      <c r="F258" s="307"/>
      <c r="G258" s="307"/>
      <c r="H258" s="307"/>
      <c r="I258" s="307"/>
      <c r="J258" s="307"/>
    </row>
    <row r="259" spans="1:19" s="243" customFormat="1" ht="12">
      <c r="B259" s="307"/>
      <c r="C259" s="307"/>
      <c r="D259" s="307"/>
      <c r="E259" s="307"/>
      <c r="F259" s="307"/>
      <c r="G259" s="307"/>
      <c r="H259" s="307"/>
      <c r="I259" s="307"/>
      <c r="J259" s="307"/>
    </row>
    <row r="260" spans="1:19" s="243" customFormat="1" ht="12">
      <c r="B260" s="307"/>
      <c r="C260" s="307"/>
      <c r="D260" s="307"/>
      <c r="E260" s="307"/>
      <c r="F260" s="307"/>
      <c r="G260" s="307"/>
      <c r="H260" s="307"/>
      <c r="I260" s="307"/>
      <c r="J260" s="307"/>
    </row>
    <row r="261" spans="1:19" s="243" customFormat="1" ht="12">
      <c r="B261" s="307"/>
      <c r="C261" s="307"/>
      <c r="D261" s="307"/>
      <c r="E261" s="307"/>
      <c r="F261" s="307"/>
      <c r="G261" s="307"/>
      <c r="H261" s="307"/>
      <c r="I261" s="307"/>
      <c r="J261" s="307"/>
    </row>
    <row r="262" spans="1:19" s="243" customFormat="1" ht="12">
      <c r="B262" s="307"/>
      <c r="C262" s="307"/>
      <c r="D262" s="307"/>
      <c r="E262" s="307"/>
      <c r="F262" s="307"/>
      <c r="G262" s="307"/>
      <c r="H262" s="307"/>
      <c r="I262" s="307"/>
      <c r="J262" s="307"/>
    </row>
    <row r="263" spans="1:19" s="243" customFormat="1" ht="12">
      <c r="B263" s="307"/>
      <c r="C263" s="307"/>
      <c r="D263" s="307"/>
      <c r="E263" s="307"/>
      <c r="F263" s="307"/>
      <c r="G263" s="307"/>
      <c r="H263" s="307"/>
      <c r="I263" s="307"/>
      <c r="J263" s="307"/>
    </row>
    <row r="264" spans="1:19" s="243" customFormat="1" ht="12">
      <c r="B264" s="307"/>
      <c r="C264" s="307"/>
      <c r="D264" s="307"/>
      <c r="E264" s="307"/>
      <c r="F264" s="307"/>
      <c r="G264" s="307"/>
      <c r="H264" s="307"/>
      <c r="I264" s="307"/>
      <c r="J264" s="307"/>
    </row>
    <row r="265" spans="1:19" s="243" customFormat="1" ht="12">
      <c r="B265" s="307"/>
      <c r="C265" s="307"/>
      <c r="D265" s="307"/>
      <c r="E265" s="307"/>
      <c r="F265" s="307"/>
      <c r="G265" s="307"/>
      <c r="H265" s="307"/>
      <c r="I265" s="307"/>
      <c r="J265" s="307"/>
    </row>
    <row r="266" spans="1:19" s="248" customFormat="1" ht="17.25">
      <c r="A266" s="244" t="s">
        <v>662</v>
      </c>
      <c r="B266" s="110"/>
      <c r="C266" s="111"/>
      <c r="D266" s="111"/>
      <c r="E266" s="48"/>
      <c r="F266" s="111"/>
      <c r="G266" s="48"/>
      <c r="H266" s="111"/>
      <c r="I266" s="111"/>
      <c r="J266" s="111"/>
      <c r="K266" s="48"/>
    </row>
    <row r="267" spans="1:19" s="248" customFormat="1" ht="17.25">
      <c r="A267" s="244"/>
      <c r="B267" s="110"/>
      <c r="C267" s="111"/>
      <c r="D267" s="111"/>
      <c r="E267" s="48"/>
      <c r="F267" s="111"/>
      <c r="G267" s="48"/>
      <c r="H267" s="111"/>
      <c r="I267" s="111"/>
      <c r="J267" s="111"/>
      <c r="K267" s="48"/>
    </row>
    <row r="268" spans="1:19" s="248" customFormat="1" ht="17.25">
      <c r="A268" s="243"/>
      <c r="B268" s="244" t="s">
        <v>663</v>
      </c>
      <c r="C268" s="243"/>
      <c r="D268" s="243"/>
      <c r="E268" s="243"/>
      <c r="F268" s="243"/>
      <c r="G268" s="243"/>
      <c r="H268" s="243"/>
      <c r="I268" s="243"/>
    </row>
    <row r="269" spans="1:19" s="248" customFormat="1">
      <c r="A269" s="243"/>
      <c r="B269" s="72" t="s">
        <v>70</v>
      </c>
      <c r="C269" s="1316" t="s">
        <v>293</v>
      </c>
      <c r="D269" s="1316"/>
      <c r="E269" s="308" t="s">
        <v>294</v>
      </c>
      <c r="F269" s="308" t="s">
        <v>295</v>
      </c>
      <c r="G269" s="308" t="s">
        <v>296</v>
      </c>
      <c r="H269" s="308" t="s">
        <v>664</v>
      </c>
      <c r="I269" s="308" t="s">
        <v>665</v>
      </c>
      <c r="J269" s="309"/>
      <c r="K269" s="309"/>
      <c r="M269" s="243"/>
      <c r="N269" s="243"/>
      <c r="O269" s="243"/>
      <c r="P269" s="243"/>
      <c r="Q269" s="243"/>
      <c r="R269" s="243"/>
      <c r="S269" s="243"/>
    </row>
    <row r="270" spans="1:19" s="248" customFormat="1">
      <c r="A270" s="243"/>
      <c r="B270" s="1317" t="s">
        <v>78</v>
      </c>
      <c r="C270" s="1293" t="s">
        <v>72</v>
      </c>
      <c r="D270" s="1293"/>
      <c r="E270" s="310">
        <v>1.1000000000000001</v>
      </c>
      <c r="F270" s="311">
        <v>1.1100000000000001</v>
      </c>
      <c r="G270" s="311">
        <v>1.21</v>
      </c>
      <c r="H270" s="311">
        <v>1.29</v>
      </c>
      <c r="I270" s="312">
        <v>1.1499999999999999</v>
      </c>
      <c r="J270" s="121"/>
      <c r="K270" s="309"/>
      <c r="M270" s="243"/>
      <c r="N270" s="243"/>
      <c r="O270" s="243"/>
      <c r="P270" s="243"/>
      <c r="Q270" s="243"/>
      <c r="R270" s="243"/>
      <c r="S270" s="243"/>
    </row>
    <row r="271" spans="1:19" s="248" customFormat="1">
      <c r="A271" s="243"/>
      <c r="B271" s="1317"/>
      <c r="C271" s="1293" t="s">
        <v>73</v>
      </c>
      <c r="D271" s="1293"/>
      <c r="E271" s="310">
        <v>2191</v>
      </c>
      <c r="F271" s="311">
        <v>2420.1</v>
      </c>
      <c r="G271" s="311">
        <v>2225.9</v>
      </c>
      <c r="H271" s="311">
        <v>2256</v>
      </c>
      <c r="I271" s="312">
        <v>2679.4</v>
      </c>
      <c r="J271" s="121"/>
      <c r="K271" s="309"/>
      <c r="M271" s="243"/>
      <c r="N271" s="243"/>
      <c r="O271" s="243"/>
      <c r="P271" s="243"/>
      <c r="Q271" s="243"/>
      <c r="R271" s="243"/>
      <c r="S271" s="243"/>
    </row>
    <row r="272" spans="1:19" s="248" customFormat="1">
      <c r="A272" s="243"/>
      <c r="B272" s="1317"/>
      <c r="C272" s="298" t="s">
        <v>297</v>
      </c>
      <c r="D272" s="123" t="s">
        <v>298</v>
      </c>
      <c r="E272" s="310">
        <v>3435.6</v>
      </c>
      <c r="F272" s="311">
        <v>6530.9</v>
      </c>
      <c r="G272" s="311">
        <v>6900</v>
      </c>
      <c r="H272" s="311">
        <v>5916.6</v>
      </c>
      <c r="I272" s="312">
        <v>6920.6</v>
      </c>
      <c r="J272" s="309"/>
      <c r="K272" s="309"/>
      <c r="M272" s="243"/>
      <c r="N272" s="243"/>
      <c r="O272" s="243"/>
      <c r="P272" s="243"/>
      <c r="Q272" s="243"/>
      <c r="R272" s="243"/>
      <c r="S272" s="243"/>
    </row>
    <row r="273" spans="1:19" s="248" customFormat="1">
      <c r="A273" s="243"/>
      <c r="B273" s="1317"/>
      <c r="C273" s="298"/>
      <c r="D273" s="10" t="s">
        <v>299</v>
      </c>
      <c r="E273" s="310">
        <v>854.2</v>
      </c>
      <c r="F273" s="311">
        <v>1224.9000000000001</v>
      </c>
      <c r="G273" s="311">
        <v>890.1</v>
      </c>
      <c r="H273" s="311">
        <v>444.3</v>
      </c>
      <c r="I273" s="312">
        <v>1369.5</v>
      </c>
      <c r="J273" s="309"/>
      <c r="K273" s="309"/>
      <c r="M273" s="243"/>
      <c r="N273" s="243"/>
      <c r="O273" s="243"/>
      <c r="P273" s="243"/>
      <c r="Q273" s="243"/>
      <c r="R273" s="243"/>
      <c r="S273" s="243"/>
    </row>
    <row r="274" spans="1:19" s="248" customFormat="1">
      <c r="A274" s="243"/>
      <c r="B274" s="1317"/>
      <c r="C274" s="298"/>
      <c r="D274" s="125" t="s">
        <v>300</v>
      </c>
      <c r="E274" s="313"/>
      <c r="F274" s="311">
        <v>0</v>
      </c>
      <c r="G274" s="311">
        <v>0</v>
      </c>
      <c r="H274" s="311">
        <v>0</v>
      </c>
      <c r="I274" s="312">
        <v>0</v>
      </c>
      <c r="J274" s="309"/>
      <c r="K274" s="309"/>
      <c r="M274" s="243"/>
      <c r="N274" s="243"/>
      <c r="O274" s="243"/>
      <c r="P274" s="243"/>
      <c r="Q274" s="243"/>
      <c r="R274" s="243"/>
      <c r="S274" s="243"/>
    </row>
    <row r="275" spans="1:19" s="248" customFormat="1">
      <c r="A275" s="243"/>
      <c r="B275" s="1298" t="s">
        <v>301</v>
      </c>
      <c r="C275" s="1293" t="s">
        <v>72</v>
      </c>
      <c r="D275" s="1293"/>
      <c r="E275" s="310">
        <v>1.1200000000000001</v>
      </c>
      <c r="F275" s="311">
        <v>1.1000000000000001</v>
      </c>
      <c r="G275" s="311">
        <v>1.28</v>
      </c>
      <c r="H275" s="311">
        <v>1.26</v>
      </c>
      <c r="I275" s="312">
        <v>1.28</v>
      </c>
      <c r="J275" s="309"/>
      <c r="K275" s="309"/>
      <c r="M275" s="243"/>
      <c r="N275" s="243"/>
      <c r="O275" s="243"/>
      <c r="P275" s="243"/>
      <c r="Q275" s="243"/>
      <c r="R275" s="243"/>
      <c r="S275" s="243"/>
    </row>
    <row r="276" spans="1:19" s="248" customFormat="1">
      <c r="A276" s="243"/>
      <c r="B276" s="1298"/>
      <c r="C276" s="1293" t="s">
        <v>73</v>
      </c>
      <c r="D276" s="1293"/>
      <c r="E276" s="310">
        <v>2254</v>
      </c>
      <c r="F276" s="311">
        <v>2108.3000000000002</v>
      </c>
      <c r="G276" s="311">
        <v>2191.5</v>
      </c>
      <c r="H276" s="311">
        <v>2160</v>
      </c>
      <c r="I276" s="312">
        <v>2330.1</v>
      </c>
      <c r="J276" s="309"/>
      <c r="K276" s="309"/>
      <c r="M276" s="243"/>
      <c r="N276" s="243"/>
      <c r="O276" s="243"/>
      <c r="P276" s="243"/>
      <c r="Q276" s="243"/>
      <c r="R276" s="243"/>
      <c r="S276" s="243"/>
    </row>
    <row r="277" spans="1:19" s="248" customFormat="1">
      <c r="A277" s="243"/>
      <c r="B277" s="1298"/>
      <c r="C277" s="298" t="s">
        <v>297</v>
      </c>
      <c r="D277" s="123" t="s">
        <v>302</v>
      </c>
      <c r="E277" s="310">
        <v>4530.3</v>
      </c>
      <c r="F277" s="311">
        <v>3029.4</v>
      </c>
      <c r="G277" s="311">
        <v>2924.9</v>
      </c>
      <c r="H277" s="311">
        <v>3267.5</v>
      </c>
      <c r="I277" s="312">
        <v>2521.3000000000002</v>
      </c>
      <c r="J277" s="309"/>
      <c r="K277" s="309"/>
      <c r="M277" s="243"/>
      <c r="N277" s="243"/>
      <c r="O277" s="243"/>
      <c r="P277" s="243"/>
      <c r="Q277" s="243"/>
      <c r="R277" s="243"/>
      <c r="S277" s="243"/>
    </row>
    <row r="278" spans="1:19" s="248" customFormat="1">
      <c r="A278" s="243"/>
      <c r="B278" s="1298"/>
      <c r="C278" s="298"/>
      <c r="D278" s="125" t="s">
        <v>303</v>
      </c>
      <c r="E278" s="310">
        <v>2288.1999999999998</v>
      </c>
      <c r="F278" s="311">
        <v>1227.0999999999999</v>
      </c>
      <c r="G278" s="311">
        <v>856.1</v>
      </c>
      <c r="H278" s="311">
        <v>1359.8</v>
      </c>
      <c r="I278" s="312">
        <v>474.8</v>
      </c>
      <c r="J278" s="309"/>
      <c r="K278" s="309"/>
      <c r="M278" s="243"/>
      <c r="N278" s="243"/>
      <c r="O278" s="243"/>
      <c r="P278" s="243"/>
      <c r="Q278" s="243"/>
      <c r="R278" s="243"/>
      <c r="S278" s="243"/>
    </row>
    <row r="279" spans="1:19" s="248" customFormat="1">
      <c r="A279" s="243"/>
      <c r="B279" s="1298"/>
      <c r="C279" s="298"/>
      <c r="D279" s="125" t="s">
        <v>304</v>
      </c>
      <c r="E279" s="313"/>
      <c r="F279" s="314"/>
      <c r="G279" s="311">
        <v>0</v>
      </c>
      <c r="H279" s="311">
        <v>0</v>
      </c>
      <c r="I279" s="312">
        <v>0</v>
      </c>
      <c r="J279" s="309"/>
      <c r="K279" s="309"/>
      <c r="M279" s="243"/>
      <c r="N279" s="243"/>
      <c r="O279" s="243"/>
      <c r="P279" s="243"/>
      <c r="Q279" s="243"/>
      <c r="R279" s="243"/>
      <c r="S279" s="243"/>
    </row>
    <row r="280" spans="1:19" s="248" customFormat="1">
      <c r="A280" s="243"/>
      <c r="B280" s="1298" t="s">
        <v>305</v>
      </c>
      <c r="C280" s="1293" t="s">
        <v>72</v>
      </c>
      <c r="D280" s="1293"/>
      <c r="E280" s="310">
        <v>1.0900000000000001</v>
      </c>
      <c r="F280" s="311">
        <v>1.1000000000000001</v>
      </c>
      <c r="G280" s="311">
        <v>1.18</v>
      </c>
      <c r="H280" s="311">
        <v>1.23</v>
      </c>
      <c r="I280" s="312">
        <v>1.18</v>
      </c>
      <c r="J280" s="124"/>
      <c r="K280" s="309"/>
      <c r="M280" s="243"/>
      <c r="N280" s="243"/>
      <c r="O280" s="243"/>
      <c r="P280" s="243"/>
      <c r="Q280" s="243"/>
      <c r="R280" s="243"/>
      <c r="S280" s="243"/>
    </row>
    <row r="281" spans="1:19" s="248" customFormat="1">
      <c r="A281" s="243"/>
      <c r="B281" s="1298"/>
      <c r="C281" s="1293" t="s">
        <v>73</v>
      </c>
      <c r="D281" s="1293"/>
      <c r="E281" s="310">
        <v>2027.3</v>
      </c>
      <c r="F281" s="311">
        <v>1872.3</v>
      </c>
      <c r="G281" s="311">
        <v>2169.1999999999998</v>
      </c>
      <c r="H281" s="311">
        <v>1998.9</v>
      </c>
      <c r="I281" s="312">
        <v>2357.1</v>
      </c>
      <c r="J281" s="124"/>
      <c r="K281" s="309"/>
      <c r="M281" s="243"/>
      <c r="N281" s="243"/>
      <c r="O281" s="243"/>
      <c r="P281" s="243"/>
      <c r="Q281" s="243"/>
      <c r="R281" s="243"/>
      <c r="S281" s="243"/>
    </row>
    <row r="282" spans="1:19" s="248" customFormat="1">
      <c r="A282" s="243"/>
      <c r="B282" s="1298"/>
      <c r="C282" s="298" t="s">
        <v>297</v>
      </c>
      <c r="D282" s="123" t="s">
        <v>306</v>
      </c>
      <c r="E282" s="310">
        <v>882.7</v>
      </c>
      <c r="F282" s="311">
        <v>2638.3</v>
      </c>
      <c r="G282" s="311">
        <v>1128.5</v>
      </c>
      <c r="H282" s="311">
        <v>1471.5</v>
      </c>
      <c r="I282" s="312">
        <v>1408.7</v>
      </c>
      <c r="J282" s="309"/>
      <c r="K282" s="309"/>
      <c r="M282" s="243"/>
      <c r="N282" s="243"/>
      <c r="O282" s="243"/>
      <c r="P282" s="243"/>
      <c r="Q282" s="243"/>
      <c r="R282" s="243"/>
      <c r="S282" s="243"/>
    </row>
    <row r="283" spans="1:19" s="248" customFormat="1">
      <c r="A283" s="243"/>
      <c r="B283" s="1298"/>
      <c r="C283" s="298"/>
      <c r="D283" s="125" t="s">
        <v>307</v>
      </c>
      <c r="E283" s="313"/>
      <c r="F283" s="311">
        <v>0</v>
      </c>
      <c r="G283" s="311">
        <v>0</v>
      </c>
      <c r="H283" s="311">
        <v>0</v>
      </c>
      <c r="I283" s="312">
        <v>0</v>
      </c>
      <c r="J283" s="309"/>
      <c r="K283" s="309"/>
      <c r="M283" s="243"/>
      <c r="N283" s="243"/>
      <c r="O283" s="243"/>
      <c r="P283" s="243"/>
      <c r="Q283" s="243"/>
      <c r="R283" s="243"/>
      <c r="S283" s="243"/>
    </row>
    <row r="284" spans="1:19" s="248" customFormat="1">
      <c r="A284" s="243"/>
      <c r="B284" s="1298" t="s">
        <v>308</v>
      </c>
      <c r="C284" s="1293" t="s">
        <v>72</v>
      </c>
      <c r="D284" s="1293"/>
      <c r="E284" s="310">
        <v>1.2</v>
      </c>
      <c r="F284" s="311">
        <v>1.27</v>
      </c>
      <c r="G284" s="311">
        <v>1.7</v>
      </c>
      <c r="H284" s="311">
        <v>1.59</v>
      </c>
      <c r="I284" s="312">
        <v>1.37</v>
      </c>
      <c r="J284" s="124"/>
      <c r="K284" s="309"/>
      <c r="M284" s="243"/>
      <c r="N284" s="243"/>
      <c r="O284" s="243"/>
      <c r="P284" s="243"/>
      <c r="Q284" s="243"/>
      <c r="R284" s="243"/>
      <c r="S284" s="243"/>
    </row>
    <row r="285" spans="1:19" s="248" customFormat="1">
      <c r="A285" s="243"/>
      <c r="B285" s="1298"/>
      <c r="C285" s="1293" t="s">
        <v>73</v>
      </c>
      <c r="D285" s="1293"/>
      <c r="E285" s="310">
        <v>2145.6999999999998</v>
      </c>
      <c r="F285" s="311">
        <v>2047</v>
      </c>
      <c r="G285" s="311">
        <v>2228.9</v>
      </c>
      <c r="H285" s="311">
        <v>1848.5</v>
      </c>
      <c r="I285" s="312">
        <v>2022.6</v>
      </c>
      <c r="J285" s="124"/>
      <c r="K285" s="309"/>
      <c r="M285" s="243"/>
      <c r="N285" s="243"/>
      <c r="O285" s="243"/>
      <c r="P285" s="243"/>
      <c r="Q285" s="243"/>
      <c r="R285" s="243"/>
      <c r="S285" s="243"/>
    </row>
    <row r="286" spans="1:19" s="248" customFormat="1">
      <c r="A286" s="243"/>
      <c r="B286" s="1298"/>
      <c r="C286" s="298" t="s">
        <v>297</v>
      </c>
      <c r="D286" s="123" t="s">
        <v>309</v>
      </c>
      <c r="E286" s="310">
        <v>4896.1000000000004</v>
      </c>
      <c r="F286" s="311">
        <v>7431.6</v>
      </c>
      <c r="G286" s="311">
        <v>1083.7</v>
      </c>
      <c r="H286" s="311">
        <v>1179</v>
      </c>
      <c r="I286" s="312">
        <v>957.4</v>
      </c>
      <c r="J286" s="309"/>
      <c r="K286" s="309"/>
      <c r="M286" s="243"/>
      <c r="N286" s="243"/>
      <c r="O286" s="243"/>
      <c r="P286" s="243"/>
      <c r="Q286" s="243"/>
      <c r="R286" s="243"/>
      <c r="S286" s="243"/>
    </row>
    <row r="287" spans="1:19" s="248" customFormat="1">
      <c r="A287" s="243"/>
      <c r="B287" s="1298"/>
      <c r="C287" s="298"/>
      <c r="D287" s="10" t="s">
        <v>310</v>
      </c>
      <c r="E287" s="310">
        <v>1736.5</v>
      </c>
      <c r="F287" s="311">
        <v>1726.8</v>
      </c>
      <c r="G287" s="311">
        <v>1083.7</v>
      </c>
      <c r="H287" s="311">
        <v>1179</v>
      </c>
      <c r="I287" s="315"/>
      <c r="J287" s="309"/>
      <c r="K287" s="309"/>
      <c r="M287" s="243"/>
      <c r="N287" s="243"/>
      <c r="O287" s="243"/>
      <c r="P287" s="243"/>
      <c r="Q287" s="243"/>
      <c r="R287" s="243"/>
      <c r="S287" s="243"/>
    </row>
    <row r="288" spans="1:19" s="248" customFormat="1">
      <c r="A288" s="243"/>
      <c r="B288" s="1298"/>
      <c r="C288" s="298"/>
      <c r="D288" s="125" t="s">
        <v>311</v>
      </c>
      <c r="E288" s="313"/>
      <c r="F288" s="311">
        <v>0</v>
      </c>
      <c r="G288" s="311">
        <v>0</v>
      </c>
      <c r="H288" s="311">
        <v>0</v>
      </c>
      <c r="I288" s="312">
        <v>0</v>
      </c>
      <c r="J288" s="309"/>
      <c r="K288" s="309"/>
      <c r="M288" s="243"/>
      <c r="N288" s="243"/>
      <c r="O288" s="243"/>
      <c r="P288" s="243"/>
      <c r="Q288" s="243"/>
      <c r="R288" s="243"/>
      <c r="S288" s="243"/>
    </row>
    <row r="289" spans="1:19" s="248" customFormat="1">
      <c r="A289" s="243"/>
      <c r="B289" s="1298" t="s">
        <v>312</v>
      </c>
      <c r="C289" s="1293" t="s">
        <v>72</v>
      </c>
      <c r="D289" s="1293"/>
      <c r="E289" s="310">
        <v>1.1299999999999999</v>
      </c>
      <c r="F289" s="311">
        <v>1.1299999999999999</v>
      </c>
      <c r="G289" s="311">
        <v>1.18</v>
      </c>
      <c r="H289" s="311">
        <v>1.29</v>
      </c>
      <c r="I289" s="312">
        <v>1.21</v>
      </c>
      <c r="J289" s="124"/>
      <c r="K289" s="309"/>
      <c r="M289" s="243"/>
      <c r="N289" s="243"/>
      <c r="O289" s="243"/>
      <c r="P289" s="243"/>
      <c r="Q289" s="243"/>
      <c r="R289" s="243"/>
      <c r="S289" s="243"/>
    </row>
    <row r="290" spans="1:19" s="248" customFormat="1">
      <c r="A290" s="243"/>
      <c r="B290" s="1298"/>
      <c r="C290" s="1293" t="s">
        <v>73</v>
      </c>
      <c r="D290" s="1293"/>
      <c r="E290" s="310">
        <v>2704.3</v>
      </c>
      <c r="F290" s="311">
        <v>2841.5</v>
      </c>
      <c r="G290" s="311">
        <v>2901.5</v>
      </c>
      <c r="H290" s="311">
        <v>2931.1</v>
      </c>
      <c r="I290" s="312">
        <v>2879.5</v>
      </c>
      <c r="J290" s="124"/>
      <c r="K290" s="309"/>
      <c r="M290" s="243"/>
      <c r="N290" s="243"/>
      <c r="O290" s="243"/>
      <c r="P290" s="243"/>
      <c r="Q290" s="243"/>
      <c r="R290" s="243"/>
      <c r="S290" s="243"/>
    </row>
    <row r="291" spans="1:19" s="248" customFormat="1">
      <c r="A291" s="243"/>
      <c r="B291" s="1298"/>
      <c r="C291" s="298" t="s">
        <v>297</v>
      </c>
      <c r="D291" s="123" t="s">
        <v>313</v>
      </c>
      <c r="E291" s="310">
        <v>1589</v>
      </c>
      <c r="F291" s="311">
        <v>1890.5</v>
      </c>
      <c r="G291" s="311">
        <v>2076.6999999999998</v>
      </c>
      <c r="H291" s="311">
        <v>1781.2</v>
      </c>
      <c r="I291" s="312">
        <v>1779.4</v>
      </c>
      <c r="J291" s="309"/>
      <c r="K291" s="309"/>
      <c r="M291" s="243"/>
      <c r="N291" s="243"/>
      <c r="O291" s="243"/>
      <c r="P291" s="243"/>
      <c r="Q291" s="243"/>
      <c r="R291" s="243"/>
      <c r="S291" s="243"/>
    </row>
    <row r="292" spans="1:19" s="248" customFormat="1">
      <c r="A292" s="243"/>
      <c r="B292" s="1298"/>
      <c r="C292" s="298"/>
      <c r="D292" s="125" t="s">
        <v>314</v>
      </c>
      <c r="E292" s="313"/>
      <c r="F292" s="311">
        <v>0</v>
      </c>
      <c r="G292" s="311">
        <v>0</v>
      </c>
      <c r="H292" s="311">
        <v>0</v>
      </c>
      <c r="I292" s="312">
        <v>0</v>
      </c>
      <c r="J292" s="309"/>
      <c r="K292" s="309"/>
      <c r="M292" s="243"/>
      <c r="N292" s="243"/>
      <c r="O292" s="243"/>
      <c r="P292" s="243"/>
      <c r="Q292" s="243"/>
      <c r="R292" s="243"/>
      <c r="S292" s="243"/>
    </row>
    <row r="293" spans="1:19" s="248" customFormat="1">
      <c r="A293" s="243"/>
      <c r="B293" s="1298" t="s">
        <v>315</v>
      </c>
      <c r="C293" s="1293" t="s">
        <v>72</v>
      </c>
      <c r="D293" s="1293"/>
      <c r="E293" s="310">
        <v>1.1599999999999999</v>
      </c>
      <c r="F293" s="311">
        <v>1.1599999999999999</v>
      </c>
      <c r="G293" s="311">
        <v>1.22</v>
      </c>
      <c r="H293" s="311">
        <v>1.19</v>
      </c>
      <c r="I293" s="312">
        <v>1.19</v>
      </c>
      <c r="J293" s="124"/>
      <c r="K293" s="309"/>
      <c r="M293" s="243"/>
      <c r="N293" s="243"/>
      <c r="O293" s="243"/>
      <c r="P293" s="243"/>
      <c r="Q293" s="243"/>
      <c r="R293" s="243"/>
      <c r="S293" s="243"/>
    </row>
    <row r="294" spans="1:19" s="248" customFormat="1">
      <c r="A294" s="243"/>
      <c r="B294" s="1298"/>
      <c r="C294" s="1293" t="s">
        <v>73</v>
      </c>
      <c r="D294" s="1293"/>
      <c r="E294" s="310">
        <v>2741.5</v>
      </c>
      <c r="F294" s="311">
        <v>2720.3</v>
      </c>
      <c r="G294" s="311">
        <v>2726.7</v>
      </c>
      <c r="H294" s="311">
        <v>2598.9</v>
      </c>
      <c r="I294" s="312">
        <v>2390.8000000000002</v>
      </c>
      <c r="J294" s="124"/>
      <c r="K294" s="309"/>
      <c r="M294" s="243"/>
      <c r="N294" s="243"/>
      <c r="O294" s="243"/>
      <c r="P294" s="243"/>
      <c r="Q294" s="243"/>
      <c r="R294" s="243"/>
      <c r="S294" s="243"/>
    </row>
    <row r="295" spans="1:19" s="248" customFormat="1">
      <c r="A295" s="243"/>
      <c r="B295" s="1298"/>
      <c r="C295" s="298" t="s">
        <v>297</v>
      </c>
      <c r="D295" s="123" t="s">
        <v>316</v>
      </c>
      <c r="E295" s="310">
        <v>780.2</v>
      </c>
      <c r="F295" s="311">
        <v>906</v>
      </c>
      <c r="G295" s="311">
        <v>1268.5</v>
      </c>
      <c r="H295" s="311">
        <v>1155.5999999999999</v>
      </c>
      <c r="I295" s="312">
        <v>1155.5999999999999</v>
      </c>
      <c r="J295" s="176" t="s">
        <v>666</v>
      </c>
      <c r="K295" s="309"/>
      <c r="L295" s="176"/>
      <c r="M295" s="243"/>
      <c r="N295" s="243"/>
      <c r="O295" s="243"/>
      <c r="P295" s="243"/>
      <c r="Q295" s="243"/>
      <c r="R295" s="243"/>
      <c r="S295" s="243"/>
    </row>
    <row r="296" spans="1:19" s="248" customFormat="1">
      <c r="A296" s="243"/>
      <c r="B296" s="1298"/>
      <c r="C296" s="298"/>
      <c r="D296" s="125" t="s">
        <v>317</v>
      </c>
      <c r="E296" s="310">
        <v>845.9</v>
      </c>
      <c r="F296" s="311">
        <v>1161.5</v>
      </c>
      <c r="G296" s="311">
        <v>1450.2</v>
      </c>
      <c r="H296" s="311">
        <v>1292.3</v>
      </c>
      <c r="I296" s="312">
        <v>1264.5</v>
      </c>
      <c r="J296" s="124"/>
      <c r="K296" s="309"/>
      <c r="L296" s="176"/>
      <c r="M296" s="243"/>
      <c r="N296" s="243"/>
      <c r="O296" s="243"/>
      <c r="P296" s="243"/>
      <c r="Q296" s="243"/>
      <c r="R296" s="243"/>
      <c r="S296" s="243"/>
    </row>
    <row r="297" spans="1:19" s="248" customFormat="1">
      <c r="A297" s="243"/>
      <c r="B297" s="1299" t="s">
        <v>318</v>
      </c>
      <c r="C297" s="1293" t="s">
        <v>72</v>
      </c>
      <c r="D297" s="1293"/>
      <c r="E297" s="310">
        <v>1.1499999999999999</v>
      </c>
      <c r="F297" s="311">
        <v>1.1399999999999999</v>
      </c>
      <c r="G297" s="311">
        <v>1.1299999999999999</v>
      </c>
      <c r="H297" s="311">
        <v>1.18</v>
      </c>
      <c r="I297" s="312">
        <v>1.1299999999999999</v>
      </c>
      <c r="J297" s="124"/>
      <c r="K297" s="309"/>
      <c r="L297" s="176"/>
      <c r="M297" s="243"/>
      <c r="N297" s="243"/>
      <c r="O297" s="243"/>
      <c r="P297" s="243"/>
      <c r="Q297" s="243"/>
      <c r="R297" s="243"/>
      <c r="S297" s="243"/>
    </row>
    <row r="298" spans="1:19" s="248" customFormat="1">
      <c r="A298" s="243"/>
      <c r="B298" s="1300"/>
      <c r="C298" s="1293" t="s">
        <v>73</v>
      </c>
      <c r="D298" s="1293"/>
      <c r="E298" s="310">
        <v>2667.8</v>
      </c>
      <c r="F298" s="311">
        <v>2594.6999999999998</v>
      </c>
      <c r="G298" s="311">
        <v>2469.6999999999998</v>
      </c>
      <c r="H298" s="311">
        <v>2435.6999999999998</v>
      </c>
      <c r="I298" s="312">
        <v>2608.9</v>
      </c>
      <c r="J298" s="124"/>
      <c r="K298" s="309"/>
      <c r="L298" s="176"/>
      <c r="M298" s="243"/>
      <c r="N298" s="243"/>
      <c r="O298" s="243"/>
      <c r="P298" s="243"/>
      <c r="Q298" s="243"/>
      <c r="R298" s="243"/>
      <c r="S298" s="243"/>
    </row>
    <row r="299" spans="1:19" s="248" customFormat="1">
      <c r="A299" s="243"/>
      <c r="B299" s="1300"/>
      <c r="C299" s="298" t="s">
        <v>297</v>
      </c>
      <c r="D299" s="123" t="s">
        <v>319</v>
      </c>
      <c r="E299" s="310">
        <v>18295.8</v>
      </c>
      <c r="F299" s="311">
        <v>11059.8</v>
      </c>
      <c r="G299" s="311">
        <v>5253.5</v>
      </c>
      <c r="H299" s="311">
        <v>6685.6</v>
      </c>
      <c r="I299" s="312">
        <v>5391.7</v>
      </c>
      <c r="J299" s="124"/>
      <c r="K299" s="309"/>
      <c r="M299" s="243"/>
      <c r="N299" s="243"/>
      <c r="O299" s="243"/>
      <c r="P299" s="243"/>
      <c r="Q299" s="243"/>
      <c r="R299" s="243"/>
      <c r="S299" s="243"/>
    </row>
    <row r="300" spans="1:19" s="248" customFormat="1">
      <c r="A300" s="243"/>
      <c r="B300" s="1300"/>
      <c r="C300" s="298"/>
      <c r="D300" s="10" t="s">
        <v>320</v>
      </c>
      <c r="E300" s="310">
        <v>2524.6</v>
      </c>
      <c r="F300" s="311">
        <v>3812.4</v>
      </c>
      <c r="G300" s="311">
        <v>3855.9</v>
      </c>
      <c r="H300" s="311">
        <v>3729.4</v>
      </c>
      <c r="I300" s="312">
        <v>3729.4</v>
      </c>
      <c r="J300" s="176" t="s">
        <v>667</v>
      </c>
      <c r="K300" s="309"/>
      <c r="M300" s="243"/>
      <c r="N300" s="243"/>
      <c r="O300" s="243"/>
      <c r="P300" s="243"/>
      <c r="Q300" s="243"/>
      <c r="R300" s="243"/>
      <c r="S300" s="243"/>
    </row>
    <row r="301" spans="1:19" s="248" customFormat="1">
      <c r="A301" s="243"/>
      <c r="B301" s="1300"/>
      <c r="C301" s="298"/>
      <c r="D301" s="125" t="s">
        <v>321</v>
      </c>
      <c r="E301" s="310">
        <v>1316.2</v>
      </c>
      <c r="F301" s="311">
        <v>1475.6</v>
      </c>
      <c r="G301" s="311">
        <v>1850</v>
      </c>
      <c r="H301" s="311">
        <v>3360</v>
      </c>
      <c r="I301" s="312">
        <v>1372.1</v>
      </c>
      <c r="J301" s="124"/>
      <c r="K301" s="309"/>
      <c r="M301" s="243"/>
      <c r="N301" s="243"/>
      <c r="O301" s="243"/>
      <c r="P301" s="243"/>
      <c r="Q301" s="243"/>
      <c r="R301" s="243"/>
      <c r="S301" s="243"/>
    </row>
    <row r="302" spans="1:19" s="248" customFormat="1">
      <c r="A302" s="243"/>
      <c r="B302" s="1301"/>
      <c r="C302" s="298"/>
      <c r="D302" s="125" t="s">
        <v>668</v>
      </c>
      <c r="E302" s="313"/>
      <c r="F302" s="313"/>
      <c r="G302" s="313"/>
      <c r="H302" s="313"/>
      <c r="I302" s="316">
        <v>0</v>
      </c>
      <c r="J302" s="124"/>
      <c r="K302" s="309"/>
      <c r="M302" s="243"/>
      <c r="N302" s="243"/>
      <c r="O302" s="243"/>
      <c r="P302" s="243"/>
      <c r="Q302" s="243"/>
      <c r="R302" s="243"/>
      <c r="S302" s="243"/>
    </row>
    <row r="303" spans="1:19" s="248" customFormat="1">
      <c r="A303" s="243"/>
      <c r="B303" s="1298" t="s">
        <v>322</v>
      </c>
      <c r="C303" s="1293" t="s">
        <v>72</v>
      </c>
      <c r="D303" s="1293"/>
      <c r="E303" s="310">
        <v>1.1499999999999999</v>
      </c>
      <c r="F303" s="311">
        <v>1.1100000000000001</v>
      </c>
      <c r="G303" s="311">
        <v>1.1299999999999999</v>
      </c>
      <c r="H303" s="311">
        <v>1.25</v>
      </c>
      <c r="I303" s="312">
        <v>1.1399999999999999</v>
      </c>
      <c r="J303" s="124"/>
      <c r="K303" s="309"/>
      <c r="M303" s="243"/>
      <c r="N303" s="243"/>
      <c r="O303" s="243"/>
      <c r="P303" s="243"/>
      <c r="Q303" s="243"/>
      <c r="R303" s="243"/>
      <c r="S303" s="243"/>
    </row>
    <row r="304" spans="1:19" s="248" customFormat="1">
      <c r="A304" s="243"/>
      <c r="B304" s="1298"/>
      <c r="C304" s="1293" t="s">
        <v>73</v>
      </c>
      <c r="D304" s="1293"/>
      <c r="E304" s="310">
        <v>2151.6999999999998</v>
      </c>
      <c r="F304" s="311">
        <v>2138.5</v>
      </c>
      <c r="G304" s="311">
        <v>1908.5</v>
      </c>
      <c r="H304" s="311">
        <v>2109.1999999999998</v>
      </c>
      <c r="I304" s="312">
        <v>1993</v>
      </c>
      <c r="J304" s="124"/>
      <c r="K304" s="309"/>
      <c r="M304" s="243"/>
      <c r="N304" s="243"/>
      <c r="O304" s="243"/>
      <c r="P304" s="243"/>
      <c r="Q304" s="243"/>
      <c r="R304" s="243"/>
      <c r="S304" s="243"/>
    </row>
    <row r="305" spans="1:19" s="248" customFormat="1">
      <c r="A305" s="243"/>
      <c r="B305" s="1298"/>
      <c r="C305" s="298" t="s">
        <v>297</v>
      </c>
      <c r="D305" s="123" t="s">
        <v>323</v>
      </c>
      <c r="E305" s="310">
        <v>1133.5999999999999</v>
      </c>
      <c r="F305" s="311">
        <v>1907.9</v>
      </c>
      <c r="G305" s="311">
        <v>2360.6</v>
      </c>
      <c r="H305" s="311">
        <v>2279</v>
      </c>
      <c r="I305" s="312">
        <v>1537.6</v>
      </c>
      <c r="J305" s="309"/>
      <c r="K305" s="309"/>
      <c r="M305" s="243"/>
      <c r="N305" s="243"/>
      <c r="O305" s="243"/>
      <c r="P305" s="243"/>
      <c r="Q305" s="243"/>
      <c r="R305" s="243"/>
      <c r="S305" s="243"/>
    </row>
    <row r="306" spans="1:19" s="248" customFormat="1">
      <c r="A306" s="243"/>
      <c r="B306" s="1298"/>
      <c r="C306" s="298"/>
      <c r="D306" s="10" t="s">
        <v>324</v>
      </c>
      <c r="E306" s="310">
        <v>718.8</v>
      </c>
      <c r="F306" s="311">
        <v>491.9</v>
      </c>
      <c r="G306" s="311">
        <v>362.6</v>
      </c>
      <c r="H306" s="311">
        <v>461.9</v>
      </c>
      <c r="I306" s="312">
        <v>533.1</v>
      </c>
      <c r="J306" s="309"/>
      <c r="K306" s="309"/>
      <c r="M306" s="243"/>
      <c r="N306" s="243"/>
      <c r="O306" s="243"/>
      <c r="P306" s="243"/>
      <c r="Q306" s="243"/>
      <c r="R306" s="243"/>
      <c r="S306" s="243"/>
    </row>
    <row r="307" spans="1:19" s="248" customFormat="1">
      <c r="A307" s="243"/>
      <c r="B307" s="1298"/>
      <c r="C307" s="298"/>
      <c r="D307" s="125" t="s">
        <v>325</v>
      </c>
      <c r="E307" s="313"/>
      <c r="F307" s="311">
        <v>0</v>
      </c>
      <c r="G307" s="311">
        <v>0</v>
      </c>
      <c r="H307" s="311">
        <v>0</v>
      </c>
      <c r="I307" s="312">
        <v>0</v>
      </c>
      <c r="J307" s="309"/>
      <c r="K307" s="243"/>
      <c r="M307" s="243"/>
      <c r="N307" s="243"/>
      <c r="O307" s="243"/>
      <c r="P307" s="243"/>
      <c r="Q307" s="243"/>
      <c r="R307" s="243"/>
      <c r="S307" s="243"/>
    </row>
    <row r="308" spans="1:19" s="248" customFormat="1">
      <c r="A308" s="243"/>
      <c r="B308" s="1298" t="s">
        <v>326</v>
      </c>
      <c r="C308" s="1293" t="s">
        <v>72</v>
      </c>
      <c r="D308" s="1293"/>
      <c r="E308" s="310">
        <v>1.1200000000000001</v>
      </c>
      <c r="F308" s="311">
        <v>1.1299999999999999</v>
      </c>
      <c r="G308" s="311">
        <v>1.1399999999999999</v>
      </c>
      <c r="H308" s="311">
        <v>1.1599999999999999</v>
      </c>
      <c r="I308" s="312">
        <v>1.1200000000000001</v>
      </c>
      <c r="J308" s="124"/>
      <c r="K308" s="243"/>
      <c r="M308" s="243"/>
      <c r="N308" s="243"/>
      <c r="O308" s="243"/>
      <c r="P308" s="243"/>
      <c r="Q308" s="243"/>
      <c r="R308" s="243"/>
      <c r="S308" s="243"/>
    </row>
    <row r="309" spans="1:19" s="248" customFormat="1">
      <c r="A309" s="243"/>
      <c r="B309" s="1298"/>
      <c r="C309" s="1293" t="s">
        <v>73</v>
      </c>
      <c r="D309" s="1293"/>
      <c r="E309" s="310">
        <v>2242.6</v>
      </c>
      <c r="F309" s="311">
        <v>2123.9</v>
      </c>
      <c r="G309" s="311">
        <v>2397.9</v>
      </c>
      <c r="H309" s="311">
        <v>2351.1</v>
      </c>
      <c r="I309" s="312">
        <v>2761.4</v>
      </c>
      <c r="J309" s="124"/>
      <c r="K309" s="243"/>
      <c r="M309" s="243"/>
      <c r="N309" s="243"/>
      <c r="O309" s="243"/>
      <c r="P309" s="243"/>
      <c r="Q309" s="243"/>
      <c r="R309" s="243"/>
      <c r="S309" s="243"/>
    </row>
    <row r="310" spans="1:19" s="248" customFormat="1">
      <c r="A310" s="243"/>
      <c r="B310" s="1298"/>
      <c r="C310" s="298" t="s">
        <v>297</v>
      </c>
      <c r="D310" s="123" t="s">
        <v>327</v>
      </c>
      <c r="E310" s="310">
        <v>899.8</v>
      </c>
      <c r="F310" s="311">
        <v>916</v>
      </c>
      <c r="G310" s="311">
        <v>921.9</v>
      </c>
      <c r="H310" s="311">
        <v>1127.0983213429256</v>
      </c>
      <c r="I310" s="312">
        <v>1031.7862165963431</v>
      </c>
      <c r="J310" s="176" t="s">
        <v>669</v>
      </c>
      <c r="K310" s="309"/>
      <c r="M310" s="243"/>
      <c r="N310" s="243"/>
      <c r="O310" s="243"/>
      <c r="P310" s="243"/>
      <c r="Q310" s="243"/>
      <c r="R310" s="243"/>
      <c r="S310" s="243"/>
    </row>
    <row r="311" spans="1:19" s="248" customFormat="1">
      <c r="A311" s="243"/>
      <c r="B311" s="1298"/>
      <c r="C311" s="298"/>
      <c r="D311" s="10" t="s">
        <v>670</v>
      </c>
      <c r="E311" s="310">
        <v>2484.9</v>
      </c>
      <c r="F311" s="311">
        <v>1317.6</v>
      </c>
      <c r="G311" s="311">
        <v>1549</v>
      </c>
      <c r="H311" s="311">
        <v>2151.6</v>
      </c>
      <c r="I311" s="312">
        <v>2305.6999999999998</v>
      </c>
      <c r="J311" s="309"/>
      <c r="K311" s="171"/>
      <c r="M311" s="243"/>
      <c r="N311" s="243"/>
      <c r="O311" s="243"/>
      <c r="P311" s="243"/>
      <c r="Q311" s="243"/>
      <c r="R311" s="243"/>
      <c r="S311" s="243"/>
    </row>
    <row r="312" spans="1:19" s="248" customFormat="1">
      <c r="A312" s="243"/>
      <c r="B312" s="1298"/>
      <c r="C312" s="298"/>
      <c r="D312" s="10" t="s">
        <v>671</v>
      </c>
      <c r="E312" s="310">
        <v>695.2</v>
      </c>
      <c r="F312" s="311">
        <v>576.9</v>
      </c>
      <c r="G312" s="311">
        <v>296.8</v>
      </c>
      <c r="H312" s="311">
        <v>511.48851148851151</v>
      </c>
      <c r="I312" s="312">
        <v>586.00337268128169</v>
      </c>
      <c r="J312" s="176" t="s">
        <v>672</v>
      </c>
      <c r="K312" s="176"/>
      <c r="M312" s="243"/>
      <c r="N312" s="243"/>
      <c r="O312" s="243"/>
      <c r="P312" s="243"/>
      <c r="Q312" s="243"/>
      <c r="R312" s="243"/>
      <c r="S312" s="243"/>
    </row>
    <row r="313" spans="1:19" s="248" customFormat="1">
      <c r="A313" s="243"/>
      <c r="B313" s="1298"/>
      <c r="C313" s="298"/>
      <c r="D313" s="125" t="s">
        <v>673</v>
      </c>
      <c r="E313" s="313"/>
      <c r="F313" s="311">
        <v>0</v>
      </c>
      <c r="G313" s="311">
        <v>0</v>
      </c>
      <c r="H313" s="311">
        <v>0</v>
      </c>
      <c r="I313" s="312">
        <v>0</v>
      </c>
      <c r="J313" s="309"/>
      <c r="K313" s="176"/>
      <c r="M313" s="243"/>
      <c r="N313" s="243"/>
      <c r="O313" s="243"/>
      <c r="P313" s="243"/>
      <c r="Q313" s="243"/>
      <c r="R313" s="243"/>
      <c r="S313" s="243"/>
    </row>
    <row r="314" spans="1:19" s="248" customFormat="1">
      <c r="A314" s="243"/>
      <c r="B314" s="1298" t="s">
        <v>331</v>
      </c>
      <c r="C314" s="1293" t="s">
        <v>72</v>
      </c>
      <c r="D314" s="1293"/>
      <c r="E314" s="310">
        <v>1.0900000000000001</v>
      </c>
      <c r="F314" s="311">
        <v>1.1000000000000001</v>
      </c>
      <c r="G314" s="311">
        <v>1.17</v>
      </c>
      <c r="H314" s="311">
        <v>1.25</v>
      </c>
      <c r="I314" s="312">
        <v>1.23</v>
      </c>
      <c r="J314" s="243"/>
      <c r="K314" s="243"/>
      <c r="M314" s="243"/>
      <c r="N314" s="243"/>
      <c r="O314" s="243"/>
      <c r="P314" s="243"/>
      <c r="Q314" s="243"/>
      <c r="R314" s="243"/>
      <c r="S314" s="243"/>
    </row>
    <row r="315" spans="1:19" s="248" customFormat="1">
      <c r="A315" s="243"/>
      <c r="B315" s="1298"/>
      <c r="C315" s="1293" t="s">
        <v>73</v>
      </c>
      <c r="D315" s="1293"/>
      <c r="E315" s="310">
        <v>1959.3</v>
      </c>
      <c r="F315" s="311">
        <v>1842.5</v>
      </c>
      <c r="G315" s="311">
        <v>1934.4</v>
      </c>
      <c r="H315" s="311">
        <v>1965.8</v>
      </c>
      <c r="I315" s="312">
        <v>2323.4</v>
      </c>
      <c r="J315" s="124"/>
      <c r="K315" s="309"/>
      <c r="M315" s="243"/>
      <c r="N315" s="243"/>
      <c r="O315" s="243"/>
      <c r="P315" s="243"/>
      <c r="Q315" s="243"/>
      <c r="R315" s="243"/>
      <c r="S315" s="243"/>
    </row>
    <row r="316" spans="1:19" s="248" customFormat="1">
      <c r="A316" s="243"/>
      <c r="B316" s="1298"/>
      <c r="C316" s="317" t="s">
        <v>297</v>
      </c>
      <c r="D316" s="10" t="s">
        <v>332</v>
      </c>
      <c r="E316" s="310">
        <v>1246.2</v>
      </c>
      <c r="F316" s="311">
        <v>1371.7</v>
      </c>
      <c r="G316" s="311">
        <v>1211.2</v>
      </c>
      <c r="H316" s="311">
        <v>2734.8</v>
      </c>
      <c r="I316" s="312">
        <v>2088.3000000000002</v>
      </c>
      <c r="J316" s="309"/>
      <c r="K316" s="309"/>
      <c r="M316" s="243"/>
      <c r="N316" s="243"/>
      <c r="O316" s="243"/>
      <c r="P316" s="243"/>
      <c r="Q316" s="243"/>
      <c r="R316" s="243"/>
      <c r="S316" s="243"/>
    </row>
    <row r="317" spans="1:19" s="248" customFormat="1">
      <c r="A317" s="243"/>
      <c r="B317" s="318" t="s">
        <v>333</v>
      </c>
      <c r="C317" s="1293" t="s">
        <v>297</v>
      </c>
      <c r="D317" s="1293"/>
      <c r="E317" s="310">
        <v>1906.6</v>
      </c>
      <c r="F317" s="311">
        <v>2376.8000000000002</v>
      </c>
      <c r="G317" s="311">
        <v>1793.3</v>
      </c>
      <c r="H317" s="311">
        <v>973.3</v>
      </c>
      <c r="I317" s="312">
        <v>847.7</v>
      </c>
      <c r="J317" s="309"/>
      <c r="K317" s="309"/>
      <c r="M317" s="243"/>
      <c r="N317" s="243"/>
      <c r="O317" s="243"/>
      <c r="P317" s="243"/>
      <c r="Q317" s="243"/>
      <c r="R317" s="243"/>
      <c r="S317" s="243"/>
    </row>
    <row r="318" spans="1:19" s="248" customFormat="1">
      <c r="A318" s="243"/>
      <c r="B318" s="318" t="s">
        <v>334</v>
      </c>
      <c r="C318" s="1293" t="s">
        <v>297</v>
      </c>
      <c r="D318" s="1293"/>
      <c r="E318" s="310">
        <v>1218</v>
      </c>
      <c r="F318" s="311">
        <v>1493.4</v>
      </c>
      <c r="G318" s="311">
        <v>1636.6</v>
      </c>
      <c r="H318" s="311">
        <v>1467.8</v>
      </c>
      <c r="I318" s="312">
        <v>1111.0999999999999</v>
      </c>
      <c r="J318" s="309"/>
      <c r="K318" s="309"/>
      <c r="M318" s="243"/>
      <c r="N318" s="243"/>
      <c r="O318" s="243"/>
      <c r="P318" s="243"/>
      <c r="Q318" s="243"/>
      <c r="R318" s="243"/>
      <c r="S318" s="243"/>
    </row>
    <row r="319" spans="1:19" s="248" customFormat="1">
      <c r="A319" s="243"/>
      <c r="B319" s="318" t="s">
        <v>148</v>
      </c>
      <c r="C319" s="1293" t="s">
        <v>297</v>
      </c>
      <c r="D319" s="1293"/>
      <c r="E319" s="310">
        <v>2006.4</v>
      </c>
      <c r="F319" s="319">
        <v>2629.1</v>
      </c>
      <c r="G319" s="319">
        <v>2622.2</v>
      </c>
      <c r="H319" s="319">
        <v>2214.6999999999998</v>
      </c>
      <c r="I319" s="316">
        <v>2319.1</v>
      </c>
      <c r="J319" s="309"/>
      <c r="K319" s="309"/>
      <c r="M319" s="243"/>
      <c r="N319" s="243"/>
      <c r="O319" s="243"/>
      <c r="P319" s="243"/>
      <c r="Q319" s="243"/>
      <c r="R319" s="243"/>
      <c r="S319" s="243"/>
    </row>
    <row r="320" spans="1:19" s="248" customFormat="1" ht="12">
      <c r="A320" s="307"/>
      <c r="B320" s="243"/>
      <c r="C320" s="243"/>
      <c r="D320" s="243"/>
      <c r="E320" s="243"/>
      <c r="F320" s="243"/>
      <c r="G320" s="243"/>
      <c r="H320" s="243"/>
      <c r="I320" s="243"/>
    </row>
    <row r="321" spans="1:11" s="248" customFormat="1" ht="12">
      <c r="A321" s="307"/>
      <c r="B321" s="243"/>
      <c r="C321" s="243"/>
      <c r="D321" s="243"/>
      <c r="E321" s="243"/>
      <c r="F321" s="243"/>
      <c r="G321" s="243"/>
      <c r="H321" s="243"/>
      <c r="I321" s="243"/>
    </row>
    <row r="322" spans="1:11" s="248" customFormat="1" ht="12">
      <c r="A322" s="307"/>
      <c r="B322" s="243"/>
      <c r="C322" s="243"/>
      <c r="D322" s="243"/>
      <c r="E322" s="243"/>
      <c r="F322" s="243"/>
      <c r="G322" s="243"/>
      <c r="H322" s="243"/>
      <c r="I322" s="243"/>
    </row>
    <row r="323" spans="1:11" s="248" customFormat="1" ht="12">
      <c r="A323" s="307"/>
      <c r="B323" s="243"/>
      <c r="C323" s="243"/>
      <c r="D323" s="243"/>
      <c r="E323" s="243"/>
      <c r="F323" s="243"/>
      <c r="G323" s="243"/>
      <c r="H323" s="243"/>
      <c r="I323" s="243"/>
    </row>
    <row r="324" spans="1:11" s="248" customFormat="1" ht="12">
      <c r="A324" s="307"/>
      <c r="B324" s="243"/>
      <c r="C324" s="243"/>
      <c r="D324" s="243"/>
      <c r="E324" s="243"/>
      <c r="F324" s="243"/>
      <c r="G324" s="243"/>
      <c r="H324" s="243"/>
      <c r="I324" s="243"/>
    </row>
    <row r="325" spans="1:11" s="248" customFormat="1" ht="12">
      <c r="A325" s="307"/>
      <c r="B325" s="243"/>
      <c r="C325" s="243"/>
      <c r="D325" s="243"/>
      <c r="E325" s="243"/>
      <c r="F325" s="243"/>
      <c r="G325" s="243"/>
      <c r="H325" s="243"/>
      <c r="I325" s="243"/>
    </row>
    <row r="326" spans="1:11" s="248" customFormat="1" ht="12">
      <c r="A326" s="307"/>
      <c r="B326" s="243"/>
      <c r="C326" s="243"/>
      <c r="D326" s="243"/>
      <c r="E326" s="243"/>
      <c r="F326" s="243"/>
      <c r="G326" s="243"/>
      <c r="H326" s="243"/>
      <c r="I326" s="243"/>
    </row>
    <row r="327" spans="1:11" s="248" customFormat="1" ht="12">
      <c r="A327" s="307"/>
      <c r="B327" s="243"/>
      <c r="C327" s="243"/>
      <c r="D327" s="243"/>
      <c r="E327" s="243"/>
      <c r="F327" s="243"/>
      <c r="G327" s="243"/>
      <c r="H327" s="243"/>
      <c r="I327" s="243"/>
    </row>
    <row r="328" spans="1:11" s="248" customFormat="1" ht="12">
      <c r="A328" s="307"/>
      <c r="B328" s="243"/>
      <c r="C328" s="243"/>
      <c r="D328" s="243"/>
      <c r="E328" s="243"/>
      <c r="F328" s="243"/>
      <c r="G328" s="243"/>
      <c r="H328" s="243"/>
      <c r="I328" s="243"/>
    </row>
    <row r="329" spans="1:11" s="248" customFormat="1" ht="12">
      <c r="A329" s="307"/>
      <c r="B329" s="243"/>
      <c r="C329" s="243"/>
      <c r="D329" s="243"/>
      <c r="E329" s="243"/>
      <c r="F329" s="243"/>
      <c r="G329" s="243"/>
      <c r="H329" s="243"/>
      <c r="I329" s="243"/>
    </row>
    <row r="330" spans="1:11" s="248" customFormat="1" ht="12">
      <c r="A330" s="307"/>
      <c r="B330" s="243"/>
      <c r="C330" s="243"/>
      <c r="D330" s="243"/>
      <c r="E330" s="243"/>
      <c r="F330" s="243"/>
      <c r="G330" s="243"/>
      <c r="H330" s="243"/>
      <c r="I330" s="243"/>
    </row>
    <row r="331" spans="1:11" s="248" customFormat="1" ht="12">
      <c r="A331" s="307"/>
      <c r="B331" s="243"/>
      <c r="C331" s="243"/>
      <c r="D331" s="243"/>
      <c r="E331" s="243"/>
      <c r="F331" s="243"/>
      <c r="G331" s="243"/>
      <c r="H331" s="243"/>
      <c r="I331" s="243"/>
    </row>
    <row r="332" spans="1:11" s="248" customFormat="1" ht="17.25">
      <c r="A332" s="307"/>
      <c r="B332" s="244" t="s">
        <v>674</v>
      </c>
      <c r="C332" s="243"/>
      <c r="D332" s="243"/>
      <c r="E332" s="243"/>
      <c r="F332" s="243"/>
      <c r="G332" s="243"/>
      <c r="H332" s="243"/>
      <c r="I332" s="243"/>
    </row>
    <row r="333" spans="1:11" s="248" customFormat="1">
      <c r="A333" s="307"/>
      <c r="B333" s="243"/>
      <c r="C333" s="320"/>
      <c r="D333" s="320"/>
      <c r="E333" s="307"/>
      <c r="F333" s="48"/>
      <c r="G333" s="243"/>
      <c r="H333" s="243"/>
      <c r="I333" s="243"/>
    </row>
    <row r="334" spans="1:11" s="248" customFormat="1">
      <c r="A334" s="307"/>
      <c r="B334" s="243"/>
      <c r="C334" s="320"/>
      <c r="D334" s="320"/>
      <c r="E334" s="308" t="s">
        <v>294</v>
      </c>
      <c r="F334" s="308" t="s">
        <v>295</v>
      </c>
      <c r="G334" s="308" t="s">
        <v>296</v>
      </c>
      <c r="H334" s="308" t="s">
        <v>664</v>
      </c>
      <c r="I334" s="308" t="s">
        <v>665</v>
      </c>
    </row>
    <row r="335" spans="1:11" s="248" customFormat="1">
      <c r="A335" s="307"/>
      <c r="B335" s="1294" t="s">
        <v>963</v>
      </c>
      <c r="C335" s="30" t="s">
        <v>675</v>
      </c>
      <c r="D335" s="31"/>
      <c r="E335" s="39">
        <v>2.19451921932074E-2</v>
      </c>
      <c r="F335" s="39">
        <v>2.0389906641063101E-2</v>
      </c>
      <c r="G335" s="39">
        <v>2.0389906641063101E-2</v>
      </c>
      <c r="H335" s="39">
        <v>1.9801046282428472E-2</v>
      </c>
      <c r="I335" s="139">
        <v>2.3170978530527752E-2</v>
      </c>
      <c r="K335" s="307"/>
    </row>
    <row r="336" spans="1:11" s="248" customFormat="1">
      <c r="A336" s="307"/>
      <c r="B336" s="1294"/>
      <c r="C336" s="30" t="s">
        <v>163</v>
      </c>
      <c r="D336" s="31"/>
      <c r="E336" s="321"/>
      <c r="F336" s="39">
        <v>1.1717697268890392E-2</v>
      </c>
      <c r="G336" s="39">
        <v>1.1717697268890392E-2</v>
      </c>
      <c r="H336" s="39">
        <v>1.3798390052532116E-2</v>
      </c>
      <c r="I336" s="139">
        <v>1.3962155740981702E-2</v>
      </c>
    </row>
    <row r="337" spans="1:10" s="248" customFormat="1">
      <c r="A337" s="243"/>
      <c r="B337" s="1295" t="s">
        <v>676</v>
      </c>
      <c r="C337" s="30" t="s">
        <v>167</v>
      </c>
      <c r="D337" s="31"/>
      <c r="E337" s="32">
        <v>0</v>
      </c>
      <c r="F337" s="39">
        <v>0</v>
      </c>
      <c r="G337" s="39">
        <v>0</v>
      </c>
      <c r="H337" s="39">
        <v>0</v>
      </c>
      <c r="I337" s="139">
        <v>0</v>
      </c>
    </row>
    <row r="338" spans="1:10" s="248" customFormat="1">
      <c r="A338" s="243"/>
      <c r="B338" s="1296"/>
      <c r="C338" s="30" t="s">
        <v>953</v>
      </c>
      <c r="D338" s="31"/>
      <c r="E338" s="32">
        <v>0.04</v>
      </c>
      <c r="F338" s="39">
        <v>1.847526182580024E-2</v>
      </c>
      <c r="G338" s="39">
        <v>1.847526182580024E-2</v>
      </c>
      <c r="H338" s="39">
        <v>2.4602767557460284E-2</v>
      </c>
      <c r="I338" s="139">
        <v>1.2313299594892444E-2</v>
      </c>
    </row>
    <row r="339" spans="1:10" s="248" customFormat="1">
      <c r="A339" s="243"/>
      <c r="B339" s="1296"/>
      <c r="C339" s="30" t="s">
        <v>954</v>
      </c>
      <c r="D339" s="31"/>
      <c r="E339" s="32">
        <v>0.04</v>
      </c>
      <c r="F339" s="39">
        <v>7.2241623343083511E-3</v>
      </c>
      <c r="G339" s="39">
        <v>7.2241623343083511E-3</v>
      </c>
      <c r="H339" s="39">
        <v>4.4159022299248554E-3</v>
      </c>
      <c r="I339" s="139">
        <v>8.5972741852477514E-3</v>
      </c>
    </row>
    <row r="340" spans="1:10" s="248" customFormat="1">
      <c r="A340" s="243"/>
      <c r="B340" s="1296"/>
      <c r="C340" s="30" t="s">
        <v>955</v>
      </c>
      <c r="D340" s="31"/>
      <c r="E340" s="32">
        <v>0.04</v>
      </c>
      <c r="F340" s="39">
        <v>1.3556088824767562E-2</v>
      </c>
      <c r="G340" s="39">
        <v>1.3556088824767562E-2</v>
      </c>
      <c r="H340" s="39">
        <v>1.3556088824767562E-2</v>
      </c>
      <c r="I340" s="139">
        <v>1.3556088824767562E-2</v>
      </c>
      <c r="J340" s="176" t="s">
        <v>1217</v>
      </c>
    </row>
    <row r="341" spans="1:10" s="248" customFormat="1">
      <c r="A341" s="243"/>
      <c r="B341" s="1296"/>
      <c r="C341" s="30" t="s">
        <v>956</v>
      </c>
      <c r="D341" s="31"/>
      <c r="E341" s="32">
        <v>0.03</v>
      </c>
      <c r="F341" s="39">
        <v>1.3725746443130241E-2</v>
      </c>
      <c r="G341" s="39">
        <v>1.3725746443130241E-2</v>
      </c>
      <c r="H341" s="39">
        <v>1.3725746443130241E-2</v>
      </c>
      <c r="I341" s="139">
        <v>1.3725746443130241E-2</v>
      </c>
      <c r="J341" s="176" t="s">
        <v>1217</v>
      </c>
    </row>
    <row r="342" spans="1:10" s="248" customFormat="1">
      <c r="A342" s="243"/>
      <c r="B342" s="1296"/>
      <c r="C342" s="30" t="s">
        <v>957</v>
      </c>
      <c r="D342" s="31"/>
      <c r="E342" s="32">
        <v>1.7000000000000001E-2</v>
      </c>
      <c r="F342" s="39">
        <v>1.1550722885777985E-2</v>
      </c>
      <c r="G342" s="39">
        <v>1.1550722885777985E-2</v>
      </c>
      <c r="H342" s="39">
        <v>1.6304198620961621E-2</v>
      </c>
      <c r="I342" s="139">
        <v>1.1559355080795176E-2</v>
      </c>
    </row>
    <row r="343" spans="1:10" s="248" customFormat="1">
      <c r="A343" s="243"/>
      <c r="B343" s="1296"/>
      <c r="C343" s="30" t="s">
        <v>958</v>
      </c>
      <c r="D343" s="31"/>
      <c r="E343" s="32">
        <v>0.01</v>
      </c>
      <c r="F343" s="39">
        <v>1.244954496014958E-2</v>
      </c>
      <c r="G343" s="39">
        <v>1.244954496014958E-2</v>
      </c>
      <c r="H343" s="39">
        <v>1.2144815289479256E-2</v>
      </c>
      <c r="I343" s="194">
        <v>1.0725969359480864E-2</v>
      </c>
    </row>
    <row r="344" spans="1:10" s="248" customFormat="1">
      <c r="A344" s="243"/>
      <c r="B344" s="1296"/>
      <c r="C344" s="30" t="s">
        <v>959</v>
      </c>
      <c r="D344" s="31"/>
      <c r="E344" s="32">
        <v>0.02</v>
      </c>
      <c r="F344" s="39">
        <v>1.6478369051489101E-2</v>
      </c>
      <c r="G344" s="39">
        <v>1.6478369051489101E-2</v>
      </c>
      <c r="H344" s="39">
        <v>1.2144815289479256E-2</v>
      </c>
      <c r="I344" s="194">
        <v>1.0725969359480864E-2</v>
      </c>
    </row>
    <row r="345" spans="1:10" s="248" customFormat="1">
      <c r="A345" s="243"/>
      <c r="B345" s="1297"/>
      <c r="C345" s="30" t="s">
        <v>960</v>
      </c>
      <c r="D345" s="31"/>
      <c r="E345" s="32">
        <v>0.03</v>
      </c>
      <c r="F345" s="39">
        <v>3.969894957130074E-2</v>
      </c>
      <c r="G345" s="39">
        <v>3.969894957130074E-2</v>
      </c>
      <c r="H345" s="39">
        <v>4.8246299480316203E-2</v>
      </c>
      <c r="I345" s="139">
        <v>5.0303430291518444E-2</v>
      </c>
    </row>
    <row r="346" spans="1:10" s="248" customFormat="1">
      <c r="A346" s="243"/>
      <c r="B346" s="1295" t="s">
        <v>677</v>
      </c>
      <c r="C346" s="322" t="s">
        <v>678</v>
      </c>
      <c r="D346" s="323"/>
      <c r="E346" s="32">
        <v>0.03</v>
      </c>
      <c r="F346" s="39">
        <v>3.4198459990655114E-2</v>
      </c>
      <c r="G346" s="39">
        <v>3.4198459990655114E-2</v>
      </c>
      <c r="H346" s="1309" t="s">
        <v>679</v>
      </c>
      <c r="I346" s="1309" t="s">
        <v>679</v>
      </c>
    </row>
    <row r="347" spans="1:10" s="248" customFormat="1">
      <c r="A347" s="243"/>
      <c r="B347" s="1296"/>
      <c r="C347" s="322" t="s">
        <v>341</v>
      </c>
      <c r="D347" s="323"/>
      <c r="E347" s="32">
        <v>0.05</v>
      </c>
      <c r="F347" s="39">
        <v>3.868103288815225E-2</v>
      </c>
      <c r="G347" s="39">
        <v>3.868103288815225E-2</v>
      </c>
      <c r="H347" s="1310"/>
      <c r="I347" s="1310"/>
    </row>
    <row r="348" spans="1:10" s="248" customFormat="1">
      <c r="A348" s="243"/>
      <c r="B348" s="1296"/>
      <c r="C348" s="322" t="s">
        <v>342</v>
      </c>
      <c r="D348" s="323"/>
      <c r="E348" s="32">
        <v>0.05</v>
      </c>
      <c r="F348" s="39">
        <v>9.4639863189321799E-2</v>
      </c>
      <c r="G348" s="39">
        <v>9.4639863189321799E-2</v>
      </c>
      <c r="H348" s="1310"/>
      <c r="I348" s="1310"/>
    </row>
    <row r="349" spans="1:10" s="248" customFormat="1">
      <c r="A349" s="243"/>
      <c r="B349" s="1296"/>
      <c r="C349" s="322" t="s">
        <v>1368</v>
      </c>
      <c r="D349" s="323"/>
      <c r="E349" s="32">
        <v>0.05</v>
      </c>
      <c r="F349" s="39">
        <v>4.2927899198314169E-2</v>
      </c>
      <c r="G349" s="39">
        <v>4.2927899198314169E-2</v>
      </c>
      <c r="H349" s="1310"/>
      <c r="I349" s="1310"/>
    </row>
    <row r="350" spans="1:10" s="248" customFormat="1">
      <c r="A350" s="243"/>
      <c r="B350" s="1296"/>
      <c r="C350" s="322" t="s">
        <v>837</v>
      </c>
      <c r="D350" s="323"/>
      <c r="E350" s="32">
        <v>0.09</v>
      </c>
      <c r="F350" s="39">
        <v>5.0640744496606223E-2</v>
      </c>
      <c r="G350" s="39">
        <v>5.0640744496606223E-2</v>
      </c>
      <c r="H350" s="1310"/>
      <c r="I350" s="1310"/>
    </row>
    <row r="351" spans="1:10" s="248" customFormat="1">
      <c r="A351" s="243"/>
      <c r="B351" s="1297"/>
      <c r="C351" s="322" t="s">
        <v>174</v>
      </c>
      <c r="D351" s="323"/>
      <c r="E351" s="32">
        <v>0.05</v>
      </c>
      <c r="F351" s="39">
        <v>4.0845552559918528E-2</v>
      </c>
      <c r="G351" s="39">
        <v>4.0845552559918528E-2</v>
      </c>
      <c r="H351" s="1311"/>
      <c r="I351" s="1311"/>
    </row>
    <row r="352" spans="1:10" s="248" customFormat="1">
      <c r="A352" s="243"/>
      <c r="B352" s="243"/>
      <c r="C352" s="324"/>
      <c r="D352" s="324"/>
      <c r="E352" s="141" t="s">
        <v>336</v>
      </c>
      <c r="F352" s="243"/>
      <c r="G352" s="243"/>
      <c r="H352" s="243"/>
      <c r="I352" s="243"/>
    </row>
    <row r="353" spans="1:28" s="248" customFormat="1">
      <c r="A353" s="243"/>
      <c r="B353" s="243"/>
      <c r="C353" s="324"/>
      <c r="D353" s="324"/>
      <c r="E353" s="141"/>
      <c r="F353" s="243"/>
      <c r="G353" s="243"/>
      <c r="H353" s="243"/>
      <c r="I353" s="243"/>
      <c r="V353" s="243"/>
      <c r="W353" s="243"/>
      <c r="X353" s="243"/>
      <c r="Y353" s="243"/>
      <c r="Z353" s="243"/>
      <c r="AA353" s="243"/>
      <c r="AB353" s="243"/>
    </row>
    <row r="354" spans="1:28" s="248" customFormat="1" ht="18.75">
      <c r="A354" s="243"/>
      <c r="B354" s="325" t="s">
        <v>680</v>
      </c>
      <c r="C354" s="243"/>
      <c r="D354" s="243"/>
      <c r="E354" s="243"/>
      <c r="F354" s="243"/>
      <c r="G354" s="243"/>
      <c r="I354" s="243"/>
      <c r="N354" s="243"/>
      <c r="V354" s="243"/>
      <c r="W354" s="243"/>
      <c r="X354" s="243"/>
      <c r="Y354" s="243"/>
      <c r="Z354" s="243"/>
      <c r="AA354" s="243"/>
      <c r="AB354" s="243"/>
    </row>
    <row r="355" spans="1:28" s="248" customFormat="1">
      <c r="A355" s="243"/>
      <c r="B355" s="243"/>
      <c r="C355" s="243"/>
      <c r="D355" s="243"/>
      <c r="E355" s="243"/>
      <c r="F355" s="243"/>
      <c r="G355" s="171"/>
      <c r="I355" s="171"/>
      <c r="N355" s="243"/>
      <c r="V355" s="243"/>
      <c r="W355" s="243"/>
      <c r="X355" s="243"/>
      <c r="Y355" s="243"/>
      <c r="Z355" s="243"/>
      <c r="AA355" s="243"/>
      <c r="AB355" s="243"/>
    </row>
    <row r="356" spans="1:28" s="248" customFormat="1">
      <c r="A356" s="243"/>
      <c r="B356" s="243"/>
      <c r="C356" s="243"/>
      <c r="D356" s="308" t="s">
        <v>294</v>
      </c>
      <c r="E356" s="326" t="s">
        <v>295</v>
      </c>
      <c r="F356" s="308" t="s">
        <v>296</v>
      </c>
      <c r="G356" s="308" t="s">
        <v>664</v>
      </c>
      <c r="H356" s="308" t="s">
        <v>665</v>
      </c>
      <c r="I356" s="171"/>
      <c r="N356" s="243"/>
      <c r="V356" s="243"/>
      <c r="W356" s="243"/>
      <c r="X356" s="243"/>
      <c r="Y356" s="243"/>
      <c r="Z356" s="243"/>
      <c r="AA356" s="243"/>
      <c r="AB356" s="243"/>
    </row>
    <row r="357" spans="1:28" s="248" customFormat="1" ht="14.25">
      <c r="A357" s="243"/>
      <c r="B357" s="1312" t="s">
        <v>681</v>
      </c>
      <c r="C357" s="144" t="s">
        <v>1230</v>
      </c>
      <c r="D357" s="136">
        <v>9.2743652622699804E-2</v>
      </c>
      <c r="E357" s="145">
        <v>0.12048982287232098</v>
      </c>
      <c r="F357" s="327">
        <v>0.12048982287232098</v>
      </c>
      <c r="G357" s="137">
        <v>0.10873368402812893</v>
      </c>
      <c r="H357" s="21">
        <v>8.9495565197362292E-2</v>
      </c>
      <c r="I357" s="171"/>
      <c r="N357" s="243"/>
      <c r="O357" s="243"/>
      <c r="V357" s="243"/>
      <c r="W357" s="243"/>
      <c r="X357" s="243"/>
      <c r="Y357" s="243"/>
      <c r="Z357" s="243"/>
      <c r="AA357" s="243"/>
      <c r="AB357" s="243"/>
    </row>
    <row r="358" spans="1:28" s="248" customFormat="1" ht="14.25">
      <c r="A358" s="243"/>
      <c r="B358" s="1313"/>
      <c r="C358" s="144" t="s">
        <v>682</v>
      </c>
      <c r="D358" s="136">
        <v>8.6477217439152904E-2</v>
      </c>
      <c r="E358" s="145">
        <v>9.11565343753626E-2</v>
      </c>
      <c r="F358" s="327">
        <v>9.11565343753626E-2</v>
      </c>
      <c r="G358" s="137">
        <v>9.9072381702695764E-2</v>
      </c>
      <c r="H358" s="21">
        <v>8.2573264452016751E-2</v>
      </c>
      <c r="I358" s="171"/>
      <c r="N358" s="243"/>
      <c r="V358" s="243"/>
      <c r="W358" s="243"/>
      <c r="X358" s="243"/>
      <c r="Y358" s="243"/>
      <c r="Z358" s="243"/>
      <c r="AA358" s="243"/>
      <c r="AB358" s="243"/>
    </row>
    <row r="359" spans="1:28" s="248" customFormat="1" ht="14.25">
      <c r="A359" s="243"/>
      <c r="B359" s="1312" t="s">
        <v>154</v>
      </c>
      <c r="C359" s="144" t="s">
        <v>1230</v>
      </c>
      <c r="D359" s="136">
        <v>0.10102172580758299</v>
      </c>
      <c r="E359" s="145">
        <v>0.11182968230510132</v>
      </c>
      <c r="F359" s="327">
        <v>0.11182968230510132</v>
      </c>
      <c r="G359" s="137">
        <v>0.14691781963504247</v>
      </c>
      <c r="H359" s="21">
        <v>0.14516844178597138</v>
      </c>
      <c r="I359" s="171"/>
      <c r="N359" s="243"/>
      <c r="V359" s="243"/>
      <c r="W359" s="243"/>
      <c r="X359" s="243"/>
      <c r="Y359" s="243"/>
      <c r="Z359" s="243"/>
      <c r="AA359" s="243"/>
      <c r="AB359" s="243"/>
    </row>
    <row r="360" spans="1:28" s="248" customFormat="1" ht="14.25">
      <c r="A360" s="243"/>
      <c r="B360" s="1313"/>
      <c r="C360" s="144" t="s">
        <v>682</v>
      </c>
      <c r="D360" s="136">
        <v>8.12725648910292E-2</v>
      </c>
      <c r="E360" s="145">
        <v>0.108644802660396</v>
      </c>
      <c r="F360" s="327">
        <v>0.108644802660396</v>
      </c>
      <c r="G360" s="137">
        <v>9.2990209509292848E-2</v>
      </c>
      <c r="H360" s="21">
        <v>0.10239413022069892</v>
      </c>
      <c r="I360" s="171"/>
      <c r="N360" s="243"/>
      <c r="V360" s="243"/>
      <c r="W360" s="243"/>
      <c r="X360" s="243"/>
      <c r="Y360" s="243"/>
      <c r="Z360" s="243"/>
      <c r="AA360" s="243"/>
      <c r="AB360" s="243"/>
    </row>
    <row r="361" spans="1:28" s="248" customFormat="1" ht="14.25">
      <c r="A361" s="243"/>
      <c r="B361" s="1312" t="s">
        <v>683</v>
      </c>
      <c r="C361" s="144" t="s">
        <v>1230</v>
      </c>
      <c r="D361" s="133">
        <v>0.133154128787867</v>
      </c>
      <c r="E361" s="145">
        <v>0.14694502293313305</v>
      </c>
      <c r="F361" s="327">
        <v>0.14694502293313305</v>
      </c>
      <c r="G361" s="137">
        <v>0.15191997084553735</v>
      </c>
      <c r="H361" s="21">
        <v>0.13367012379437343</v>
      </c>
      <c r="I361" s="171"/>
      <c r="N361" s="243"/>
      <c r="V361" s="243"/>
      <c r="W361" s="243"/>
      <c r="X361" s="243"/>
      <c r="Y361" s="243"/>
      <c r="Z361" s="243"/>
      <c r="AA361" s="243"/>
      <c r="AB361" s="243"/>
    </row>
    <row r="362" spans="1:28" s="248" customFormat="1" ht="14.25">
      <c r="A362" s="243"/>
      <c r="B362" s="1313"/>
      <c r="C362" s="144" t="s">
        <v>682</v>
      </c>
      <c r="D362" s="133">
        <v>0.12807805942460701</v>
      </c>
      <c r="E362" s="145">
        <v>0.150142591778095</v>
      </c>
      <c r="F362" s="327">
        <v>0.150142591778095</v>
      </c>
      <c r="G362" s="137">
        <v>0.1526195499337894</v>
      </c>
      <c r="H362" s="21">
        <v>0.13971240193416065</v>
      </c>
      <c r="I362" s="171"/>
      <c r="N362" s="243"/>
      <c r="V362" s="243"/>
      <c r="W362" s="243"/>
      <c r="X362" s="243"/>
      <c r="Y362" s="243"/>
      <c r="Z362" s="243"/>
      <c r="AA362" s="243"/>
      <c r="AB362" s="243"/>
    </row>
    <row r="363" spans="1:28" s="248" customFormat="1" ht="14.25">
      <c r="A363" s="243"/>
      <c r="B363" s="1312" t="s">
        <v>684</v>
      </c>
      <c r="C363" s="144" t="s">
        <v>1230</v>
      </c>
      <c r="D363" s="148">
        <v>0.10568031787539001</v>
      </c>
      <c r="E363" s="145">
        <v>0.1174012673881893</v>
      </c>
      <c r="F363" s="327">
        <v>0.1174012673881893</v>
      </c>
      <c r="G363" s="137">
        <v>0.12776448626690007</v>
      </c>
      <c r="H363" s="21">
        <v>0.11282735991439866</v>
      </c>
      <c r="I363" s="171"/>
      <c r="K363" s="328"/>
      <c r="N363" s="243"/>
      <c r="V363" s="243"/>
      <c r="W363" s="243"/>
      <c r="X363" s="243"/>
      <c r="Y363" s="243"/>
      <c r="Z363" s="243"/>
      <c r="AA363" s="243"/>
      <c r="AB363" s="243"/>
    </row>
    <row r="364" spans="1:28" s="248" customFormat="1" ht="14.25">
      <c r="A364" s="243"/>
      <c r="B364" s="1313"/>
      <c r="C364" s="144" t="s">
        <v>682</v>
      </c>
      <c r="D364" s="133">
        <v>8.6179314861277903E-2</v>
      </c>
      <c r="E364" s="145">
        <v>9.5504871095251645E-2</v>
      </c>
      <c r="F364" s="327">
        <v>9.5504871095251645E-2</v>
      </c>
      <c r="G364" s="137">
        <v>0.10034786341790634</v>
      </c>
      <c r="H364" s="21">
        <v>9.6822429003387459E-2</v>
      </c>
      <c r="I364" s="248" t="s">
        <v>685</v>
      </c>
      <c r="K364" s="171"/>
      <c r="N364" s="243"/>
      <c r="V364" s="243"/>
      <c r="W364" s="243"/>
      <c r="X364" s="243"/>
      <c r="Y364" s="243"/>
      <c r="Z364" s="243"/>
      <c r="AA364" s="243"/>
      <c r="AB364" s="243"/>
    </row>
    <row r="365" spans="1:28" s="248" customFormat="1" ht="14.25">
      <c r="A365" s="243"/>
      <c r="B365" s="1312" t="s">
        <v>831</v>
      </c>
      <c r="C365" s="144" t="s">
        <v>686</v>
      </c>
      <c r="D365" s="136">
        <v>0.14595109715919799</v>
      </c>
      <c r="E365" s="145">
        <v>0.12043096627391624</v>
      </c>
      <c r="F365" s="327">
        <v>0.12043096627391624</v>
      </c>
      <c r="G365" s="329"/>
      <c r="H365" s="330"/>
      <c r="K365" s="171"/>
      <c r="N365" s="243"/>
      <c r="V365" s="243"/>
      <c r="W365" s="243"/>
      <c r="X365" s="243"/>
      <c r="Y365" s="243"/>
      <c r="Z365" s="243"/>
      <c r="AA365" s="243"/>
      <c r="AB365" s="243"/>
    </row>
    <row r="366" spans="1:28" s="248" customFormat="1" ht="14.25">
      <c r="A366" s="243"/>
      <c r="B366" s="1313"/>
      <c r="C366" s="144" t="s">
        <v>687</v>
      </c>
      <c r="D366" s="136">
        <v>7.9995567870295894E-2</v>
      </c>
      <c r="E366" s="145">
        <v>8.3369917061363027E-2</v>
      </c>
      <c r="F366" s="327">
        <v>8.3369917061363027E-2</v>
      </c>
      <c r="G366" s="329"/>
      <c r="H366" s="330"/>
      <c r="K366" s="171"/>
      <c r="N366" s="243"/>
      <c r="V366" s="243"/>
      <c r="W366" s="243"/>
      <c r="X366" s="243"/>
      <c r="Y366" s="243"/>
      <c r="Z366" s="243"/>
      <c r="AA366" s="243"/>
      <c r="AB366" s="243"/>
    </row>
    <row r="367" spans="1:28" s="248" customFormat="1" ht="14.25">
      <c r="A367" s="243"/>
      <c r="B367" s="1312" t="s">
        <v>832</v>
      </c>
      <c r="C367" s="144" t="s">
        <v>686</v>
      </c>
      <c r="D367" s="136">
        <v>7.4430518750950803E-2</v>
      </c>
      <c r="E367" s="145">
        <v>7.4429750286077873E-2</v>
      </c>
      <c r="F367" s="327">
        <v>7.4429750286077873E-2</v>
      </c>
      <c r="G367" s="137">
        <v>8.0383473021592142E-2</v>
      </c>
      <c r="H367" s="21">
        <v>0.10206880229732697</v>
      </c>
      <c r="K367" s="171"/>
      <c r="N367" s="243"/>
      <c r="V367" s="243"/>
      <c r="W367" s="243"/>
      <c r="X367" s="243"/>
      <c r="Y367" s="243"/>
      <c r="Z367" s="243"/>
      <c r="AA367" s="243"/>
      <c r="AB367" s="243"/>
    </row>
    <row r="368" spans="1:28" s="248" customFormat="1" ht="14.25">
      <c r="A368" s="243"/>
      <c r="B368" s="1313"/>
      <c r="C368" s="144" t="s">
        <v>687</v>
      </c>
      <c r="D368" s="136">
        <v>6.0854926902666598E-2</v>
      </c>
      <c r="E368" s="145">
        <v>6.598526173192458E-2</v>
      </c>
      <c r="F368" s="327">
        <v>6.598526173192458E-2</v>
      </c>
      <c r="G368" s="137">
        <v>9.0046547233919291E-2</v>
      </c>
      <c r="H368" s="21">
        <v>5.48265611833402E-2</v>
      </c>
      <c r="K368" s="171"/>
      <c r="N368" s="243"/>
      <c r="V368" s="243"/>
      <c r="W368" s="243"/>
      <c r="X368" s="243"/>
      <c r="Y368" s="243"/>
      <c r="Z368" s="243"/>
      <c r="AA368" s="243"/>
      <c r="AB368" s="243"/>
    </row>
    <row r="369" spans="1:28" s="248" customFormat="1" ht="14.25">
      <c r="A369" s="243"/>
      <c r="B369" s="1312" t="s">
        <v>833</v>
      </c>
      <c r="C369" s="144" t="s">
        <v>686</v>
      </c>
      <c r="D369" s="136">
        <v>0.15848076122590199</v>
      </c>
      <c r="E369" s="145">
        <v>0.16410438616547263</v>
      </c>
      <c r="F369" s="327">
        <v>0.16410438616547263</v>
      </c>
      <c r="G369" s="137">
        <v>0.26533659300296641</v>
      </c>
      <c r="H369" s="21">
        <v>0.12230238916220393</v>
      </c>
      <c r="I369" s="248" t="s">
        <v>685</v>
      </c>
      <c r="K369" s="171"/>
      <c r="N369" s="243"/>
      <c r="V369" s="243"/>
      <c r="W369" s="243"/>
      <c r="X369" s="243"/>
      <c r="Y369" s="243"/>
      <c r="Z369" s="243"/>
      <c r="AA369" s="243"/>
      <c r="AB369" s="243"/>
    </row>
    <row r="370" spans="1:28" s="248" customFormat="1" ht="14.25">
      <c r="A370" s="243"/>
      <c r="B370" s="1313"/>
      <c r="C370" s="144" t="s">
        <v>687</v>
      </c>
      <c r="D370" s="136">
        <v>8.9681587090582299E-2</v>
      </c>
      <c r="E370" s="145">
        <v>0.14690258776850909</v>
      </c>
      <c r="F370" s="327">
        <v>0.14690258776850909</v>
      </c>
      <c r="G370" s="329"/>
      <c r="H370" s="330"/>
      <c r="I370" s="171"/>
      <c r="N370" s="243"/>
      <c r="V370" s="243"/>
      <c r="W370" s="243"/>
      <c r="X370" s="243"/>
      <c r="Y370" s="243"/>
      <c r="Z370" s="243"/>
      <c r="AA370" s="243"/>
      <c r="AB370" s="243"/>
    </row>
    <row r="371" spans="1:28" s="243" customFormat="1" ht="14.25">
      <c r="B371" s="1312" t="s">
        <v>1229</v>
      </c>
      <c r="C371" s="144" t="s">
        <v>1230</v>
      </c>
      <c r="D371" s="136">
        <v>0.10568031787539001</v>
      </c>
      <c r="E371" s="145">
        <v>0.1174012673881893</v>
      </c>
      <c r="F371" s="327">
        <v>0.1174012673881893</v>
      </c>
      <c r="G371" s="137">
        <v>0.12776448626690007</v>
      </c>
      <c r="H371" s="21">
        <v>0.12230238916220393</v>
      </c>
      <c r="J371" s="248"/>
    </row>
    <row r="372" spans="1:28" s="243" customFormat="1" ht="14.25">
      <c r="B372" s="1313"/>
      <c r="C372" s="144" t="s">
        <v>682</v>
      </c>
      <c r="D372" s="136">
        <v>8.6179314861277903E-2</v>
      </c>
      <c r="E372" s="145">
        <v>9.5504871095251645E-2</v>
      </c>
      <c r="F372" s="327">
        <v>9.5504871095251645E-2</v>
      </c>
      <c r="G372" s="137">
        <v>0.10034786341790634</v>
      </c>
      <c r="H372" s="21">
        <v>9.6822429003387459E-2</v>
      </c>
      <c r="J372" s="248"/>
    </row>
    <row r="373" spans="1:28" s="248" customFormat="1">
      <c r="A373" s="243"/>
      <c r="B373" s="1322" t="s">
        <v>335</v>
      </c>
      <c r="C373" s="1322"/>
      <c r="D373" s="321"/>
      <c r="E373" s="137">
        <v>2.5000000000000001E-3</v>
      </c>
      <c r="F373" s="137">
        <v>2.5000000000000001E-3</v>
      </c>
      <c r="G373" s="137">
        <v>7.1370415106672153E-3</v>
      </c>
      <c r="H373" s="21">
        <v>1.0160453212115397E-3</v>
      </c>
      <c r="I373" s="171"/>
      <c r="N373" s="243"/>
    </row>
    <row r="374" spans="1:28" s="248" customFormat="1" ht="12">
      <c r="A374" s="243"/>
      <c r="B374" s="243"/>
      <c r="C374" s="243"/>
      <c r="D374" s="243"/>
      <c r="E374" s="243"/>
      <c r="F374" s="243"/>
      <c r="G374" s="243"/>
      <c r="I374" s="243"/>
      <c r="N374" s="243"/>
    </row>
    <row r="375" spans="1:28" s="248" customFormat="1" ht="18.75">
      <c r="A375" s="243"/>
      <c r="B375" s="325" t="s">
        <v>688</v>
      </c>
      <c r="C375" s="243"/>
      <c r="D375" s="243"/>
      <c r="E375" s="243"/>
      <c r="F375" s="243"/>
      <c r="G375" s="243"/>
      <c r="I375" s="243"/>
      <c r="N375" s="243"/>
    </row>
    <row r="376" spans="1:28" s="248" customFormat="1" ht="12">
      <c r="A376" s="243"/>
      <c r="B376" s="243"/>
      <c r="C376" s="243"/>
      <c r="D376" s="243"/>
      <c r="E376" s="243"/>
      <c r="F376" s="243"/>
      <c r="G376" s="243"/>
      <c r="H376" s="243"/>
      <c r="I376" s="243"/>
    </row>
    <row r="377" spans="1:28" s="248" customFormat="1">
      <c r="A377" s="243"/>
      <c r="B377" s="243"/>
      <c r="C377" s="243"/>
      <c r="D377" s="243"/>
      <c r="E377" s="326" t="s">
        <v>295</v>
      </c>
      <c r="F377" s="308" t="s">
        <v>296</v>
      </c>
      <c r="G377" s="308" t="s">
        <v>664</v>
      </c>
      <c r="H377" s="308" t="s">
        <v>665</v>
      </c>
      <c r="I377" s="243"/>
    </row>
    <row r="378" spans="1:28" s="248" customFormat="1">
      <c r="A378" s="307"/>
      <c r="B378" s="331" t="s">
        <v>339</v>
      </c>
      <c r="C378" s="1318" t="s">
        <v>184</v>
      </c>
      <c r="D378" s="1318"/>
      <c r="E378" s="137">
        <v>0</v>
      </c>
      <c r="F378" s="137">
        <v>0</v>
      </c>
      <c r="G378" s="137">
        <v>0</v>
      </c>
      <c r="H378" s="21">
        <v>0</v>
      </c>
      <c r="I378" s="243"/>
    </row>
    <row r="379" spans="1:28" s="248" customFormat="1">
      <c r="A379" s="307"/>
      <c r="B379" s="333"/>
      <c r="C379" s="1319" t="s">
        <v>689</v>
      </c>
      <c r="D379" s="332" t="s">
        <v>690</v>
      </c>
      <c r="E379" s="137">
        <v>5.3100000000000001E-2</v>
      </c>
      <c r="F379" s="137">
        <v>1.4999999999999999E-2</v>
      </c>
      <c r="G379" s="137">
        <v>0</v>
      </c>
      <c r="H379" s="21">
        <v>0</v>
      </c>
      <c r="I379" s="243" t="s">
        <v>691</v>
      </c>
    </row>
    <row r="380" spans="1:28" s="248" customFormat="1">
      <c r="A380" s="307"/>
      <c r="B380" s="333"/>
      <c r="C380" s="1320"/>
      <c r="D380" s="332" t="s">
        <v>692</v>
      </c>
      <c r="E380" s="137">
        <v>5.3100000000000001E-2</v>
      </c>
      <c r="F380" s="137">
        <v>1.4999999999999999E-2</v>
      </c>
      <c r="G380" s="137">
        <v>0</v>
      </c>
      <c r="H380" s="21">
        <v>0</v>
      </c>
      <c r="I380" s="243" t="s">
        <v>693</v>
      </c>
    </row>
    <row r="381" spans="1:28" s="248" customFormat="1">
      <c r="A381" s="307"/>
      <c r="B381" s="333"/>
      <c r="C381" s="1320"/>
      <c r="D381" s="332" t="s">
        <v>174</v>
      </c>
      <c r="E381" s="137">
        <v>5.3100000000000001E-2</v>
      </c>
      <c r="F381" s="137">
        <v>1.4999999999999999E-2</v>
      </c>
      <c r="G381" s="137">
        <v>0</v>
      </c>
      <c r="H381" s="21">
        <v>0</v>
      </c>
      <c r="I381" s="243" t="s">
        <v>694</v>
      </c>
    </row>
    <row r="382" spans="1:28" s="248" customFormat="1">
      <c r="A382" s="307"/>
      <c r="B382" s="333"/>
      <c r="C382" s="1320"/>
      <c r="D382" s="332" t="s">
        <v>695</v>
      </c>
      <c r="E382" s="137">
        <v>5.3100000000000001E-2</v>
      </c>
      <c r="F382" s="137">
        <v>0.02</v>
      </c>
      <c r="G382" s="137">
        <v>0</v>
      </c>
      <c r="H382" s="21">
        <v>0</v>
      </c>
      <c r="I382" s="243" t="s">
        <v>696</v>
      </c>
    </row>
    <row r="383" spans="1:28" s="248" customFormat="1">
      <c r="A383" s="307"/>
      <c r="B383" s="333"/>
      <c r="C383" s="1320"/>
      <c r="D383" s="332" t="s">
        <v>697</v>
      </c>
      <c r="E383" s="137">
        <v>5.3100000000000001E-2</v>
      </c>
      <c r="F383" s="137">
        <v>0.02</v>
      </c>
      <c r="G383" s="137">
        <v>0</v>
      </c>
      <c r="H383" s="21">
        <v>0</v>
      </c>
      <c r="I383" s="243" t="s">
        <v>698</v>
      </c>
    </row>
    <row r="384" spans="1:28" s="248" customFormat="1">
      <c r="A384" s="307"/>
      <c r="B384" s="333"/>
      <c r="C384" s="1320"/>
      <c r="D384" s="332" t="s">
        <v>699</v>
      </c>
      <c r="E384" s="137">
        <v>5.3100000000000001E-2</v>
      </c>
      <c r="F384" s="137">
        <v>0.02</v>
      </c>
      <c r="G384" s="137">
        <v>0</v>
      </c>
      <c r="H384" s="21">
        <v>0</v>
      </c>
      <c r="I384" s="243" t="s">
        <v>700</v>
      </c>
    </row>
    <row r="385" spans="1:9" s="248" customFormat="1">
      <c r="A385" s="307"/>
      <c r="B385" s="333"/>
      <c r="C385" s="1320"/>
      <c r="D385" s="332" t="s">
        <v>701</v>
      </c>
      <c r="E385" s="137">
        <v>5.3100000000000001E-2</v>
      </c>
      <c r="F385" s="137">
        <v>0.02</v>
      </c>
      <c r="G385" s="137">
        <v>0</v>
      </c>
      <c r="H385" s="21">
        <v>0</v>
      </c>
      <c r="I385" s="243" t="s">
        <v>702</v>
      </c>
    </row>
    <row r="386" spans="1:9" s="248" customFormat="1">
      <c r="A386" s="307"/>
      <c r="B386" s="333"/>
      <c r="C386" s="1320"/>
      <c r="D386" s="332" t="s">
        <v>703</v>
      </c>
      <c r="E386" s="137">
        <v>5.3100000000000001E-2</v>
      </c>
      <c r="F386" s="137">
        <v>0.02</v>
      </c>
      <c r="G386" s="137">
        <v>0</v>
      </c>
      <c r="H386" s="21">
        <v>0</v>
      </c>
      <c r="I386" s="243" t="s">
        <v>704</v>
      </c>
    </row>
    <row r="387" spans="1:9" s="248" customFormat="1">
      <c r="A387" s="307"/>
      <c r="B387" s="333"/>
      <c r="C387" s="1320"/>
      <c r="D387" s="332" t="s">
        <v>705</v>
      </c>
      <c r="E387" s="137">
        <v>5.3100000000000001E-2</v>
      </c>
      <c r="F387" s="137">
        <v>0.02</v>
      </c>
      <c r="G387" s="137">
        <v>0</v>
      </c>
      <c r="H387" s="21">
        <v>0</v>
      </c>
      <c r="I387" s="243" t="s">
        <v>706</v>
      </c>
    </row>
    <row r="388" spans="1:9" s="248" customFormat="1">
      <c r="A388" s="307"/>
      <c r="B388" s="334"/>
      <c r="C388" s="1320"/>
      <c r="D388" s="332" t="s">
        <v>707</v>
      </c>
      <c r="E388" s="137">
        <v>5.3100000000000001E-2</v>
      </c>
      <c r="F388" s="137">
        <v>1.4999999999999999E-2</v>
      </c>
      <c r="G388" s="137">
        <v>1.4999999999999999E-2</v>
      </c>
      <c r="H388" s="21">
        <v>0</v>
      </c>
      <c r="I388" s="243" t="s">
        <v>704</v>
      </c>
    </row>
    <row r="389" spans="1:9" s="248" customFormat="1">
      <c r="A389" s="307"/>
      <c r="B389" s="333"/>
      <c r="C389" s="1320"/>
      <c r="D389" s="332" t="s">
        <v>708</v>
      </c>
      <c r="E389" s="137">
        <v>5.3100000000000001E-2</v>
      </c>
      <c r="F389" s="137">
        <v>1.4999999999999999E-2</v>
      </c>
      <c r="G389" s="137">
        <v>1.4999999999999999E-2</v>
      </c>
      <c r="H389" s="21">
        <v>0</v>
      </c>
      <c r="I389" s="243" t="s">
        <v>709</v>
      </c>
    </row>
    <row r="390" spans="1:9" s="248" customFormat="1">
      <c r="A390" s="307"/>
      <c r="B390" s="333"/>
      <c r="C390" s="1321"/>
      <c r="D390" s="332" t="s">
        <v>710</v>
      </c>
      <c r="E390" s="137">
        <v>5.3100000000000001E-2</v>
      </c>
      <c r="F390" s="137">
        <v>0.02</v>
      </c>
      <c r="G390" s="137">
        <v>1.4999999999999999E-2</v>
      </c>
      <c r="H390" s="21">
        <v>0</v>
      </c>
      <c r="I390" s="243" t="s">
        <v>711</v>
      </c>
    </row>
    <row r="391" spans="1:9" s="248" customFormat="1">
      <c r="A391" s="307"/>
      <c r="B391" s="335"/>
      <c r="C391" s="1318" t="s">
        <v>343</v>
      </c>
      <c r="D391" s="1318"/>
      <c r="E391" s="137">
        <v>5.3100000000000001E-2</v>
      </c>
      <c r="F391" s="137">
        <v>0.02</v>
      </c>
      <c r="G391" s="137">
        <v>0.02</v>
      </c>
      <c r="H391" s="21">
        <v>0.02</v>
      </c>
      <c r="I391" s="243"/>
    </row>
    <row r="392" spans="1:9" s="243" customFormat="1" ht="12"/>
    <row r="393" spans="1:9" s="243" customFormat="1" ht="12"/>
    <row r="394" spans="1:9" s="243" customFormat="1" ht="12"/>
    <row r="395" spans="1:9" s="243" customFormat="1" ht="12"/>
    <row r="396" spans="1:9" s="243" customFormat="1" ht="12"/>
    <row r="397" spans="1:9" s="243" customFormat="1" ht="12"/>
    <row r="398" spans="1:9" s="243" customFormat="1" ht="12"/>
    <row r="399" spans="1:9" s="243" customFormat="1" ht="12"/>
    <row r="400" spans="1:9" s="243" customFormat="1" ht="12"/>
    <row r="401" s="243" customFormat="1" ht="12"/>
    <row r="402" s="243" customFormat="1" ht="12"/>
    <row r="403" s="243" customFormat="1" ht="12"/>
    <row r="404" s="243" customFormat="1" ht="12"/>
    <row r="405" s="243" customFormat="1" ht="12"/>
    <row r="406" s="243" customFormat="1" ht="12"/>
    <row r="407" s="243" customFormat="1" ht="12"/>
    <row r="408" s="243" customFormat="1" ht="12"/>
    <row r="409" s="243" customFormat="1" ht="12"/>
    <row r="410" s="243" customFormat="1" ht="12"/>
    <row r="411" s="243" customFormat="1" ht="12"/>
    <row r="412" s="243" customFormat="1" ht="12"/>
    <row r="413" s="243" customFormat="1" ht="12"/>
    <row r="414" s="243" customFormat="1" ht="12"/>
    <row r="415" s="243" customFormat="1" ht="12"/>
    <row r="416" s="243" customFormat="1" ht="12"/>
    <row r="417" s="243" customFormat="1" ht="12"/>
    <row r="418" s="243" customFormat="1" ht="12"/>
    <row r="419" s="243" customFormat="1" ht="12"/>
    <row r="420" s="243" customFormat="1" ht="12"/>
    <row r="421" s="243" customFormat="1" ht="12"/>
    <row r="422" s="243" customFormat="1" ht="12"/>
    <row r="423" s="243" customFormat="1" ht="12"/>
    <row r="424" s="243" customFormat="1" ht="12"/>
    <row r="425" s="243" customFormat="1" ht="12"/>
    <row r="426" s="243" customFormat="1" ht="12"/>
    <row r="427" s="243" customFormat="1" ht="12"/>
    <row r="428" s="243" customFormat="1" ht="12"/>
    <row r="429" s="243" customFormat="1" ht="12"/>
    <row r="430" s="243" customFormat="1" ht="12"/>
    <row r="431" s="243" customFormat="1" ht="12"/>
    <row r="432" s="243" customFormat="1" ht="12"/>
    <row r="433" s="243" customFormat="1" ht="12"/>
    <row r="434" s="243" customFormat="1" ht="12"/>
    <row r="435" s="243" customFormat="1" ht="12"/>
    <row r="436" s="243" customFormat="1" ht="12"/>
    <row r="437" s="243" customFormat="1" ht="12"/>
    <row r="438" s="243" customFormat="1" ht="12"/>
    <row r="439" s="243" customFormat="1" ht="12"/>
    <row r="440" s="243" customFormat="1" ht="12"/>
    <row r="441" s="243" customFormat="1" ht="12"/>
    <row r="442" s="243" customFormat="1" ht="12"/>
    <row r="443" s="243" customFormat="1" ht="12"/>
    <row r="444" s="243" customFormat="1" ht="12"/>
    <row r="445" s="243" customFormat="1" ht="12"/>
    <row r="446" s="243" customFormat="1" ht="12"/>
    <row r="447" s="243" customFormat="1" ht="12"/>
    <row r="448" s="243" customFormat="1" ht="12"/>
    <row r="449" s="243" customFormat="1" ht="12"/>
    <row r="450" s="243" customFormat="1" ht="12"/>
    <row r="451" s="243" customFormat="1" ht="12"/>
    <row r="452" s="243" customFormat="1" ht="12"/>
    <row r="453" s="243" customFormat="1" ht="12"/>
    <row r="454" s="243" customFormat="1" ht="12"/>
    <row r="455" s="243" customFormat="1" ht="12"/>
    <row r="456" s="243" customFormat="1" ht="12"/>
    <row r="457" s="243" customFormat="1" ht="12"/>
    <row r="458" s="243" customFormat="1" ht="12"/>
    <row r="459" s="243" customFormat="1" ht="12"/>
    <row r="460" s="243" customFormat="1" ht="12"/>
    <row r="461" s="243" customFormat="1" ht="12"/>
    <row r="462" s="243" customFormat="1" ht="12"/>
    <row r="463" s="243" customFormat="1" ht="12"/>
    <row r="464" s="243" customFormat="1" ht="12"/>
    <row r="465" s="243" customFormat="1" ht="12"/>
    <row r="466" s="243" customFormat="1" ht="12"/>
    <row r="467" s="243" customFormat="1" ht="12"/>
    <row r="468" s="243" customFormat="1" ht="12"/>
    <row r="469" s="243" customFormat="1" ht="12"/>
    <row r="470" s="243" customFormat="1" ht="12"/>
    <row r="471" s="243" customFormat="1" ht="12"/>
    <row r="472" s="243" customFormat="1" ht="12"/>
    <row r="473" s="243" customFormat="1" ht="12"/>
    <row r="474" s="243" customFormat="1" ht="12"/>
    <row r="475" s="243" customFormat="1" ht="12"/>
    <row r="476" s="243" customFormat="1" ht="12"/>
    <row r="477" s="243" customFormat="1" ht="12"/>
    <row r="478" s="243" customFormat="1" ht="12"/>
    <row r="479" s="243" customFormat="1" ht="12"/>
    <row r="480" s="243" customFormat="1" ht="12"/>
    <row r="481" s="243" customFormat="1" ht="12"/>
    <row r="482" s="243" customFormat="1" ht="12"/>
    <row r="483" s="243" customFormat="1" ht="12"/>
    <row r="484" s="243" customFormat="1" ht="12"/>
    <row r="485" s="243" customFormat="1" ht="12"/>
    <row r="486" s="243" customFormat="1" ht="12"/>
    <row r="487" s="243" customFormat="1" ht="12"/>
    <row r="488" s="243" customFormat="1" ht="12"/>
    <row r="489" s="243" customFormat="1" ht="12"/>
    <row r="490" s="243" customFormat="1" ht="12"/>
    <row r="491" s="243" customFormat="1" ht="12"/>
    <row r="492" s="243" customFormat="1" ht="12"/>
    <row r="493" s="243" customFormat="1" ht="12"/>
    <row r="494" s="243" customFormat="1" ht="12"/>
    <row r="495" s="243" customFormat="1" ht="12"/>
    <row r="496" s="243" customFormat="1" ht="12"/>
    <row r="497" s="243" customFormat="1" ht="12"/>
    <row r="498" s="243" customFormat="1" ht="12"/>
    <row r="499" s="243" customFormat="1" ht="12"/>
    <row r="500" s="243" customFormat="1" ht="12"/>
    <row r="501" s="243" customFormat="1" ht="12"/>
    <row r="502" s="243" customFormat="1" ht="12"/>
    <row r="503" s="243" customFormat="1" ht="12"/>
    <row r="504" s="243" customFormat="1" ht="12"/>
    <row r="505" s="243" customFormat="1" ht="12"/>
    <row r="506" s="243" customFormat="1" ht="12"/>
    <row r="507" s="243" customFormat="1" ht="12"/>
    <row r="508" s="243" customFormat="1" ht="12"/>
    <row r="509" s="243" customFormat="1" ht="12"/>
    <row r="510" s="243" customFormat="1" ht="12"/>
    <row r="511" s="243" customFormat="1" ht="12"/>
    <row r="512" s="243" customFormat="1" ht="12"/>
    <row r="513" s="243" customFormat="1" ht="12"/>
    <row r="514" s="243" customFormat="1" ht="12"/>
    <row r="515" s="243" customFormat="1" ht="12"/>
    <row r="516" s="243" customFormat="1" ht="12"/>
    <row r="517" s="243" customFormat="1" ht="12"/>
    <row r="518" s="243" customFormat="1" ht="12"/>
    <row r="519" s="243" customFormat="1" ht="12"/>
    <row r="520" s="243" customFormat="1" ht="12"/>
    <row r="521" s="243" customFormat="1" ht="12"/>
    <row r="522" s="243" customFormat="1" ht="12"/>
    <row r="523" s="243" customFormat="1" ht="12"/>
    <row r="524" s="243" customFormat="1" ht="12"/>
    <row r="525" s="243" customFormat="1" ht="12"/>
    <row r="526" s="243" customFormat="1" ht="12"/>
    <row r="527" s="243" customFormat="1" ht="12"/>
    <row r="528" s="243" customFormat="1" ht="12"/>
    <row r="529" s="243" customFormat="1" ht="12"/>
    <row r="530" s="243" customFormat="1" ht="12"/>
    <row r="531" s="243" customFormat="1" ht="12"/>
    <row r="532" s="243" customFormat="1" ht="12"/>
    <row r="533" s="243" customFormat="1" ht="12"/>
    <row r="534" s="243" customFormat="1" ht="12"/>
    <row r="535" s="243" customFormat="1" ht="12"/>
    <row r="536" s="243" customFormat="1" ht="12"/>
    <row r="537" s="243" customFormat="1" ht="12"/>
    <row r="538" s="243" customFormat="1" ht="12"/>
    <row r="539" s="243" customFormat="1" ht="12"/>
    <row r="540" s="243" customFormat="1" ht="12"/>
    <row r="541" s="243" customFormat="1" ht="12"/>
    <row r="542" s="243" customFormat="1" ht="12"/>
    <row r="543" s="243" customFormat="1" ht="12"/>
    <row r="544" s="243" customFormat="1" ht="12"/>
    <row r="545" s="243" customFormat="1" ht="12"/>
    <row r="546" s="243" customFormat="1" ht="12"/>
    <row r="547" s="243" customFormat="1" ht="12"/>
    <row r="548" s="243" customFormat="1" ht="12"/>
    <row r="549" s="243" customFormat="1" ht="12"/>
    <row r="550" s="243" customFormat="1" ht="12"/>
    <row r="551" s="243" customFormat="1" ht="12"/>
    <row r="552" s="243" customFormat="1" ht="12"/>
    <row r="553" s="243" customFormat="1" ht="12"/>
    <row r="554" s="243" customFormat="1" ht="12"/>
    <row r="555" s="243" customFormat="1" ht="12"/>
    <row r="556" s="243" customFormat="1" ht="12"/>
    <row r="557" s="243" customFormat="1" ht="12"/>
    <row r="558" s="243" customFormat="1" ht="12"/>
    <row r="559" s="243" customFormat="1" ht="12"/>
    <row r="560" s="243" customFormat="1" ht="12"/>
    <row r="561" s="243" customFormat="1" ht="12"/>
    <row r="562" s="243" customFormat="1" ht="12"/>
    <row r="563" s="243" customFormat="1" ht="12"/>
    <row r="564" s="243" customFormat="1" ht="12"/>
    <row r="565" s="243" customFormat="1" ht="12"/>
    <row r="566" s="243" customFormat="1" ht="12"/>
    <row r="567" s="243" customFormat="1" ht="12"/>
    <row r="568" s="243" customFormat="1" ht="12"/>
    <row r="569" s="243" customFormat="1" ht="12"/>
    <row r="570" s="243" customFormat="1" ht="12"/>
    <row r="571" s="243" customFormat="1" ht="12"/>
    <row r="572" s="243" customFormat="1" ht="12"/>
    <row r="573" s="243" customFormat="1" ht="12"/>
    <row r="574" s="243" customFormat="1" ht="12"/>
    <row r="575" s="243" customFormat="1" ht="12"/>
    <row r="576" s="243" customFormat="1" ht="12"/>
    <row r="577" s="243" customFormat="1" ht="12"/>
    <row r="578" s="243" customFormat="1" ht="12"/>
    <row r="579" s="243" customFormat="1" ht="12"/>
    <row r="580" s="243" customFormat="1" ht="12"/>
    <row r="581" s="243" customFormat="1" ht="12"/>
    <row r="582" s="243" customFormat="1" ht="12"/>
    <row r="583" s="243" customFormat="1" ht="12"/>
    <row r="584" s="243" customFormat="1" ht="12"/>
    <row r="585" s="243" customFormat="1" ht="12"/>
    <row r="586" s="243" customFormat="1" ht="12"/>
    <row r="587" s="243" customFormat="1" ht="12"/>
    <row r="588" s="243" customFormat="1" ht="12"/>
    <row r="589" s="243" customFormat="1" ht="12"/>
    <row r="590" s="243" customFormat="1" ht="12"/>
    <row r="591" s="243" customFormat="1" ht="12"/>
    <row r="592" s="243" customFormat="1" ht="12"/>
    <row r="593" s="243" customFormat="1" ht="12"/>
    <row r="594" s="243" customFormat="1" ht="12"/>
    <row r="595" s="243" customFormat="1" ht="12"/>
    <row r="596" s="243" customFormat="1" ht="12"/>
    <row r="597" s="243" customFormat="1" ht="12"/>
    <row r="598" s="243" customFormat="1" ht="12"/>
    <row r="599" s="243" customFormat="1" ht="12"/>
    <row r="600" s="243" customFormat="1" ht="12"/>
    <row r="601" s="243" customFormat="1" ht="12"/>
    <row r="602" s="243" customFormat="1" ht="12"/>
    <row r="603" s="243" customFormat="1" ht="12"/>
    <row r="604" s="243" customFormat="1" ht="12"/>
    <row r="605" s="243" customFormat="1" ht="12"/>
    <row r="606" s="243" customFormat="1" ht="12"/>
    <row r="607" s="243" customFormat="1" ht="12"/>
    <row r="608" s="243" customFormat="1" ht="12"/>
    <row r="609" s="243" customFormat="1" ht="12"/>
    <row r="610" s="243" customFormat="1" ht="12"/>
    <row r="611" s="243" customFormat="1" ht="12"/>
    <row r="612" s="243" customFormat="1" ht="12"/>
    <row r="613" s="243" customFormat="1" ht="12"/>
    <row r="614" s="243" customFormat="1" ht="12"/>
    <row r="615" s="243" customFormat="1" ht="12"/>
    <row r="616" s="243" customFormat="1" ht="12"/>
    <row r="617" s="243" customFormat="1" ht="12"/>
    <row r="618" s="243" customFormat="1" ht="12"/>
    <row r="619" s="243" customFormat="1" ht="12"/>
    <row r="620" s="243" customFormat="1" ht="12"/>
    <row r="621" s="243" customFormat="1" ht="12"/>
    <row r="622" s="243" customFormat="1" ht="12"/>
    <row r="623" s="243" customFormat="1" ht="12"/>
    <row r="624" s="243" customFormat="1" ht="12"/>
    <row r="625" s="243" customFormat="1" ht="12"/>
    <row r="626" s="243" customFormat="1" ht="12"/>
    <row r="627" s="243" customFormat="1" ht="12"/>
    <row r="628" s="243" customFormat="1" ht="12"/>
    <row r="629" s="243" customFormat="1" ht="12"/>
    <row r="630" s="243" customFormat="1" ht="12"/>
    <row r="631" s="243" customFormat="1" ht="12"/>
    <row r="632" s="243" customFormat="1" ht="12"/>
    <row r="633" s="243" customFormat="1" ht="12"/>
    <row r="634" s="243" customFormat="1" ht="12"/>
    <row r="635" s="243" customFormat="1" ht="12"/>
    <row r="636" s="243" customFormat="1" ht="12"/>
    <row r="637" s="243" customFormat="1" ht="12"/>
    <row r="638" s="243" customFormat="1" ht="12"/>
    <row r="639" s="243" customFormat="1" ht="12"/>
    <row r="640" s="243" customFormat="1" ht="12"/>
    <row r="641" s="243" customFormat="1" ht="12"/>
    <row r="642" s="243" customFormat="1" ht="12"/>
    <row r="643" s="243" customFormat="1" ht="12"/>
    <row r="644" s="243" customFormat="1" ht="12"/>
    <row r="645" s="243" customFormat="1" ht="12"/>
    <row r="646" s="243" customFormat="1" ht="12"/>
    <row r="647" s="243" customFormat="1" ht="12"/>
    <row r="648" s="243" customFormat="1" ht="12"/>
    <row r="649" s="243" customFormat="1" ht="12"/>
    <row r="650" s="243" customFormat="1" ht="12"/>
    <row r="651" s="243" customFormat="1" ht="12"/>
    <row r="652" s="243" customFormat="1" ht="12"/>
    <row r="653" s="243" customFormat="1" ht="12"/>
    <row r="654" s="243" customFormat="1" ht="12"/>
    <row r="655" s="243" customFormat="1" ht="12"/>
    <row r="656" s="243" customFormat="1" ht="12"/>
    <row r="657" s="243" customFormat="1" ht="12"/>
    <row r="658" s="243" customFormat="1" ht="12"/>
    <row r="659" s="243" customFormat="1" ht="12"/>
    <row r="660" s="243" customFormat="1" ht="12"/>
    <row r="661" s="243" customFormat="1" ht="12"/>
    <row r="662" s="243" customFormat="1" ht="12"/>
    <row r="663" s="243" customFormat="1" ht="12"/>
    <row r="664" s="243" customFormat="1" ht="12"/>
    <row r="665" s="243" customFormat="1" ht="12"/>
    <row r="666" s="243" customFormat="1" ht="12"/>
    <row r="667" s="243" customFormat="1" ht="12"/>
    <row r="668" s="243" customFormat="1" ht="12"/>
    <row r="669" s="243" customFormat="1" ht="12"/>
    <row r="670" s="243" customFormat="1" ht="12"/>
    <row r="671" s="243" customFormat="1" ht="12"/>
    <row r="672" s="243" customFormat="1" ht="12"/>
    <row r="673" s="243" customFormat="1" ht="12"/>
    <row r="674" s="243" customFormat="1" ht="12"/>
    <row r="675" s="243" customFormat="1" ht="12"/>
    <row r="676" s="243" customFormat="1" ht="12"/>
    <row r="677" s="243" customFormat="1" ht="12"/>
    <row r="678" s="243" customFormat="1" ht="12"/>
    <row r="679" s="243" customFormat="1" ht="12"/>
    <row r="680" s="243" customFormat="1" ht="12"/>
    <row r="681" s="243" customFormat="1" ht="12"/>
    <row r="682" s="243" customFormat="1" ht="12"/>
    <row r="683" s="243" customFormat="1" ht="12"/>
    <row r="684" s="243" customFormat="1" ht="12"/>
    <row r="685" s="243" customFormat="1" ht="12"/>
    <row r="686" s="243" customFormat="1" ht="12"/>
    <row r="687" s="243" customFormat="1" ht="12"/>
    <row r="688" s="243" customFormat="1" ht="12"/>
    <row r="689" s="243" customFormat="1" ht="12"/>
    <row r="690" s="243" customFormat="1" ht="12"/>
    <row r="691" s="243" customFormat="1" ht="12"/>
    <row r="692" s="243" customFormat="1" ht="12"/>
    <row r="693" s="243" customFormat="1" ht="12"/>
    <row r="694" s="243" customFormat="1" ht="12"/>
    <row r="695" s="243" customFormat="1" ht="12"/>
    <row r="696" s="243" customFormat="1" ht="12"/>
    <row r="697" s="243" customFormat="1" ht="12"/>
    <row r="698" s="243" customFormat="1" ht="12"/>
    <row r="699" s="243" customFormat="1" ht="12"/>
    <row r="700" s="243" customFormat="1" ht="12"/>
    <row r="701" s="243" customFormat="1" ht="12"/>
    <row r="702" s="243" customFormat="1" ht="12"/>
    <row r="703" s="243" customFormat="1" ht="12"/>
    <row r="704" s="243" customFormat="1" ht="12"/>
    <row r="705" s="243" customFormat="1" ht="12"/>
    <row r="706" s="243" customFormat="1" ht="12"/>
    <row r="707" s="243" customFormat="1" ht="12"/>
    <row r="708" s="243" customFormat="1" ht="12"/>
    <row r="709" s="243" customFormat="1" ht="12"/>
    <row r="710" s="243" customFormat="1" ht="12"/>
    <row r="711" s="243" customFormat="1" ht="12"/>
    <row r="712" s="243" customFormat="1" ht="12"/>
    <row r="713" s="243" customFormat="1" ht="12"/>
    <row r="714" s="243" customFormat="1" ht="12"/>
    <row r="715" s="243" customFormat="1" ht="12"/>
    <row r="716" s="243" customFormat="1" ht="12"/>
    <row r="717" s="243" customFormat="1" ht="12"/>
    <row r="718" s="243" customFormat="1" ht="12"/>
    <row r="719" s="243" customFormat="1" ht="12"/>
    <row r="720" s="243" customFormat="1" ht="12"/>
    <row r="721" s="243" customFormat="1" ht="12"/>
    <row r="722" s="243" customFormat="1" ht="12"/>
    <row r="723" s="243" customFormat="1" ht="12"/>
    <row r="724" s="243" customFormat="1" ht="12"/>
    <row r="725" s="243" customFormat="1" ht="12"/>
    <row r="726" s="243" customFormat="1" ht="12"/>
    <row r="727" s="243" customFormat="1" ht="12"/>
    <row r="728" s="243" customFormat="1" ht="12"/>
    <row r="729" s="243" customFormat="1" ht="12"/>
    <row r="730" s="243" customFormat="1" ht="12"/>
    <row r="731" s="243" customFormat="1" ht="12"/>
    <row r="732" s="243" customFormat="1" ht="12"/>
    <row r="733" s="243" customFormat="1" ht="12"/>
    <row r="734" s="243" customFormat="1" ht="12"/>
    <row r="735" s="243" customFormat="1" ht="12"/>
    <row r="736" s="243" customFormat="1" ht="12"/>
    <row r="737" s="243" customFormat="1" ht="12"/>
    <row r="738" s="243" customFormat="1" ht="12"/>
    <row r="739" s="243" customFormat="1" ht="12"/>
    <row r="740" s="243" customFormat="1" ht="12"/>
    <row r="741" s="243" customFormat="1" ht="12"/>
    <row r="742" s="243" customFormat="1" ht="12"/>
    <row r="743" s="243" customFormat="1" ht="12"/>
    <row r="744" s="243" customFormat="1" ht="12"/>
    <row r="745" s="243" customFormat="1" ht="12"/>
    <row r="746" s="243" customFormat="1" ht="12"/>
    <row r="747" s="243" customFormat="1" ht="12"/>
    <row r="748" s="243" customFormat="1" ht="12"/>
    <row r="749" s="243" customFormat="1" ht="12"/>
    <row r="750" s="243" customFormat="1" ht="12"/>
    <row r="751" s="243" customFormat="1" ht="12"/>
    <row r="752" s="243" customFormat="1" ht="12"/>
    <row r="753" s="243" customFormat="1" ht="12"/>
    <row r="754" s="243" customFormat="1" ht="12"/>
    <row r="755" s="243" customFormat="1" ht="12"/>
    <row r="756" s="243" customFormat="1" ht="12"/>
    <row r="757" s="243" customFormat="1" ht="12"/>
    <row r="758" s="243" customFormat="1" ht="12"/>
    <row r="759" s="243" customFormat="1" ht="12"/>
    <row r="760" s="243" customFormat="1" ht="12"/>
    <row r="761" s="243" customFormat="1" ht="12"/>
    <row r="762" s="243" customFormat="1" ht="12"/>
    <row r="763" s="243" customFormat="1" ht="12"/>
    <row r="764" s="243" customFormat="1" ht="12"/>
    <row r="765" s="243" customFormat="1" ht="12"/>
    <row r="766" s="243" customFormat="1" ht="12"/>
    <row r="767" s="243" customFormat="1" ht="12"/>
    <row r="768" s="243" customFormat="1" ht="12"/>
    <row r="769" s="243" customFormat="1" ht="12"/>
    <row r="770" s="243" customFormat="1" ht="12"/>
    <row r="771" s="243" customFormat="1" ht="12"/>
    <row r="772" s="243" customFormat="1" ht="12"/>
    <row r="773" s="243" customFormat="1" ht="12"/>
    <row r="774" s="243" customFormat="1" ht="12"/>
    <row r="775" s="243" customFormat="1" ht="12"/>
    <row r="776" s="243" customFormat="1" ht="12"/>
    <row r="777" s="243" customFormat="1" ht="12"/>
    <row r="778" s="243" customFormat="1" ht="12"/>
    <row r="779" s="243" customFormat="1" ht="12"/>
    <row r="780" s="243" customFormat="1" ht="12"/>
    <row r="781" s="243" customFormat="1" ht="12"/>
    <row r="782" s="243" customFormat="1" ht="12"/>
    <row r="783" s="243" customFormat="1" ht="12"/>
    <row r="784" s="243" customFormat="1" ht="12"/>
    <row r="785" s="243" customFormat="1" ht="12"/>
    <row r="786" s="243" customFormat="1" ht="12"/>
    <row r="787" s="243" customFormat="1" ht="12"/>
    <row r="788" s="243" customFormat="1" ht="12"/>
    <row r="789" s="243" customFormat="1" ht="12"/>
    <row r="790" s="243" customFormat="1" ht="12"/>
    <row r="791" s="243" customFormat="1" ht="12"/>
    <row r="792" s="243" customFormat="1" ht="12"/>
    <row r="793" s="243" customFormat="1" ht="12"/>
    <row r="794" s="243" customFormat="1" ht="12"/>
    <row r="795" s="243" customFormat="1" ht="12"/>
    <row r="796" s="243" customFormat="1" ht="12"/>
    <row r="797" s="243" customFormat="1" ht="12"/>
    <row r="798" s="243" customFormat="1" ht="12"/>
    <row r="799" s="243" customFormat="1" ht="12"/>
    <row r="800" s="243" customFormat="1" ht="12"/>
    <row r="801" s="243" customFormat="1" ht="12"/>
    <row r="802" s="243" customFormat="1" ht="12"/>
    <row r="803" s="243" customFormat="1" ht="12"/>
    <row r="804" s="243" customFormat="1" ht="12"/>
    <row r="805" s="243" customFormat="1" ht="12"/>
    <row r="806" s="243" customFormat="1" ht="12"/>
    <row r="807" s="243" customFormat="1" ht="12"/>
    <row r="808" s="243" customFormat="1" ht="12"/>
    <row r="809" s="243" customFormat="1" ht="12"/>
    <row r="810" s="243" customFormat="1" ht="12"/>
    <row r="811" s="243" customFormat="1" ht="12"/>
    <row r="812" s="243" customFormat="1" ht="12"/>
    <row r="813" s="243" customFormat="1" ht="12"/>
    <row r="814" s="243" customFormat="1" ht="12"/>
    <row r="815" s="243" customFormat="1" ht="12"/>
    <row r="816" s="243" customFormat="1" ht="12"/>
    <row r="817" s="243" customFormat="1" ht="12"/>
    <row r="818" s="243" customFormat="1" ht="12"/>
    <row r="819" s="243" customFormat="1" ht="12"/>
    <row r="820" s="243" customFormat="1" ht="12"/>
    <row r="821" s="243" customFormat="1" ht="12"/>
    <row r="822" s="243" customFormat="1" ht="12"/>
    <row r="823" s="243" customFormat="1" ht="12"/>
    <row r="824" s="243" customFormat="1" ht="12"/>
    <row r="825" s="243" customFormat="1" ht="12"/>
    <row r="826" s="243" customFormat="1" ht="12"/>
    <row r="827" s="243" customFormat="1" ht="12"/>
    <row r="828" s="243" customFormat="1" ht="12"/>
    <row r="829" s="243" customFormat="1" ht="12"/>
    <row r="830" s="243" customFormat="1" ht="12"/>
    <row r="831" s="243" customFormat="1" ht="12"/>
    <row r="832" s="243" customFormat="1" ht="12"/>
    <row r="833" s="243" customFormat="1" ht="12"/>
    <row r="834" s="243" customFormat="1" ht="12"/>
    <row r="835" s="243" customFormat="1" ht="12"/>
    <row r="836" s="243" customFormat="1" ht="12"/>
    <row r="837" s="243" customFormat="1" ht="12"/>
    <row r="838" s="243" customFormat="1" ht="12"/>
    <row r="839" s="243" customFormat="1" ht="12"/>
    <row r="840" s="243" customFormat="1" ht="12"/>
    <row r="841" s="243" customFormat="1" ht="12"/>
    <row r="842" s="243" customFormat="1" ht="12"/>
    <row r="843" s="243" customFormat="1" ht="12"/>
    <row r="844" s="243" customFormat="1" ht="12"/>
    <row r="845" s="243" customFormat="1" ht="12"/>
    <row r="846" s="243" customFormat="1" ht="12"/>
    <row r="847" s="243" customFormat="1" ht="12"/>
    <row r="848" s="243" customFormat="1" ht="12"/>
    <row r="849" s="243" customFormat="1" ht="12"/>
    <row r="850" s="243" customFormat="1" ht="12"/>
    <row r="851" s="243" customFormat="1" ht="12"/>
    <row r="852" s="243" customFormat="1" ht="12"/>
    <row r="853" s="243" customFormat="1" ht="12"/>
    <row r="854" s="243" customFormat="1" ht="12"/>
    <row r="855" s="243" customFormat="1" ht="12"/>
    <row r="856" s="243" customFormat="1" ht="12"/>
    <row r="857" s="243" customFormat="1" ht="12"/>
    <row r="858" s="243" customFormat="1" ht="12"/>
    <row r="859" s="243" customFormat="1" ht="12"/>
  </sheetData>
  <mergeCells count="67">
    <mergeCell ref="C391:D391"/>
    <mergeCell ref="C378:D378"/>
    <mergeCell ref="C379:C390"/>
    <mergeCell ref="B373:C373"/>
    <mergeCell ref="B371:B372"/>
    <mergeCell ref="B3:C3"/>
    <mergeCell ref="B75:C75"/>
    <mergeCell ref="B76:C76"/>
    <mergeCell ref="B77:C77"/>
    <mergeCell ref="B284:B288"/>
    <mergeCell ref="B83:C83"/>
    <mergeCell ref="B88:C88"/>
    <mergeCell ref="C269:D269"/>
    <mergeCell ref="C271:D271"/>
    <mergeCell ref="B89:C89"/>
    <mergeCell ref="B270:B274"/>
    <mergeCell ref="C285:D285"/>
    <mergeCell ref="C284:D284"/>
    <mergeCell ref="B275:B279"/>
    <mergeCell ref="C270:D270"/>
    <mergeCell ref="B99:C99"/>
    <mergeCell ref="I346:I351"/>
    <mergeCell ref="H346:H351"/>
    <mergeCell ref="B359:B360"/>
    <mergeCell ref="B369:B370"/>
    <mergeCell ref="B346:B351"/>
    <mergeCell ref="B361:B362"/>
    <mergeCell ref="B363:B364"/>
    <mergeCell ref="B365:B366"/>
    <mergeCell ref="B367:B368"/>
    <mergeCell ref="B357:B358"/>
    <mergeCell ref="B90:C90"/>
    <mergeCell ref="B91:C91"/>
    <mergeCell ref="B97:C97"/>
    <mergeCell ref="B96:C96"/>
    <mergeCell ref="B98:C98"/>
    <mergeCell ref="B289:B292"/>
    <mergeCell ref="C289:D289"/>
    <mergeCell ref="C290:D290"/>
    <mergeCell ref="B293:B296"/>
    <mergeCell ref="I159:K159"/>
    <mergeCell ref="B160:C160"/>
    <mergeCell ref="D160:E160"/>
    <mergeCell ref="C275:D275"/>
    <mergeCell ref="C276:D276"/>
    <mergeCell ref="B280:B283"/>
    <mergeCell ref="C280:D280"/>
    <mergeCell ref="C281:D281"/>
    <mergeCell ref="C298:D298"/>
    <mergeCell ref="B297:B302"/>
    <mergeCell ref="C297:D297"/>
    <mergeCell ref="C293:D293"/>
    <mergeCell ref="C294:D294"/>
    <mergeCell ref="C315:D315"/>
    <mergeCell ref="C304:D304"/>
    <mergeCell ref="C308:D308"/>
    <mergeCell ref="B303:B307"/>
    <mergeCell ref="B308:B313"/>
    <mergeCell ref="B314:B316"/>
    <mergeCell ref="C309:D309"/>
    <mergeCell ref="C314:D314"/>
    <mergeCell ref="C303:D303"/>
    <mergeCell ref="C319:D319"/>
    <mergeCell ref="C318:D318"/>
    <mergeCell ref="C317:D317"/>
    <mergeCell ref="B335:B336"/>
    <mergeCell ref="B337:B345"/>
  </mergeCells>
  <phoneticPr fontId="2"/>
  <pageMargins left="0.16" right="0.17" top="0.3" bottom="0.19" header="0.24" footer="0.16"/>
  <pageSetup paperSize="9" orientation="portrait" r:id="rId1"/>
  <headerFooter alignWithMargins="0">
    <oddFooter>&amp;P / &amp;N ページ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8"/>
  <dimension ref="A1:AB782"/>
  <sheetViews>
    <sheetView topLeftCell="A102" workbookViewId="0">
      <selection activeCell="M35" sqref="M35"/>
    </sheetView>
  </sheetViews>
  <sheetFormatPr defaultColWidth="9" defaultRowHeight="13.5" outlineLevelRow="1"/>
  <cols>
    <col min="1" max="1" width="4.125" style="171" customWidth="1"/>
    <col min="2" max="5" width="9" style="171"/>
    <col min="6" max="6" width="9.5" style="171" bestFit="1" customWidth="1"/>
    <col min="7" max="7" width="11" style="171" customWidth="1"/>
    <col min="8" max="9" width="9.125" style="171" bestFit="1" customWidth="1"/>
    <col min="10" max="11" width="9" style="171"/>
    <col min="12" max="12" width="6.75" style="171" customWidth="1"/>
    <col min="13" max="16384" width="9" style="171"/>
  </cols>
  <sheetData>
    <row r="1" spans="1:9" ht="24">
      <c r="A1" s="170" t="s">
        <v>1087</v>
      </c>
    </row>
    <row r="2" spans="1:9" ht="17.25">
      <c r="A2" s="172" t="s">
        <v>381</v>
      </c>
    </row>
    <row r="3" spans="1:9">
      <c r="B3" s="1303" t="s">
        <v>70</v>
      </c>
      <c r="C3" s="1304"/>
      <c r="D3" s="3" t="s">
        <v>71</v>
      </c>
      <c r="E3" s="3" t="s">
        <v>72</v>
      </c>
      <c r="F3" s="3" t="s">
        <v>73</v>
      </c>
      <c r="G3" s="3" t="s">
        <v>74</v>
      </c>
      <c r="H3" s="3" t="s">
        <v>75</v>
      </c>
      <c r="I3" s="173"/>
    </row>
    <row r="4" spans="1:9">
      <c r="B4" s="4" t="s">
        <v>76</v>
      </c>
      <c r="C4" s="5"/>
      <c r="D4" s="6" t="s">
        <v>77</v>
      </c>
      <c r="E4" s="174">
        <v>1.25</v>
      </c>
      <c r="F4" s="175">
        <v>2463.8000000000002</v>
      </c>
      <c r="G4" s="175">
        <v>7486.7</v>
      </c>
      <c r="H4" s="8" t="s">
        <v>78</v>
      </c>
      <c r="I4" s="173"/>
    </row>
    <row r="5" spans="1:9">
      <c r="B5" s="4" t="s">
        <v>79</v>
      </c>
      <c r="C5" s="5"/>
      <c r="D5" s="6" t="s">
        <v>80</v>
      </c>
      <c r="E5" s="174">
        <v>1.25</v>
      </c>
      <c r="F5" s="175">
        <v>2463.8000000000002</v>
      </c>
      <c r="G5" s="175">
        <v>3358.7</v>
      </c>
      <c r="H5" s="8" t="s">
        <v>78</v>
      </c>
      <c r="I5" s="176"/>
    </row>
    <row r="6" spans="1:9">
      <c r="B6" s="4" t="s">
        <v>300</v>
      </c>
      <c r="C6" s="5"/>
      <c r="D6" s="6" t="s">
        <v>82</v>
      </c>
      <c r="E6" s="174">
        <v>1.25</v>
      </c>
      <c r="F6" s="175">
        <v>2463.8000000000002</v>
      </c>
      <c r="G6" s="175">
        <v>0</v>
      </c>
      <c r="H6" s="8" t="s">
        <v>78</v>
      </c>
      <c r="I6" s="177" t="s">
        <v>83</v>
      </c>
    </row>
    <row r="7" spans="1:9">
      <c r="B7" s="4" t="s">
        <v>84</v>
      </c>
      <c r="C7" s="5"/>
      <c r="D7" s="6" t="s">
        <v>85</v>
      </c>
      <c r="E7" s="174">
        <v>1.27</v>
      </c>
      <c r="F7" s="175">
        <v>2340</v>
      </c>
      <c r="G7" s="175">
        <v>4101.8999999999996</v>
      </c>
      <c r="H7" s="8" t="s">
        <v>86</v>
      </c>
      <c r="I7" s="176"/>
    </row>
    <row r="8" spans="1:9">
      <c r="B8" s="4" t="s">
        <v>87</v>
      </c>
      <c r="C8" s="5"/>
      <c r="D8" s="6" t="s">
        <v>88</v>
      </c>
      <c r="E8" s="174">
        <v>1.27</v>
      </c>
      <c r="F8" s="175">
        <v>2340</v>
      </c>
      <c r="G8" s="175">
        <v>682.9</v>
      </c>
      <c r="H8" s="8" t="s">
        <v>86</v>
      </c>
      <c r="I8" s="176"/>
    </row>
    <row r="9" spans="1:9">
      <c r="B9" s="4" t="s">
        <v>1088</v>
      </c>
      <c r="C9" s="5"/>
      <c r="D9" s="6" t="s">
        <v>90</v>
      </c>
      <c r="E9" s="174">
        <v>1.27</v>
      </c>
      <c r="F9" s="175">
        <v>2340</v>
      </c>
      <c r="G9" s="175">
        <v>0</v>
      </c>
      <c r="H9" s="8" t="s">
        <v>86</v>
      </c>
      <c r="I9" s="177" t="s">
        <v>83</v>
      </c>
    </row>
    <row r="10" spans="1:9">
      <c r="B10" s="4" t="s">
        <v>91</v>
      </c>
      <c r="C10" s="5"/>
      <c r="D10" s="6" t="s">
        <v>92</v>
      </c>
      <c r="E10" s="174">
        <v>1.1499999999999999</v>
      </c>
      <c r="F10" s="175">
        <v>2185.1</v>
      </c>
      <c r="G10" s="175">
        <v>4058.8</v>
      </c>
      <c r="H10" s="8" t="s">
        <v>93</v>
      </c>
      <c r="I10" s="176"/>
    </row>
    <row r="11" spans="1:9">
      <c r="B11" s="4" t="s">
        <v>94</v>
      </c>
      <c r="C11" s="5"/>
      <c r="D11" s="6" t="s">
        <v>1089</v>
      </c>
      <c r="E11" s="174">
        <v>1.1499999999999999</v>
      </c>
      <c r="F11" s="175">
        <v>2185.1</v>
      </c>
      <c r="G11" s="175">
        <v>0</v>
      </c>
      <c r="H11" s="8" t="s">
        <v>93</v>
      </c>
      <c r="I11" s="177" t="s">
        <v>83</v>
      </c>
    </row>
    <row r="12" spans="1:9">
      <c r="B12" s="4" t="s">
        <v>96</v>
      </c>
      <c r="C12" s="5"/>
      <c r="D12" s="6" t="s">
        <v>97</v>
      </c>
      <c r="E12" s="174">
        <v>1.72</v>
      </c>
      <c r="F12" s="175">
        <v>1907.3</v>
      </c>
      <c r="G12" s="175">
        <v>1168.9000000000001</v>
      </c>
      <c r="H12" s="8" t="s">
        <v>98</v>
      </c>
      <c r="I12" s="176"/>
    </row>
    <row r="13" spans="1:9">
      <c r="B13" s="4" t="s">
        <v>101</v>
      </c>
      <c r="C13" s="5"/>
      <c r="D13" s="6" t="s">
        <v>1090</v>
      </c>
      <c r="E13" s="174">
        <v>1.72</v>
      </c>
      <c r="F13" s="175">
        <v>1907.3</v>
      </c>
      <c r="G13" s="175">
        <v>0</v>
      </c>
      <c r="H13" s="8" t="s">
        <v>98</v>
      </c>
      <c r="I13" s="177" t="s">
        <v>83</v>
      </c>
    </row>
    <row r="14" spans="1:9">
      <c r="B14" s="4" t="s">
        <v>103</v>
      </c>
      <c r="C14" s="5"/>
      <c r="D14" s="6" t="s">
        <v>104</v>
      </c>
      <c r="E14" s="174">
        <v>1.1499999999999999</v>
      </c>
      <c r="F14" s="175">
        <v>2822.5</v>
      </c>
      <c r="G14" s="175">
        <v>1641.5</v>
      </c>
      <c r="H14" s="8" t="s">
        <v>105</v>
      </c>
      <c r="I14" s="177"/>
    </row>
    <row r="15" spans="1:9">
      <c r="B15" s="4" t="s">
        <v>106</v>
      </c>
      <c r="C15" s="5"/>
      <c r="D15" s="6" t="s">
        <v>1091</v>
      </c>
      <c r="E15" s="174">
        <v>1.1499999999999999</v>
      </c>
      <c r="F15" s="175">
        <v>2822.5</v>
      </c>
      <c r="G15" s="175">
        <v>0</v>
      </c>
      <c r="H15" s="8" t="s">
        <v>105</v>
      </c>
      <c r="I15" s="177" t="s">
        <v>83</v>
      </c>
    </row>
    <row r="16" spans="1:9">
      <c r="B16" s="4" t="s">
        <v>108</v>
      </c>
      <c r="C16" s="5"/>
      <c r="D16" s="6" t="s">
        <v>109</v>
      </c>
      <c r="E16" s="174">
        <v>1.1399999999999999</v>
      </c>
      <c r="F16" s="175">
        <v>2338.6</v>
      </c>
      <c r="G16" s="175">
        <v>1300.5999999999999</v>
      </c>
      <c r="H16" s="8" t="s">
        <v>110</v>
      </c>
      <c r="I16" s="176"/>
    </row>
    <row r="17" spans="2:9">
      <c r="B17" s="4" t="s">
        <v>111</v>
      </c>
      <c r="C17" s="5"/>
      <c r="D17" s="6" t="s">
        <v>112</v>
      </c>
      <c r="E17" s="174">
        <v>1.1399999999999999</v>
      </c>
      <c r="F17" s="175">
        <v>2338.6</v>
      </c>
      <c r="G17" s="175">
        <v>1178.5</v>
      </c>
      <c r="H17" s="8" t="s">
        <v>110</v>
      </c>
      <c r="I17" s="176"/>
    </row>
    <row r="18" spans="2:9">
      <c r="B18" s="4" t="s">
        <v>1084</v>
      </c>
      <c r="C18" s="5"/>
      <c r="D18" s="6" t="s">
        <v>1085</v>
      </c>
      <c r="E18" s="174">
        <v>1.1399999999999999</v>
      </c>
      <c r="F18" s="175">
        <v>2338.6</v>
      </c>
      <c r="G18" s="175">
        <v>0</v>
      </c>
      <c r="H18" s="8" t="s">
        <v>110</v>
      </c>
      <c r="I18" s="177" t="s">
        <v>83</v>
      </c>
    </row>
    <row r="19" spans="2:9">
      <c r="B19" s="4" t="s">
        <v>115</v>
      </c>
      <c r="C19" s="5"/>
      <c r="D19" s="6" t="s">
        <v>116</v>
      </c>
      <c r="E19" s="174">
        <v>1.1299999999999999</v>
      </c>
      <c r="F19" s="175">
        <v>3027.4</v>
      </c>
      <c r="G19" s="175">
        <v>4118</v>
      </c>
      <c r="H19" s="8" t="s">
        <v>117</v>
      </c>
      <c r="I19" s="176"/>
    </row>
    <row r="20" spans="2:9">
      <c r="B20" s="4" t="s">
        <v>118</v>
      </c>
      <c r="C20" s="5"/>
      <c r="D20" s="6" t="s">
        <v>119</v>
      </c>
      <c r="E20" s="174">
        <v>1.1299999999999999</v>
      </c>
      <c r="F20" s="175">
        <v>3027.4</v>
      </c>
      <c r="G20" s="175">
        <v>3965.2</v>
      </c>
      <c r="H20" s="8" t="s">
        <v>117</v>
      </c>
      <c r="I20" s="176"/>
    </row>
    <row r="21" spans="2:9">
      <c r="B21" s="4" t="s">
        <v>122</v>
      </c>
      <c r="C21" s="5"/>
      <c r="D21" s="6" t="s">
        <v>123</v>
      </c>
      <c r="E21" s="174">
        <v>1.22</v>
      </c>
      <c r="F21" s="175">
        <v>2447.8000000000002</v>
      </c>
      <c r="G21" s="175">
        <v>1474</v>
      </c>
      <c r="H21" s="8" t="s">
        <v>124</v>
      </c>
      <c r="I21" s="176"/>
    </row>
    <row r="22" spans="2:9">
      <c r="B22" s="4" t="s">
        <v>125</v>
      </c>
      <c r="C22" s="5"/>
      <c r="D22" s="6" t="s">
        <v>126</v>
      </c>
      <c r="E22" s="174">
        <v>1.22</v>
      </c>
      <c r="F22" s="175">
        <v>2447.8000000000002</v>
      </c>
      <c r="G22" s="175">
        <v>512.5</v>
      </c>
      <c r="H22" s="8" t="s">
        <v>124</v>
      </c>
      <c r="I22" s="176"/>
    </row>
    <row r="23" spans="2:9">
      <c r="B23" s="4" t="s">
        <v>127</v>
      </c>
      <c r="C23" s="5"/>
      <c r="D23" s="6" t="s">
        <v>1092</v>
      </c>
      <c r="E23" s="174">
        <v>1.22</v>
      </c>
      <c r="F23" s="175">
        <v>2447.8000000000002</v>
      </c>
      <c r="G23" s="175">
        <v>0</v>
      </c>
      <c r="H23" s="8" t="s">
        <v>124</v>
      </c>
      <c r="I23" s="177" t="s">
        <v>83</v>
      </c>
    </row>
    <row r="24" spans="2:9">
      <c r="B24" s="4" t="s">
        <v>129</v>
      </c>
      <c r="C24" s="5"/>
      <c r="D24" s="6" t="s">
        <v>130</v>
      </c>
      <c r="E24" s="174">
        <v>1.0900000000000001</v>
      </c>
      <c r="F24" s="175">
        <v>2424.1</v>
      </c>
      <c r="G24" s="175">
        <v>938.9</v>
      </c>
      <c r="H24" s="8" t="s">
        <v>131</v>
      </c>
      <c r="I24" s="176"/>
    </row>
    <row r="25" spans="2:9">
      <c r="B25" s="4" t="s">
        <v>132</v>
      </c>
      <c r="C25" s="5"/>
      <c r="D25" s="6" t="s">
        <v>133</v>
      </c>
      <c r="E25" s="174">
        <v>1.0900000000000001</v>
      </c>
      <c r="F25" s="175">
        <v>2424.1</v>
      </c>
      <c r="G25" s="175">
        <v>1690.5</v>
      </c>
      <c r="H25" s="8" t="s">
        <v>131</v>
      </c>
      <c r="I25" s="176"/>
    </row>
    <row r="26" spans="2:9">
      <c r="B26" s="4" t="s">
        <v>134</v>
      </c>
      <c r="C26" s="5"/>
      <c r="D26" s="6" t="s">
        <v>135</v>
      </c>
      <c r="E26" s="174">
        <v>1.0900000000000001</v>
      </c>
      <c r="F26" s="175">
        <v>2424.1</v>
      </c>
      <c r="G26" s="175">
        <v>885</v>
      </c>
      <c r="H26" s="8" t="s">
        <v>131</v>
      </c>
      <c r="I26" s="176"/>
    </row>
    <row r="27" spans="2:9">
      <c r="B27" s="4" t="s">
        <v>136</v>
      </c>
      <c r="C27" s="5"/>
      <c r="D27" s="6" t="s">
        <v>1093</v>
      </c>
      <c r="E27" s="174">
        <v>1.0900000000000001</v>
      </c>
      <c r="F27" s="175">
        <v>2424.1</v>
      </c>
      <c r="G27" s="175">
        <v>0</v>
      </c>
      <c r="H27" s="8" t="s">
        <v>131</v>
      </c>
      <c r="I27" s="177" t="s">
        <v>83</v>
      </c>
    </row>
    <row r="28" spans="2:9">
      <c r="B28" s="4" t="s">
        <v>138</v>
      </c>
      <c r="C28" s="5"/>
      <c r="D28" s="6" t="s">
        <v>139</v>
      </c>
      <c r="E28" s="174">
        <v>1.23</v>
      </c>
      <c r="F28" s="175">
        <v>2350.1</v>
      </c>
      <c r="G28" s="175">
        <v>3641.4</v>
      </c>
      <c r="H28" s="8" t="s">
        <v>140</v>
      </c>
      <c r="I28" s="176"/>
    </row>
    <row r="29" spans="2:9">
      <c r="B29" s="4" t="s">
        <v>141</v>
      </c>
      <c r="C29" s="5"/>
      <c r="D29" s="6" t="s">
        <v>142</v>
      </c>
      <c r="E29" s="174">
        <v>1</v>
      </c>
      <c r="F29" s="175">
        <v>0</v>
      </c>
      <c r="G29" s="175">
        <v>1498.4</v>
      </c>
      <c r="H29" s="10" t="s">
        <v>143</v>
      </c>
      <c r="I29" s="173"/>
    </row>
    <row r="30" spans="2:9">
      <c r="B30" s="4" t="s">
        <v>144</v>
      </c>
      <c r="C30" s="5"/>
      <c r="D30" s="6" t="s">
        <v>145</v>
      </c>
      <c r="E30" s="174">
        <v>1</v>
      </c>
      <c r="F30" s="175">
        <v>0</v>
      </c>
      <c r="G30" s="175">
        <v>1718.1</v>
      </c>
      <c r="H30" s="10" t="s">
        <v>146</v>
      </c>
      <c r="I30" s="176" t="s">
        <v>147</v>
      </c>
    </row>
    <row r="31" spans="2:9">
      <c r="B31" s="4" t="s">
        <v>1094</v>
      </c>
      <c r="C31" s="5"/>
      <c r="D31" s="6" t="s">
        <v>1095</v>
      </c>
      <c r="E31" s="174">
        <v>1</v>
      </c>
      <c r="F31" s="175"/>
      <c r="G31" s="175"/>
      <c r="H31" s="181" t="s">
        <v>1096</v>
      </c>
      <c r="I31" s="176" t="s">
        <v>1097</v>
      </c>
    </row>
    <row r="32" spans="2:9">
      <c r="B32" s="187" t="s">
        <v>148</v>
      </c>
      <c r="C32" s="189"/>
      <c r="D32" s="380" t="s">
        <v>149</v>
      </c>
      <c r="E32" s="381">
        <v>1</v>
      </c>
      <c r="F32" s="382">
        <v>0</v>
      </c>
      <c r="G32" s="382">
        <v>5888.6</v>
      </c>
      <c r="H32" s="383" t="s">
        <v>150</v>
      </c>
      <c r="I32" s="176" t="s">
        <v>1098</v>
      </c>
    </row>
    <row r="33" spans="1:11">
      <c r="B33" s="75" t="s">
        <v>389</v>
      </c>
    </row>
    <row r="34" spans="1:11" ht="13.5" customHeight="1">
      <c r="B34" s="79" t="s">
        <v>390</v>
      </c>
    </row>
    <row r="36" spans="1:11" ht="17.25">
      <c r="A36" s="172" t="s">
        <v>391</v>
      </c>
      <c r="E36" s="90" t="s">
        <v>263</v>
      </c>
    </row>
    <row r="37" spans="1:11" s="173" customFormat="1">
      <c r="A37" s="171"/>
      <c r="B37" s="171" t="s">
        <v>392</v>
      </c>
      <c r="C37" s="171"/>
      <c r="D37" s="171"/>
      <c r="E37" s="171"/>
      <c r="F37" s="171"/>
      <c r="G37" s="171"/>
      <c r="H37" s="171"/>
    </row>
    <row r="39" spans="1:11">
      <c r="B39" s="182" t="s">
        <v>393</v>
      </c>
    </row>
    <row r="40" spans="1:11">
      <c r="B40" s="183"/>
      <c r="C40" s="171" t="s">
        <v>1210</v>
      </c>
    </row>
    <row r="41" spans="1:11">
      <c r="C41" s="171" t="s">
        <v>1211</v>
      </c>
    </row>
    <row r="42" spans="1:11">
      <c r="I42" s="184"/>
    </row>
    <row r="43" spans="1:11" s="173" customFormat="1">
      <c r="A43" s="171"/>
      <c r="B43" s="171"/>
      <c r="C43" s="171"/>
      <c r="D43" s="171"/>
      <c r="E43" s="185" t="s">
        <v>351</v>
      </c>
      <c r="F43" s="185" t="s">
        <v>352</v>
      </c>
      <c r="G43" s="185" t="s">
        <v>353</v>
      </c>
      <c r="H43" s="186" t="s">
        <v>963</v>
      </c>
      <c r="I43" s="171"/>
      <c r="J43" s="171"/>
      <c r="K43" s="171"/>
    </row>
    <row r="44" spans="1:11" s="173" customFormat="1">
      <c r="A44" s="171"/>
      <c r="B44" s="187" t="s">
        <v>1212</v>
      </c>
      <c r="C44" s="188"/>
      <c r="D44" s="189"/>
      <c r="E44" s="39">
        <v>7.4518167681994051E-3</v>
      </c>
      <c r="F44" s="39">
        <v>7.7117377538613256E-3</v>
      </c>
      <c r="G44" s="39">
        <v>7.538269968613954E-3</v>
      </c>
      <c r="H44" s="139">
        <f>SUM(E44:G44)</f>
        <v>2.2701824490674684E-2</v>
      </c>
      <c r="I44" s="171"/>
    </row>
    <row r="45" spans="1:11" s="173" customFormat="1">
      <c r="A45" s="171"/>
      <c r="B45" s="187" t="s">
        <v>1213</v>
      </c>
      <c r="C45" s="188"/>
      <c r="D45" s="189"/>
      <c r="E45" s="39">
        <v>0</v>
      </c>
      <c r="F45" s="39">
        <v>7.7117377538613256E-3</v>
      </c>
      <c r="G45" s="39">
        <v>7.538269968613954E-3</v>
      </c>
      <c r="H45" s="139">
        <f>SUM(E45:G45)</f>
        <v>1.525000772247528E-2</v>
      </c>
      <c r="I45" s="171"/>
    </row>
    <row r="46" spans="1:11" s="173" customFormat="1">
      <c r="A46" s="171"/>
      <c r="B46" s="190" t="s">
        <v>1214</v>
      </c>
      <c r="C46" s="191"/>
      <c r="D46" s="192"/>
      <c r="E46" s="39">
        <v>0</v>
      </c>
      <c r="F46" s="39">
        <v>0</v>
      </c>
      <c r="G46" s="39">
        <v>7.538269968613954E-3</v>
      </c>
      <c r="H46" s="139">
        <f>SUM(E46:G46)</f>
        <v>7.538269968613954E-3</v>
      </c>
      <c r="I46" s="171"/>
    </row>
    <row r="47" spans="1:11" s="173" customFormat="1">
      <c r="A47" s="171"/>
      <c r="B47" s="171"/>
      <c r="C47" s="171"/>
      <c r="D47" s="171"/>
      <c r="E47" s="171"/>
      <c r="F47" s="171"/>
      <c r="G47" s="171"/>
      <c r="H47" s="171"/>
      <c r="I47" s="171"/>
    </row>
    <row r="48" spans="1:11" s="173" customFormat="1">
      <c r="A48" s="171"/>
      <c r="B48" s="182" t="s">
        <v>1215</v>
      </c>
      <c r="C48" s="171"/>
      <c r="D48" s="171"/>
      <c r="E48" s="171"/>
      <c r="F48" s="171"/>
      <c r="G48" s="171"/>
      <c r="H48" s="171"/>
      <c r="I48" s="171"/>
    </row>
    <row r="49" spans="1:9" s="173" customFormat="1">
      <c r="A49" s="171"/>
      <c r="B49" s="171"/>
      <c r="C49" s="171" t="s">
        <v>1216</v>
      </c>
      <c r="D49" s="171"/>
      <c r="E49" s="171"/>
      <c r="F49" s="171"/>
      <c r="G49" s="171"/>
      <c r="H49" s="171"/>
      <c r="I49" s="171"/>
    </row>
    <row r="50" spans="1:9" s="173" customFormat="1">
      <c r="A50" s="171"/>
      <c r="B50" s="171"/>
      <c r="C50" s="182" t="s">
        <v>164</v>
      </c>
      <c r="D50" s="182"/>
      <c r="E50" s="193" t="s">
        <v>165</v>
      </c>
      <c r="F50" s="171"/>
      <c r="G50" s="171"/>
      <c r="H50" s="171"/>
      <c r="I50" s="171"/>
    </row>
    <row r="51" spans="1:9" s="173" customFormat="1">
      <c r="A51" s="171"/>
      <c r="B51" s="171"/>
      <c r="C51" s="30" t="s">
        <v>354</v>
      </c>
      <c r="D51" s="31"/>
      <c r="E51" s="139">
        <v>0</v>
      </c>
      <c r="F51" s="171"/>
      <c r="G51" s="171"/>
      <c r="H51" s="171"/>
      <c r="I51" s="171"/>
    </row>
    <row r="52" spans="1:9" s="173" customFormat="1">
      <c r="A52" s="171"/>
      <c r="B52" s="171"/>
      <c r="C52" s="30" t="s">
        <v>953</v>
      </c>
      <c r="D52" s="31"/>
      <c r="E52" s="139">
        <v>6.9561998892741801E-3</v>
      </c>
      <c r="F52" s="171"/>
      <c r="G52" s="171"/>
      <c r="H52" s="171"/>
      <c r="I52" s="171"/>
    </row>
    <row r="53" spans="1:9" s="173" customFormat="1">
      <c r="A53" s="171"/>
      <c r="B53" s="171"/>
      <c r="C53" s="30" t="s">
        <v>954</v>
      </c>
      <c r="D53" s="31"/>
      <c r="E53" s="139">
        <v>7.3304712073587004E-3</v>
      </c>
      <c r="F53" s="171"/>
      <c r="G53" s="171"/>
      <c r="H53" s="171"/>
      <c r="I53" s="171"/>
    </row>
    <row r="54" spans="1:9">
      <c r="C54" s="30" t="s">
        <v>955</v>
      </c>
      <c r="D54" s="31"/>
      <c r="E54" s="1326">
        <v>1.4523660287943423E-2</v>
      </c>
      <c r="F54" s="176"/>
    </row>
    <row r="55" spans="1:9">
      <c r="C55" s="30" t="s">
        <v>956</v>
      </c>
      <c r="D55" s="31"/>
      <c r="E55" s="1327"/>
      <c r="F55" s="176"/>
    </row>
    <row r="56" spans="1:9">
      <c r="C56" s="30" t="s">
        <v>957</v>
      </c>
      <c r="D56" s="31"/>
      <c r="E56" s="139">
        <v>9.818652246631674E-3</v>
      </c>
    </row>
    <row r="57" spans="1:9">
      <c r="C57" s="30" t="s">
        <v>958</v>
      </c>
      <c r="D57" s="31"/>
      <c r="E57" s="1326">
        <v>1.6892514798542011E-2</v>
      </c>
    </row>
    <row r="58" spans="1:9">
      <c r="C58" s="30" t="s">
        <v>959</v>
      </c>
      <c r="D58" s="31"/>
      <c r="E58" s="1327"/>
    </row>
    <row r="59" spans="1:9">
      <c r="C59" s="30" t="s">
        <v>960</v>
      </c>
      <c r="D59" s="31"/>
      <c r="E59" s="139">
        <v>4.5350999202055521E-2</v>
      </c>
    </row>
    <row r="64" spans="1:9">
      <c r="B64" s="182" t="s">
        <v>1219</v>
      </c>
    </row>
    <row r="65" spans="1:12">
      <c r="C65" s="171" t="s">
        <v>1220</v>
      </c>
    </row>
    <row r="66" spans="1:12">
      <c r="C66" s="171" t="s">
        <v>1221</v>
      </c>
    </row>
    <row r="67" spans="1:12">
      <c r="C67" s="171" t="s">
        <v>1222</v>
      </c>
    </row>
    <row r="70" spans="1:12" s="173" customFormat="1" ht="17.25">
      <c r="A70" s="172" t="s">
        <v>1223</v>
      </c>
      <c r="B70" s="172"/>
      <c r="C70" s="171"/>
      <c r="D70" s="171"/>
      <c r="E70" s="171"/>
      <c r="F70" s="90" t="s">
        <v>263</v>
      </c>
      <c r="G70" s="171"/>
      <c r="H70" s="171"/>
      <c r="I70" s="171"/>
    </row>
    <row r="71" spans="1:12" s="173" customFormat="1" ht="17.25">
      <c r="A71" s="171"/>
      <c r="B71" s="171"/>
      <c r="C71" s="172"/>
      <c r="D71" s="172"/>
      <c r="E71" s="171"/>
      <c r="F71" s="171"/>
      <c r="G71" s="171"/>
      <c r="H71" s="171"/>
      <c r="I71" s="171"/>
    </row>
    <row r="72" spans="1:12" s="173" customFormat="1">
      <c r="A72" s="171"/>
      <c r="B72" s="195" t="s">
        <v>1099</v>
      </c>
      <c r="C72" s="196"/>
      <c r="D72" s="171"/>
      <c r="E72" s="171"/>
      <c r="F72" s="171"/>
      <c r="G72" s="171"/>
      <c r="H72" s="171"/>
      <c r="I72" s="171"/>
    </row>
    <row r="73" spans="1:12" s="197" customFormat="1">
      <c r="B73" s="19"/>
      <c r="C73" s="19"/>
      <c r="D73" s="20" t="s">
        <v>1100</v>
      </c>
      <c r="E73" s="20" t="s">
        <v>154</v>
      </c>
      <c r="F73" s="20" t="s">
        <v>1101</v>
      </c>
      <c r="G73" s="20" t="s">
        <v>1102</v>
      </c>
      <c r="H73" s="20" t="s">
        <v>832</v>
      </c>
      <c r="I73" s="20" t="s">
        <v>1229</v>
      </c>
    </row>
    <row r="74" spans="1:12" s="197" customFormat="1" ht="14.25">
      <c r="B74" s="1314" t="s">
        <v>1103</v>
      </c>
      <c r="C74" s="1315"/>
      <c r="D74" s="21">
        <v>4.2025596415101736E-2</v>
      </c>
      <c r="E74" s="21">
        <v>0.1368576440026561</v>
      </c>
      <c r="F74" s="21">
        <v>0.1343975301828873</v>
      </c>
      <c r="G74" s="21">
        <v>7.1034499383256997E-2</v>
      </c>
      <c r="H74" s="21">
        <v>4.0436295130167596E-2</v>
      </c>
      <c r="I74" s="21">
        <v>7.5530041959698146E-2</v>
      </c>
      <c r="K74" s="198"/>
      <c r="L74" s="173"/>
    </row>
    <row r="75" spans="1:12" s="197" customFormat="1" ht="14.25">
      <c r="B75" s="1314" t="s">
        <v>1231</v>
      </c>
      <c r="C75" s="1315"/>
      <c r="D75" s="21">
        <v>6.3880174388616637E-2</v>
      </c>
      <c r="E75" s="21">
        <v>0.12427198112286576</v>
      </c>
      <c r="F75" s="21">
        <v>0.10249602600908078</v>
      </c>
      <c r="G75" s="21">
        <v>6.6861705408845701E-2</v>
      </c>
      <c r="H75" s="21">
        <v>6.9684859891015249E-2</v>
      </c>
      <c r="I75" s="21">
        <v>8.2315818974239105E-2</v>
      </c>
      <c r="K75" s="198"/>
    </row>
    <row r="76" spans="1:12" s="197" customFormat="1" ht="14.25">
      <c r="B76" s="1305" t="s">
        <v>870</v>
      </c>
      <c r="C76" s="1306"/>
      <c r="D76" s="384"/>
      <c r="E76" s="384"/>
      <c r="F76" s="384"/>
      <c r="G76" s="384"/>
      <c r="H76" s="384"/>
      <c r="I76" s="384"/>
    </row>
    <row r="77" spans="1:12" s="173" customFormat="1">
      <c r="A77" s="171"/>
      <c r="B77" s="171"/>
      <c r="C77" s="171"/>
      <c r="D77" s="173" t="s">
        <v>157</v>
      </c>
      <c r="E77" s="171"/>
      <c r="F77" s="171"/>
      <c r="G77" s="200"/>
      <c r="H77" s="200"/>
      <c r="I77" s="171"/>
      <c r="J77" s="201"/>
    </row>
    <row r="78" spans="1:12" s="173" customFormat="1" ht="13.5" customHeight="1">
      <c r="A78" s="171"/>
      <c r="B78" s="171"/>
      <c r="C78" s="171"/>
      <c r="D78" s="201"/>
      <c r="F78" s="171"/>
      <c r="G78" s="200"/>
      <c r="H78" s="200"/>
      <c r="I78" s="200"/>
      <c r="K78" s="201"/>
    </row>
    <row r="79" spans="1:12" s="173" customFormat="1">
      <c r="A79" s="171"/>
      <c r="B79" s="195" t="s">
        <v>1234</v>
      </c>
      <c r="C79" s="171"/>
      <c r="D79" s="201"/>
      <c r="E79" s="171"/>
      <c r="F79" s="171"/>
      <c r="G79" s="171"/>
      <c r="H79" s="171"/>
      <c r="I79" s="200"/>
      <c r="K79" s="201"/>
    </row>
    <row r="80" spans="1:12" s="248" customFormat="1">
      <c r="D80" s="20" t="s">
        <v>827</v>
      </c>
      <c r="E80" s="20" t="s">
        <v>154</v>
      </c>
      <c r="F80" s="20" t="s">
        <v>829</v>
      </c>
      <c r="G80" s="20" t="s">
        <v>830</v>
      </c>
      <c r="H80" s="20" t="s">
        <v>832</v>
      </c>
      <c r="I80" s="20" t="s">
        <v>356</v>
      </c>
    </row>
    <row r="81" spans="2:9" s="248" customFormat="1" ht="14.25">
      <c r="B81" s="1314" t="s">
        <v>357</v>
      </c>
      <c r="C81" s="1306"/>
      <c r="D81" s="21">
        <v>4.8976919686729369E-2</v>
      </c>
      <c r="E81" s="21">
        <v>0.1180022570024086</v>
      </c>
      <c r="F81" s="21">
        <v>0.11562964788078764</v>
      </c>
      <c r="G81" s="21">
        <v>6.4831057850677387E-2</v>
      </c>
      <c r="H81" s="21">
        <v>3.0457773057775871E-2</v>
      </c>
      <c r="I81" s="21">
        <v>7.9289169810571838E-2</v>
      </c>
    </row>
    <row r="82" spans="2:9" s="248" customFormat="1" ht="14.25">
      <c r="B82" s="203"/>
      <c r="C82" s="385" t="s">
        <v>358</v>
      </c>
      <c r="D82" s="386">
        <v>2.3585102612680559E-2</v>
      </c>
      <c r="E82" s="387">
        <v>4.6505251728878531E-2</v>
      </c>
      <c r="F82" s="387">
        <v>5.2866037122775593E-2</v>
      </c>
      <c r="G82" s="387">
        <v>3.3286330780147741E-2</v>
      </c>
      <c r="H82" s="387">
        <v>9.6315874155854971E-3</v>
      </c>
      <c r="I82" s="388">
        <v>3.6040531732078107E-2</v>
      </c>
    </row>
    <row r="83" spans="2:9" s="248" customFormat="1" ht="14.25">
      <c r="B83" s="203"/>
      <c r="C83" s="385" t="s">
        <v>359</v>
      </c>
      <c r="D83" s="389">
        <v>6.0429559115354366E-3</v>
      </c>
      <c r="E83" s="390">
        <v>7.0638863715308167E-3</v>
      </c>
      <c r="F83" s="390">
        <v>1.6871990238634813E-2</v>
      </c>
      <c r="G83" s="390">
        <v>6.9615996836979452E-3</v>
      </c>
      <c r="H83" s="390">
        <v>5.8446331463108351E-3</v>
      </c>
      <c r="I83" s="391">
        <v>8.2378358244749959E-3</v>
      </c>
    </row>
    <row r="84" spans="2:9" s="248" customFormat="1" ht="14.25">
      <c r="B84" s="203"/>
      <c r="C84" s="385" t="s">
        <v>360</v>
      </c>
      <c r="D84" s="389">
        <v>9.8350043982412556E-3</v>
      </c>
      <c r="E84" s="390">
        <v>4.9278718191710758E-2</v>
      </c>
      <c r="F84" s="390">
        <v>2.3845968365420789E-2</v>
      </c>
      <c r="G84" s="390">
        <v>1.0442743465173666E-2</v>
      </c>
      <c r="H84" s="390">
        <v>4.6100258200891314E-3</v>
      </c>
      <c r="I84" s="391">
        <v>2.1109454300217177E-2</v>
      </c>
    </row>
    <row r="85" spans="2:9" s="248" customFormat="1" ht="14.25">
      <c r="B85" s="207"/>
      <c r="C85" s="385" t="s">
        <v>361</v>
      </c>
      <c r="D85" s="392">
        <v>9.513856764272131E-3</v>
      </c>
      <c r="E85" s="393">
        <v>1.5154400710288491E-2</v>
      </c>
      <c r="F85" s="393">
        <v>2.2045652153956458E-2</v>
      </c>
      <c r="G85" s="393">
        <v>1.4140383921658034E-2</v>
      </c>
      <c r="H85" s="393">
        <v>1.0371526675790414E-2</v>
      </c>
      <c r="I85" s="394">
        <v>1.3901347953801556E-2</v>
      </c>
    </row>
    <row r="86" spans="2:9" s="248" customFormat="1" ht="14.25">
      <c r="B86" s="1305" t="s">
        <v>362</v>
      </c>
      <c r="C86" s="1306"/>
      <c r="D86" s="21">
        <v>1.2950487239484338E-3</v>
      </c>
      <c r="E86" s="21">
        <v>2.9654702645299878E-3</v>
      </c>
      <c r="F86" s="21">
        <v>2.9562236123179355E-3</v>
      </c>
      <c r="G86" s="21">
        <v>1.6771781404374586E-3</v>
      </c>
      <c r="H86" s="21">
        <v>8.6814799525526058E-4</v>
      </c>
      <c r="I86" s="21">
        <v>1.8798443419092926E-3</v>
      </c>
    </row>
    <row r="87" spans="2:9" s="248" customFormat="1" ht="14.25">
      <c r="B87" s="1305" t="s">
        <v>363</v>
      </c>
      <c r="C87" s="1306"/>
      <c r="D87" s="21">
        <v>1.7495748526958933E-2</v>
      </c>
      <c r="E87" s="21">
        <v>2.5285295816233962E-2</v>
      </c>
      <c r="F87" s="21">
        <v>4.8692957207948591E-2</v>
      </c>
      <c r="G87" s="21">
        <v>9.7722685747886513E-3</v>
      </c>
      <c r="H87" s="21">
        <v>1.0842241746204571E-2</v>
      </c>
      <c r="I87" s="21">
        <v>2.1019277321617048E-2</v>
      </c>
    </row>
    <row r="88" spans="2:9" s="248" customFormat="1">
      <c r="B88" s="1328" t="s">
        <v>364</v>
      </c>
      <c r="C88" s="1329"/>
      <c r="D88" s="21">
        <v>3.6032945181817445E-4</v>
      </c>
      <c r="E88" s="21">
        <v>4.516291398546005E-4</v>
      </c>
      <c r="F88" s="21">
        <v>5.7815021982743277E-4</v>
      </c>
      <c r="G88" s="21">
        <v>3.7714739961465819E-4</v>
      </c>
      <c r="H88" s="21">
        <v>3.9307199150399169E-4</v>
      </c>
      <c r="I88" s="21">
        <v>4.0907009251038931E-4</v>
      </c>
    </row>
    <row r="89" spans="2:9" s="248" customFormat="1">
      <c r="B89" s="1328" t="s">
        <v>1235</v>
      </c>
      <c r="C89" s="1329"/>
      <c r="D89" s="21">
        <v>-2.9824262447874549E-3</v>
      </c>
      <c r="E89" s="21">
        <v>-9.8470082203710452E-3</v>
      </c>
      <c r="F89" s="21">
        <v>-1.3392205730100871E-2</v>
      </c>
      <c r="G89" s="21">
        <v>-5.6231525822611535E-3</v>
      </c>
      <c r="H89" s="21">
        <v>-2.1249396605721067E-3</v>
      </c>
      <c r="I89" s="21">
        <v>-5.772172682696813E-3</v>
      </c>
    </row>
    <row r="90" spans="2:9" s="248" customFormat="1">
      <c r="B90" s="1328" t="s">
        <v>1104</v>
      </c>
      <c r="C90" s="1329"/>
      <c r="D90" s="21">
        <v>-2.3120023729565727E-2</v>
      </c>
      <c r="E90" s="21">
        <v>0</v>
      </c>
      <c r="F90" s="21">
        <v>-2.00672430078934E-2</v>
      </c>
      <c r="G90" s="21">
        <v>0</v>
      </c>
      <c r="H90" s="21">
        <v>0</v>
      </c>
      <c r="I90" s="21">
        <v>-2.129512085602147E-2</v>
      </c>
    </row>
    <row r="91" spans="2:9" s="248" customFormat="1">
      <c r="D91" s="48">
        <f t="shared" ref="D91:I91" si="0">D81+D86+D87+D88+D89+D90</f>
        <v>4.2025596415101729E-2</v>
      </c>
      <c r="E91" s="48">
        <f t="shared" si="0"/>
        <v>0.13685764400265613</v>
      </c>
      <c r="F91" s="48">
        <f t="shared" si="0"/>
        <v>0.13439753018288736</v>
      </c>
      <c r="G91" s="48">
        <f t="shared" si="0"/>
        <v>7.1034499383256997E-2</v>
      </c>
      <c r="H91" s="48">
        <f t="shared" si="0"/>
        <v>4.0436295130167596E-2</v>
      </c>
      <c r="I91" s="48">
        <f t="shared" si="0"/>
        <v>7.5530068027890307E-2</v>
      </c>
    </row>
    <row r="92" spans="2:9" s="248" customFormat="1" ht="12">
      <c r="I92" s="200"/>
    </row>
    <row r="93" spans="2:9" s="248" customFormat="1">
      <c r="B93" s="195" t="s">
        <v>1237</v>
      </c>
      <c r="I93" s="200"/>
    </row>
    <row r="94" spans="2:9" s="248" customFormat="1">
      <c r="D94" s="20" t="s">
        <v>827</v>
      </c>
      <c r="E94" s="20" t="s">
        <v>154</v>
      </c>
      <c r="F94" s="20" t="s">
        <v>829</v>
      </c>
      <c r="G94" s="20" t="s">
        <v>1105</v>
      </c>
      <c r="H94" s="20" t="s">
        <v>832</v>
      </c>
      <c r="I94" s="20" t="s">
        <v>356</v>
      </c>
    </row>
    <row r="95" spans="2:9" s="248" customFormat="1" ht="14.25">
      <c r="B95" s="1305" t="s">
        <v>1240</v>
      </c>
      <c r="C95" s="1306"/>
      <c r="D95" s="21">
        <v>1.3455052528193862E-2</v>
      </c>
      <c r="E95" s="21">
        <v>1.6864271763921801E-2</v>
      </c>
      <c r="F95" s="21">
        <v>2.158869206420104E-2</v>
      </c>
      <c r="G95" s="21">
        <v>1.4083051071960678E-2</v>
      </c>
      <c r="H95" s="21">
        <v>1.4677690836431423E-2</v>
      </c>
      <c r="I95" s="21">
        <v>1.5274102091223646E-2</v>
      </c>
    </row>
    <row r="96" spans="2:9" s="248" customFormat="1" ht="14.25">
      <c r="B96" s="1305" t="s">
        <v>1239</v>
      </c>
      <c r="C96" s="1306"/>
      <c r="D96" s="21">
        <v>3.3878476094177615E-2</v>
      </c>
      <c r="E96" s="21">
        <v>8.8203596720329444E-2</v>
      </c>
      <c r="F96" s="21">
        <v>5.4358166678950555E-2</v>
      </c>
      <c r="G96" s="21">
        <v>3.5459713596417121E-2</v>
      </c>
      <c r="H96" s="21">
        <v>3.6956957029919621E-2</v>
      </c>
      <c r="I96" s="21">
        <v>4.8598348651826093E-2</v>
      </c>
    </row>
    <row r="97" spans="1:12" s="248" customFormat="1" ht="14.25">
      <c r="B97" s="1307" t="s">
        <v>1106</v>
      </c>
      <c r="C97" s="1308"/>
      <c r="D97" s="21">
        <v>2.5689973491871392E-2</v>
      </c>
      <c r="E97" s="21">
        <v>3.2199257020145026E-2</v>
      </c>
      <c r="F97" s="21">
        <v>4.1219677566576358E-2</v>
      </c>
      <c r="G97" s="21">
        <v>2.6889022392535111E-2</v>
      </c>
      <c r="H97" s="21">
        <v>2.8024378776648512E-2</v>
      </c>
      <c r="I97" s="21">
        <v>2.9163117499054869E-2</v>
      </c>
    </row>
    <row r="98" spans="1:12" s="248" customFormat="1" ht="14.25">
      <c r="B98" s="1305" t="s">
        <v>1086</v>
      </c>
      <c r="C98" s="1306"/>
      <c r="D98" s="21">
        <v>-9.143327725626248E-3</v>
      </c>
      <c r="E98" s="21">
        <v>-1.2995144381530524E-2</v>
      </c>
      <c r="F98" s="21">
        <v>-1.4670510300647166E-2</v>
      </c>
      <c r="G98" s="21">
        <v>-9.5700816520672052E-3</v>
      </c>
      <c r="H98" s="21">
        <v>-9.9741667519843164E-3</v>
      </c>
      <c r="I98" s="21">
        <v>-1.071974926786551E-2</v>
      </c>
    </row>
    <row r="99" spans="1:12" s="248" customFormat="1">
      <c r="D99" s="48">
        <f t="shared" ref="D99:I99" si="1">SUM(D95:D98)</f>
        <v>6.3880174388616623E-2</v>
      </c>
      <c r="E99" s="48">
        <f t="shared" si="1"/>
        <v>0.12427198112286574</v>
      </c>
      <c r="F99" s="48">
        <f t="shared" si="1"/>
        <v>0.10249602600908078</v>
      </c>
      <c r="G99" s="48">
        <f t="shared" si="1"/>
        <v>6.6861705408845715E-2</v>
      </c>
      <c r="H99" s="48">
        <f t="shared" si="1"/>
        <v>6.9684859891015249E-2</v>
      </c>
      <c r="I99" s="48">
        <f t="shared" si="1"/>
        <v>8.2315818974239105E-2</v>
      </c>
    </row>
    <row r="100" spans="1:12" s="173" customFormat="1">
      <c r="A100" s="171"/>
      <c r="D100" s="176"/>
      <c r="E100" s="176"/>
      <c r="I100" s="200"/>
    </row>
    <row r="101" spans="1:12" s="173" customFormat="1">
      <c r="A101" s="171"/>
      <c r="B101" s="195" t="s">
        <v>1107</v>
      </c>
      <c r="C101" s="171"/>
      <c r="D101" s="171"/>
      <c r="E101" s="171"/>
      <c r="F101" s="171"/>
      <c r="G101" s="171"/>
      <c r="H101" s="171"/>
      <c r="I101" s="171"/>
    </row>
    <row r="102" spans="1:12" s="173" customFormat="1">
      <c r="A102" s="171"/>
      <c r="B102" s="195" t="s">
        <v>1108</v>
      </c>
      <c r="C102" s="171"/>
      <c r="D102" s="171"/>
      <c r="E102" s="171"/>
      <c r="F102" s="171"/>
      <c r="G102" s="171"/>
      <c r="H102" s="171"/>
      <c r="I102" s="171"/>
    </row>
    <row r="103" spans="1:12" s="173" customFormat="1">
      <c r="A103" s="171"/>
      <c r="B103" s="195"/>
      <c r="C103" s="171"/>
      <c r="D103" s="171"/>
      <c r="E103" s="171"/>
      <c r="F103" s="171"/>
      <c r="G103" s="171"/>
      <c r="H103" s="171"/>
      <c r="I103" s="171"/>
    </row>
    <row r="104" spans="1:12" s="173" customFormat="1">
      <c r="A104" s="171"/>
      <c r="B104" s="171"/>
      <c r="C104" s="171"/>
      <c r="D104" s="171"/>
      <c r="E104" s="171"/>
      <c r="F104" s="171"/>
      <c r="G104" s="171"/>
      <c r="H104" s="171"/>
      <c r="I104" s="171"/>
    </row>
    <row r="105" spans="1:12" s="243" customFormat="1" ht="17.25">
      <c r="A105" s="244" t="s">
        <v>1109</v>
      </c>
      <c r="F105" s="245">
        <v>655</v>
      </c>
      <c r="G105" s="246" t="s">
        <v>189</v>
      </c>
    </row>
    <row r="106" spans="1:12" s="243" customFormat="1" ht="12"/>
    <row r="107" spans="1:12" s="243" customFormat="1" ht="17.25">
      <c r="A107" s="244" t="s">
        <v>1110</v>
      </c>
    </row>
    <row r="108" spans="1:12" s="248" customFormat="1">
      <c r="A108" s="171"/>
      <c r="B108" s="243"/>
      <c r="C108" s="62" t="s">
        <v>191</v>
      </c>
      <c r="D108" s="63"/>
      <c r="E108" s="64" t="s">
        <v>192</v>
      </c>
      <c r="F108" s="247">
        <v>90</v>
      </c>
      <c r="G108" s="63" t="s">
        <v>193</v>
      </c>
      <c r="H108" s="243"/>
      <c r="I108" s="243"/>
      <c r="K108" s="243"/>
      <c r="L108" s="243"/>
    </row>
    <row r="109" spans="1:12" s="248" customFormat="1">
      <c r="A109" s="243"/>
      <c r="B109" s="243"/>
      <c r="C109" s="62" t="s">
        <v>194</v>
      </c>
      <c r="D109" s="63"/>
      <c r="E109" s="64" t="s">
        <v>195</v>
      </c>
      <c r="F109" s="247">
        <v>105</v>
      </c>
      <c r="G109" s="63" t="s">
        <v>193</v>
      </c>
      <c r="H109" s="243"/>
      <c r="I109" s="243"/>
      <c r="K109" s="243"/>
      <c r="L109" s="243"/>
    </row>
    <row r="110" spans="1:12" s="248" customFormat="1">
      <c r="A110" s="243"/>
      <c r="B110" s="243"/>
      <c r="C110" s="62" t="s">
        <v>365</v>
      </c>
      <c r="D110" s="63"/>
      <c r="E110" s="64" t="s">
        <v>197</v>
      </c>
      <c r="F110" s="247">
        <v>131.74</v>
      </c>
      <c r="G110" s="63" t="s">
        <v>193</v>
      </c>
      <c r="H110" s="243"/>
      <c r="I110" s="243"/>
      <c r="K110" s="243"/>
      <c r="L110" s="243"/>
    </row>
    <row r="111" spans="1:12" s="248" customFormat="1">
      <c r="A111" s="243"/>
      <c r="B111" s="243"/>
      <c r="C111" s="62" t="s">
        <v>366</v>
      </c>
      <c r="D111" s="63"/>
      <c r="E111" s="64" t="s">
        <v>199</v>
      </c>
      <c r="F111" s="249">
        <v>10.6</v>
      </c>
      <c r="G111" s="63" t="s">
        <v>193</v>
      </c>
      <c r="H111" s="243"/>
      <c r="I111" s="243"/>
      <c r="J111" s="243"/>
      <c r="K111" s="243"/>
      <c r="L111" s="243"/>
    </row>
    <row r="112" spans="1:12" s="248" customFormat="1">
      <c r="A112" s="243"/>
      <c r="B112" s="243"/>
      <c r="C112" s="62" t="s">
        <v>367</v>
      </c>
      <c r="D112" s="63"/>
      <c r="E112" s="64" t="s">
        <v>201</v>
      </c>
      <c r="F112" s="249">
        <v>67.3</v>
      </c>
      <c r="G112" s="63" t="s">
        <v>193</v>
      </c>
      <c r="H112" s="243"/>
      <c r="I112" s="243"/>
      <c r="J112" s="243"/>
      <c r="K112" s="243"/>
      <c r="L112" s="243"/>
    </row>
    <row r="113" spans="1:12" s="248" customFormat="1">
      <c r="A113" s="243"/>
      <c r="B113" s="243"/>
      <c r="C113" s="62" t="s">
        <v>202</v>
      </c>
      <c r="D113" s="63"/>
      <c r="E113" s="64" t="s">
        <v>203</v>
      </c>
      <c r="F113" s="247">
        <v>13</v>
      </c>
      <c r="G113" s="63" t="s">
        <v>193</v>
      </c>
      <c r="H113" s="243"/>
      <c r="I113" s="243"/>
      <c r="J113" s="243"/>
      <c r="K113" s="243"/>
      <c r="L113" s="243"/>
    </row>
    <row r="114" spans="1:12" s="248" customFormat="1">
      <c r="A114" s="243"/>
      <c r="B114" s="243"/>
      <c r="C114" s="62" t="s">
        <v>368</v>
      </c>
      <c r="D114" s="63"/>
      <c r="E114" s="64" t="s">
        <v>205</v>
      </c>
      <c r="F114" s="249">
        <v>2.68</v>
      </c>
      <c r="G114" s="63" t="s">
        <v>193</v>
      </c>
      <c r="H114" s="243"/>
      <c r="I114" s="243"/>
      <c r="J114" s="243"/>
      <c r="K114" s="243"/>
      <c r="L114" s="243"/>
    </row>
    <row r="115" spans="1:12" s="248" customFormat="1">
      <c r="A115" s="243"/>
      <c r="B115" s="243"/>
      <c r="C115" s="62" t="s">
        <v>369</v>
      </c>
      <c r="D115" s="63"/>
      <c r="E115" s="64" t="s">
        <v>207</v>
      </c>
      <c r="F115" s="249">
        <v>2.0299999999999998</v>
      </c>
      <c r="G115" s="63" t="s">
        <v>193</v>
      </c>
      <c r="H115" s="243"/>
      <c r="I115" s="243"/>
      <c r="J115" s="243"/>
      <c r="K115" s="243"/>
      <c r="L115" s="243"/>
    </row>
    <row r="116" spans="1:12" s="248" customFormat="1">
      <c r="A116" s="243"/>
      <c r="B116" s="243"/>
      <c r="C116" s="62" t="s">
        <v>1111</v>
      </c>
      <c r="D116" s="63"/>
      <c r="E116" s="64" t="s">
        <v>209</v>
      </c>
      <c r="F116" s="250">
        <v>8.6E-3</v>
      </c>
      <c r="G116" s="63" t="s">
        <v>193</v>
      </c>
      <c r="H116" s="243"/>
      <c r="I116" s="243"/>
      <c r="J116" s="243"/>
      <c r="K116" s="243"/>
      <c r="L116" s="243"/>
    </row>
    <row r="117" spans="1:12" s="248" customFormat="1">
      <c r="A117" s="243"/>
      <c r="B117" s="243"/>
      <c r="C117" s="62" t="s">
        <v>370</v>
      </c>
      <c r="D117" s="63"/>
      <c r="E117" s="64" t="s">
        <v>211</v>
      </c>
      <c r="F117" s="249">
        <v>2.82</v>
      </c>
      <c r="G117" s="63" t="s">
        <v>193</v>
      </c>
      <c r="H117" s="243"/>
      <c r="I117" s="243"/>
      <c r="J117" s="243"/>
      <c r="L117" s="243"/>
    </row>
    <row r="118" spans="1:12" s="248" customFormat="1">
      <c r="A118" s="243"/>
      <c r="B118" s="243"/>
      <c r="C118" s="62" t="s">
        <v>572</v>
      </c>
      <c r="D118" s="63"/>
      <c r="E118" s="64" t="s">
        <v>213</v>
      </c>
      <c r="F118" s="251">
        <v>7.5999999999999998E-2</v>
      </c>
      <c r="G118" s="63" t="s">
        <v>193</v>
      </c>
      <c r="H118" s="243"/>
      <c r="I118" s="243"/>
      <c r="J118" s="243"/>
    </row>
    <row r="119" spans="1:12" s="248" customFormat="1">
      <c r="A119" s="243"/>
      <c r="B119" s="243"/>
      <c r="C119" s="62" t="s">
        <v>1112</v>
      </c>
      <c r="D119" s="63"/>
      <c r="E119" s="64" t="s">
        <v>215</v>
      </c>
      <c r="F119" s="249">
        <v>40</v>
      </c>
      <c r="G119" s="63" t="s">
        <v>826</v>
      </c>
      <c r="H119" s="243"/>
      <c r="I119" s="243"/>
      <c r="J119" s="243"/>
    </row>
    <row r="120" spans="1:12" s="248" customFormat="1">
      <c r="A120" s="243"/>
      <c r="B120" s="243"/>
      <c r="C120" s="62" t="s">
        <v>1113</v>
      </c>
      <c r="D120" s="63"/>
      <c r="E120" s="64" t="s">
        <v>217</v>
      </c>
      <c r="F120" s="247">
        <v>82.74</v>
      </c>
      <c r="G120" s="63" t="s">
        <v>826</v>
      </c>
      <c r="H120" s="243"/>
      <c r="I120" s="243"/>
    </row>
    <row r="121" spans="1:12" s="248" customFormat="1">
      <c r="A121" s="243"/>
      <c r="B121" s="243"/>
      <c r="C121" s="62" t="s">
        <v>1114</v>
      </c>
      <c r="D121" s="63"/>
      <c r="E121" s="64" t="s">
        <v>371</v>
      </c>
      <c r="F121" s="249">
        <v>4.24</v>
      </c>
      <c r="G121" s="63" t="s">
        <v>826</v>
      </c>
      <c r="H121" s="243"/>
      <c r="I121" s="243"/>
    </row>
    <row r="122" spans="1:12" s="248" customFormat="1">
      <c r="A122" s="243"/>
      <c r="B122" s="243"/>
      <c r="C122" s="62" t="s">
        <v>372</v>
      </c>
      <c r="D122" s="63"/>
      <c r="E122" s="64" t="s">
        <v>373</v>
      </c>
      <c r="F122" s="249">
        <v>1.51</v>
      </c>
      <c r="G122" s="63" t="s">
        <v>826</v>
      </c>
      <c r="H122" s="243"/>
      <c r="I122" s="243"/>
    </row>
    <row r="123" spans="1:12" s="248" customFormat="1">
      <c r="A123" s="243"/>
      <c r="B123" s="243"/>
      <c r="C123" s="62" t="s">
        <v>1115</v>
      </c>
      <c r="D123" s="63"/>
      <c r="E123" s="64" t="s">
        <v>223</v>
      </c>
      <c r="F123" s="249">
        <v>26.97</v>
      </c>
      <c r="G123" s="63" t="s">
        <v>193</v>
      </c>
      <c r="H123" s="243"/>
      <c r="I123" s="243"/>
    </row>
    <row r="124" spans="1:12" s="248" customFormat="1">
      <c r="A124" s="243"/>
      <c r="B124" s="243"/>
      <c r="C124" s="62" t="s">
        <v>374</v>
      </c>
      <c r="D124" s="63"/>
      <c r="E124" s="64" t="s">
        <v>375</v>
      </c>
      <c r="F124" s="249">
        <v>0.38</v>
      </c>
      <c r="G124" s="63" t="s">
        <v>193</v>
      </c>
      <c r="H124" s="243"/>
      <c r="I124" s="243"/>
    </row>
    <row r="125" spans="1:12" s="248" customFormat="1">
      <c r="A125" s="243"/>
      <c r="B125" s="243"/>
      <c r="C125" s="395"/>
      <c r="D125" s="395"/>
      <c r="E125" s="243"/>
      <c r="F125" s="243"/>
      <c r="G125" s="243"/>
      <c r="H125" s="243"/>
      <c r="I125" s="243"/>
    </row>
    <row r="126" spans="1:12" s="248" customFormat="1">
      <c r="A126" s="243"/>
      <c r="B126" s="243"/>
      <c r="C126" s="395"/>
      <c r="D126" s="395"/>
      <c r="E126" s="243"/>
      <c r="F126" s="243"/>
      <c r="G126" s="243"/>
      <c r="H126" s="243"/>
      <c r="I126" s="243"/>
    </row>
    <row r="127" spans="1:12" s="243" customFormat="1" ht="17.25" hidden="1" outlineLevel="1">
      <c r="A127" s="244" t="s">
        <v>577</v>
      </c>
      <c r="F127" s="252"/>
    </row>
    <row r="128" spans="1:12" s="248" customFormat="1" ht="12" hidden="1" outlineLevel="1">
      <c r="A128" s="243"/>
      <c r="B128" s="243"/>
      <c r="C128" s="243"/>
      <c r="D128" s="243"/>
      <c r="E128" s="243"/>
      <c r="F128" s="243"/>
      <c r="G128" s="243"/>
      <c r="H128" s="243"/>
      <c r="I128" s="243"/>
    </row>
    <row r="129" spans="1:11" s="248" customFormat="1" hidden="1" outlineLevel="1">
      <c r="A129" s="243"/>
      <c r="B129" s="254" t="s">
        <v>579</v>
      </c>
      <c r="C129" s="243"/>
      <c r="D129" s="243"/>
      <c r="E129" s="243"/>
      <c r="F129" s="243"/>
      <c r="G129" s="243"/>
      <c r="H129" s="243"/>
      <c r="I129" s="1302" t="s">
        <v>226</v>
      </c>
      <c r="J129" s="1302"/>
      <c r="K129" s="1302"/>
    </row>
    <row r="130" spans="1:11" s="248" customFormat="1" ht="12" hidden="1" outlineLevel="1">
      <c r="A130" s="243"/>
      <c r="B130" s="1303" t="s">
        <v>227</v>
      </c>
      <c r="C130" s="1304"/>
      <c r="D130" s="1303" t="s">
        <v>228</v>
      </c>
      <c r="E130" s="1304"/>
      <c r="F130" s="3" t="s">
        <v>73</v>
      </c>
      <c r="G130" s="3" t="s">
        <v>74</v>
      </c>
      <c r="H130" s="72" t="s">
        <v>229</v>
      </c>
      <c r="I130" s="73" t="s">
        <v>73</v>
      </c>
      <c r="J130" s="73" t="s">
        <v>74</v>
      </c>
      <c r="K130" s="73" t="s">
        <v>229</v>
      </c>
    </row>
    <row r="131" spans="1:11" s="248" customFormat="1" hidden="1" outlineLevel="1">
      <c r="A131" s="243"/>
      <c r="B131" s="74" t="s">
        <v>580</v>
      </c>
      <c r="C131" s="75"/>
      <c r="D131" s="4" t="s">
        <v>1116</v>
      </c>
      <c r="E131" s="76"/>
      <c r="F131" s="119">
        <v>3.26</v>
      </c>
      <c r="G131" s="119">
        <v>17.37</v>
      </c>
      <c r="H131" s="6" t="s">
        <v>1117</v>
      </c>
      <c r="I131" s="255">
        <f t="shared" ref="I131:I141" si="2">F131*$F$108</f>
        <v>293.39999999999998</v>
      </c>
      <c r="J131" s="255">
        <f t="shared" ref="J131:J141" si="3">G131*$F$108</f>
        <v>1563.3000000000002</v>
      </c>
      <c r="K131" s="256" t="s">
        <v>1118</v>
      </c>
    </row>
    <row r="132" spans="1:11" s="248" customFormat="1" hidden="1" outlineLevel="1">
      <c r="A132" s="243"/>
      <c r="B132" s="78"/>
      <c r="C132" s="79"/>
      <c r="D132" s="4" t="s">
        <v>1119</v>
      </c>
      <c r="E132" s="76"/>
      <c r="F132" s="119">
        <v>2.06</v>
      </c>
      <c r="G132" s="119">
        <v>17.11</v>
      </c>
      <c r="H132" s="6" t="s">
        <v>1117</v>
      </c>
      <c r="I132" s="255">
        <f t="shared" si="2"/>
        <v>185.4</v>
      </c>
      <c r="J132" s="255">
        <f t="shared" si="3"/>
        <v>1539.8999999999999</v>
      </c>
      <c r="K132" s="256" t="s">
        <v>1118</v>
      </c>
    </row>
    <row r="133" spans="1:11" s="248" customFormat="1" hidden="1" outlineLevel="1">
      <c r="A133" s="243"/>
      <c r="B133" s="78"/>
      <c r="C133" s="79"/>
      <c r="D133" s="4" t="s">
        <v>1120</v>
      </c>
      <c r="E133" s="76"/>
      <c r="F133" s="119">
        <v>3.21</v>
      </c>
      <c r="G133" s="119">
        <v>10.27</v>
      </c>
      <c r="H133" s="6" t="s">
        <v>1117</v>
      </c>
      <c r="I133" s="255">
        <f t="shared" si="2"/>
        <v>288.89999999999998</v>
      </c>
      <c r="J133" s="255">
        <f t="shared" si="3"/>
        <v>924.3</v>
      </c>
      <c r="K133" s="256" t="s">
        <v>1118</v>
      </c>
    </row>
    <row r="134" spans="1:11" s="248" customFormat="1" hidden="1" outlineLevel="1">
      <c r="A134" s="243"/>
      <c r="B134" s="78"/>
      <c r="C134" s="79"/>
      <c r="D134" s="4" t="s">
        <v>236</v>
      </c>
      <c r="E134" s="76"/>
      <c r="F134" s="119">
        <v>4.13</v>
      </c>
      <c r="G134" s="119">
        <v>10.37</v>
      </c>
      <c r="H134" s="6" t="s">
        <v>1117</v>
      </c>
      <c r="I134" s="255">
        <f t="shared" si="2"/>
        <v>371.7</v>
      </c>
      <c r="J134" s="255">
        <f t="shared" si="3"/>
        <v>933.3</v>
      </c>
      <c r="K134" s="256" t="s">
        <v>1118</v>
      </c>
    </row>
    <row r="135" spans="1:11" s="248" customFormat="1" hidden="1" outlineLevel="1">
      <c r="A135" s="243"/>
      <c r="B135" s="78"/>
      <c r="C135" s="79"/>
      <c r="D135" s="4" t="s">
        <v>239</v>
      </c>
      <c r="E135" s="76"/>
      <c r="F135" s="119">
        <v>3.36</v>
      </c>
      <c r="G135" s="119">
        <v>2.31</v>
      </c>
      <c r="H135" s="6" t="s">
        <v>1117</v>
      </c>
      <c r="I135" s="255">
        <f t="shared" si="2"/>
        <v>302.39999999999998</v>
      </c>
      <c r="J135" s="255">
        <f t="shared" si="3"/>
        <v>207.9</v>
      </c>
      <c r="K135" s="256" t="s">
        <v>1118</v>
      </c>
    </row>
    <row r="136" spans="1:11" s="248" customFormat="1" hidden="1" outlineLevel="1">
      <c r="A136" s="243"/>
      <c r="B136" s="78"/>
      <c r="C136" s="79"/>
      <c r="D136" s="4" t="s">
        <v>1121</v>
      </c>
      <c r="E136" s="76"/>
      <c r="F136" s="119">
        <v>5.23</v>
      </c>
      <c r="G136" s="119">
        <v>31.4</v>
      </c>
      <c r="H136" s="6" t="s">
        <v>1117</v>
      </c>
      <c r="I136" s="255">
        <f t="shared" si="2"/>
        <v>470.70000000000005</v>
      </c>
      <c r="J136" s="255">
        <f t="shared" si="3"/>
        <v>2826</v>
      </c>
      <c r="K136" s="256" t="s">
        <v>1118</v>
      </c>
    </row>
    <row r="137" spans="1:11" s="248" customFormat="1" hidden="1" outlineLevel="1">
      <c r="A137" s="243"/>
      <c r="B137" s="78"/>
      <c r="C137" s="79"/>
      <c r="D137" s="4" t="s">
        <v>241</v>
      </c>
      <c r="E137" s="76"/>
      <c r="F137" s="119">
        <v>4.08</v>
      </c>
      <c r="G137" s="119">
        <v>5.38</v>
      </c>
      <c r="H137" s="6" t="s">
        <v>1122</v>
      </c>
      <c r="I137" s="255">
        <f t="shared" si="2"/>
        <v>367.2</v>
      </c>
      <c r="J137" s="255">
        <f t="shared" si="3"/>
        <v>484.2</v>
      </c>
      <c r="K137" s="256" t="s">
        <v>1123</v>
      </c>
    </row>
    <row r="138" spans="1:11" s="248" customFormat="1" hidden="1" outlineLevel="1">
      <c r="A138" s="243"/>
      <c r="B138" s="78"/>
      <c r="C138" s="79"/>
      <c r="D138" s="4" t="s">
        <v>1124</v>
      </c>
      <c r="E138" s="76"/>
      <c r="F138" s="119">
        <v>4.55</v>
      </c>
      <c r="G138" s="119">
        <v>6.51</v>
      </c>
      <c r="H138" s="6" t="s">
        <v>1122</v>
      </c>
      <c r="I138" s="255">
        <f t="shared" si="2"/>
        <v>409.5</v>
      </c>
      <c r="J138" s="255">
        <f t="shared" si="3"/>
        <v>585.9</v>
      </c>
      <c r="K138" s="256" t="s">
        <v>1123</v>
      </c>
    </row>
    <row r="139" spans="1:11" s="248" customFormat="1" hidden="1" outlineLevel="1">
      <c r="A139" s="243"/>
      <c r="B139" s="78"/>
      <c r="C139" s="79"/>
      <c r="D139" s="4" t="s">
        <v>242</v>
      </c>
      <c r="E139" s="76"/>
      <c r="F139" s="119">
        <v>3.18</v>
      </c>
      <c r="G139" s="119">
        <v>3.76</v>
      </c>
      <c r="H139" s="6" t="s">
        <v>1117</v>
      </c>
      <c r="I139" s="255">
        <f t="shared" si="2"/>
        <v>286.2</v>
      </c>
      <c r="J139" s="255">
        <f t="shared" si="3"/>
        <v>338.4</v>
      </c>
      <c r="K139" s="256" t="s">
        <v>1118</v>
      </c>
    </row>
    <row r="140" spans="1:11" s="248" customFormat="1" hidden="1" outlineLevel="1">
      <c r="A140" s="243"/>
      <c r="B140" s="78"/>
      <c r="C140" s="79"/>
      <c r="D140" s="80" t="s">
        <v>243</v>
      </c>
      <c r="E140" s="76"/>
      <c r="F140" s="119">
        <v>3.75</v>
      </c>
      <c r="G140" s="119">
        <v>0.88</v>
      </c>
      <c r="H140" s="6" t="s">
        <v>1125</v>
      </c>
      <c r="I140" s="255">
        <f t="shared" si="2"/>
        <v>337.5</v>
      </c>
      <c r="J140" s="255">
        <f t="shared" si="3"/>
        <v>79.2</v>
      </c>
      <c r="K140" s="256" t="s">
        <v>1126</v>
      </c>
    </row>
    <row r="141" spans="1:11" s="248" customFormat="1" hidden="1" outlineLevel="1">
      <c r="A141" s="243"/>
      <c r="B141" s="81"/>
      <c r="C141" s="82"/>
      <c r="D141" s="4" t="s">
        <v>246</v>
      </c>
      <c r="E141" s="76"/>
      <c r="F141" s="119">
        <v>2.5</v>
      </c>
      <c r="G141" s="119">
        <v>0.13</v>
      </c>
      <c r="H141" s="6" t="s">
        <v>1125</v>
      </c>
      <c r="I141" s="255">
        <f t="shared" si="2"/>
        <v>225</v>
      </c>
      <c r="J141" s="255">
        <f t="shared" si="3"/>
        <v>11.700000000000001</v>
      </c>
      <c r="K141" s="256" t="s">
        <v>1126</v>
      </c>
    </row>
    <row r="142" spans="1:11" s="248" customFormat="1" hidden="1" outlineLevel="1">
      <c r="A142" s="243"/>
      <c r="B142" s="74" t="s">
        <v>1127</v>
      </c>
      <c r="C142" s="75"/>
      <c r="D142" s="4" t="s">
        <v>248</v>
      </c>
      <c r="E142" s="76"/>
      <c r="F142" s="120">
        <v>123.627</v>
      </c>
      <c r="G142" s="120">
        <v>38</v>
      </c>
      <c r="H142" s="6" t="s">
        <v>1128</v>
      </c>
      <c r="I142" s="396">
        <f>F142*$F$121</f>
        <v>524.17848000000004</v>
      </c>
      <c r="J142" s="396">
        <f>G142*$F$121</f>
        <v>161.12</v>
      </c>
      <c r="K142" s="256" t="s">
        <v>1118</v>
      </c>
    </row>
    <row r="143" spans="1:11" s="248" customFormat="1" hidden="1" outlineLevel="1">
      <c r="A143" s="243"/>
      <c r="B143" s="81"/>
      <c r="C143" s="82"/>
      <c r="D143" s="4" t="s">
        <v>250</v>
      </c>
      <c r="E143" s="76"/>
      <c r="F143" s="120">
        <v>123.627</v>
      </c>
      <c r="G143" s="120">
        <v>38</v>
      </c>
      <c r="H143" s="6" t="s">
        <v>1128</v>
      </c>
      <c r="I143" s="396">
        <f>F143*$F$121</f>
        <v>524.17848000000004</v>
      </c>
      <c r="J143" s="396">
        <f>G143*$F$121</f>
        <v>161.12</v>
      </c>
      <c r="K143" s="256" t="s">
        <v>1118</v>
      </c>
    </row>
    <row r="144" spans="1:11" s="248" customFormat="1" hidden="1" outlineLevel="1">
      <c r="A144" s="243"/>
      <c r="B144" s="74" t="s">
        <v>1129</v>
      </c>
      <c r="C144" s="75"/>
      <c r="D144" s="4" t="s">
        <v>248</v>
      </c>
      <c r="E144" s="76"/>
      <c r="F144" s="7">
        <v>54.46</v>
      </c>
      <c r="G144" s="7">
        <v>124.14</v>
      </c>
      <c r="H144" s="6" t="s">
        <v>1130</v>
      </c>
      <c r="I144" s="77">
        <f t="shared" ref="I144:J146" si="4">F144*$F$114</f>
        <v>145.95280000000002</v>
      </c>
      <c r="J144" s="77">
        <f t="shared" si="4"/>
        <v>332.6952</v>
      </c>
      <c r="K144" s="256" t="s">
        <v>1118</v>
      </c>
    </row>
    <row r="145" spans="1:11" s="248" customFormat="1" hidden="1" outlineLevel="1">
      <c r="A145" s="243"/>
      <c r="B145" s="78"/>
      <c r="C145" s="79"/>
      <c r="D145" s="4" t="s">
        <v>250</v>
      </c>
      <c r="E145" s="76"/>
      <c r="F145" s="7">
        <v>54.46</v>
      </c>
      <c r="G145" s="7">
        <v>53.71</v>
      </c>
      <c r="H145" s="6" t="s">
        <v>1130</v>
      </c>
      <c r="I145" s="77">
        <f t="shared" si="4"/>
        <v>145.95280000000002</v>
      </c>
      <c r="J145" s="77">
        <f t="shared" si="4"/>
        <v>143.94280000000001</v>
      </c>
      <c r="K145" s="256" t="s">
        <v>1118</v>
      </c>
    </row>
    <row r="146" spans="1:11" s="248" customFormat="1" hidden="1" outlineLevel="1">
      <c r="A146" s="243"/>
      <c r="B146" s="78"/>
      <c r="C146" s="79"/>
      <c r="D146" s="4" t="s">
        <v>587</v>
      </c>
      <c r="E146" s="76"/>
      <c r="F146" s="7">
        <v>47.22</v>
      </c>
      <c r="G146" s="7">
        <v>63.73</v>
      </c>
      <c r="H146" s="6" t="s">
        <v>1130</v>
      </c>
      <c r="I146" s="77">
        <f t="shared" si="4"/>
        <v>126.5496</v>
      </c>
      <c r="J146" s="77">
        <f t="shared" si="4"/>
        <v>170.79640000000001</v>
      </c>
      <c r="K146" s="256" t="s">
        <v>1118</v>
      </c>
    </row>
    <row r="147" spans="1:11" s="248" customFormat="1" hidden="1" outlineLevel="1">
      <c r="A147" s="243"/>
      <c r="B147" s="74" t="s">
        <v>1131</v>
      </c>
      <c r="C147" s="75"/>
      <c r="D147" s="4" t="s">
        <v>248</v>
      </c>
      <c r="E147" s="76"/>
      <c r="F147" s="119">
        <v>143.76</v>
      </c>
      <c r="G147" s="119">
        <v>622.91</v>
      </c>
      <c r="H147" s="6" t="s">
        <v>1118</v>
      </c>
      <c r="I147" s="255">
        <v>143.76</v>
      </c>
      <c r="J147" s="255">
        <v>622.91</v>
      </c>
      <c r="K147" s="256" t="s">
        <v>1118</v>
      </c>
    </row>
    <row r="148" spans="1:11" s="248" customFormat="1" hidden="1" outlineLevel="1">
      <c r="A148" s="243"/>
      <c r="B148" s="78"/>
      <c r="C148" s="79"/>
      <c r="D148" s="4" t="s">
        <v>1132</v>
      </c>
      <c r="E148" s="76"/>
      <c r="F148" s="119">
        <v>207.18</v>
      </c>
      <c r="G148" s="119">
        <v>185.51</v>
      </c>
      <c r="H148" s="6" t="s">
        <v>1118</v>
      </c>
      <c r="I148" s="255">
        <v>207.18</v>
      </c>
      <c r="J148" s="255">
        <v>185.51</v>
      </c>
      <c r="K148" s="256" t="s">
        <v>1118</v>
      </c>
    </row>
    <row r="149" spans="1:11" s="248" customFormat="1" hidden="1" outlineLevel="1">
      <c r="A149" s="243"/>
      <c r="B149" s="81"/>
      <c r="C149" s="82"/>
      <c r="D149" s="4" t="s">
        <v>250</v>
      </c>
      <c r="E149" s="76"/>
      <c r="F149" s="119">
        <v>226.09</v>
      </c>
      <c r="G149" s="119">
        <v>53.68</v>
      </c>
      <c r="H149" s="6" t="s">
        <v>1118</v>
      </c>
      <c r="I149" s="255">
        <v>226.09</v>
      </c>
      <c r="J149" s="255">
        <v>53.68</v>
      </c>
      <c r="K149" s="256" t="s">
        <v>1118</v>
      </c>
    </row>
    <row r="150" spans="1:11" s="248" customFormat="1" hidden="1" outlineLevel="1">
      <c r="A150" s="243"/>
      <c r="B150" s="257" t="s">
        <v>1133</v>
      </c>
      <c r="C150" s="258"/>
      <c r="D150" s="259" t="s">
        <v>236</v>
      </c>
      <c r="E150" s="260"/>
      <c r="F150" s="261">
        <v>7.5</v>
      </c>
      <c r="G150" s="262">
        <v>47.4</v>
      </c>
      <c r="H150" s="263" t="s">
        <v>1134</v>
      </c>
      <c r="I150" s="255">
        <f>F150*$F$113</f>
        <v>97.5</v>
      </c>
      <c r="J150" s="255">
        <f>G150</f>
        <v>47.4</v>
      </c>
      <c r="K150" s="256" t="s">
        <v>1118</v>
      </c>
    </row>
    <row r="151" spans="1:11" s="248" customFormat="1" hidden="1" outlineLevel="1">
      <c r="A151" s="243"/>
      <c r="B151" s="81"/>
      <c r="C151" s="82"/>
      <c r="D151" s="4" t="s">
        <v>250</v>
      </c>
      <c r="E151" s="76"/>
      <c r="F151" s="261">
        <v>7.5</v>
      </c>
      <c r="G151" s="264">
        <v>47.4</v>
      </c>
      <c r="H151" s="263" t="s">
        <v>1134</v>
      </c>
      <c r="I151" s="255">
        <f>F151*$F$113</f>
        <v>97.5</v>
      </c>
      <c r="J151" s="255">
        <f>G151</f>
        <v>47.4</v>
      </c>
      <c r="K151" s="256" t="s">
        <v>1118</v>
      </c>
    </row>
    <row r="152" spans="1:11" s="248" customFormat="1" hidden="1" outlineLevel="1">
      <c r="A152" s="243"/>
      <c r="B152" s="4" t="s">
        <v>174</v>
      </c>
      <c r="C152" s="89"/>
      <c r="D152" s="4"/>
      <c r="E152" s="76"/>
      <c r="F152" s="119">
        <v>20.74</v>
      </c>
      <c r="G152" s="119">
        <v>43.42</v>
      </c>
      <c r="H152" s="6" t="s">
        <v>1135</v>
      </c>
      <c r="I152" s="255">
        <f>F152*$F$113</f>
        <v>269.62</v>
      </c>
      <c r="J152" s="255">
        <f>G152*$F$113</f>
        <v>564.46</v>
      </c>
      <c r="K152" s="256" t="s">
        <v>1123</v>
      </c>
    </row>
    <row r="153" spans="1:11" s="248" customFormat="1" hidden="1" outlineLevel="1">
      <c r="A153" s="243"/>
      <c r="B153" s="74" t="s">
        <v>1136</v>
      </c>
      <c r="C153" s="265"/>
      <c r="D153" s="4" t="s">
        <v>894</v>
      </c>
      <c r="E153" s="5"/>
      <c r="F153" s="266">
        <v>0.95400000000000007</v>
      </c>
      <c r="G153" s="267">
        <f>0.134*60</f>
        <v>8.0400000000000009</v>
      </c>
      <c r="H153" s="6" t="s">
        <v>1117</v>
      </c>
      <c r="I153" s="255">
        <f t="shared" ref="I153:J157" si="5">F153*$F$108</f>
        <v>85.86</v>
      </c>
      <c r="J153" s="255">
        <f t="shared" si="5"/>
        <v>723.60000000000014</v>
      </c>
      <c r="K153" s="6" t="s">
        <v>1118</v>
      </c>
    </row>
    <row r="154" spans="1:11" s="248" customFormat="1" hidden="1" outlineLevel="1">
      <c r="A154" s="243"/>
      <c r="B154" s="78"/>
      <c r="C154" s="268"/>
      <c r="D154" s="4" t="s">
        <v>248</v>
      </c>
      <c r="E154" s="5"/>
      <c r="F154" s="266">
        <v>0.95400000000000007</v>
      </c>
      <c r="G154" s="267">
        <f>0.1462*60</f>
        <v>8.7720000000000002</v>
      </c>
      <c r="H154" s="6" t="s">
        <v>1117</v>
      </c>
      <c r="I154" s="255">
        <f t="shared" si="5"/>
        <v>85.86</v>
      </c>
      <c r="J154" s="255">
        <f t="shared" si="5"/>
        <v>789.48</v>
      </c>
      <c r="K154" s="6" t="s">
        <v>1118</v>
      </c>
    </row>
    <row r="155" spans="1:11" s="248" customFormat="1" hidden="1" outlineLevel="1">
      <c r="A155" s="243"/>
      <c r="B155" s="78"/>
      <c r="C155" s="268"/>
      <c r="D155" s="4" t="s">
        <v>895</v>
      </c>
      <c r="E155" s="5"/>
      <c r="F155" s="266">
        <v>0.95400000000000007</v>
      </c>
      <c r="G155" s="267">
        <f>0.1644*60</f>
        <v>9.863999999999999</v>
      </c>
      <c r="H155" s="6" t="s">
        <v>1117</v>
      </c>
      <c r="I155" s="255">
        <f t="shared" si="5"/>
        <v>85.86</v>
      </c>
      <c r="J155" s="255">
        <f t="shared" si="5"/>
        <v>887.75999999999988</v>
      </c>
      <c r="K155" s="6" t="s">
        <v>1118</v>
      </c>
    </row>
    <row r="156" spans="1:11" s="248" customFormat="1" hidden="1" outlineLevel="1">
      <c r="A156" s="243"/>
      <c r="B156" s="78"/>
      <c r="C156" s="268"/>
      <c r="D156" s="4" t="s">
        <v>896</v>
      </c>
      <c r="E156" s="5"/>
      <c r="F156" s="266">
        <v>0.95400000000000007</v>
      </c>
      <c r="G156" s="267">
        <f>0.1985*60</f>
        <v>11.91</v>
      </c>
      <c r="H156" s="6" t="s">
        <v>1117</v>
      </c>
      <c r="I156" s="255">
        <f t="shared" si="5"/>
        <v>85.86</v>
      </c>
      <c r="J156" s="255">
        <f t="shared" si="5"/>
        <v>1071.9000000000001</v>
      </c>
      <c r="K156" s="6" t="s">
        <v>1118</v>
      </c>
    </row>
    <row r="157" spans="1:11" s="248" customFormat="1" hidden="1" outlineLevel="1">
      <c r="A157" s="243"/>
      <c r="B157" s="81"/>
      <c r="C157" s="269"/>
      <c r="D157" s="4" t="s">
        <v>897</v>
      </c>
      <c r="E157" s="5"/>
      <c r="F157" s="266">
        <v>0.95400000000000007</v>
      </c>
      <c r="G157" s="267">
        <f>0.2619*60</f>
        <v>15.714000000000002</v>
      </c>
      <c r="H157" s="6" t="s">
        <v>1117</v>
      </c>
      <c r="I157" s="255">
        <f t="shared" si="5"/>
        <v>85.86</v>
      </c>
      <c r="J157" s="255">
        <f t="shared" si="5"/>
        <v>1414.2600000000002</v>
      </c>
      <c r="K157" s="6" t="s">
        <v>1118</v>
      </c>
    </row>
    <row r="158" spans="1:11" s="248" customFormat="1" ht="12" hidden="1" outlineLevel="1">
      <c r="A158" s="243"/>
      <c r="B158" s="243"/>
      <c r="C158" s="243"/>
      <c r="D158" s="243"/>
      <c r="E158" s="243"/>
      <c r="F158" s="243"/>
      <c r="G158" s="243"/>
      <c r="H158" s="243"/>
      <c r="I158" s="243"/>
      <c r="J158" s="243"/>
      <c r="K158" s="243"/>
    </row>
    <row r="159" spans="1:11" s="248" customFormat="1" hidden="1" outlineLevel="1">
      <c r="A159" s="243"/>
      <c r="B159" s="270" t="s">
        <v>590</v>
      </c>
      <c r="C159" s="243"/>
      <c r="D159" s="243"/>
      <c r="E159" s="243"/>
      <c r="F159" s="243"/>
      <c r="G159" s="243"/>
      <c r="H159" s="243"/>
    </row>
    <row r="160" spans="1:11" s="243" customFormat="1" ht="27" hidden="1" outlineLevel="1">
      <c r="B160" s="271" t="s">
        <v>591</v>
      </c>
      <c r="C160" s="272" t="s">
        <v>1137</v>
      </c>
      <c r="D160" s="91" t="s">
        <v>525</v>
      </c>
      <c r="E160" s="272" t="s">
        <v>526</v>
      </c>
      <c r="F160" s="272" t="s">
        <v>527</v>
      </c>
      <c r="G160" s="271" t="s">
        <v>629</v>
      </c>
    </row>
    <row r="161" spans="1:12" s="248" customFormat="1" hidden="1" outlineLevel="1">
      <c r="A161" s="243"/>
      <c r="B161" s="169" t="s">
        <v>528</v>
      </c>
      <c r="C161" s="273">
        <f>7.2%+6.6%</f>
        <v>0.13800000000000001</v>
      </c>
      <c r="D161" s="273">
        <v>0.128</v>
      </c>
      <c r="E161" s="274">
        <v>1.6E-2</v>
      </c>
      <c r="F161" s="397"/>
      <c r="G161" s="275" t="s">
        <v>630</v>
      </c>
      <c r="H161" s="276" t="s">
        <v>529</v>
      </c>
      <c r="I161" s="243"/>
      <c r="J161" s="243"/>
      <c r="K161" s="243"/>
      <c r="L161" s="243"/>
    </row>
    <row r="162" spans="1:12" s="248" customFormat="1" hidden="1" outlineLevel="1">
      <c r="A162" s="243"/>
      <c r="B162" s="169" t="s">
        <v>632</v>
      </c>
      <c r="C162" s="398">
        <v>0.128</v>
      </c>
      <c r="D162" s="398">
        <v>8.2000000000000003E-2</v>
      </c>
      <c r="E162" s="399">
        <v>6.5000000000000002E-2</v>
      </c>
      <c r="F162" s="400"/>
      <c r="G162" s="401" t="s">
        <v>630</v>
      </c>
      <c r="H162" s="276" t="s">
        <v>530</v>
      </c>
      <c r="I162" s="243"/>
      <c r="J162" s="243"/>
      <c r="K162" s="243"/>
      <c r="L162" s="243"/>
    </row>
    <row r="163" spans="1:12" s="243" customFormat="1" hidden="1" outlineLevel="1">
      <c r="B163" s="169" t="s">
        <v>634</v>
      </c>
      <c r="C163" s="398">
        <v>6.9000000000000006E-2</v>
      </c>
      <c r="D163" s="398">
        <v>7.6600000000000001E-2</v>
      </c>
      <c r="E163" s="1330">
        <v>5.8200000000000002E-2</v>
      </c>
      <c r="F163" s="1331"/>
      <c r="G163" s="401" t="s">
        <v>630</v>
      </c>
      <c r="H163" s="276" t="s">
        <v>531</v>
      </c>
      <c r="L163" s="243" t="s">
        <v>532</v>
      </c>
    </row>
    <row r="164" spans="1:12" s="243" customFormat="1" ht="13.5" hidden="1" customHeight="1" outlineLevel="1">
      <c r="B164" s="169" t="s">
        <v>533</v>
      </c>
      <c r="C164" s="273">
        <v>0.17</v>
      </c>
      <c r="D164" s="273">
        <v>3.7999999999999999E-2</v>
      </c>
      <c r="E164" s="1332">
        <v>2.9000000000000001E-2</v>
      </c>
      <c r="F164" s="1333"/>
      <c r="G164" s="275" t="s">
        <v>630</v>
      </c>
      <c r="H164" s="276" t="s">
        <v>637</v>
      </c>
    </row>
    <row r="165" spans="1:12" s="243" customFormat="1" hidden="1" outlineLevel="1">
      <c r="B165" s="169" t="s">
        <v>648</v>
      </c>
      <c r="C165" s="274">
        <v>9.1999999999999998E-2</v>
      </c>
      <c r="D165" s="274">
        <v>5.7000000000000002E-2</v>
      </c>
      <c r="E165" s="274">
        <v>3.5000000000000003E-2</v>
      </c>
      <c r="F165" s="402">
        <v>7.0000000000000001E-3</v>
      </c>
      <c r="G165" s="275" t="s">
        <v>630</v>
      </c>
    </row>
    <row r="166" spans="1:12" s="243" customFormat="1" hidden="1" outlineLevel="1">
      <c r="B166" s="169" t="s">
        <v>174</v>
      </c>
      <c r="C166" s="273">
        <v>0.1</v>
      </c>
      <c r="D166" s="273">
        <v>7.0000000000000007E-2</v>
      </c>
      <c r="E166" s="274">
        <v>0.01</v>
      </c>
      <c r="F166" s="274">
        <v>0.01</v>
      </c>
      <c r="G166" s="275" t="s">
        <v>630</v>
      </c>
      <c r="H166" s="276" t="s">
        <v>639</v>
      </c>
    </row>
    <row r="167" spans="1:12" s="243" customFormat="1" hidden="1" outlineLevel="1">
      <c r="B167" s="281" t="s">
        <v>589</v>
      </c>
      <c r="C167" s="282">
        <v>0.17349999999999999</v>
      </c>
      <c r="D167" s="282">
        <f>6.61%+C167*6.61%</f>
        <v>7.7568350000000008E-2</v>
      </c>
      <c r="E167" s="1334" t="s">
        <v>640</v>
      </c>
      <c r="F167" s="1335"/>
      <c r="G167" s="284" t="s">
        <v>641</v>
      </c>
    </row>
    <row r="168" spans="1:12" s="243" customFormat="1" ht="12" hidden="1" outlineLevel="1">
      <c r="B168" s="276" t="s">
        <v>642</v>
      </c>
      <c r="F168" s="276" t="s">
        <v>534</v>
      </c>
    </row>
    <row r="169" spans="1:12" s="243" customFormat="1" ht="12" hidden="1" outlineLevel="1">
      <c r="B169" s="276" t="s">
        <v>535</v>
      </c>
      <c r="F169" s="276" t="s">
        <v>376</v>
      </c>
    </row>
    <row r="170" spans="1:12" s="243" customFormat="1" ht="12" hidden="1" outlineLevel="1">
      <c r="F170" s="276" t="s">
        <v>377</v>
      </c>
    </row>
    <row r="171" spans="1:12" s="243" customFormat="1" ht="12" hidden="1" outlineLevel="1"/>
    <row r="172" spans="1:12" s="243" customFormat="1" ht="17.25" hidden="1" outlineLevel="1">
      <c r="B172" s="403" t="s">
        <v>644</v>
      </c>
      <c r="C172" s="248"/>
      <c r="D172" s="403"/>
      <c r="E172" s="90"/>
      <c r="F172" s="286"/>
      <c r="J172" s="248"/>
    </row>
    <row r="173" spans="1:12" s="243" customFormat="1" hidden="1" outlineLevel="1">
      <c r="B173" s="263"/>
      <c r="C173" s="20" t="s">
        <v>536</v>
      </c>
      <c r="D173" s="20" t="s">
        <v>537</v>
      </c>
      <c r="E173" s="20" t="s">
        <v>538</v>
      </c>
      <c r="F173" s="20" t="s">
        <v>539</v>
      </c>
      <c r="G173" s="287" t="s">
        <v>174</v>
      </c>
      <c r="H173" s="20" t="s">
        <v>540</v>
      </c>
      <c r="I173" s="20" t="s">
        <v>1136</v>
      </c>
      <c r="J173" s="288"/>
    </row>
    <row r="174" spans="1:12" s="243" customFormat="1" hidden="1" outlineLevel="1">
      <c r="B174" s="144" t="s">
        <v>276</v>
      </c>
      <c r="C174" s="404">
        <v>6.5000000000000002E-2</v>
      </c>
      <c r="D174" s="404">
        <v>0.05</v>
      </c>
      <c r="E174" s="289">
        <v>0.15</v>
      </c>
      <c r="F174" s="289">
        <v>7.5999999999999998E-2</v>
      </c>
      <c r="G174" s="290" t="s">
        <v>541</v>
      </c>
      <c r="H174" s="291">
        <v>3.8800000000000001E-2</v>
      </c>
      <c r="I174" s="291">
        <v>0</v>
      </c>
      <c r="J174" s="292"/>
    </row>
    <row r="175" spans="1:12" s="243" customFormat="1" hidden="1" outlineLevel="1">
      <c r="B175" s="144" t="s">
        <v>277</v>
      </c>
      <c r="C175" s="404">
        <v>4.8000000000000001E-2</v>
      </c>
      <c r="D175" s="404">
        <v>0.1</v>
      </c>
      <c r="E175" s="289">
        <v>7.0000000000000007E-2</v>
      </c>
      <c r="F175" s="293"/>
      <c r="G175" s="290">
        <v>0.04</v>
      </c>
      <c r="H175" s="291">
        <v>3.8800000000000001E-2</v>
      </c>
      <c r="I175" s="291">
        <v>0</v>
      </c>
      <c r="J175" s="292"/>
    </row>
    <row r="176" spans="1:12" s="243" customFormat="1" hidden="1" outlineLevel="1">
      <c r="B176" s="294" t="s">
        <v>278</v>
      </c>
      <c r="C176" s="404">
        <v>3.6999999999999998E-2</v>
      </c>
      <c r="D176" s="404">
        <v>0.1</v>
      </c>
      <c r="E176" s="289">
        <v>0.01</v>
      </c>
      <c r="F176" s="289">
        <v>0.1</v>
      </c>
      <c r="G176" s="290" t="s">
        <v>651</v>
      </c>
      <c r="H176" s="291">
        <v>3.8800000000000001E-2</v>
      </c>
      <c r="I176" s="291">
        <v>0</v>
      </c>
      <c r="J176" s="292"/>
    </row>
    <row r="177" spans="1:11" s="243" customFormat="1" hidden="1" outlineLevel="1">
      <c r="B177" s="294" t="s">
        <v>652</v>
      </c>
      <c r="C177" s="404">
        <v>3.6999999999999998E-2</v>
      </c>
      <c r="D177" s="404">
        <v>0.3</v>
      </c>
      <c r="E177" s="290">
        <v>0.01</v>
      </c>
      <c r="F177" s="289">
        <v>0.1</v>
      </c>
      <c r="G177" s="296"/>
      <c r="H177" s="291">
        <v>3.8800000000000001E-2</v>
      </c>
      <c r="I177" s="291">
        <v>0</v>
      </c>
      <c r="J177" s="292"/>
    </row>
    <row r="178" spans="1:11" s="243" customFormat="1" hidden="1" outlineLevel="1">
      <c r="B178" s="144" t="s">
        <v>1370</v>
      </c>
      <c r="C178" s="404">
        <v>3.6999999999999998E-2</v>
      </c>
      <c r="D178" s="404">
        <v>0.3</v>
      </c>
      <c r="E178" s="290">
        <v>0.01</v>
      </c>
      <c r="F178" s="289">
        <v>0</v>
      </c>
      <c r="G178" s="297">
        <v>0</v>
      </c>
      <c r="H178" s="291">
        <v>3.8800000000000001E-2</v>
      </c>
      <c r="I178" s="291">
        <v>0</v>
      </c>
      <c r="J178" s="292"/>
    </row>
    <row r="179" spans="1:11" s="243" customFormat="1" hidden="1" outlineLevel="1">
      <c r="B179" s="144" t="s">
        <v>1374</v>
      </c>
      <c r="C179" s="404">
        <v>1.7000000000000001E-2</v>
      </c>
      <c r="D179" s="404">
        <v>0.1</v>
      </c>
      <c r="E179" s="289">
        <v>0.03</v>
      </c>
      <c r="F179" s="293" t="s">
        <v>542</v>
      </c>
      <c r="G179" s="289" t="s">
        <v>543</v>
      </c>
      <c r="H179" s="289"/>
      <c r="I179" s="289"/>
      <c r="J179" s="298"/>
    </row>
    <row r="180" spans="1:11" s="243" customFormat="1" hidden="1" outlineLevel="1">
      <c r="B180" s="144" t="s">
        <v>1375</v>
      </c>
      <c r="C180" s="404">
        <v>1.7000000000000001E-2</v>
      </c>
      <c r="D180" s="404">
        <v>0.1</v>
      </c>
      <c r="E180" s="289">
        <v>0.01</v>
      </c>
      <c r="F180" s="289">
        <v>0</v>
      </c>
      <c r="G180" s="289">
        <v>0</v>
      </c>
      <c r="H180" s="289"/>
      <c r="I180" s="289"/>
      <c r="J180" s="248"/>
    </row>
    <row r="181" spans="1:11" s="243" customFormat="1" hidden="1" outlineLevel="1">
      <c r="B181" s="144" t="s">
        <v>280</v>
      </c>
      <c r="C181" s="405"/>
      <c r="D181" s="405"/>
      <c r="E181" s="299"/>
      <c r="F181" s="289">
        <v>0.17</v>
      </c>
      <c r="G181" s="289">
        <v>0.17</v>
      </c>
      <c r="H181" s="299"/>
      <c r="I181" s="299" t="s">
        <v>544</v>
      </c>
      <c r="J181" s="248"/>
    </row>
    <row r="182" spans="1:11" s="243" customFormat="1" hidden="1" outlineLevel="1">
      <c r="B182" s="294" t="s">
        <v>1376</v>
      </c>
      <c r="C182" s="404">
        <v>0.01</v>
      </c>
      <c r="D182" s="406">
        <v>10000</v>
      </c>
      <c r="E182" s="289"/>
      <c r="F182" s="301">
        <v>15000</v>
      </c>
      <c r="G182" s="302" t="s">
        <v>545</v>
      </c>
      <c r="H182" s="303" t="s">
        <v>657</v>
      </c>
      <c r="I182" s="303"/>
      <c r="J182" s="304" t="s">
        <v>378</v>
      </c>
    </row>
    <row r="183" spans="1:11" s="243" customFormat="1" hidden="1" outlineLevel="1">
      <c r="B183" s="248"/>
      <c r="C183" s="248"/>
      <c r="D183" s="248"/>
      <c r="E183" s="248"/>
      <c r="F183" s="248"/>
      <c r="G183" s="304" t="s">
        <v>658</v>
      </c>
      <c r="H183" s="305"/>
      <c r="I183" s="304" t="s">
        <v>659</v>
      </c>
      <c r="J183" s="306"/>
    </row>
    <row r="184" spans="1:11" s="243" customFormat="1" hidden="1" outlineLevel="1">
      <c r="B184" s="307"/>
      <c r="C184" s="307"/>
      <c r="D184" s="307"/>
      <c r="E184" s="307"/>
      <c r="F184" s="307"/>
      <c r="G184" s="304" t="s">
        <v>660</v>
      </c>
      <c r="H184" s="306"/>
      <c r="I184" s="304" t="s">
        <v>661</v>
      </c>
      <c r="J184" s="307"/>
    </row>
    <row r="185" spans="1:11" s="243" customFormat="1" hidden="1" outlineLevel="1">
      <c r="B185" s="307"/>
      <c r="C185" s="307"/>
      <c r="D185" s="307"/>
      <c r="E185" s="307"/>
      <c r="F185" s="307"/>
      <c r="G185" s="306"/>
      <c r="H185" s="306"/>
      <c r="I185" s="304" t="s">
        <v>379</v>
      </c>
      <c r="J185" s="307"/>
    </row>
    <row r="186" spans="1:11" s="243" customFormat="1" ht="12" hidden="1" outlineLevel="1">
      <c r="B186" s="307"/>
      <c r="C186" s="307"/>
      <c r="D186" s="307"/>
      <c r="E186" s="307"/>
      <c r="F186" s="307"/>
      <c r="G186" s="307"/>
      <c r="H186" s="307"/>
      <c r="I186" s="307"/>
      <c r="J186" s="307"/>
    </row>
    <row r="187" spans="1:11" s="243" customFormat="1" ht="12" hidden="1" outlineLevel="1">
      <c r="B187" s="307"/>
      <c r="C187" s="307"/>
      <c r="D187" s="307"/>
      <c r="E187" s="307"/>
      <c r="F187" s="307"/>
      <c r="G187" s="307"/>
      <c r="H187" s="307"/>
      <c r="I187" s="307"/>
      <c r="J187" s="307"/>
    </row>
    <row r="188" spans="1:11" s="243" customFormat="1" ht="12" hidden="1" outlineLevel="1">
      <c r="B188" s="307"/>
      <c r="C188" s="307"/>
      <c r="D188" s="307"/>
      <c r="E188" s="307"/>
      <c r="F188" s="307"/>
      <c r="G188" s="307"/>
      <c r="H188" s="307"/>
      <c r="I188" s="307"/>
      <c r="J188" s="307"/>
    </row>
    <row r="189" spans="1:11" s="243" customFormat="1" ht="12" collapsed="1">
      <c r="B189" s="307"/>
      <c r="C189" s="307"/>
      <c r="D189" s="307"/>
      <c r="E189" s="307"/>
      <c r="F189" s="307"/>
      <c r="G189" s="307"/>
      <c r="H189" s="307"/>
      <c r="I189" s="307"/>
      <c r="J189" s="307"/>
    </row>
    <row r="190" spans="1:11" s="248" customFormat="1">
      <c r="B190" s="110"/>
      <c r="C190" s="111"/>
      <c r="D190" s="111"/>
      <c r="E190" s="48"/>
      <c r="F190" s="111"/>
      <c r="G190" s="48"/>
      <c r="H190" s="111"/>
      <c r="I190" s="111"/>
      <c r="J190" s="111"/>
      <c r="K190" s="48"/>
    </row>
    <row r="191" spans="1:11" s="248" customFormat="1" ht="17.25">
      <c r="A191" s="244" t="s">
        <v>662</v>
      </c>
      <c r="B191" s="110"/>
      <c r="C191" s="111"/>
      <c r="D191" s="111"/>
      <c r="E191" s="48"/>
      <c r="F191" s="111"/>
      <c r="G191" s="48"/>
      <c r="H191" s="111"/>
      <c r="I191" s="111"/>
      <c r="J191" s="111"/>
      <c r="K191" s="48"/>
    </row>
    <row r="192" spans="1:11" s="248" customFormat="1" ht="17.25">
      <c r="A192" s="243"/>
      <c r="B192" s="244" t="s">
        <v>663</v>
      </c>
      <c r="C192" s="243"/>
      <c r="D192" s="243"/>
      <c r="E192" s="243"/>
      <c r="F192" s="243"/>
      <c r="G192" s="243"/>
      <c r="H192" s="243"/>
      <c r="I192" s="243"/>
    </row>
    <row r="193" spans="1:19" s="248" customFormat="1">
      <c r="A193" s="243"/>
      <c r="B193" s="72" t="s">
        <v>70</v>
      </c>
      <c r="C193" s="1316" t="s">
        <v>293</v>
      </c>
      <c r="D193" s="1316"/>
      <c r="E193" s="308" t="s">
        <v>294</v>
      </c>
      <c r="F193" s="308" t="s">
        <v>295</v>
      </c>
      <c r="G193" s="308" t="s">
        <v>296</v>
      </c>
      <c r="H193" s="308" t="s">
        <v>664</v>
      </c>
      <c r="I193" s="308" t="s">
        <v>665</v>
      </c>
      <c r="J193" s="308" t="s">
        <v>546</v>
      </c>
      <c r="K193" s="309"/>
      <c r="M193" s="243"/>
      <c r="N193" s="243"/>
      <c r="O193" s="243"/>
      <c r="P193" s="243"/>
      <c r="Q193" s="243"/>
      <c r="R193" s="243"/>
      <c r="S193" s="243"/>
    </row>
    <row r="194" spans="1:19" s="248" customFormat="1">
      <c r="A194" s="243"/>
      <c r="B194" s="1317" t="s">
        <v>78</v>
      </c>
      <c r="C194" s="1293" t="s">
        <v>72</v>
      </c>
      <c r="D194" s="1293"/>
      <c r="E194" s="407">
        <v>1.1000000000000001</v>
      </c>
      <c r="F194" s="267">
        <v>1.1100000000000001</v>
      </c>
      <c r="G194" s="267">
        <v>1.21</v>
      </c>
      <c r="H194" s="267">
        <v>1.29</v>
      </c>
      <c r="I194" s="267">
        <v>1.1499999999999999</v>
      </c>
      <c r="J194" s="408">
        <v>1.25</v>
      </c>
      <c r="K194" s="309"/>
      <c r="M194" s="243"/>
      <c r="N194" s="243"/>
      <c r="O194" s="243"/>
      <c r="P194" s="243"/>
      <c r="Q194" s="243"/>
      <c r="R194" s="243"/>
      <c r="S194" s="243"/>
    </row>
    <row r="195" spans="1:19" s="248" customFormat="1">
      <c r="A195" s="243"/>
      <c r="B195" s="1317"/>
      <c r="C195" s="1293" t="s">
        <v>73</v>
      </c>
      <c r="D195" s="1293"/>
      <c r="E195" s="310">
        <v>2191</v>
      </c>
      <c r="F195" s="311">
        <v>2420.1</v>
      </c>
      <c r="G195" s="311">
        <v>2225.9</v>
      </c>
      <c r="H195" s="311">
        <v>2256</v>
      </c>
      <c r="I195" s="311">
        <v>2679.4</v>
      </c>
      <c r="J195" s="312">
        <v>2463.8000000000002</v>
      </c>
      <c r="K195" s="309"/>
      <c r="M195" s="243"/>
      <c r="N195" s="243"/>
      <c r="O195" s="243"/>
      <c r="P195" s="243"/>
      <c r="Q195" s="243"/>
      <c r="R195" s="243"/>
      <c r="S195" s="243"/>
    </row>
    <row r="196" spans="1:19" s="248" customFormat="1">
      <c r="A196" s="243"/>
      <c r="B196" s="1317"/>
      <c r="C196" s="298" t="s">
        <v>297</v>
      </c>
      <c r="D196" s="123" t="s">
        <v>298</v>
      </c>
      <c r="E196" s="310">
        <v>3435.6</v>
      </c>
      <c r="F196" s="311">
        <v>6530.9</v>
      </c>
      <c r="G196" s="311">
        <v>6900</v>
      </c>
      <c r="H196" s="311">
        <v>5916.6</v>
      </c>
      <c r="I196" s="311">
        <v>6920.6</v>
      </c>
      <c r="J196" s="312">
        <v>7486.7</v>
      </c>
      <c r="K196" s="309"/>
      <c r="M196" s="243"/>
      <c r="N196" s="243"/>
      <c r="O196" s="243"/>
      <c r="P196" s="243"/>
      <c r="Q196" s="243"/>
      <c r="R196" s="243"/>
      <c r="S196" s="243"/>
    </row>
    <row r="197" spans="1:19" s="248" customFormat="1">
      <c r="A197" s="243"/>
      <c r="B197" s="1317"/>
      <c r="C197" s="298"/>
      <c r="D197" s="10" t="s">
        <v>299</v>
      </c>
      <c r="E197" s="310">
        <v>854.2</v>
      </c>
      <c r="F197" s="311">
        <v>1224.9000000000001</v>
      </c>
      <c r="G197" s="311">
        <v>890.1</v>
      </c>
      <c r="H197" s="311">
        <v>444.3</v>
      </c>
      <c r="I197" s="311">
        <v>1369.5</v>
      </c>
      <c r="J197" s="312">
        <v>3358.7</v>
      </c>
      <c r="K197" s="309"/>
      <c r="M197" s="243"/>
      <c r="N197" s="243"/>
      <c r="O197" s="243"/>
      <c r="P197" s="243"/>
      <c r="Q197" s="243"/>
      <c r="R197" s="243"/>
      <c r="S197" s="243"/>
    </row>
    <row r="198" spans="1:19" s="248" customFormat="1">
      <c r="A198" s="243"/>
      <c r="B198" s="1317"/>
      <c r="C198" s="298"/>
      <c r="D198" s="125" t="s">
        <v>300</v>
      </c>
      <c r="E198" s="313"/>
      <c r="F198" s="311">
        <v>0</v>
      </c>
      <c r="G198" s="311">
        <v>0</v>
      </c>
      <c r="H198" s="311">
        <v>0</v>
      </c>
      <c r="I198" s="311">
        <v>0</v>
      </c>
      <c r="J198" s="312">
        <v>0</v>
      </c>
      <c r="K198" s="309"/>
      <c r="M198" s="243"/>
      <c r="N198" s="243"/>
      <c r="O198" s="243"/>
      <c r="P198" s="243"/>
      <c r="Q198" s="243"/>
      <c r="R198" s="243"/>
      <c r="S198" s="243"/>
    </row>
    <row r="199" spans="1:19" s="248" customFormat="1">
      <c r="A199" s="243"/>
      <c r="B199" s="1298" t="s">
        <v>301</v>
      </c>
      <c r="C199" s="1293" t="s">
        <v>72</v>
      </c>
      <c r="D199" s="1293"/>
      <c r="E199" s="267">
        <v>1.1200000000000001</v>
      </c>
      <c r="F199" s="267">
        <v>1.1000000000000001</v>
      </c>
      <c r="G199" s="267">
        <v>1.28</v>
      </c>
      <c r="H199" s="267">
        <v>1.26</v>
      </c>
      <c r="I199" s="267">
        <v>1.28</v>
      </c>
      <c r="J199" s="408">
        <v>1.27</v>
      </c>
      <c r="K199" s="309"/>
      <c r="M199" s="243"/>
      <c r="N199" s="243"/>
      <c r="O199" s="243"/>
      <c r="P199" s="243"/>
      <c r="Q199" s="243"/>
      <c r="R199" s="243"/>
      <c r="S199" s="243"/>
    </row>
    <row r="200" spans="1:19" s="248" customFormat="1">
      <c r="A200" s="243"/>
      <c r="B200" s="1298"/>
      <c r="C200" s="1293" t="s">
        <v>73</v>
      </c>
      <c r="D200" s="1293"/>
      <c r="E200" s="310">
        <v>2254</v>
      </c>
      <c r="F200" s="311">
        <v>2108.3000000000002</v>
      </c>
      <c r="G200" s="311">
        <v>2191.5</v>
      </c>
      <c r="H200" s="311">
        <v>2160</v>
      </c>
      <c r="I200" s="311">
        <v>2330.1</v>
      </c>
      <c r="J200" s="312">
        <v>2340</v>
      </c>
      <c r="K200" s="309"/>
      <c r="M200" s="243"/>
      <c r="N200" s="243"/>
      <c r="O200" s="243"/>
      <c r="P200" s="243"/>
      <c r="Q200" s="243"/>
      <c r="R200" s="243"/>
      <c r="S200" s="243"/>
    </row>
    <row r="201" spans="1:19" s="248" customFormat="1">
      <c r="A201" s="243"/>
      <c r="B201" s="1298"/>
      <c r="C201" s="298" t="s">
        <v>297</v>
      </c>
      <c r="D201" s="123" t="s">
        <v>302</v>
      </c>
      <c r="E201" s="310">
        <v>4530.3</v>
      </c>
      <c r="F201" s="311">
        <v>3029.4</v>
      </c>
      <c r="G201" s="311">
        <v>2924.9</v>
      </c>
      <c r="H201" s="311">
        <v>3267.5</v>
      </c>
      <c r="I201" s="311">
        <v>2521.3000000000002</v>
      </c>
      <c r="J201" s="312">
        <v>4101.8999999999996</v>
      </c>
      <c r="K201" s="309"/>
      <c r="M201" s="243"/>
      <c r="N201" s="243"/>
      <c r="O201" s="243"/>
      <c r="P201" s="243"/>
      <c r="Q201" s="243"/>
      <c r="R201" s="243"/>
      <c r="S201" s="243"/>
    </row>
    <row r="202" spans="1:19" s="248" customFormat="1">
      <c r="A202" s="243"/>
      <c r="B202" s="1298"/>
      <c r="C202" s="298"/>
      <c r="D202" s="125" t="s">
        <v>303</v>
      </c>
      <c r="E202" s="310">
        <v>2288.1999999999998</v>
      </c>
      <c r="F202" s="311">
        <v>1227.0999999999999</v>
      </c>
      <c r="G202" s="311">
        <v>856.1</v>
      </c>
      <c r="H202" s="311">
        <v>1359.8</v>
      </c>
      <c r="I202" s="311">
        <v>474.8</v>
      </c>
      <c r="J202" s="312">
        <v>682.9</v>
      </c>
      <c r="K202" s="309"/>
      <c r="M202" s="243"/>
      <c r="N202" s="243"/>
      <c r="O202" s="243"/>
      <c r="P202" s="243"/>
      <c r="Q202" s="243"/>
      <c r="R202" s="243"/>
      <c r="S202" s="243"/>
    </row>
    <row r="203" spans="1:19" s="248" customFormat="1">
      <c r="A203" s="243"/>
      <c r="B203" s="1298"/>
      <c r="C203" s="298"/>
      <c r="D203" s="125" t="s">
        <v>304</v>
      </c>
      <c r="E203" s="313"/>
      <c r="F203" s="314"/>
      <c r="G203" s="311">
        <v>0</v>
      </c>
      <c r="H203" s="311">
        <v>0</v>
      </c>
      <c r="I203" s="311">
        <v>0</v>
      </c>
      <c r="J203" s="312">
        <v>0</v>
      </c>
      <c r="K203" s="309"/>
      <c r="M203" s="243"/>
      <c r="N203" s="243"/>
      <c r="O203" s="243"/>
      <c r="P203" s="243"/>
      <c r="Q203" s="243"/>
      <c r="R203" s="243"/>
      <c r="S203" s="243"/>
    </row>
    <row r="204" spans="1:19" s="248" customFormat="1">
      <c r="A204" s="243"/>
      <c r="B204" s="1298" t="s">
        <v>305</v>
      </c>
      <c r="C204" s="1293" t="s">
        <v>72</v>
      </c>
      <c r="D204" s="1293"/>
      <c r="E204" s="407">
        <v>1.0900000000000001</v>
      </c>
      <c r="F204" s="267">
        <v>1.1000000000000001</v>
      </c>
      <c r="G204" s="267">
        <v>1.18</v>
      </c>
      <c r="H204" s="267">
        <v>1.23</v>
      </c>
      <c r="I204" s="267">
        <v>1.18</v>
      </c>
      <c r="J204" s="408">
        <v>1.1499999999999999</v>
      </c>
      <c r="K204" s="309"/>
      <c r="M204" s="243"/>
      <c r="N204" s="243"/>
      <c r="O204" s="243"/>
      <c r="P204" s="243"/>
      <c r="Q204" s="243"/>
      <c r="R204" s="243"/>
      <c r="S204" s="243"/>
    </row>
    <row r="205" spans="1:19" s="248" customFormat="1">
      <c r="A205" s="243"/>
      <c r="B205" s="1298"/>
      <c r="C205" s="1293" t="s">
        <v>73</v>
      </c>
      <c r="D205" s="1293"/>
      <c r="E205" s="310">
        <v>2027.3</v>
      </c>
      <c r="F205" s="311">
        <v>1872.3</v>
      </c>
      <c r="G205" s="311">
        <v>2169.1999999999998</v>
      </c>
      <c r="H205" s="311">
        <v>1998.9</v>
      </c>
      <c r="I205" s="311">
        <v>2357.1</v>
      </c>
      <c r="J205" s="312">
        <v>2185.1</v>
      </c>
      <c r="K205" s="309"/>
      <c r="M205" s="243"/>
      <c r="N205" s="243"/>
      <c r="O205" s="243"/>
      <c r="P205" s="243"/>
      <c r="Q205" s="243"/>
      <c r="R205" s="243"/>
      <c r="S205" s="243"/>
    </row>
    <row r="206" spans="1:19" s="248" customFormat="1">
      <c r="A206" s="243"/>
      <c r="B206" s="1298"/>
      <c r="C206" s="298" t="s">
        <v>297</v>
      </c>
      <c r="D206" s="123" t="s">
        <v>306</v>
      </c>
      <c r="E206" s="310">
        <v>882.7</v>
      </c>
      <c r="F206" s="311">
        <v>2638.3</v>
      </c>
      <c r="G206" s="311">
        <v>1128.5</v>
      </c>
      <c r="H206" s="311">
        <v>1471.5</v>
      </c>
      <c r="I206" s="311">
        <v>1408.7</v>
      </c>
      <c r="J206" s="312">
        <v>4058.8</v>
      </c>
      <c r="K206" s="309"/>
      <c r="M206" s="243"/>
      <c r="N206" s="243"/>
      <c r="O206" s="243"/>
      <c r="P206" s="243"/>
      <c r="Q206" s="243"/>
      <c r="R206" s="243"/>
      <c r="S206" s="243"/>
    </row>
    <row r="207" spans="1:19" s="248" customFormat="1">
      <c r="A207" s="243"/>
      <c r="B207" s="1298"/>
      <c r="C207" s="298"/>
      <c r="D207" s="125" t="s">
        <v>307</v>
      </c>
      <c r="E207" s="313"/>
      <c r="F207" s="311">
        <v>0</v>
      </c>
      <c r="G207" s="311">
        <v>0</v>
      </c>
      <c r="H207" s="311">
        <v>0</v>
      </c>
      <c r="I207" s="311">
        <v>0</v>
      </c>
      <c r="J207" s="312">
        <v>0</v>
      </c>
      <c r="K207" s="309"/>
      <c r="M207" s="243"/>
      <c r="N207" s="243"/>
      <c r="O207" s="243"/>
      <c r="P207" s="243"/>
      <c r="Q207" s="243"/>
      <c r="R207" s="243"/>
      <c r="S207" s="243"/>
    </row>
    <row r="208" spans="1:19" s="248" customFormat="1">
      <c r="A208" s="243"/>
      <c r="B208" s="1298" t="s">
        <v>308</v>
      </c>
      <c r="C208" s="1293" t="s">
        <v>72</v>
      </c>
      <c r="D208" s="1293"/>
      <c r="E208" s="407">
        <v>1.2</v>
      </c>
      <c r="F208" s="267">
        <v>1.27</v>
      </c>
      <c r="G208" s="267">
        <v>1.7</v>
      </c>
      <c r="H208" s="267">
        <v>1.59</v>
      </c>
      <c r="I208" s="267">
        <v>1.37</v>
      </c>
      <c r="J208" s="408">
        <v>1.72</v>
      </c>
      <c r="K208" s="309"/>
      <c r="M208" s="243"/>
      <c r="N208" s="243"/>
      <c r="O208" s="243"/>
      <c r="P208" s="243"/>
      <c r="Q208" s="243"/>
      <c r="R208" s="243"/>
      <c r="S208" s="243"/>
    </row>
    <row r="209" spans="1:19" s="248" customFormat="1">
      <c r="A209" s="243"/>
      <c r="B209" s="1298"/>
      <c r="C209" s="1293" t="s">
        <v>73</v>
      </c>
      <c r="D209" s="1293"/>
      <c r="E209" s="310">
        <v>2145.6999999999998</v>
      </c>
      <c r="F209" s="311">
        <v>2047</v>
      </c>
      <c r="G209" s="311">
        <v>2228.9</v>
      </c>
      <c r="H209" s="311">
        <v>1848.5</v>
      </c>
      <c r="I209" s="311">
        <v>2022.6</v>
      </c>
      <c r="J209" s="312">
        <v>1907.3</v>
      </c>
      <c r="K209" s="309"/>
      <c r="M209" s="243"/>
      <c r="N209" s="243"/>
      <c r="O209" s="243"/>
      <c r="P209" s="243"/>
      <c r="Q209" s="243"/>
      <c r="R209" s="243"/>
      <c r="S209" s="243"/>
    </row>
    <row r="210" spans="1:19" s="248" customFormat="1">
      <c r="A210" s="243"/>
      <c r="B210" s="1298"/>
      <c r="C210" s="298" t="s">
        <v>297</v>
      </c>
      <c r="D210" s="123" t="s">
        <v>309</v>
      </c>
      <c r="E210" s="310">
        <v>4896.1000000000004</v>
      </c>
      <c r="F210" s="311">
        <v>7431.6</v>
      </c>
      <c r="G210" s="311">
        <v>1083.7</v>
      </c>
      <c r="H210" s="311">
        <v>1179</v>
      </c>
      <c r="I210" s="311">
        <v>957.4</v>
      </c>
      <c r="J210" s="312">
        <v>1168.9000000000001</v>
      </c>
      <c r="K210" s="309"/>
      <c r="M210" s="243"/>
      <c r="N210" s="243"/>
      <c r="O210" s="243"/>
      <c r="P210" s="243"/>
      <c r="Q210" s="243"/>
      <c r="R210" s="243"/>
      <c r="S210" s="243"/>
    </row>
    <row r="211" spans="1:19" s="248" customFormat="1">
      <c r="A211" s="243"/>
      <c r="B211" s="1298"/>
      <c r="C211" s="298"/>
      <c r="D211" s="10" t="s">
        <v>310</v>
      </c>
      <c r="E211" s="310">
        <v>1736.5</v>
      </c>
      <c r="F211" s="311">
        <v>1726.8</v>
      </c>
      <c r="G211" s="311">
        <v>1083.7</v>
      </c>
      <c r="H211" s="311">
        <v>1179</v>
      </c>
      <c r="I211" s="409"/>
      <c r="J211" s="315"/>
      <c r="K211" s="410" t="s">
        <v>547</v>
      </c>
      <c r="M211" s="243"/>
      <c r="N211" s="243"/>
      <c r="O211" s="243"/>
      <c r="P211" s="243"/>
      <c r="Q211" s="243"/>
      <c r="R211" s="243"/>
      <c r="S211" s="243"/>
    </row>
    <row r="212" spans="1:19" s="248" customFormat="1">
      <c r="A212" s="243"/>
      <c r="B212" s="1298"/>
      <c r="C212" s="298"/>
      <c r="D212" s="125" t="s">
        <v>548</v>
      </c>
      <c r="E212" s="313"/>
      <c r="F212" s="311">
        <v>0</v>
      </c>
      <c r="G212" s="311">
        <v>0</v>
      </c>
      <c r="H212" s="311">
        <v>0</v>
      </c>
      <c r="I212" s="311">
        <v>0</v>
      </c>
      <c r="J212" s="312">
        <v>0</v>
      </c>
      <c r="K212" s="309"/>
      <c r="M212" s="243"/>
      <c r="N212" s="243"/>
      <c r="O212" s="243"/>
      <c r="P212" s="243"/>
      <c r="Q212" s="243"/>
      <c r="R212" s="243"/>
      <c r="S212" s="243"/>
    </row>
    <row r="213" spans="1:19" s="248" customFormat="1">
      <c r="A213" s="243"/>
      <c r="B213" s="1298" t="s">
        <v>312</v>
      </c>
      <c r="C213" s="1293" t="s">
        <v>72</v>
      </c>
      <c r="D213" s="1293"/>
      <c r="E213" s="407">
        <v>1.1299999999999999</v>
      </c>
      <c r="F213" s="267">
        <v>1.1299999999999999</v>
      </c>
      <c r="G213" s="267">
        <v>1.18</v>
      </c>
      <c r="H213" s="267">
        <v>1.29</v>
      </c>
      <c r="I213" s="267">
        <v>1.21</v>
      </c>
      <c r="J213" s="408">
        <v>1.1499999999999999</v>
      </c>
      <c r="K213" s="309"/>
      <c r="M213" s="243"/>
      <c r="N213" s="243"/>
      <c r="O213" s="243"/>
      <c r="P213" s="243"/>
      <c r="Q213" s="243"/>
      <c r="R213" s="243"/>
      <c r="S213" s="243"/>
    </row>
    <row r="214" spans="1:19" s="248" customFormat="1">
      <c r="A214" s="243"/>
      <c r="B214" s="1298"/>
      <c r="C214" s="1293" t="s">
        <v>73</v>
      </c>
      <c r="D214" s="1293"/>
      <c r="E214" s="310">
        <v>2704.3</v>
      </c>
      <c r="F214" s="311">
        <v>2841.5</v>
      </c>
      <c r="G214" s="311">
        <v>2901.5</v>
      </c>
      <c r="H214" s="311">
        <v>2931.1</v>
      </c>
      <c r="I214" s="311">
        <v>2879.5</v>
      </c>
      <c r="J214" s="312">
        <v>2822.5</v>
      </c>
      <c r="K214" s="309"/>
      <c r="M214" s="243"/>
      <c r="N214" s="243"/>
      <c r="O214" s="243"/>
      <c r="P214" s="243"/>
      <c r="Q214" s="243"/>
      <c r="R214" s="243"/>
      <c r="S214" s="243"/>
    </row>
    <row r="215" spans="1:19" s="248" customFormat="1">
      <c r="A215" s="243"/>
      <c r="B215" s="1298"/>
      <c r="C215" s="298" t="s">
        <v>297</v>
      </c>
      <c r="D215" s="123" t="s">
        <v>313</v>
      </c>
      <c r="E215" s="310">
        <v>1589</v>
      </c>
      <c r="F215" s="311">
        <v>1890.5</v>
      </c>
      <c r="G215" s="311">
        <v>2076.6999999999998</v>
      </c>
      <c r="H215" s="311">
        <v>1781.2</v>
      </c>
      <c r="I215" s="311">
        <v>1779.4</v>
      </c>
      <c r="J215" s="312">
        <v>1641.5</v>
      </c>
      <c r="K215" s="309"/>
      <c r="M215" s="243"/>
      <c r="N215" s="243"/>
      <c r="O215" s="243"/>
      <c r="P215" s="243"/>
      <c r="Q215" s="243"/>
      <c r="R215" s="243"/>
      <c r="S215" s="243"/>
    </row>
    <row r="216" spans="1:19" s="248" customFormat="1">
      <c r="A216" s="243"/>
      <c r="B216" s="1298"/>
      <c r="C216" s="298"/>
      <c r="D216" s="125" t="s">
        <v>314</v>
      </c>
      <c r="E216" s="313"/>
      <c r="F216" s="311">
        <v>0</v>
      </c>
      <c r="G216" s="311">
        <v>0</v>
      </c>
      <c r="H216" s="311">
        <v>0</v>
      </c>
      <c r="I216" s="311">
        <v>0</v>
      </c>
      <c r="J216" s="312">
        <v>0</v>
      </c>
      <c r="K216" s="309"/>
      <c r="M216" s="243"/>
      <c r="N216" s="243"/>
      <c r="O216" s="243"/>
      <c r="P216" s="243"/>
      <c r="Q216" s="243"/>
      <c r="R216" s="243"/>
      <c r="S216" s="243"/>
    </row>
    <row r="217" spans="1:19" s="248" customFormat="1">
      <c r="A217" s="243"/>
      <c r="B217" s="1299" t="s">
        <v>315</v>
      </c>
      <c r="C217" s="1293" t="s">
        <v>72</v>
      </c>
      <c r="D217" s="1293"/>
      <c r="E217" s="407">
        <v>1.1599999999999999</v>
      </c>
      <c r="F217" s="267">
        <v>1.1599999999999999</v>
      </c>
      <c r="G217" s="267">
        <v>1.22</v>
      </c>
      <c r="H217" s="267">
        <v>1.19</v>
      </c>
      <c r="I217" s="267">
        <v>1.19</v>
      </c>
      <c r="J217" s="408">
        <v>1.1399999999999999</v>
      </c>
      <c r="K217" s="309"/>
      <c r="M217" s="243"/>
      <c r="N217" s="243"/>
      <c r="O217" s="243"/>
      <c r="P217" s="243"/>
      <c r="Q217" s="243"/>
      <c r="R217" s="243"/>
      <c r="S217" s="243"/>
    </row>
    <row r="218" spans="1:19" s="248" customFormat="1">
      <c r="A218" s="243"/>
      <c r="B218" s="1300"/>
      <c r="C218" s="1293" t="s">
        <v>73</v>
      </c>
      <c r="D218" s="1293"/>
      <c r="E218" s="310">
        <v>2741.5</v>
      </c>
      <c r="F218" s="311">
        <v>2720.3</v>
      </c>
      <c r="G218" s="311">
        <v>2726.7</v>
      </c>
      <c r="H218" s="311">
        <v>2598.9</v>
      </c>
      <c r="I218" s="311">
        <v>2390.8000000000002</v>
      </c>
      <c r="J218" s="312">
        <v>2338.6</v>
      </c>
      <c r="K218" s="309"/>
      <c r="M218" s="243"/>
      <c r="N218" s="243"/>
      <c r="O218" s="243"/>
      <c r="P218" s="243"/>
      <c r="Q218" s="243"/>
      <c r="R218" s="243"/>
      <c r="S218" s="243"/>
    </row>
    <row r="219" spans="1:19" s="248" customFormat="1">
      <c r="A219" s="243"/>
      <c r="B219" s="1300"/>
      <c r="C219" s="298" t="s">
        <v>297</v>
      </c>
      <c r="D219" s="123" t="s">
        <v>316</v>
      </c>
      <c r="E219" s="310">
        <v>780.2</v>
      </c>
      <c r="F219" s="311">
        <v>906</v>
      </c>
      <c r="G219" s="311">
        <v>1268.5</v>
      </c>
      <c r="H219" s="311">
        <v>1155.5999999999999</v>
      </c>
      <c r="I219" s="311">
        <v>1155.5999999999999</v>
      </c>
      <c r="J219" s="312">
        <v>1300.5999999999999</v>
      </c>
      <c r="K219" s="309"/>
      <c r="L219" s="176"/>
      <c r="M219" s="243"/>
      <c r="N219" s="243"/>
      <c r="O219" s="243"/>
      <c r="P219" s="243"/>
      <c r="Q219" s="243"/>
      <c r="R219" s="243"/>
      <c r="S219" s="243"/>
    </row>
    <row r="220" spans="1:19" s="248" customFormat="1">
      <c r="A220" s="243"/>
      <c r="B220" s="1300"/>
      <c r="C220" s="298"/>
      <c r="D220" s="125" t="s">
        <v>317</v>
      </c>
      <c r="E220" s="310">
        <v>845.9</v>
      </c>
      <c r="F220" s="311">
        <v>1161.5</v>
      </c>
      <c r="G220" s="311">
        <v>1450.2</v>
      </c>
      <c r="H220" s="311">
        <v>1292.3</v>
      </c>
      <c r="I220" s="311">
        <v>1264.5</v>
      </c>
      <c r="J220" s="312">
        <v>1178.5</v>
      </c>
      <c r="K220" s="309"/>
      <c r="L220" s="176"/>
      <c r="M220" s="243"/>
      <c r="N220" s="243"/>
      <c r="O220" s="243"/>
      <c r="P220" s="243"/>
      <c r="Q220" s="243"/>
      <c r="R220" s="243"/>
      <c r="S220" s="243"/>
    </row>
    <row r="221" spans="1:19" s="248" customFormat="1">
      <c r="A221" s="243"/>
      <c r="B221" s="1301"/>
      <c r="C221" s="298"/>
      <c r="D221" s="125" t="s">
        <v>549</v>
      </c>
      <c r="E221" s="313"/>
      <c r="F221" s="313"/>
      <c r="G221" s="313"/>
      <c r="H221" s="313"/>
      <c r="I221" s="313"/>
      <c r="J221" s="312">
        <v>0</v>
      </c>
      <c r="K221" s="309"/>
      <c r="L221" s="176"/>
      <c r="M221" s="243"/>
      <c r="N221" s="243"/>
      <c r="O221" s="243"/>
      <c r="P221" s="243"/>
      <c r="Q221" s="243"/>
      <c r="R221" s="243"/>
      <c r="S221" s="243"/>
    </row>
    <row r="222" spans="1:19" s="248" customFormat="1">
      <c r="A222" s="243"/>
      <c r="B222" s="1299" t="s">
        <v>318</v>
      </c>
      <c r="C222" s="1293" t="s">
        <v>72</v>
      </c>
      <c r="D222" s="1293"/>
      <c r="E222" s="407">
        <v>1.1499999999999999</v>
      </c>
      <c r="F222" s="267">
        <v>1.1399999999999999</v>
      </c>
      <c r="G222" s="267">
        <v>1.1299999999999999</v>
      </c>
      <c r="H222" s="267">
        <v>1.18</v>
      </c>
      <c r="I222" s="267">
        <v>1.1299999999999999</v>
      </c>
      <c r="J222" s="408">
        <v>1.1299999999999999</v>
      </c>
      <c r="K222" s="309"/>
      <c r="L222" s="176"/>
      <c r="M222" s="243"/>
      <c r="N222" s="243"/>
      <c r="O222" s="243"/>
      <c r="P222" s="243"/>
      <c r="Q222" s="243"/>
      <c r="R222" s="243"/>
      <c r="S222" s="243"/>
    </row>
    <row r="223" spans="1:19" s="248" customFormat="1">
      <c r="A223" s="243"/>
      <c r="B223" s="1300"/>
      <c r="C223" s="1293" t="s">
        <v>73</v>
      </c>
      <c r="D223" s="1293"/>
      <c r="E223" s="310">
        <v>2667.8</v>
      </c>
      <c r="F223" s="311">
        <v>2594.6999999999998</v>
      </c>
      <c r="G223" s="311">
        <v>2469.6999999999998</v>
      </c>
      <c r="H223" s="311">
        <v>2435.6999999999998</v>
      </c>
      <c r="I223" s="311">
        <v>2608.9</v>
      </c>
      <c r="J223" s="312">
        <v>3027.4</v>
      </c>
      <c r="K223" s="309"/>
      <c r="L223" s="176"/>
      <c r="M223" s="243"/>
      <c r="N223" s="243"/>
      <c r="O223" s="243"/>
      <c r="P223" s="243"/>
      <c r="Q223" s="243"/>
      <c r="R223" s="243"/>
      <c r="S223" s="243"/>
    </row>
    <row r="224" spans="1:19" s="248" customFormat="1">
      <c r="A224" s="243"/>
      <c r="B224" s="1300"/>
      <c r="C224" s="298" t="s">
        <v>297</v>
      </c>
      <c r="D224" s="123" t="s">
        <v>319</v>
      </c>
      <c r="E224" s="310">
        <v>18295.8</v>
      </c>
      <c r="F224" s="311">
        <v>11059.8</v>
      </c>
      <c r="G224" s="311">
        <v>5253.5</v>
      </c>
      <c r="H224" s="311">
        <v>6685.6</v>
      </c>
      <c r="I224" s="311">
        <v>5391.7</v>
      </c>
      <c r="J224" s="312">
        <v>4118</v>
      </c>
      <c r="K224" s="309"/>
      <c r="M224" s="243"/>
      <c r="N224" s="243"/>
      <c r="O224" s="243"/>
      <c r="P224" s="243"/>
      <c r="Q224" s="243"/>
      <c r="R224" s="243"/>
      <c r="S224" s="243"/>
    </row>
    <row r="225" spans="1:19" s="248" customFormat="1">
      <c r="A225" s="243"/>
      <c r="B225" s="1300"/>
      <c r="C225" s="298"/>
      <c r="D225" s="10" t="s">
        <v>320</v>
      </c>
      <c r="E225" s="310">
        <v>2524.6</v>
      </c>
      <c r="F225" s="311">
        <v>3812.4</v>
      </c>
      <c r="G225" s="311">
        <v>3855.9</v>
      </c>
      <c r="H225" s="311">
        <v>3729.4</v>
      </c>
      <c r="I225" s="311">
        <v>3729.4</v>
      </c>
      <c r="J225" s="312">
        <v>3965.2</v>
      </c>
      <c r="K225" s="309"/>
      <c r="M225" s="243"/>
      <c r="N225" s="243"/>
      <c r="O225" s="243"/>
      <c r="P225" s="243"/>
      <c r="Q225" s="243"/>
      <c r="R225" s="243"/>
      <c r="S225" s="243"/>
    </row>
    <row r="226" spans="1:19" s="248" customFormat="1">
      <c r="A226" s="243"/>
      <c r="B226" s="1300"/>
      <c r="C226" s="298"/>
      <c r="D226" s="125" t="s">
        <v>321</v>
      </c>
      <c r="E226" s="310">
        <v>1316.2</v>
      </c>
      <c r="F226" s="311">
        <v>1475.6</v>
      </c>
      <c r="G226" s="311">
        <v>1850</v>
      </c>
      <c r="H226" s="311">
        <v>3360</v>
      </c>
      <c r="I226" s="311">
        <v>1372.1</v>
      </c>
      <c r="J226" s="411"/>
      <c r="K226" s="410" t="s">
        <v>550</v>
      </c>
      <c r="M226" s="243"/>
      <c r="N226" s="243"/>
      <c r="O226" s="243"/>
      <c r="P226" s="243"/>
      <c r="Q226" s="243"/>
      <c r="R226" s="243"/>
      <c r="S226" s="243"/>
    </row>
    <row r="227" spans="1:19" s="248" customFormat="1">
      <c r="A227" s="243"/>
      <c r="B227" s="1301"/>
      <c r="C227" s="298"/>
      <c r="D227" s="125" t="s">
        <v>551</v>
      </c>
      <c r="E227" s="313"/>
      <c r="F227" s="313"/>
      <c r="G227" s="313"/>
      <c r="H227" s="313"/>
      <c r="I227" s="319">
        <v>0</v>
      </c>
      <c r="J227" s="411"/>
      <c r="K227" s="309"/>
      <c r="M227" s="243"/>
      <c r="N227" s="243"/>
      <c r="O227" s="243"/>
      <c r="P227" s="243"/>
      <c r="Q227" s="243"/>
      <c r="R227" s="243"/>
      <c r="S227" s="243"/>
    </row>
    <row r="228" spans="1:19" s="248" customFormat="1">
      <c r="A228" s="243"/>
      <c r="B228" s="1298" t="s">
        <v>322</v>
      </c>
      <c r="C228" s="1293" t="s">
        <v>72</v>
      </c>
      <c r="D228" s="1293"/>
      <c r="E228" s="407">
        <v>1.1499999999999999</v>
      </c>
      <c r="F228" s="267">
        <v>1.1100000000000001</v>
      </c>
      <c r="G228" s="267">
        <v>1.1299999999999999</v>
      </c>
      <c r="H228" s="267">
        <v>1.25</v>
      </c>
      <c r="I228" s="267">
        <v>1.1399999999999999</v>
      </c>
      <c r="J228" s="408">
        <v>1.22</v>
      </c>
      <c r="K228" s="309"/>
      <c r="M228" s="243"/>
      <c r="N228" s="243"/>
      <c r="O228" s="243"/>
      <c r="P228" s="243"/>
      <c r="Q228" s="243"/>
      <c r="R228" s="243"/>
      <c r="S228" s="243"/>
    </row>
    <row r="229" spans="1:19" s="248" customFormat="1">
      <c r="A229" s="243"/>
      <c r="B229" s="1298"/>
      <c r="C229" s="1293" t="s">
        <v>73</v>
      </c>
      <c r="D229" s="1293"/>
      <c r="E229" s="310">
        <v>2151.6999999999998</v>
      </c>
      <c r="F229" s="311">
        <v>2138.5</v>
      </c>
      <c r="G229" s="311">
        <v>1908.5</v>
      </c>
      <c r="H229" s="311">
        <v>2109.1999999999998</v>
      </c>
      <c r="I229" s="311">
        <v>1993</v>
      </c>
      <c r="J229" s="312">
        <v>2447.8000000000002</v>
      </c>
      <c r="K229" s="309"/>
      <c r="M229" s="243"/>
      <c r="N229" s="243"/>
      <c r="O229" s="243"/>
      <c r="P229" s="243"/>
      <c r="Q229" s="243"/>
      <c r="R229" s="243"/>
      <c r="S229" s="243"/>
    </row>
    <row r="230" spans="1:19" s="248" customFormat="1">
      <c r="A230" s="243"/>
      <c r="B230" s="1298"/>
      <c r="C230" s="298" t="s">
        <v>297</v>
      </c>
      <c r="D230" s="123" t="s">
        <v>323</v>
      </c>
      <c r="E230" s="310">
        <v>1133.5999999999999</v>
      </c>
      <c r="F230" s="311">
        <v>1907.9</v>
      </c>
      <c r="G230" s="311">
        <v>2360.6</v>
      </c>
      <c r="H230" s="311">
        <v>2279</v>
      </c>
      <c r="I230" s="311">
        <v>1537.6</v>
      </c>
      <c r="J230" s="312">
        <v>1474</v>
      </c>
      <c r="K230" s="309"/>
      <c r="M230" s="243"/>
      <c r="N230" s="243"/>
      <c r="O230" s="243"/>
      <c r="P230" s="243"/>
      <c r="Q230" s="243"/>
      <c r="R230" s="243"/>
      <c r="S230" s="243"/>
    </row>
    <row r="231" spans="1:19" s="248" customFormat="1">
      <c r="A231" s="243"/>
      <c r="B231" s="1298"/>
      <c r="C231" s="298"/>
      <c r="D231" s="10" t="s">
        <v>324</v>
      </c>
      <c r="E231" s="310">
        <v>718.8</v>
      </c>
      <c r="F231" s="311">
        <v>491.9</v>
      </c>
      <c r="G231" s="311">
        <v>362.6</v>
      </c>
      <c r="H231" s="311">
        <v>461.9</v>
      </c>
      <c r="I231" s="311">
        <v>533.1</v>
      </c>
      <c r="J231" s="312">
        <v>512.5</v>
      </c>
      <c r="K231" s="309"/>
      <c r="M231" s="243"/>
      <c r="N231" s="243"/>
      <c r="O231" s="243"/>
      <c r="P231" s="243"/>
      <c r="Q231" s="243"/>
      <c r="R231" s="243"/>
      <c r="S231" s="243"/>
    </row>
    <row r="232" spans="1:19" s="248" customFormat="1">
      <c r="A232" s="243"/>
      <c r="B232" s="1298"/>
      <c r="C232" s="298"/>
      <c r="D232" s="125" t="s">
        <v>325</v>
      </c>
      <c r="E232" s="313"/>
      <c r="F232" s="311">
        <v>0</v>
      </c>
      <c r="G232" s="311">
        <v>0</v>
      </c>
      <c r="H232" s="311">
        <v>0</v>
      </c>
      <c r="I232" s="311">
        <v>0</v>
      </c>
      <c r="J232" s="312">
        <v>0</v>
      </c>
      <c r="K232" s="243"/>
      <c r="M232" s="243"/>
      <c r="N232" s="243"/>
      <c r="O232" s="243"/>
      <c r="P232" s="243"/>
      <c r="Q232" s="243"/>
      <c r="R232" s="243"/>
      <c r="S232" s="243"/>
    </row>
    <row r="233" spans="1:19" s="248" customFormat="1">
      <c r="A233" s="243"/>
      <c r="B233" s="1298" t="s">
        <v>326</v>
      </c>
      <c r="C233" s="1293" t="s">
        <v>72</v>
      </c>
      <c r="D233" s="1293"/>
      <c r="E233" s="407">
        <v>1.1200000000000001</v>
      </c>
      <c r="F233" s="267">
        <v>1.1299999999999999</v>
      </c>
      <c r="G233" s="267">
        <v>1.1399999999999999</v>
      </c>
      <c r="H233" s="267">
        <v>1.1599999999999999</v>
      </c>
      <c r="I233" s="267">
        <v>1.1200000000000001</v>
      </c>
      <c r="J233" s="408">
        <v>1.0900000000000001</v>
      </c>
      <c r="K233" s="243"/>
      <c r="M233" s="243"/>
      <c r="N233" s="243"/>
      <c r="O233" s="243"/>
      <c r="P233" s="243"/>
      <c r="Q233" s="243"/>
      <c r="R233" s="243"/>
      <c r="S233" s="243"/>
    </row>
    <row r="234" spans="1:19" s="248" customFormat="1">
      <c r="A234" s="243"/>
      <c r="B234" s="1298"/>
      <c r="C234" s="1293" t="s">
        <v>73</v>
      </c>
      <c r="D234" s="1293"/>
      <c r="E234" s="310">
        <v>2242.6</v>
      </c>
      <c r="F234" s="311">
        <v>2123.9</v>
      </c>
      <c r="G234" s="311">
        <v>2397.9</v>
      </c>
      <c r="H234" s="311">
        <v>2351.1</v>
      </c>
      <c r="I234" s="311">
        <v>2761.4</v>
      </c>
      <c r="J234" s="312">
        <v>2424.1</v>
      </c>
      <c r="K234" s="243"/>
      <c r="M234" s="243"/>
      <c r="N234" s="243"/>
      <c r="O234" s="243"/>
      <c r="P234" s="243"/>
      <c r="Q234" s="243"/>
      <c r="R234" s="243"/>
      <c r="S234" s="243"/>
    </row>
    <row r="235" spans="1:19" s="248" customFormat="1">
      <c r="A235" s="243"/>
      <c r="B235" s="1298"/>
      <c r="C235" s="298" t="s">
        <v>297</v>
      </c>
      <c r="D235" s="123" t="s">
        <v>327</v>
      </c>
      <c r="E235" s="310">
        <v>899.8</v>
      </c>
      <c r="F235" s="311">
        <v>916</v>
      </c>
      <c r="G235" s="311">
        <v>921.9</v>
      </c>
      <c r="H235" s="311">
        <v>1127.0983213429256</v>
      </c>
      <c r="I235" s="311">
        <v>1031.7862165963431</v>
      </c>
      <c r="J235" s="312">
        <v>938.9</v>
      </c>
      <c r="K235" s="309"/>
      <c r="M235" s="243"/>
      <c r="N235" s="243"/>
      <c r="O235" s="243"/>
      <c r="P235" s="243"/>
      <c r="Q235" s="243"/>
      <c r="R235" s="243"/>
      <c r="S235" s="243"/>
    </row>
    <row r="236" spans="1:19" s="248" customFormat="1">
      <c r="A236" s="243"/>
      <c r="B236" s="1298"/>
      <c r="C236" s="298"/>
      <c r="D236" s="10" t="s">
        <v>670</v>
      </c>
      <c r="E236" s="310">
        <v>2484.9</v>
      </c>
      <c r="F236" s="311">
        <v>1317.6</v>
      </c>
      <c r="G236" s="311">
        <v>1549</v>
      </c>
      <c r="H236" s="311">
        <v>2151.6</v>
      </c>
      <c r="I236" s="311">
        <v>2305.6999999999998</v>
      </c>
      <c r="J236" s="312">
        <v>1690.5</v>
      </c>
      <c r="K236" s="171"/>
      <c r="M236" s="243"/>
      <c r="N236" s="243"/>
      <c r="O236" s="243"/>
      <c r="P236" s="243"/>
      <c r="Q236" s="243"/>
      <c r="R236" s="243"/>
      <c r="S236" s="243"/>
    </row>
    <row r="237" spans="1:19" s="248" customFormat="1">
      <c r="A237" s="243"/>
      <c r="B237" s="1298"/>
      <c r="C237" s="298"/>
      <c r="D237" s="10" t="s">
        <v>671</v>
      </c>
      <c r="E237" s="310">
        <v>695.2</v>
      </c>
      <c r="F237" s="311">
        <v>576.9</v>
      </c>
      <c r="G237" s="311">
        <v>296.8</v>
      </c>
      <c r="H237" s="311">
        <v>511.48851148851151</v>
      </c>
      <c r="I237" s="311">
        <v>586.00337268128169</v>
      </c>
      <c r="J237" s="312">
        <v>885</v>
      </c>
      <c r="K237" s="176"/>
      <c r="M237" s="243"/>
      <c r="N237" s="243"/>
      <c r="O237" s="243"/>
      <c r="P237" s="243"/>
      <c r="Q237" s="243"/>
      <c r="R237" s="243"/>
      <c r="S237" s="243"/>
    </row>
    <row r="238" spans="1:19" s="248" customFormat="1">
      <c r="A238" s="243"/>
      <c r="B238" s="1298"/>
      <c r="C238" s="298"/>
      <c r="D238" s="125" t="s">
        <v>673</v>
      </c>
      <c r="E238" s="313"/>
      <c r="F238" s="311">
        <v>0</v>
      </c>
      <c r="G238" s="311">
        <v>0</v>
      </c>
      <c r="H238" s="311">
        <v>0</v>
      </c>
      <c r="I238" s="311">
        <v>0</v>
      </c>
      <c r="J238" s="312">
        <v>0</v>
      </c>
      <c r="K238" s="176"/>
      <c r="M238" s="243"/>
      <c r="N238" s="243"/>
      <c r="O238" s="243"/>
      <c r="P238" s="243"/>
      <c r="Q238" s="243"/>
      <c r="R238" s="243"/>
      <c r="S238" s="243"/>
    </row>
    <row r="239" spans="1:19" s="248" customFormat="1">
      <c r="A239" s="243"/>
      <c r="B239" s="1298" t="s">
        <v>331</v>
      </c>
      <c r="C239" s="1293" t="s">
        <v>72</v>
      </c>
      <c r="D239" s="1293"/>
      <c r="E239" s="407">
        <v>1.0900000000000001</v>
      </c>
      <c r="F239" s="267">
        <v>1.1000000000000001</v>
      </c>
      <c r="G239" s="267">
        <v>1.17</v>
      </c>
      <c r="H239" s="267">
        <v>1.25</v>
      </c>
      <c r="I239" s="267">
        <v>1.23</v>
      </c>
      <c r="J239" s="408">
        <v>1.23</v>
      </c>
      <c r="K239" s="243"/>
      <c r="M239" s="243"/>
      <c r="N239" s="243"/>
      <c r="O239" s="243"/>
      <c r="P239" s="243"/>
      <c r="Q239" s="243"/>
      <c r="R239" s="243"/>
      <c r="S239" s="243"/>
    </row>
    <row r="240" spans="1:19" s="248" customFormat="1">
      <c r="A240" s="243"/>
      <c r="B240" s="1298"/>
      <c r="C240" s="1293" t="s">
        <v>73</v>
      </c>
      <c r="D240" s="1293"/>
      <c r="E240" s="310">
        <v>1959.3</v>
      </c>
      <c r="F240" s="311">
        <v>1842.5</v>
      </c>
      <c r="G240" s="311">
        <v>1934.4</v>
      </c>
      <c r="H240" s="311">
        <v>1965.8</v>
      </c>
      <c r="I240" s="311">
        <v>2323.4</v>
      </c>
      <c r="J240" s="312">
        <v>2350.1</v>
      </c>
      <c r="K240" s="309"/>
      <c r="M240" s="243"/>
      <c r="N240" s="243"/>
      <c r="O240" s="243"/>
      <c r="P240" s="243"/>
      <c r="Q240" s="243"/>
      <c r="R240" s="243"/>
      <c r="S240" s="243"/>
    </row>
    <row r="241" spans="1:19" s="248" customFormat="1">
      <c r="A241" s="243"/>
      <c r="B241" s="1298"/>
      <c r="C241" s="317" t="s">
        <v>297</v>
      </c>
      <c r="D241" s="10" t="s">
        <v>332</v>
      </c>
      <c r="E241" s="310">
        <v>1246.2</v>
      </c>
      <c r="F241" s="311">
        <v>1371.7</v>
      </c>
      <c r="G241" s="311">
        <v>1211.2</v>
      </c>
      <c r="H241" s="311">
        <v>2734.8</v>
      </c>
      <c r="I241" s="311">
        <v>2088.3000000000002</v>
      </c>
      <c r="J241" s="312">
        <v>3641.4</v>
      </c>
      <c r="K241" s="309"/>
      <c r="M241" s="243"/>
      <c r="N241" s="243"/>
      <c r="O241" s="243"/>
      <c r="P241" s="243"/>
      <c r="Q241" s="243"/>
      <c r="R241" s="243"/>
      <c r="S241" s="243"/>
    </row>
    <row r="242" spans="1:19" s="248" customFormat="1">
      <c r="A242" s="243"/>
      <c r="B242" s="318" t="s">
        <v>333</v>
      </c>
      <c r="C242" s="1293" t="s">
        <v>297</v>
      </c>
      <c r="D242" s="1293"/>
      <c r="E242" s="310">
        <v>1906.6</v>
      </c>
      <c r="F242" s="311">
        <v>2376.8000000000002</v>
      </c>
      <c r="G242" s="311">
        <v>1793.3</v>
      </c>
      <c r="H242" s="311">
        <v>973.3</v>
      </c>
      <c r="I242" s="311">
        <v>847.7</v>
      </c>
      <c r="J242" s="312">
        <v>1498.4</v>
      </c>
      <c r="K242" s="309"/>
      <c r="M242" s="243"/>
      <c r="N242" s="243"/>
      <c r="O242" s="243"/>
      <c r="P242" s="243"/>
      <c r="Q242" s="243"/>
      <c r="R242" s="243"/>
      <c r="S242" s="243"/>
    </row>
    <row r="243" spans="1:19" s="248" customFormat="1">
      <c r="A243" s="243"/>
      <c r="B243" s="318" t="s">
        <v>334</v>
      </c>
      <c r="C243" s="1293" t="s">
        <v>297</v>
      </c>
      <c r="D243" s="1293"/>
      <c r="E243" s="310">
        <v>1218</v>
      </c>
      <c r="F243" s="311">
        <v>1493.4</v>
      </c>
      <c r="G243" s="311">
        <v>1636.6</v>
      </c>
      <c r="H243" s="311">
        <v>1467.8</v>
      </c>
      <c r="I243" s="311">
        <v>1111.0999999999999</v>
      </c>
      <c r="J243" s="312">
        <v>1718.1</v>
      </c>
      <c r="K243" s="309"/>
      <c r="M243" s="243"/>
      <c r="N243" s="243"/>
      <c r="O243" s="243"/>
      <c r="P243" s="243"/>
      <c r="Q243" s="243"/>
      <c r="R243" s="243"/>
      <c r="S243" s="243"/>
    </row>
    <row r="244" spans="1:19" s="248" customFormat="1">
      <c r="A244" s="243"/>
      <c r="B244" s="318" t="s">
        <v>148</v>
      </c>
      <c r="C244" s="1293" t="s">
        <v>297</v>
      </c>
      <c r="D244" s="1293"/>
      <c r="E244" s="310">
        <v>2006.4</v>
      </c>
      <c r="F244" s="319">
        <v>2629.1</v>
      </c>
      <c r="G244" s="319">
        <v>2622.2</v>
      </c>
      <c r="H244" s="319">
        <v>2214.6999999999998</v>
      </c>
      <c r="I244" s="319">
        <v>2319.1</v>
      </c>
      <c r="J244" s="411"/>
      <c r="K244" s="410" t="s">
        <v>552</v>
      </c>
      <c r="M244" s="243"/>
      <c r="N244" s="243"/>
      <c r="O244" s="243"/>
      <c r="P244" s="243"/>
      <c r="Q244" s="243"/>
      <c r="R244" s="243"/>
      <c r="S244" s="243"/>
    </row>
    <row r="245" spans="1:19" s="248" customFormat="1">
      <c r="A245" s="307"/>
      <c r="B245" s="318" t="s">
        <v>1094</v>
      </c>
      <c r="C245" s="1293"/>
      <c r="D245" s="1293"/>
      <c r="E245" s="313"/>
      <c r="F245" s="313"/>
      <c r="G245" s="313"/>
      <c r="H245" s="313"/>
      <c r="I245" s="313"/>
      <c r="J245" s="312"/>
    </row>
    <row r="246" spans="1:19" s="248" customFormat="1" ht="12">
      <c r="A246" s="307"/>
      <c r="B246" s="243"/>
      <c r="C246" s="243"/>
      <c r="D246" s="243"/>
      <c r="E246" s="243"/>
      <c r="F246" s="243"/>
      <c r="G246" s="243"/>
      <c r="H246" s="243"/>
      <c r="I246" s="243"/>
    </row>
    <row r="247" spans="1:19" s="248" customFormat="1" ht="12">
      <c r="A247" s="307"/>
      <c r="B247" s="243"/>
      <c r="C247" s="243"/>
      <c r="D247" s="243"/>
      <c r="E247" s="243"/>
      <c r="F247" s="243"/>
      <c r="G247" s="243"/>
      <c r="H247" s="243"/>
      <c r="I247" s="243"/>
    </row>
    <row r="248" spans="1:19" s="248" customFormat="1" ht="12">
      <c r="A248" s="307"/>
      <c r="B248" s="243"/>
      <c r="C248" s="243"/>
      <c r="D248" s="243"/>
      <c r="E248" s="243"/>
      <c r="F248" s="243"/>
      <c r="G248" s="243"/>
      <c r="H248" s="243"/>
      <c r="I248" s="243"/>
    </row>
    <row r="249" spans="1:19" s="248" customFormat="1" ht="12">
      <c r="A249" s="307"/>
      <c r="B249" s="243"/>
      <c r="C249" s="243"/>
      <c r="D249" s="243"/>
      <c r="E249" s="243"/>
      <c r="F249" s="243"/>
      <c r="G249" s="243"/>
      <c r="H249" s="243"/>
      <c r="I249" s="243"/>
    </row>
    <row r="250" spans="1:19" s="248" customFormat="1" ht="12">
      <c r="A250" s="307"/>
      <c r="B250" s="243"/>
      <c r="C250" s="243"/>
      <c r="D250" s="243"/>
      <c r="E250" s="243"/>
      <c r="F250" s="243"/>
      <c r="G250" s="243"/>
      <c r="H250" s="243"/>
      <c r="I250" s="243"/>
    </row>
    <row r="251" spans="1:19" s="248" customFormat="1" ht="12">
      <c r="A251" s="307"/>
      <c r="B251" s="243"/>
      <c r="C251" s="243"/>
      <c r="D251" s="243"/>
      <c r="E251" s="243"/>
      <c r="F251" s="243"/>
      <c r="G251" s="243"/>
      <c r="H251" s="243"/>
      <c r="I251" s="243"/>
    </row>
    <row r="252" spans="1:19" s="248" customFormat="1" ht="12">
      <c r="A252" s="307"/>
      <c r="B252" s="243"/>
      <c r="C252" s="243"/>
      <c r="D252" s="243"/>
      <c r="E252" s="243"/>
      <c r="F252" s="243"/>
      <c r="G252" s="243"/>
      <c r="H252" s="243"/>
      <c r="I252" s="243"/>
    </row>
    <row r="253" spans="1:19" s="248" customFormat="1" ht="12">
      <c r="A253" s="307"/>
      <c r="B253" s="243"/>
      <c r="C253" s="243"/>
      <c r="D253" s="243"/>
      <c r="E253" s="243"/>
      <c r="F253" s="243"/>
      <c r="G253" s="243"/>
      <c r="H253" s="243"/>
      <c r="I253" s="243"/>
    </row>
    <row r="254" spans="1:19" s="248" customFormat="1" ht="12">
      <c r="A254" s="307"/>
      <c r="B254" s="243"/>
      <c r="C254" s="243"/>
      <c r="D254" s="243"/>
      <c r="E254" s="243"/>
      <c r="F254" s="243"/>
      <c r="G254" s="243"/>
      <c r="H254" s="243"/>
      <c r="I254" s="243"/>
    </row>
    <row r="255" spans="1:19" s="248" customFormat="1" ht="17.25">
      <c r="A255" s="307"/>
      <c r="B255" s="244" t="s">
        <v>674</v>
      </c>
      <c r="C255" s="243"/>
      <c r="D255" s="243"/>
      <c r="E255" s="243"/>
      <c r="F255" s="243"/>
      <c r="G255" s="243"/>
      <c r="H255" s="243"/>
      <c r="I255" s="243"/>
    </row>
    <row r="256" spans="1:19" s="248" customFormat="1">
      <c r="A256" s="307"/>
      <c r="B256" s="243"/>
      <c r="C256" s="320"/>
      <c r="D256" s="320"/>
      <c r="E256" s="307"/>
      <c r="F256" s="48"/>
      <c r="G256" s="243"/>
      <c r="H256" s="243"/>
      <c r="I256" s="243"/>
    </row>
    <row r="257" spans="1:11" s="248" customFormat="1">
      <c r="A257" s="307"/>
      <c r="B257" s="243"/>
      <c r="C257" s="320"/>
      <c r="D257" s="320"/>
      <c r="E257" s="308" t="s">
        <v>294</v>
      </c>
      <c r="F257" s="308" t="s">
        <v>295</v>
      </c>
      <c r="G257" s="308" t="s">
        <v>296</v>
      </c>
      <c r="H257" s="308" t="s">
        <v>664</v>
      </c>
      <c r="I257" s="308" t="s">
        <v>665</v>
      </c>
      <c r="J257" s="308" t="s">
        <v>546</v>
      </c>
    </row>
    <row r="258" spans="1:11" s="248" customFormat="1">
      <c r="A258" s="307"/>
      <c r="B258" s="1294" t="s">
        <v>963</v>
      </c>
      <c r="C258" s="30" t="s">
        <v>675</v>
      </c>
      <c r="D258" s="31"/>
      <c r="E258" s="39">
        <v>2.19451921932074E-2</v>
      </c>
      <c r="F258" s="39">
        <v>2.0389906641063101E-2</v>
      </c>
      <c r="G258" s="39">
        <v>2.0389906641063101E-2</v>
      </c>
      <c r="H258" s="39">
        <v>1.9801046282428472E-2</v>
      </c>
      <c r="I258" s="39">
        <v>2.3170978530527752E-2</v>
      </c>
      <c r="J258" s="139">
        <f>H44</f>
        <v>2.2701824490674684E-2</v>
      </c>
      <c r="K258" s="307"/>
    </row>
    <row r="259" spans="1:11" s="248" customFormat="1">
      <c r="A259" s="307"/>
      <c r="B259" s="1294"/>
      <c r="C259" s="30" t="s">
        <v>163</v>
      </c>
      <c r="D259" s="31"/>
      <c r="E259" s="321"/>
      <c r="F259" s="39">
        <v>1.1717697268890392E-2</v>
      </c>
      <c r="G259" s="39">
        <v>1.1717697268890392E-2</v>
      </c>
      <c r="H259" s="39">
        <v>1.3798390052532116E-2</v>
      </c>
      <c r="I259" s="39">
        <v>1.3962155740981702E-2</v>
      </c>
      <c r="J259" s="139">
        <f>H45</f>
        <v>1.525000772247528E-2</v>
      </c>
    </row>
    <row r="260" spans="1:11" s="248" customFormat="1">
      <c r="A260" s="243"/>
      <c r="B260" s="1295" t="s">
        <v>676</v>
      </c>
      <c r="C260" s="30" t="s">
        <v>167</v>
      </c>
      <c r="D260" s="31"/>
      <c r="E260" s="32">
        <v>0</v>
      </c>
      <c r="F260" s="39">
        <v>0</v>
      </c>
      <c r="G260" s="39">
        <v>0</v>
      </c>
      <c r="H260" s="39">
        <v>0</v>
      </c>
      <c r="I260" s="39">
        <v>0</v>
      </c>
      <c r="J260" s="139">
        <f>E51</f>
        <v>0</v>
      </c>
    </row>
    <row r="261" spans="1:11" s="248" customFormat="1">
      <c r="A261" s="243"/>
      <c r="B261" s="1296"/>
      <c r="C261" s="30" t="s">
        <v>953</v>
      </c>
      <c r="D261" s="31"/>
      <c r="E261" s="32">
        <v>0.04</v>
      </c>
      <c r="F261" s="39">
        <v>1.847526182580024E-2</v>
      </c>
      <c r="G261" s="39">
        <v>1.847526182580024E-2</v>
      </c>
      <c r="H261" s="39">
        <v>2.4602767557460284E-2</v>
      </c>
      <c r="I261" s="39">
        <v>1.2313299594892444E-2</v>
      </c>
      <c r="J261" s="139">
        <f>E52</f>
        <v>6.9561998892741801E-3</v>
      </c>
    </row>
    <row r="262" spans="1:11" s="248" customFormat="1">
      <c r="A262" s="243"/>
      <c r="B262" s="1296"/>
      <c r="C262" s="30" t="s">
        <v>954</v>
      </c>
      <c r="D262" s="31"/>
      <c r="E262" s="32">
        <v>0.04</v>
      </c>
      <c r="F262" s="39">
        <v>7.2241623343083511E-3</v>
      </c>
      <c r="G262" s="39">
        <v>7.2241623343083511E-3</v>
      </c>
      <c r="H262" s="39">
        <v>4.4159022299248554E-3</v>
      </c>
      <c r="I262" s="39">
        <v>8.5972741852477514E-3</v>
      </c>
      <c r="J262" s="139">
        <f>E53</f>
        <v>7.3304712073587004E-3</v>
      </c>
    </row>
    <row r="263" spans="1:11" s="248" customFormat="1">
      <c r="A263" s="243"/>
      <c r="B263" s="1296"/>
      <c r="C263" s="30" t="s">
        <v>955</v>
      </c>
      <c r="D263" s="31"/>
      <c r="E263" s="32">
        <v>0.04</v>
      </c>
      <c r="F263" s="39">
        <v>1.3556088824767562E-2</v>
      </c>
      <c r="G263" s="39">
        <v>1.3556088824767562E-2</v>
      </c>
      <c r="H263" s="39">
        <v>1.3556088824767562E-2</v>
      </c>
      <c r="I263" s="39">
        <v>1.3556088824767562E-2</v>
      </c>
      <c r="J263" s="1326">
        <f>E54</f>
        <v>1.4523660287943423E-2</v>
      </c>
    </row>
    <row r="264" spans="1:11" s="248" customFormat="1">
      <c r="A264" s="243"/>
      <c r="B264" s="1296"/>
      <c r="C264" s="30" t="s">
        <v>956</v>
      </c>
      <c r="D264" s="31"/>
      <c r="E264" s="32">
        <v>0.03</v>
      </c>
      <c r="F264" s="39">
        <v>1.3725746443130241E-2</v>
      </c>
      <c r="G264" s="39">
        <v>1.3725746443130241E-2</v>
      </c>
      <c r="H264" s="39">
        <v>1.3725746443130241E-2</v>
      </c>
      <c r="I264" s="39">
        <v>1.3725746443130241E-2</v>
      </c>
      <c r="J264" s="1327"/>
    </row>
    <row r="265" spans="1:11" s="248" customFormat="1">
      <c r="A265" s="243"/>
      <c r="B265" s="1296"/>
      <c r="C265" s="30" t="s">
        <v>957</v>
      </c>
      <c r="D265" s="31"/>
      <c r="E265" s="32">
        <v>1.7000000000000001E-2</v>
      </c>
      <c r="F265" s="39">
        <v>1.1550722885777985E-2</v>
      </c>
      <c r="G265" s="39">
        <v>1.1550722885777985E-2</v>
      </c>
      <c r="H265" s="39">
        <v>1.6304198620961621E-2</v>
      </c>
      <c r="I265" s="39">
        <v>1.1559355080795176E-2</v>
      </c>
      <c r="J265" s="139">
        <f>E56</f>
        <v>9.818652246631674E-3</v>
      </c>
    </row>
    <row r="266" spans="1:11" s="248" customFormat="1">
      <c r="A266" s="243"/>
      <c r="B266" s="1296"/>
      <c r="C266" s="30" t="s">
        <v>958</v>
      </c>
      <c r="D266" s="31"/>
      <c r="E266" s="32">
        <v>0.01</v>
      </c>
      <c r="F266" s="39">
        <v>1.244954496014958E-2</v>
      </c>
      <c r="G266" s="39">
        <v>1.244954496014958E-2</v>
      </c>
      <c r="H266" s="39">
        <v>1.2144815289479256E-2</v>
      </c>
      <c r="I266" s="1336">
        <v>1.0725969359480864E-2</v>
      </c>
      <c r="J266" s="1326">
        <f>E57</f>
        <v>1.6892514798542011E-2</v>
      </c>
    </row>
    <row r="267" spans="1:11" s="248" customFormat="1">
      <c r="A267" s="243"/>
      <c r="B267" s="1296"/>
      <c r="C267" s="30" t="s">
        <v>959</v>
      </c>
      <c r="D267" s="31"/>
      <c r="E267" s="32">
        <v>0.02</v>
      </c>
      <c r="F267" s="39">
        <v>1.6478369051489101E-2</v>
      </c>
      <c r="G267" s="39">
        <v>1.6478369051489101E-2</v>
      </c>
      <c r="H267" s="39">
        <v>1.2144815289479256E-2</v>
      </c>
      <c r="I267" s="1337"/>
      <c r="J267" s="1327"/>
    </row>
    <row r="268" spans="1:11" s="248" customFormat="1">
      <c r="A268" s="243"/>
      <c r="B268" s="1297"/>
      <c r="C268" s="30" t="s">
        <v>960</v>
      </c>
      <c r="D268" s="31"/>
      <c r="E268" s="32">
        <v>0.03</v>
      </c>
      <c r="F268" s="39">
        <v>3.969894957130074E-2</v>
      </c>
      <c r="G268" s="39">
        <v>3.969894957130074E-2</v>
      </c>
      <c r="H268" s="39">
        <v>4.8246299480316203E-2</v>
      </c>
      <c r="I268" s="39">
        <v>5.0303430291518444E-2</v>
      </c>
      <c r="J268" s="139">
        <f>E59</f>
        <v>4.5350999202055521E-2</v>
      </c>
    </row>
    <row r="269" spans="1:11" s="248" customFormat="1">
      <c r="A269" s="243"/>
      <c r="B269" s="1295" t="s">
        <v>677</v>
      </c>
      <c r="C269" s="322" t="s">
        <v>553</v>
      </c>
      <c r="D269" s="323"/>
      <c r="E269" s="32">
        <v>0.03</v>
      </c>
      <c r="F269" s="39">
        <v>3.4198459990655114E-2</v>
      </c>
      <c r="G269" s="39">
        <v>3.4198459990655114E-2</v>
      </c>
      <c r="H269" s="1309" t="s">
        <v>679</v>
      </c>
      <c r="I269" s="1309" t="s">
        <v>679</v>
      </c>
      <c r="J269" s="1323" t="s">
        <v>679</v>
      </c>
    </row>
    <row r="270" spans="1:11" s="248" customFormat="1">
      <c r="A270" s="243"/>
      <c r="B270" s="1296"/>
      <c r="C270" s="322" t="s">
        <v>723</v>
      </c>
      <c r="D270" s="323"/>
      <c r="E270" s="32">
        <v>0.05</v>
      </c>
      <c r="F270" s="39">
        <v>3.868103288815225E-2</v>
      </c>
      <c r="G270" s="39">
        <v>3.868103288815225E-2</v>
      </c>
      <c r="H270" s="1310"/>
      <c r="I270" s="1310"/>
      <c r="J270" s="1324"/>
    </row>
    <row r="271" spans="1:11" s="248" customFormat="1">
      <c r="A271" s="243"/>
      <c r="B271" s="1296"/>
      <c r="C271" s="322" t="s">
        <v>648</v>
      </c>
      <c r="D271" s="323"/>
      <c r="E271" s="32">
        <v>0.05</v>
      </c>
      <c r="F271" s="39">
        <v>9.4639863189321799E-2</v>
      </c>
      <c r="G271" s="39">
        <v>9.4639863189321799E-2</v>
      </c>
      <c r="H271" s="1310"/>
      <c r="I271" s="1310"/>
      <c r="J271" s="1324"/>
    </row>
    <row r="272" spans="1:11" s="248" customFormat="1">
      <c r="A272" s="243"/>
      <c r="B272" s="1296"/>
      <c r="C272" s="322" t="s">
        <v>634</v>
      </c>
      <c r="D272" s="323"/>
      <c r="E272" s="32">
        <v>0.05</v>
      </c>
      <c r="F272" s="39">
        <v>4.2927899198314169E-2</v>
      </c>
      <c r="G272" s="39">
        <v>4.2927899198314169E-2</v>
      </c>
      <c r="H272" s="1310"/>
      <c r="I272" s="1310"/>
      <c r="J272" s="1324"/>
    </row>
    <row r="273" spans="1:28" s="248" customFormat="1">
      <c r="A273" s="243"/>
      <c r="B273" s="1296"/>
      <c r="C273" s="322" t="s">
        <v>632</v>
      </c>
      <c r="D273" s="323"/>
      <c r="E273" s="32">
        <v>0.09</v>
      </c>
      <c r="F273" s="39">
        <v>5.0640744496606223E-2</v>
      </c>
      <c r="G273" s="39">
        <v>5.0640744496606223E-2</v>
      </c>
      <c r="H273" s="1310"/>
      <c r="I273" s="1310"/>
      <c r="J273" s="1324"/>
    </row>
    <row r="274" spans="1:28" s="248" customFormat="1">
      <c r="A274" s="243"/>
      <c r="B274" s="1297"/>
      <c r="C274" s="322" t="s">
        <v>174</v>
      </c>
      <c r="D274" s="323"/>
      <c r="E274" s="32">
        <v>0.05</v>
      </c>
      <c r="F274" s="39">
        <v>4.0845552559918528E-2</v>
      </c>
      <c r="G274" s="39">
        <v>4.0845552559918528E-2</v>
      </c>
      <c r="H274" s="1311"/>
      <c r="I274" s="1311"/>
      <c r="J274" s="1325"/>
    </row>
    <row r="275" spans="1:28" s="248" customFormat="1">
      <c r="A275" s="243"/>
      <c r="B275" s="243"/>
      <c r="C275" s="324"/>
      <c r="D275" s="324"/>
      <c r="E275" s="141" t="s">
        <v>336</v>
      </c>
      <c r="F275" s="243"/>
      <c r="G275" s="243"/>
      <c r="H275" s="243"/>
      <c r="I275" s="243"/>
    </row>
    <row r="276" spans="1:28" s="248" customFormat="1">
      <c r="A276" s="243"/>
      <c r="B276" s="243"/>
      <c r="C276" s="324"/>
      <c r="D276" s="324"/>
      <c r="E276" s="141"/>
      <c r="F276" s="243"/>
      <c r="G276" s="243"/>
      <c r="H276" s="243"/>
      <c r="I276" s="243"/>
      <c r="V276" s="243"/>
      <c r="W276" s="243"/>
      <c r="X276" s="243"/>
      <c r="Y276" s="243"/>
      <c r="Z276" s="243"/>
      <c r="AA276" s="243"/>
      <c r="AB276" s="243"/>
    </row>
    <row r="277" spans="1:28" s="248" customFormat="1" ht="18.75">
      <c r="A277" s="243"/>
      <c r="B277" s="325" t="s">
        <v>680</v>
      </c>
      <c r="C277" s="243"/>
      <c r="D277" s="243"/>
      <c r="E277" s="243"/>
      <c r="F277" s="243"/>
      <c r="G277" s="243"/>
      <c r="I277" s="243"/>
      <c r="N277" s="243"/>
      <c r="V277" s="243"/>
      <c r="W277" s="243"/>
      <c r="X277" s="243"/>
      <c r="Y277" s="243"/>
      <c r="Z277" s="243"/>
      <c r="AA277" s="243"/>
      <c r="AB277" s="243"/>
    </row>
    <row r="278" spans="1:28" s="248" customFormat="1">
      <c r="A278" s="243"/>
      <c r="B278" s="243"/>
      <c r="C278" s="243"/>
      <c r="D278" s="243"/>
      <c r="E278" s="243"/>
      <c r="F278" s="243"/>
      <c r="G278" s="171"/>
      <c r="I278" s="171"/>
      <c r="N278" s="243"/>
      <c r="V278" s="243"/>
      <c r="W278" s="243"/>
      <c r="X278" s="243"/>
      <c r="Y278" s="243"/>
      <c r="Z278" s="243"/>
      <c r="AA278" s="243"/>
      <c r="AB278" s="243"/>
    </row>
    <row r="279" spans="1:28" s="248" customFormat="1">
      <c r="A279" s="243"/>
      <c r="B279" s="243"/>
      <c r="C279" s="243"/>
      <c r="D279" s="308" t="s">
        <v>294</v>
      </c>
      <c r="E279" s="326" t="s">
        <v>295</v>
      </c>
      <c r="F279" s="308" t="s">
        <v>296</v>
      </c>
      <c r="G279" s="308" t="s">
        <v>664</v>
      </c>
      <c r="H279" s="308" t="s">
        <v>665</v>
      </c>
      <c r="I279" s="308" t="s">
        <v>546</v>
      </c>
      <c r="N279" s="243"/>
      <c r="V279" s="243"/>
      <c r="W279" s="243"/>
      <c r="X279" s="243"/>
      <c r="Y279" s="243"/>
      <c r="Z279" s="243"/>
      <c r="AA279" s="243"/>
      <c r="AB279" s="243"/>
    </row>
    <row r="280" spans="1:28" s="248" customFormat="1" ht="14.25">
      <c r="A280" s="243"/>
      <c r="B280" s="1312" t="s">
        <v>554</v>
      </c>
      <c r="C280" s="144" t="s">
        <v>1103</v>
      </c>
      <c r="D280" s="136">
        <v>9.2743652622699804E-2</v>
      </c>
      <c r="E280" s="145">
        <v>0.12048982287232098</v>
      </c>
      <c r="F280" s="327">
        <v>0.12048982287232098</v>
      </c>
      <c r="G280" s="137">
        <v>0.10873368402812893</v>
      </c>
      <c r="H280" s="137">
        <v>8.9495565197362292E-2</v>
      </c>
      <c r="I280" s="21">
        <f>D91</f>
        <v>4.2025596415101729E-2</v>
      </c>
      <c r="N280" s="243"/>
      <c r="O280" s="243"/>
      <c r="V280" s="243"/>
      <c r="W280" s="243"/>
      <c r="X280" s="243"/>
      <c r="Y280" s="243"/>
      <c r="Z280" s="243"/>
      <c r="AA280" s="243"/>
      <c r="AB280" s="243"/>
    </row>
    <row r="281" spans="1:28" s="248" customFormat="1" ht="14.25">
      <c r="A281" s="243"/>
      <c r="B281" s="1313"/>
      <c r="C281" s="144" t="s">
        <v>555</v>
      </c>
      <c r="D281" s="136">
        <v>8.6477217439152904E-2</v>
      </c>
      <c r="E281" s="145">
        <v>9.11565343753626E-2</v>
      </c>
      <c r="F281" s="327">
        <v>9.11565343753626E-2</v>
      </c>
      <c r="G281" s="137">
        <v>9.9072381702695764E-2</v>
      </c>
      <c r="H281" s="137">
        <v>8.2573264452016751E-2</v>
      </c>
      <c r="I281" s="21">
        <f>D99</f>
        <v>6.3880174388616623E-2</v>
      </c>
      <c r="N281" s="243"/>
      <c r="V281" s="243"/>
      <c r="W281" s="243"/>
      <c r="X281" s="243"/>
      <c r="Y281" s="243"/>
      <c r="Z281" s="243"/>
      <c r="AA281" s="243"/>
      <c r="AB281" s="243"/>
    </row>
    <row r="282" spans="1:28" s="248" customFormat="1" ht="14.25">
      <c r="A282" s="243"/>
      <c r="B282" s="1312" t="s">
        <v>154</v>
      </c>
      <c r="C282" s="144" t="s">
        <v>1103</v>
      </c>
      <c r="D282" s="136">
        <v>0.10102172580758299</v>
      </c>
      <c r="E282" s="145">
        <v>0.11182968230510132</v>
      </c>
      <c r="F282" s="327">
        <v>0.11182968230510132</v>
      </c>
      <c r="G282" s="137">
        <v>0.14691781963504247</v>
      </c>
      <c r="H282" s="137">
        <v>0.14516844178597138</v>
      </c>
      <c r="I282" s="21">
        <f>E91</f>
        <v>0.13685764400265613</v>
      </c>
      <c r="N282" s="243"/>
      <c r="V282" s="243"/>
      <c r="W282" s="243"/>
      <c r="X282" s="243"/>
      <c r="Y282" s="243"/>
      <c r="Z282" s="243"/>
      <c r="AA282" s="243"/>
      <c r="AB282" s="243"/>
    </row>
    <row r="283" spans="1:28" s="248" customFormat="1" ht="14.25">
      <c r="A283" s="243"/>
      <c r="B283" s="1313"/>
      <c r="C283" s="144" t="s">
        <v>555</v>
      </c>
      <c r="D283" s="136">
        <v>8.12725648910292E-2</v>
      </c>
      <c r="E283" s="145">
        <v>0.108644802660396</v>
      </c>
      <c r="F283" s="327">
        <v>0.108644802660396</v>
      </c>
      <c r="G283" s="137">
        <v>9.2990209509292848E-2</v>
      </c>
      <c r="H283" s="137">
        <v>0.10239413022069892</v>
      </c>
      <c r="I283" s="21">
        <f>E99</f>
        <v>0.12427198112286574</v>
      </c>
      <c r="N283" s="243"/>
      <c r="V283" s="243"/>
      <c r="W283" s="243"/>
      <c r="X283" s="243"/>
      <c r="Y283" s="243"/>
      <c r="Z283" s="243"/>
      <c r="AA283" s="243"/>
      <c r="AB283" s="243"/>
    </row>
    <row r="284" spans="1:28" s="248" customFormat="1" ht="14.25">
      <c r="A284" s="243"/>
      <c r="B284" s="1312" t="s">
        <v>556</v>
      </c>
      <c r="C284" s="144" t="s">
        <v>1103</v>
      </c>
      <c r="D284" s="133">
        <v>0.133154128787867</v>
      </c>
      <c r="E284" s="145">
        <v>0.14694502293313305</v>
      </c>
      <c r="F284" s="327">
        <v>0.14694502293313305</v>
      </c>
      <c r="G284" s="137">
        <v>0.15191997084553735</v>
      </c>
      <c r="H284" s="137">
        <v>0.13367012379437343</v>
      </c>
      <c r="I284" s="21">
        <f>F91</f>
        <v>0.13439753018288736</v>
      </c>
      <c r="N284" s="243"/>
      <c r="V284" s="243"/>
      <c r="W284" s="243"/>
      <c r="X284" s="243"/>
      <c r="Y284" s="243"/>
      <c r="Z284" s="243"/>
      <c r="AA284" s="243"/>
      <c r="AB284" s="243"/>
    </row>
    <row r="285" spans="1:28" s="248" customFormat="1" ht="14.25">
      <c r="A285" s="243"/>
      <c r="B285" s="1313"/>
      <c r="C285" s="144" t="s">
        <v>555</v>
      </c>
      <c r="D285" s="133">
        <v>0.12807805942460701</v>
      </c>
      <c r="E285" s="145">
        <v>0.150142591778095</v>
      </c>
      <c r="F285" s="327">
        <v>0.150142591778095</v>
      </c>
      <c r="G285" s="137">
        <v>0.1526195499337894</v>
      </c>
      <c r="H285" s="137">
        <v>0.13971240193416065</v>
      </c>
      <c r="I285" s="21">
        <f>F99</f>
        <v>0.10249602600908078</v>
      </c>
      <c r="N285" s="243"/>
      <c r="V285" s="243"/>
      <c r="W285" s="243"/>
      <c r="X285" s="243"/>
      <c r="Y285" s="243"/>
      <c r="Z285" s="243"/>
      <c r="AA285" s="243"/>
      <c r="AB285" s="243"/>
    </row>
    <row r="286" spans="1:28" s="248" customFormat="1" ht="14.25">
      <c r="A286" s="243"/>
      <c r="B286" s="1312" t="s">
        <v>557</v>
      </c>
      <c r="C286" s="144" t="s">
        <v>1103</v>
      </c>
      <c r="D286" s="148">
        <v>0.10568031787539001</v>
      </c>
      <c r="E286" s="145">
        <v>0.1174012673881893</v>
      </c>
      <c r="F286" s="327">
        <v>0.1174012673881893</v>
      </c>
      <c r="G286" s="137">
        <v>0.12776448626690007</v>
      </c>
      <c r="H286" s="137">
        <v>0.11282735991439866</v>
      </c>
      <c r="I286" s="21">
        <f>G91</f>
        <v>7.1034499383256997E-2</v>
      </c>
      <c r="K286" s="328"/>
      <c r="N286" s="243"/>
      <c r="V286" s="243"/>
      <c r="W286" s="243"/>
      <c r="X286" s="243"/>
      <c r="Y286" s="243"/>
      <c r="Z286" s="243"/>
      <c r="AA286" s="243"/>
      <c r="AB286" s="243"/>
    </row>
    <row r="287" spans="1:28" s="248" customFormat="1" ht="14.25">
      <c r="A287" s="243"/>
      <c r="B287" s="1313"/>
      <c r="C287" s="144" t="s">
        <v>555</v>
      </c>
      <c r="D287" s="133">
        <v>8.6179314861277903E-2</v>
      </c>
      <c r="E287" s="145">
        <v>9.5504871095251645E-2</v>
      </c>
      <c r="F287" s="327">
        <v>9.5504871095251645E-2</v>
      </c>
      <c r="G287" s="137">
        <v>0.10034786341790634</v>
      </c>
      <c r="H287" s="137">
        <v>9.6822429003387459E-2</v>
      </c>
      <c r="I287" s="21">
        <f>G99</f>
        <v>6.6861705408845715E-2</v>
      </c>
      <c r="K287" s="171"/>
      <c r="N287" s="243"/>
      <c r="V287" s="243"/>
      <c r="W287" s="243"/>
      <c r="X287" s="243"/>
      <c r="Y287" s="243"/>
      <c r="Z287" s="243"/>
      <c r="AA287" s="243"/>
      <c r="AB287" s="243"/>
    </row>
    <row r="288" spans="1:28" s="248" customFormat="1" ht="14.25">
      <c r="A288" s="243"/>
      <c r="B288" s="1312" t="s">
        <v>831</v>
      </c>
      <c r="C288" s="144" t="s">
        <v>1103</v>
      </c>
      <c r="D288" s="136">
        <v>0.14595109715919799</v>
      </c>
      <c r="E288" s="145">
        <v>0.12043096627391624</v>
      </c>
      <c r="F288" s="327">
        <v>0.12043096627391624</v>
      </c>
      <c r="G288" s="329"/>
      <c r="H288" s="329"/>
      <c r="I288" s="330"/>
      <c r="K288" s="171"/>
      <c r="N288" s="243"/>
      <c r="V288" s="243"/>
      <c r="W288" s="243"/>
      <c r="X288" s="243"/>
      <c r="Y288" s="243"/>
      <c r="Z288" s="243"/>
      <c r="AA288" s="243"/>
      <c r="AB288" s="243"/>
    </row>
    <row r="289" spans="1:28" s="248" customFormat="1" ht="14.25">
      <c r="A289" s="243"/>
      <c r="B289" s="1313"/>
      <c r="C289" s="144" t="s">
        <v>555</v>
      </c>
      <c r="D289" s="136">
        <v>7.9995567870295894E-2</v>
      </c>
      <c r="E289" s="145">
        <v>8.3369917061363027E-2</v>
      </c>
      <c r="F289" s="327">
        <v>8.3369917061363027E-2</v>
      </c>
      <c r="G289" s="329"/>
      <c r="H289" s="329"/>
      <c r="I289" s="330"/>
      <c r="K289" s="171"/>
      <c r="N289" s="243"/>
      <c r="V289" s="243"/>
      <c r="W289" s="243"/>
      <c r="X289" s="243"/>
      <c r="Y289" s="243"/>
      <c r="Z289" s="243"/>
      <c r="AA289" s="243"/>
      <c r="AB289" s="243"/>
    </row>
    <row r="290" spans="1:28" s="248" customFormat="1" ht="14.25">
      <c r="A290" s="243"/>
      <c r="B290" s="1312" t="s">
        <v>832</v>
      </c>
      <c r="C290" s="144" t="s">
        <v>1103</v>
      </c>
      <c r="D290" s="136">
        <v>7.4430518750950803E-2</v>
      </c>
      <c r="E290" s="145">
        <v>7.4429750286077873E-2</v>
      </c>
      <c r="F290" s="327">
        <v>7.4429750286077873E-2</v>
      </c>
      <c r="G290" s="137">
        <v>8.0383473021592142E-2</v>
      </c>
      <c r="H290" s="137">
        <v>0.10206880229732697</v>
      </c>
      <c r="I290" s="21">
        <f>H91</f>
        <v>4.0436295130167596E-2</v>
      </c>
      <c r="K290" s="171"/>
      <c r="N290" s="243"/>
      <c r="V290" s="243"/>
      <c r="W290" s="243"/>
      <c r="X290" s="243"/>
      <c r="Y290" s="243"/>
      <c r="Z290" s="243"/>
      <c r="AA290" s="243"/>
      <c r="AB290" s="243"/>
    </row>
    <row r="291" spans="1:28" s="248" customFormat="1" ht="14.25">
      <c r="A291" s="243"/>
      <c r="B291" s="1313"/>
      <c r="C291" s="144" t="s">
        <v>555</v>
      </c>
      <c r="D291" s="136">
        <v>6.0854926902666598E-2</v>
      </c>
      <c r="E291" s="145">
        <v>6.598526173192458E-2</v>
      </c>
      <c r="F291" s="327">
        <v>6.598526173192458E-2</v>
      </c>
      <c r="G291" s="137">
        <v>9.0046547233919291E-2</v>
      </c>
      <c r="H291" s="137">
        <v>5.48265611833402E-2</v>
      </c>
      <c r="I291" s="21">
        <f>H99</f>
        <v>6.9684859891015249E-2</v>
      </c>
      <c r="K291" s="171"/>
      <c r="N291" s="243"/>
      <c r="V291" s="243"/>
      <c r="W291" s="243"/>
      <c r="X291" s="243"/>
      <c r="Y291" s="243"/>
      <c r="Z291" s="243"/>
      <c r="AA291" s="243"/>
      <c r="AB291" s="243"/>
    </row>
    <row r="292" spans="1:28" s="248" customFormat="1" ht="14.25">
      <c r="A292" s="243"/>
      <c r="B292" s="1312" t="s">
        <v>833</v>
      </c>
      <c r="C292" s="144" t="s">
        <v>1103</v>
      </c>
      <c r="D292" s="136">
        <v>0.15848076122590199</v>
      </c>
      <c r="E292" s="145">
        <v>0.16410438616547263</v>
      </c>
      <c r="F292" s="327">
        <v>0.16410438616547263</v>
      </c>
      <c r="G292" s="137">
        <v>0.26533659300296641</v>
      </c>
      <c r="H292" s="137">
        <v>0.12230238916220393</v>
      </c>
      <c r="I292" s="330"/>
      <c r="K292" s="171"/>
      <c r="N292" s="243"/>
      <c r="V292" s="243"/>
      <c r="W292" s="243"/>
      <c r="X292" s="243"/>
      <c r="Y292" s="243"/>
      <c r="Z292" s="243"/>
      <c r="AA292" s="243"/>
      <c r="AB292" s="243"/>
    </row>
    <row r="293" spans="1:28" s="248" customFormat="1" ht="14.25">
      <c r="A293" s="243"/>
      <c r="B293" s="1313"/>
      <c r="C293" s="144" t="s">
        <v>555</v>
      </c>
      <c r="D293" s="136">
        <v>8.9681587090582299E-2</v>
      </c>
      <c r="E293" s="145">
        <v>0.14690258776850909</v>
      </c>
      <c r="F293" s="327">
        <v>0.14690258776850909</v>
      </c>
      <c r="G293" s="329"/>
      <c r="H293" s="329"/>
      <c r="I293" s="330"/>
      <c r="N293" s="243"/>
      <c r="V293" s="243"/>
      <c r="W293" s="243"/>
      <c r="X293" s="243"/>
      <c r="Y293" s="243"/>
      <c r="Z293" s="243"/>
      <c r="AA293" s="243"/>
      <c r="AB293" s="243"/>
    </row>
    <row r="294" spans="1:28" s="243" customFormat="1" ht="14.25">
      <c r="B294" s="1312" t="s">
        <v>1229</v>
      </c>
      <c r="C294" s="144" t="s">
        <v>1103</v>
      </c>
      <c r="D294" s="136">
        <v>0.10568031787539001</v>
      </c>
      <c r="E294" s="145">
        <v>0.1174012673881893</v>
      </c>
      <c r="F294" s="327">
        <v>0.1174012673881893</v>
      </c>
      <c r="G294" s="137">
        <v>0.12776448626690007</v>
      </c>
      <c r="H294" s="137">
        <v>0.12230238916220393</v>
      </c>
      <c r="I294" s="21">
        <f>I91</f>
        <v>7.5530068027890307E-2</v>
      </c>
      <c r="J294" s="248"/>
    </row>
    <row r="295" spans="1:28" s="243" customFormat="1" ht="14.25">
      <c r="B295" s="1313"/>
      <c r="C295" s="144" t="s">
        <v>555</v>
      </c>
      <c r="D295" s="136">
        <v>8.6179314861277903E-2</v>
      </c>
      <c r="E295" s="145">
        <v>9.5504871095251645E-2</v>
      </c>
      <c r="F295" s="327">
        <v>9.5504871095251645E-2</v>
      </c>
      <c r="G295" s="137">
        <v>0.10034786341790634</v>
      </c>
      <c r="H295" s="137">
        <v>9.6822429003387459E-2</v>
      </c>
      <c r="I295" s="21">
        <f>I99</f>
        <v>8.2315818974239105E-2</v>
      </c>
      <c r="J295" s="248"/>
    </row>
    <row r="296" spans="1:28" s="248" customFormat="1" ht="14.25">
      <c r="A296" s="243"/>
      <c r="B296" s="1322" t="s">
        <v>335</v>
      </c>
      <c r="C296" s="1322"/>
      <c r="D296" s="321"/>
      <c r="E296" s="137">
        <v>2.5000000000000001E-3</v>
      </c>
      <c r="F296" s="137">
        <v>2.5000000000000001E-3</v>
      </c>
      <c r="G296" s="137">
        <v>7.1370415106672153E-3</v>
      </c>
      <c r="H296" s="137">
        <v>1.0160453212115397E-3</v>
      </c>
      <c r="I296" s="330"/>
      <c r="N296" s="243"/>
    </row>
    <row r="297" spans="1:28" s="248" customFormat="1" ht="12">
      <c r="A297" s="243"/>
      <c r="B297" s="243"/>
      <c r="C297" s="243"/>
      <c r="D297" s="243"/>
      <c r="E297" s="243"/>
      <c r="F297" s="243"/>
      <c r="G297" s="243"/>
      <c r="I297" s="243"/>
      <c r="N297" s="243"/>
    </row>
    <row r="298" spans="1:28" s="248" customFormat="1" ht="18.75">
      <c r="A298" s="243"/>
      <c r="B298" s="325" t="s">
        <v>688</v>
      </c>
      <c r="C298" s="243"/>
      <c r="D298" s="243"/>
      <c r="E298" s="243"/>
      <c r="F298" s="243"/>
      <c r="G298" s="243"/>
      <c r="I298" s="243"/>
      <c r="N298" s="243"/>
    </row>
    <row r="299" spans="1:28" s="248" customFormat="1" ht="12">
      <c r="A299" s="243"/>
      <c r="B299" s="243"/>
      <c r="C299" s="243"/>
      <c r="D299" s="243"/>
      <c r="E299" s="243"/>
      <c r="F299" s="243"/>
      <c r="G299" s="243"/>
      <c r="H299" s="243"/>
      <c r="I299" s="243"/>
    </row>
    <row r="300" spans="1:28" s="248" customFormat="1">
      <c r="A300" s="243"/>
      <c r="B300" s="243"/>
      <c r="C300" s="243"/>
      <c r="D300" s="308" t="s">
        <v>294</v>
      </c>
      <c r="E300" s="326" t="s">
        <v>295</v>
      </c>
      <c r="F300" s="308" t="s">
        <v>296</v>
      </c>
      <c r="G300" s="308" t="s">
        <v>664</v>
      </c>
      <c r="H300" s="308" t="s">
        <v>665</v>
      </c>
      <c r="I300" s="243"/>
    </row>
    <row r="301" spans="1:28" s="248" customFormat="1">
      <c r="A301" s="307"/>
      <c r="B301" s="331" t="s">
        <v>339</v>
      </c>
      <c r="C301" s="332" t="s">
        <v>184</v>
      </c>
      <c r="D301" s="321"/>
      <c r="E301" s="137">
        <v>0</v>
      </c>
      <c r="F301" s="137">
        <v>0</v>
      </c>
      <c r="G301" s="137">
        <v>0</v>
      </c>
      <c r="H301" s="137">
        <v>0</v>
      </c>
      <c r="I301" s="243"/>
    </row>
    <row r="302" spans="1:28" s="248" customFormat="1">
      <c r="A302" s="307"/>
      <c r="B302" s="333"/>
      <c r="C302" s="332" t="s">
        <v>1131</v>
      </c>
      <c r="D302" s="321"/>
      <c r="E302" s="137">
        <v>5.3100000000000001E-2</v>
      </c>
      <c r="F302" s="137">
        <v>1.4999999999999999E-2</v>
      </c>
      <c r="G302" s="137">
        <v>0</v>
      </c>
      <c r="H302" s="137">
        <v>0</v>
      </c>
      <c r="I302" s="243" t="s">
        <v>558</v>
      </c>
    </row>
    <row r="303" spans="1:28" s="248" customFormat="1">
      <c r="A303" s="307"/>
      <c r="B303" s="333"/>
      <c r="C303" s="332" t="s">
        <v>1129</v>
      </c>
      <c r="D303" s="321"/>
      <c r="E303" s="137">
        <v>5.3100000000000001E-2</v>
      </c>
      <c r="F303" s="137">
        <v>1.4999999999999999E-2</v>
      </c>
      <c r="G303" s="137">
        <v>0</v>
      </c>
      <c r="H303" s="137">
        <v>0</v>
      </c>
      <c r="I303" s="243" t="s">
        <v>559</v>
      </c>
    </row>
    <row r="304" spans="1:28" s="248" customFormat="1">
      <c r="A304" s="307"/>
      <c r="B304" s="333"/>
      <c r="C304" s="332" t="s">
        <v>174</v>
      </c>
      <c r="D304" s="321"/>
      <c r="E304" s="137">
        <v>5.3100000000000001E-2</v>
      </c>
      <c r="F304" s="137">
        <v>1.4999999999999999E-2</v>
      </c>
      <c r="G304" s="137">
        <v>0</v>
      </c>
      <c r="H304" s="137">
        <v>0</v>
      </c>
      <c r="I304" s="243" t="s">
        <v>694</v>
      </c>
    </row>
    <row r="305" spans="1:9" s="248" customFormat="1">
      <c r="A305" s="307"/>
      <c r="B305" s="333"/>
      <c r="C305" s="332" t="s">
        <v>560</v>
      </c>
      <c r="D305" s="321"/>
      <c r="E305" s="137">
        <v>5.3100000000000001E-2</v>
      </c>
      <c r="F305" s="137">
        <v>0.02</v>
      </c>
      <c r="G305" s="137">
        <v>0</v>
      </c>
      <c r="H305" s="137">
        <v>0</v>
      </c>
      <c r="I305" s="243" t="s">
        <v>696</v>
      </c>
    </row>
    <row r="306" spans="1:9" s="248" customFormat="1">
      <c r="A306" s="307"/>
      <c r="B306" s="333"/>
      <c r="C306" s="332" t="s">
        <v>561</v>
      </c>
      <c r="D306" s="321"/>
      <c r="E306" s="137">
        <v>5.3100000000000001E-2</v>
      </c>
      <c r="F306" s="137">
        <v>0.02</v>
      </c>
      <c r="G306" s="137">
        <v>0</v>
      </c>
      <c r="H306" s="137">
        <v>0</v>
      </c>
      <c r="I306" s="243" t="s">
        <v>562</v>
      </c>
    </row>
    <row r="307" spans="1:9" s="248" customFormat="1">
      <c r="A307" s="307"/>
      <c r="B307" s="333"/>
      <c r="C307" s="332" t="s">
        <v>563</v>
      </c>
      <c r="D307" s="321"/>
      <c r="E307" s="137">
        <v>5.3100000000000001E-2</v>
      </c>
      <c r="F307" s="137">
        <v>0.02</v>
      </c>
      <c r="G307" s="137">
        <v>0</v>
      </c>
      <c r="H307" s="137">
        <v>0</v>
      </c>
      <c r="I307" s="243" t="s">
        <v>564</v>
      </c>
    </row>
    <row r="308" spans="1:9" s="248" customFormat="1">
      <c r="A308" s="307"/>
      <c r="B308" s="333"/>
      <c r="C308" s="332" t="s">
        <v>565</v>
      </c>
      <c r="D308" s="321"/>
      <c r="E308" s="137">
        <v>5.3100000000000001E-2</v>
      </c>
      <c r="F308" s="137">
        <v>0.02</v>
      </c>
      <c r="G308" s="137">
        <v>0</v>
      </c>
      <c r="H308" s="137">
        <v>0</v>
      </c>
      <c r="I308" s="243" t="s">
        <v>702</v>
      </c>
    </row>
    <row r="309" spans="1:9" s="248" customFormat="1">
      <c r="A309" s="307"/>
      <c r="B309" s="333"/>
      <c r="C309" s="332" t="s">
        <v>566</v>
      </c>
      <c r="D309" s="321"/>
      <c r="E309" s="137">
        <v>5.3100000000000001E-2</v>
      </c>
      <c r="F309" s="137">
        <v>0.02</v>
      </c>
      <c r="G309" s="137">
        <v>0</v>
      </c>
      <c r="H309" s="137">
        <v>0</v>
      </c>
      <c r="I309" s="243" t="s">
        <v>567</v>
      </c>
    </row>
    <row r="310" spans="1:9" s="248" customFormat="1">
      <c r="A310" s="307"/>
      <c r="B310" s="333"/>
      <c r="C310" s="332" t="s">
        <v>568</v>
      </c>
      <c r="D310" s="321"/>
      <c r="E310" s="137">
        <v>5.3100000000000001E-2</v>
      </c>
      <c r="F310" s="137">
        <v>0.02</v>
      </c>
      <c r="G310" s="137">
        <v>0</v>
      </c>
      <c r="H310" s="137">
        <v>0</v>
      </c>
      <c r="I310" s="243" t="s">
        <v>569</v>
      </c>
    </row>
    <row r="311" spans="1:9" s="248" customFormat="1">
      <c r="A311" s="307"/>
      <c r="B311" s="334"/>
      <c r="C311" s="332" t="s">
        <v>570</v>
      </c>
      <c r="D311" s="321"/>
      <c r="E311" s="137">
        <v>5.3100000000000001E-2</v>
      </c>
      <c r="F311" s="137">
        <v>1.4999999999999999E-2</v>
      </c>
      <c r="G311" s="137">
        <v>1.4999999999999999E-2</v>
      </c>
      <c r="H311" s="137">
        <v>0</v>
      </c>
      <c r="I311" s="243" t="s">
        <v>567</v>
      </c>
    </row>
    <row r="312" spans="1:9" s="248" customFormat="1">
      <c r="A312" s="307"/>
      <c r="B312" s="333"/>
      <c r="C312" s="332" t="s">
        <v>571</v>
      </c>
      <c r="D312" s="321"/>
      <c r="E312" s="137">
        <v>5.3100000000000001E-2</v>
      </c>
      <c r="F312" s="137">
        <v>1.4999999999999999E-2</v>
      </c>
      <c r="G312" s="137">
        <v>1.4999999999999999E-2</v>
      </c>
      <c r="H312" s="137">
        <v>0</v>
      </c>
      <c r="I312" s="243" t="s">
        <v>709</v>
      </c>
    </row>
    <row r="313" spans="1:9" s="248" customFormat="1">
      <c r="A313" s="307"/>
      <c r="B313" s="333"/>
      <c r="C313" s="332" t="s">
        <v>710</v>
      </c>
      <c r="D313" s="321"/>
      <c r="E313" s="137">
        <v>5.3100000000000001E-2</v>
      </c>
      <c r="F313" s="137">
        <v>0.02</v>
      </c>
      <c r="G313" s="137">
        <v>1.4999999999999999E-2</v>
      </c>
      <c r="H313" s="137">
        <v>0</v>
      </c>
      <c r="I313" s="243" t="s">
        <v>711</v>
      </c>
    </row>
    <row r="314" spans="1:9" s="248" customFormat="1">
      <c r="A314" s="307"/>
      <c r="B314" s="335"/>
      <c r="C314" s="332" t="s">
        <v>343</v>
      </c>
      <c r="D314" s="321"/>
      <c r="E314" s="137">
        <v>5.3100000000000001E-2</v>
      </c>
      <c r="F314" s="137">
        <v>0.02</v>
      </c>
      <c r="G314" s="137">
        <v>0.02</v>
      </c>
      <c r="H314" s="137">
        <v>0.02</v>
      </c>
      <c r="I314" s="243"/>
    </row>
    <row r="315" spans="1:9" s="243" customFormat="1" ht="12"/>
    <row r="316" spans="1:9" s="243" customFormat="1" ht="12"/>
    <row r="317" spans="1:9" s="243" customFormat="1" ht="12"/>
    <row r="318" spans="1:9" s="243" customFormat="1" ht="12"/>
    <row r="319" spans="1:9" s="243" customFormat="1" ht="12"/>
    <row r="320" spans="1:9" s="243" customFormat="1" ht="12"/>
    <row r="321" s="243" customFormat="1" ht="12"/>
    <row r="322" s="243" customFormat="1" ht="12"/>
    <row r="323" s="243" customFormat="1" ht="12"/>
    <row r="324" s="243" customFormat="1" ht="12"/>
    <row r="325" s="243" customFormat="1" ht="12"/>
    <row r="326" s="243" customFormat="1" ht="12"/>
    <row r="327" s="243" customFormat="1" ht="12"/>
    <row r="328" s="243" customFormat="1" ht="12"/>
    <row r="329" s="243" customFormat="1" ht="12"/>
    <row r="330" s="243" customFormat="1" ht="12"/>
    <row r="331" s="243" customFormat="1" ht="12"/>
    <row r="332" s="243" customFormat="1" ht="12"/>
    <row r="333" s="243" customFormat="1" ht="12"/>
    <row r="334" s="243" customFormat="1" ht="12"/>
    <row r="335" s="243" customFormat="1" ht="12"/>
    <row r="336" s="243" customFormat="1" ht="12"/>
    <row r="337" s="243" customFormat="1" ht="12"/>
    <row r="338" s="243" customFormat="1" ht="12"/>
    <row r="339" s="243" customFormat="1" ht="12"/>
    <row r="340" s="243" customFormat="1" ht="12"/>
    <row r="341" s="243" customFormat="1" ht="12"/>
    <row r="342" s="243" customFormat="1" ht="12"/>
    <row r="343" s="243" customFormat="1" ht="12"/>
    <row r="344" s="243" customFormat="1" ht="12"/>
    <row r="345" s="243" customFormat="1" ht="12"/>
    <row r="346" s="243" customFormat="1" ht="12"/>
    <row r="347" s="243" customFormat="1" ht="12"/>
    <row r="348" s="243" customFormat="1" ht="12"/>
    <row r="349" s="243" customFormat="1" ht="12"/>
    <row r="350" s="243" customFormat="1" ht="12"/>
    <row r="351" s="243" customFormat="1" ht="12"/>
    <row r="352" s="243" customFormat="1" ht="12"/>
    <row r="353" s="243" customFormat="1" ht="12"/>
    <row r="354" s="243" customFormat="1" ht="12"/>
    <row r="355" s="243" customFormat="1" ht="12"/>
    <row r="356" s="243" customFormat="1" ht="12"/>
    <row r="357" s="243" customFormat="1" ht="12"/>
    <row r="358" s="243" customFormat="1" ht="12"/>
    <row r="359" s="243" customFormat="1" ht="12"/>
    <row r="360" s="243" customFormat="1" ht="12"/>
    <row r="361" s="243" customFormat="1" ht="12"/>
    <row r="362" s="243" customFormat="1" ht="12"/>
    <row r="363" s="243" customFormat="1" ht="12"/>
    <row r="364" s="243" customFormat="1" ht="12"/>
    <row r="365" s="243" customFormat="1" ht="12"/>
    <row r="366" s="243" customFormat="1" ht="12"/>
    <row r="367" s="243" customFormat="1" ht="12"/>
    <row r="368" s="243" customFormat="1" ht="12"/>
    <row r="369" s="243" customFormat="1" ht="12"/>
    <row r="370" s="243" customFormat="1" ht="12"/>
    <row r="371" s="243" customFormat="1" ht="12"/>
    <row r="372" s="243" customFormat="1" ht="12"/>
    <row r="373" s="243" customFormat="1" ht="12"/>
    <row r="374" s="243" customFormat="1" ht="12"/>
    <row r="375" s="243" customFormat="1" ht="12"/>
    <row r="376" s="243" customFormat="1" ht="12"/>
    <row r="377" s="243" customFormat="1" ht="12"/>
    <row r="378" s="243" customFormat="1" ht="12"/>
    <row r="379" s="243" customFormat="1" ht="12"/>
    <row r="380" s="243" customFormat="1" ht="12"/>
    <row r="381" s="243" customFormat="1" ht="12"/>
    <row r="382" s="243" customFormat="1" ht="12"/>
    <row r="383" s="243" customFormat="1" ht="12"/>
    <row r="384" s="243" customFormat="1" ht="12"/>
    <row r="385" s="243" customFormat="1" ht="12"/>
    <row r="386" s="243" customFormat="1" ht="12"/>
    <row r="387" s="243" customFormat="1" ht="12"/>
    <row r="388" s="243" customFormat="1" ht="12"/>
    <row r="389" s="243" customFormat="1" ht="12"/>
    <row r="390" s="243" customFormat="1" ht="12"/>
    <row r="391" s="243" customFormat="1" ht="12"/>
    <row r="392" s="243" customFormat="1" ht="12"/>
    <row r="393" s="243" customFormat="1" ht="12"/>
    <row r="394" s="243" customFormat="1" ht="12"/>
    <row r="395" s="243" customFormat="1" ht="12"/>
    <row r="396" s="243" customFormat="1" ht="12"/>
    <row r="397" s="243" customFormat="1" ht="12"/>
    <row r="398" s="243" customFormat="1" ht="12"/>
    <row r="399" s="243" customFormat="1" ht="12"/>
    <row r="400" s="243" customFormat="1" ht="12"/>
    <row r="401" s="243" customFormat="1" ht="12"/>
    <row r="402" s="243" customFormat="1" ht="12"/>
    <row r="403" s="243" customFormat="1" ht="12"/>
    <row r="404" s="243" customFormat="1" ht="12"/>
    <row r="405" s="243" customFormat="1" ht="12"/>
    <row r="406" s="243" customFormat="1" ht="12"/>
    <row r="407" s="243" customFormat="1" ht="12"/>
    <row r="408" s="243" customFormat="1" ht="12"/>
    <row r="409" s="243" customFormat="1" ht="12"/>
    <row r="410" s="243" customFormat="1" ht="12"/>
    <row r="411" s="243" customFormat="1" ht="12"/>
    <row r="412" s="243" customFormat="1" ht="12"/>
    <row r="413" s="243" customFormat="1" ht="12"/>
    <row r="414" s="243" customFormat="1" ht="12"/>
    <row r="415" s="243" customFormat="1" ht="12"/>
    <row r="416" s="243" customFormat="1" ht="12"/>
    <row r="417" s="243" customFormat="1" ht="12"/>
    <row r="418" s="243" customFormat="1" ht="12"/>
    <row r="419" s="243" customFormat="1" ht="12"/>
    <row r="420" s="243" customFormat="1" ht="12"/>
    <row r="421" s="243" customFormat="1" ht="12"/>
    <row r="422" s="243" customFormat="1" ht="12"/>
    <row r="423" s="243" customFormat="1" ht="12"/>
    <row r="424" s="243" customFormat="1" ht="12"/>
    <row r="425" s="243" customFormat="1" ht="12"/>
    <row r="426" s="243" customFormat="1" ht="12"/>
    <row r="427" s="243" customFormat="1" ht="12"/>
    <row r="428" s="243" customFormat="1" ht="12"/>
    <row r="429" s="243" customFormat="1" ht="12"/>
    <row r="430" s="243" customFormat="1" ht="12"/>
    <row r="431" s="243" customFormat="1" ht="12"/>
    <row r="432" s="243" customFormat="1" ht="12"/>
    <row r="433" s="243" customFormat="1" ht="12"/>
    <row r="434" s="243" customFormat="1" ht="12"/>
    <row r="435" s="243" customFormat="1" ht="12"/>
    <row r="436" s="243" customFormat="1" ht="12"/>
    <row r="437" s="243" customFormat="1" ht="12"/>
    <row r="438" s="243" customFormat="1" ht="12"/>
    <row r="439" s="243" customFormat="1" ht="12"/>
    <row r="440" s="243" customFormat="1" ht="12"/>
    <row r="441" s="243" customFormat="1" ht="12"/>
    <row r="442" s="243" customFormat="1" ht="12"/>
    <row r="443" s="243" customFormat="1" ht="12"/>
    <row r="444" s="243" customFormat="1" ht="12"/>
    <row r="445" s="243" customFormat="1" ht="12"/>
    <row r="446" s="243" customFormat="1" ht="12"/>
    <row r="447" s="243" customFormat="1" ht="12"/>
    <row r="448" s="243" customFormat="1" ht="12"/>
    <row r="449" s="243" customFormat="1" ht="12"/>
    <row r="450" s="243" customFormat="1" ht="12"/>
    <row r="451" s="243" customFormat="1" ht="12"/>
    <row r="452" s="243" customFormat="1" ht="12"/>
    <row r="453" s="243" customFormat="1" ht="12"/>
    <row r="454" s="243" customFormat="1" ht="12"/>
    <row r="455" s="243" customFormat="1" ht="12"/>
    <row r="456" s="243" customFormat="1" ht="12"/>
    <row r="457" s="243" customFormat="1" ht="12"/>
    <row r="458" s="243" customFormat="1" ht="12"/>
    <row r="459" s="243" customFormat="1" ht="12"/>
    <row r="460" s="243" customFormat="1" ht="12"/>
    <row r="461" s="243" customFormat="1" ht="12"/>
    <row r="462" s="243" customFormat="1" ht="12"/>
    <row r="463" s="243" customFormat="1" ht="12"/>
    <row r="464" s="243" customFormat="1" ht="12"/>
    <row r="465" s="243" customFormat="1" ht="12"/>
    <row r="466" s="243" customFormat="1" ht="12"/>
    <row r="467" s="243" customFormat="1" ht="12"/>
    <row r="468" s="243" customFormat="1" ht="12"/>
    <row r="469" s="243" customFormat="1" ht="12"/>
    <row r="470" s="243" customFormat="1" ht="12"/>
    <row r="471" s="243" customFormat="1" ht="12"/>
    <row r="472" s="243" customFormat="1" ht="12"/>
    <row r="473" s="243" customFormat="1" ht="12"/>
    <row r="474" s="243" customFormat="1" ht="12"/>
    <row r="475" s="243" customFormat="1" ht="12"/>
    <row r="476" s="243" customFormat="1" ht="12"/>
    <row r="477" s="243" customFormat="1" ht="12"/>
    <row r="478" s="243" customFormat="1" ht="12"/>
    <row r="479" s="243" customFormat="1" ht="12"/>
    <row r="480" s="243" customFormat="1" ht="12"/>
    <row r="481" s="243" customFormat="1" ht="12"/>
    <row r="482" s="243" customFormat="1" ht="12"/>
    <row r="483" s="243" customFormat="1" ht="12"/>
    <row r="484" s="243" customFormat="1" ht="12"/>
    <row r="485" s="243" customFormat="1" ht="12"/>
    <row r="486" s="243" customFormat="1" ht="12"/>
    <row r="487" s="243" customFormat="1" ht="12"/>
    <row r="488" s="243" customFormat="1" ht="12"/>
    <row r="489" s="243" customFormat="1" ht="12"/>
    <row r="490" s="243" customFormat="1" ht="12"/>
    <row r="491" s="243" customFormat="1" ht="12"/>
    <row r="492" s="243" customFormat="1" ht="12"/>
    <row r="493" s="243" customFormat="1" ht="12"/>
    <row r="494" s="243" customFormat="1" ht="12"/>
    <row r="495" s="243" customFormat="1" ht="12"/>
    <row r="496" s="243" customFormat="1" ht="12"/>
    <row r="497" s="243" customFormat="1" ht="12"/>
    <row r="498" s="243" customFormat="1" ht="12"/>
    <row r="499" s="243" customFormat="1" ht="12"/>
    <row r="500" s="243" customFormat="1" ht="12"/>
    <row r="501" s="243" customFormat="1" ht="12"/>
    <row r="502" s="243" customFormat="1" ht="12"/>
    <row r="503" s="243" customFormat="1" ht="12"/>
    <row r="504" s="243" customFormat="1" ht="12"/>
    <row r="505" s="243" customFormat="1" ht="12"/>
    <row r="506" s="243" customFormat="1" ht="12"/>
    <row r="507" s="243" customFormat="1" ht="12"/>
    <row r="508" s="243" customFormat="1" ht="12"/>
    <row r="509" s="243" customFormat="1" ht="12"/>
    <row r="510" s="243" customFormat="1" ht="12"/>
    <row r="511" s="243" customFormat="1" ht="12"/>
    <row r="512" s="243" customFormat="1" ht="12"/>
    <row r="513" s="243" customFormat="1" ht="12"/>
    <row r="514" s="243" customFormat="1" ht="12"/>
    <row r="515" s="243" customFormat="1" ht="12"/>
    <row r="516" s="243" customFormat="1" ht="12"/>
    <row r="517" s="243" customFormat="1" ht="12"/>
    <row r="518" s="243" customFormat="1" ht="12"/>
    <row r="519" s="243" customFormat="1" ht="12"/>
    <row r="520" s="243" customFormat="1" ht="12"/>
    <row r="521" s="243" customFormat="1" ht="12"/>
    <row r="522" s="243" customFormat="1" ht="12"/>
    <row r="523" s="243" customFormat="1" ht="12"/>
    <row r="524" s="243" customFormat="1" ht="12"/>
    <row r="525" s="243" customFormat="1" ht="12"/>
    <row r="526" s="243" customFormat="1" ht="12"/>
    <row r="527" s="243" customFormat="1" ht="12"/>
    <row r="528" s="243" customFormat="1" ht="12"/>
    <row r="529" s="243" customFormat="1" ht="12"/>
    <row r="530" s="243" customFormat="1" ht="12"/>
    <row r="531" s="243" customFormat="1" ht="12"/>
    <row r="532" s="243" customFormat="1" ht="12"/>
    <row r="533" s="243" customFormat="1" ht="12"/>
    <row r="534" s="243" customFormat="1" ht="12"/>
    <row r="535" s="243" customFormat="1" ht="12"/>
    <row r="536" s="243" customFormat="1" ht="12"/>
    <row r="537" s="243" customFormat="1" ht="12"/>
    <row r="538" s="243" customFormat="1" ht="12"/>
    <row r="539" s="243" customFormat="1" ht="12"/>
    <row r="540" s="243" customFormat="1" ht="12"/>
    <row r="541" s="243" customFormat="1" ht="12"/>
    <row r="542" s="243" customFormat="1" ht="12"/>
    <row r="543" s="243" customFormat="1" ht="12"/>
    <row r="544" s="243" customFormat="1" ht="12"/>
    <row r="545" s="243" customFormat="1" ht="12"/>
    <row r="546" s="243" customFormat="1" ht="12"/>
    <row r="547" s="243" customFormat="1" ht="12"/>
    <row r="548" s="243" customFormat="1" ht="12"/>
    <row r="549" s="243" customFormat="1" ht="12"/>
    <row r="550" s="243" customFormat="1" ht="12"/>
    <row r="551" s="243" customFormat="1" ht="12"/>
    <row r="552" s="243" customFormat="1" ht="12"/>
    <row r="553" s="243" customFormat="1" ht="12"/>
    <row r="554" s="243" customFormat="1" ht="12"/>
    <row r="555" s="243" customFormat="1" ht="12"/>
    <row r="556" s="243" customFormat="1" ht="12"/>
    <row r="557" s="243" customFormat="1" ht="12"/>
    <row r="558" s="243" customFormat="1" ht="12"/>
    <row r="559" s="243" customFormat="1" ht="12"/>
    <row r="560" s="243" customFormat="1" ht="12"/>
    <row r="561" s="243" customFormat="1" ht="12"/>
    <row r="562" s="243" customFormat="1" ht="12"/>
    <row r="563" s="243" customFormat="1" ht="12"/>
    <row r="564" s="243" customFormat="1" ht="12"/>
    <row r="565" s="243" customFormat="1" ht="12"/>
    <row r="566" s="243" customFormat="1" ht="12"/>
    <row r="567" s="243" customFormat="1" ht="12"/>
    <row r="568" s="243" customFormat="1" ht="12"/>
    <row r="569" s="243" customFormat="1" ht="12"/>
    <row r="570" s="243" customFormat="1" ht="12"/>
    <row r="571" s="243" customFormat="1" ht="12"/>
    <row r="572" s="243" customFormat="1" ht="12"/>
    <row r="573" s="243" customFormat="1" ht="12"/>
    <row r="574" s="243" customFormat="1" ht="12"/>
    <row r="575" s="243" customFormat="1" ht="12"/>
    <row r="576" s="243" customFormat="1" ht="12"/>
    <row r="577" s="243" customFormat="1" ht="12"/>
    <row r="578" s="243" customFormat="1" ht="12"/>
    <row r="579" s="243" customFormat="1" ht="12"/>
    <row r="580" s="243" customFormat="1" ht="12"/>
    <row r="581" s="243" customFormat="1" ht="12"/>
    <row r="582" s="243" customFormat="1" ht="12"/>
    <row r="583" s="243" customFormat="1" ht="12"/>
    <row r="584" s="243" customFormat="1" ht="12"/>
    <row r="585" s="243" customFormat="1" ht="12"/>
    <row r="586" s="243" customFormat="1" ht="12"/>
    <row r="587" s="243" customFormat="1" ht="12"/>
    <row r="588" s="243" customFormat="1" ht="12"/>
    <row r="589" s="243" customFormat="1" ht="12"/>
    <row r="590" s="243" customFormat="1" ht="12"/>
    <row r="591" s="243" customFormat="1" ht="12"/>
    <row r="592" s="243" customFormat="1" ht="12"/>
    <row r="593" s="243" customFormat="1" ht="12"/>
    <row r="594" s="243" customFormat="1" ht="12"/>
    <row r="595" s="243" customFormat="1" ht="12"/>
    <row r="596" s="243" customFormat="1" ht="12"/>
    <row r="597" s="243" customFormat="1" ht="12"/>
    <row r="598" s="243" customFormat="1" ht="12"/>
    <row r="599" s="243" customFormat="1" ht="12"/>
    <row r="600" s="243" customFormat="1" ht="12"/>
    <row r="601" s="243" customFormat="1" ht="12"/>
    <row r="602" s="243" customFormat="1" ht="12"/>
    <row r="603" s="243" customFormat="1" ht="12"/>
    <row r="604" s="243" customFormat="1" ht="12"/>
    <row r="605" s="243" customFormat="1" ht="12"/>
    <row r="606" s="243" customFormat="1" ht="12"/>
    <row r="607" s="243" customFormat="1" ht="12"/>
    <row r="608" s="243" customFormat="1" ht="12"/>
    <row r="609" s="243" customFormat="1" ht="12"/>
    <row r="610" s="243" customFormat="1" ht="12"/>
    <row r="611" s="243" customFormat="1" ht="12"/>
    <row r="612" s="243" customFormat="1" ht="12"/>
    <row r="613" s="243" customFormat="1" ht="12"/>
    <row r="614" s="243" customFormat="1" ht="12"/>
    <row r="615" s="243" customFormat="1" ht="12"/>
    <row r="616" s="243" customFormat="1" ht="12"/>
    <row r="617" s="243" customFormat="1" ht="12"/>
    <row r="618" s="243" customFormat="1" ht="12"/>
    <row r="619" s="243" customFormat="1" ht="12"/>
    <row r="620" s="243" customFormat="1" ht="12"/>
    <row r="621" s="243" customFormat="1" ht="12"/>
    <row r="622" s="243" customFormat="1" ht="12"/>
    <row r="623" s="243" customFormat="1" ht="12"/>
    <row r="624" s="243" customFormat="1" ht="12"/>
    <row r="625" s="243" customFormat="1" ht="12"/>
    <row r="626" s="243" customFormat="1" ht="12"/>
    <row r="627" s="243" customFormat="1" ht="12"/>
    <row r="628" s="243" customFormat="1" ht="12"/>
    <row r="629" s="243" customFormat="1" ht="12"/>
    <row r="630" s="243" customFormat="1" ht="12"/>
    <row r="631" s="243" customFormat="1" ht="12"/>
    <row r="632" s="243" customFormat="1" ht="12"/>
    <row r="633" s="243" customFormat="1" ht="12"/>
    <row r="634" s="243" customFormat="1" ht="12"/>
    <row r="635" s="243" customFormat="1" ht="12"/>
    <row r="636" s="243" customFormat="1" ht="12"/>
    <row r="637" s="243" customFormat="1" ht="12"/>
    <row r="638" s="243" customFormat="1" ht="12"/>
    <row r="639" s="243" customFormat="1" ht="12"/>
    <row r="640" s="243" customFormat="1" ht="12"/>
    <row r="641" s="243" customFormat="1" ht="12"/>
    <row r="642" s="243" customFormat="1" ht="12"/>
    <row r="643" s="243" customFormat="1" ht="12"/>
    <row r="644" s="243" customFormat="1" ht="12"/>
    <row r="645" s="243" customFormat="1" ht="12"/>
    <row r="646" s="243" customFormat="1" ht="12"/>
    <row r="647" s="243" customFormat="1" ht="12"/>
    <row r="648" s="243" customFormat="1" ht="12"/>
    <row r="649" s="243" customFormat="1" ht="12"/>
    <row r="650" s="243" customFormat="1" ht="12"/>
    <row r="651" s="243" customFormat="1" ht="12"/>
    <row r="652" s="243" customFormat="1" ht="12"/>
    <row r="653" s="243" customFormat="1" ht="12"/>
    <row r="654" s="243" customFormat="1" ht="12"/>
    <row r="655" s="243" customFormat="1" ht="12"/>
    <row r="656" s="243" customFormat="1" ht="12"/>
    <row r="657" s="243" customFormat="1" ht="12"/>
    <row r="658" s="243" customFormat="1" ht="12"/>
    <row r="659" s="243" customFormat="1" ht="12"/>
    <row r="660" s="243" customFormat="1" ht="12"/>
    <row r="661" s="243" customFormat="1" ht="12"/>
    <row r="662" s="243" customFormat="1" ht="12"/>
    <row r="663" s="243" customFormat="1" ht="12"/>
    <row r="664" s="243" customFormat="1" ht="12"/>
    <row r="665" s="243" customFormat="1" ht="12"/>
    <row r="666" s="243" customFormat="1" ht="12"/>
    <row r="667" s="243" customFormat="1" ht="12"/>
    <row r="668" s="243" customFormat="1" ht="12"/>
    <row r="669" s="243" customFormat="1" ht="12"/>
    <row r="670" s="243" customFormat="1" ht="12"/>
    <row r="671" s="243" customFormat="1" ht="12"/>
    <row r="672" s="243" customFormat="1" ht="12"/>
    <row r="673" s="243" customFormat="1" ht="12"/>
    <row r="674" s="243" customFormat="1" ht="12"/>
    <row r="675" s="243" customFormat="1" ht="12"/>
    <row r="676" s="243" customFormat="1" ht="12"/>
    <row r="677" s="243" customFormat="1" ht="12"/>
    <row r="678" s="243" customFormat="1" ht="12"/>
    <row r="679" s="243" customFormat="1" ht="12"/>
    <row r="680" s="243" customFormat="1" ht="12"/>
    <row r="681" s="243" customFormat="1" ht="12"/>
    <row r="682" s="243" customFormat="1" ht="12"/>
    <row r="683" s="243" customFormat="1" ht="12"/>
    <row r="684" s="243" customFormat="1" ht="12"/>
    <row r="685" s="243" customFormat="1" ht="12"/>
    <row r="686" s="243" customFormat="1" ht="12"/>
    <row r="687" s="243" customFormat="1" ht="12"/>
    <row r="688" s="243" customFormat="1" ht="12"/>
    <row r="689" s="243" customFormat="1" ht="12"/>
    <row r="690" s="243" customFormat="1" ht="12"/>
    <row r="691" s="243" customFormat="1" ht="12"/>
    <row r="692" s="243" customFormat="1" ht="12"/>
    <row r="693" s="243" customFormat="1" ht="12"/>
    <row r="694" s="243" customFormat="1" ht="12"/>
    <row r="695" s="243" customFormat="1" ht="12"/>
    <row r="696" s="243" customFormat="1" ht="12"/>
    <row r="697" s="243" customFormat="1" ht="12"/>
    <row r="698" s="243" customFormat="1" ht="12"/>
    <row r="699" s="243" customFormat="1" ht="12"/>
    <row r="700" s="243" customFormat="1" ht="12"/>
    <row r="701" s="243" customFormat="1" ht="12"/>
    <row r="702" s="243" customFormat="1" ht="12"/>
    <row r="703" s="243" customFormat="1" ht="12"/>
    <row r="704" s="243" customFormat="1" ht="12"/>
    <row r="705" s="243" customFormat="1" ht="12"/>
    <row r="706" s="243" customFormat="1" ht="12"/>
    <row r="707" s="243" customFormat="1" ht="12"/>
    <row r="708" s="243" customFormat="1" ht="12"/>
    <row r="709" s="243" customFormat="1" ht="12"/>
    <row r="710" s="243" customFormat="1" ht="12"/>
    <row r="711" s="243" customFormat="1" ht="12"/>
    <row r="712" s="243" customFormat="1" ht="12"/>
    <row r="713" s="243" customFormat="1" ht="12"/>
    <row r="714" s="243" customFormat="1" ht="12"/>
    <row r="715" s="243" customFormat="1" ht="12"/>
    <row r="716" s="243" customFormat="1" ht="12"/>
    <row r="717" s="243" customFormat="1" ht="12"/>
    <row r="718" s="243" customFormat="1" ht="12"/>
    <row r="719" s="243" customFormat="1" ht="12"/>
    <row r="720" s="243" customFormat="1" ht="12"/>
    <row r="721" s="243" customFormat="1" ht="12"/>
    <row r="722" s="243" customFormat="1" ht="12"/>
    <row r="723" s="243" customFormat="1" ht="12"/>
    <row r="724" s="243" customFormat="1" ht="12"/>
    <row r="725" s="243" customFormat="1" ht="12"/>
    <row r="726" s="243" customFormat="1" ht="12"/>
    <row r="727" s="243" customFormat="1" ht="12"/>
    <row r="728" s="243" customFormat="1" ht="12"/>
    <row r="729" s="243" customFormat="1" ht="12"/>
    <row r="730" s="243" customFormat="1" ht="12"/>
    <row r="731" s="243" customFormat="1" ht="12"/>
    <row r="732" s="243" customFormat="1" ht="12"/>
    <row r="733" s="243" customFormat="1" ht="12"/>
    <row r="734" s="243" customFormat="1" ht="12"/>
    <row r="735" s="243" customFormat="1" ht="12"/>
    <row r="736" s="243" customFormat="1" ht="12"/>
    <row r="737" s="243" customFormat="1" ht="12"/>
    <row r="738" s="243" customFormat="1" ht="12"/>
    <row r="739" s="243" customFormat="1" ht="12"/>
    <row r="740" s="243" customFormat="1" ht="12"/>
    <row r="741" s="243" customFormat="1" ht="12"/>
    <row r="742" s="243" customFormat="1" ht="12"/>
    <row r="743" s="243" customFormat="1" ht="12"/>
    <row r="744" s="243" customFormat="1" ht="12"/>
    <row r="745" s="243" customFormat="1" ht="12"/>
    <row r="746" s="243" customFormat="1" ht="12"/>
    <row r="747" s="243" customFormat="1" ht="12"/>
    <row r="748" s="243" customFormat="1" ht="12"/>
    <row r="749" s="243" customFormat="1" ht="12"/>
    <row r="750" s="243" customFormat="1" ht="12"/>
    <row r="751" s="243" customFormat="1" ht="12"/>
    <row r="752" s="243" customFormat="1" ht="12"/>
    <row r="753" s="243" customFormat="1" ht="12"/>
    <row r="754" s="243" customFormat="1" ht="12"/>
    <row r="755" s="243" customFormat="1" ht="12"/>
    <row r="756" s="243" customFormat="1" ht="12"/>
    <row r="757" s="243" customFormat="1" ht="12"/>
    <row r="758" s="243" customFormat="1" ht="12"/>
    <row r="759" s="243" customFormat="1" ht="12"/>
    <row r="760" s="243" customFormat="1" ht="12"/>
    <row r="761" s="243" customFormat="1" ht="12"/>
    <row r="762" s="243" customFormat="1" ht="12"/>
    <row r="763" s="243" customFormat="1" ht="12"/>
    <row r="764" s="243" customFormat="1" ht="12"/>
    <row r="765" s="243" customFormat="1" ht="12"/>
    <row r="766" s="243" customFormat="1" ht="12"/>
    <row r="767" s="243" customFormat="1" ht="12"/>
    <row r="768" s="243" customFormat="1" ht="12"/>
    <row r="769" s="243" customFormat="1" ht="12"/>
    <row r="770" s="243" customFormat="1" ht="12"/>
    <row r="771" s="243" customFormat="1" ht="12"/>
    <row r="772" s="243" customFormat="1" ht="12"/>
    <row r="773" s="243" customFormat="1" ht="12"/>
    <row r="774" s="243" customFormat="1" ht="12"/>
    <row r="775" s="243" customFormat="1" ht="12"/>
    <row r="776" s="243" customFormat="1" ht="12"/>
    <row r="777" s="243" customFormat="1" ht="12"/>
    <row r="778" s="243" customFormat="1" ht="12"/>
    <row r="779" s="243" customFormat="1" ht="12"/>
    <row r="780" s="243" customFormat="1" ht="12"/>
    <row r="781" s="243" customFormat="1" ht="12"/>
    <row r="782" s="243" customFormat="1" ht="12"/>
  </sheetData>
  <mergeCells count="75">
    <mergeCell ref="I266:I267"/>
    <mergeCell ref="I269:I274"/>
    <mergeCell ref="C245:D245"/>
    <mergeCell ref="C240:D240"/>
    <mergeCell ref="C242:D242"/>
    <mergeCell ref="C244:D244"/>
    <mergeCell ref="H269:H274"/>
    <mergeCell ref="B213:B216"/>
    <mergeCell ref="C213:D213"/>
    <mergeCell ref="C214:D214"/>
    <mergeCell ref="B222:B227"/>
    <mergeCell ref="C195:D195"/>
    <mergeCell ref="B204:B207"/>
    <mergeCell ref="C204:D204"/>
    <mergeCell ref="C205:D205"/>
    <mergeCell ref="B208:B212"/>
    <mergeCell ref="C208:D208"/>
    <mergeCell ref="B217:B221"/>
    <mergeCell ref="C217:D217"/>
    <mergeCell ref="C218:D218"/>
    <mergeCell ref="C222:D222"/>
    <mergeCell ref="C223:D223"/>
    <mergeCell ref="B3:C3"/>
    <mergeCell ref="B74:C74"/>
    <mergeCell ref="B75:C75"/>
    <mergeCell ref="B76:C76"/>
    <mergeCell ref="C209:D209"/>
    <mergeCell ref="C193:D193"/>
    <mergeCell ref="E57:E58"/>
    <mergeCell ref="I129:K129"/>
    <mergeCell ref="B130:C130"/>
    <mergeCell ref="D130:E130"/>
    <mergeCell ref="B81:C81"/>
    <mergeCell ref="B86:C86"/>
    <mergeCell ref="B87:C87"/>
    <mergeCell ref="B88:C88"/>
    <mergeCell ref="B89:C89"/>
    <mergeCell ref="B96:C96"/>
    <mergeCell ref="B296:C296"/>
    <mergeCell ref="C229:D229"/>
    <mergeCell ref="B233:B238"/>
    <mergeCell ref="C233:D233"/>
    <mergeCell ref="C234:D234"/>
    <mergeCell ref="B228:B232"/>
    <mergeCell ref="C228:D228"/>
    <mergeCell ref="B239:B241"/>
    <mergeCell ref="C239:D239"/>
    <mergeCell ref="B294:B295"/>
    <mergeCell ref="B258:B259"/>
    <mergeCell ref="B260:B268"/>
    <mergeCell ref="B280:B281"/>
    <mergeCell ref="B282:B283"/>
    <mergeCell ref="B292:B293"/>
    <mergeCell ref="B284:B285"/>
    <mergeCell ref="B286:B287"/>
    <mergeCell ref="B288:B289"/>
    <mergeCell ref="B290:B291"/>
    <mergeCell ref="B269:B274"/>
    <mergeCell ref="C243:D243"/>
    <mergeCell ref="J269:J274"/>
    <mergeCell ref="E54:E55"/>
    <mergeCell ref="B90:C90"/>
    <mergeCell ref="J263:J264"/>
    <mergeCell ref="J266:J267"/>
    <mergeCell ref="B97:C97"/>
    <mergeCell ref="B98:C98"/>
    <mergeCell ref="B95:C95"/>
    <mergeCell ref="C194:D194"/>
    <mergeCell ref="B199:B203"/>
    <mergeCell ref="C199:D199"/>
    <mergeCell ref="C200:D200"/>
    <mergeCell ref="B194:B198"/>
    <mergeCell ref="E163:F163"/>
    <mergeCell ref="E164:F164"/>
    <mergeCell ref="E167:F167"/>
  </mergeCells>
  <phoneticPr fontId="2"/>
  <pageMargins left="0.16" right="0.17" top="0.3" bottom="0.19" header="0.24" footer="0.16"/>
  <pageSetup paperSize="9" orientation="portrait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0"/>
  <dimension ref="A1:K292"/>
  <sheetViews>
    <sheetView topLeftCell="A34" workbookViewId="0">
      <selection activeCell="M35" sqref="M35"/>
    </sheetView>
  </sheetViews>
  <sheetFormatPr defaultColWidth="9" defaultRowHeight="13.5"/>
  <cols>
    <col min="1" max="1" width="9" style="338"/>
    <col min="2" max="2" width="37.75" style="338" bestFit="1" customWidth="1"/>
    <col min="3" max="3" width="19.375" style="338" customWidth="1"/>
    <col min="4" max="16384" width="9" style="338"/>
  </cols>
  <sheetData>
    <row r="1" spans="1:11" ht="18.75">
      <c r="A1" s="336" t="s">
        <v>453</v>
      </c>
      <c r="B1" s="337"/>
      <c r="C1" s="337"/>
      <c r="F1" s="339" t="s">
        <v>737</v>
      </c>
      <c r="G1" s="156" t="s">
        <v>738</v>
      </c>
      <c r="I1" s="340"/>
      <c r="J1" s="337"/>
      <c r="K1" s="337"/>
    </row>
    <row r="2" spans="1:11">
      <c r="A2" s="157" t="s">
        <v>739</v>
      </c>
      <c r="B2" s="158" t="s">
        <v>740</v>
      </c>
      <c r="C2" s="158" t="s">
        <v>741</v>
      </c>
      <c r="D2" s="158" t="s">
        <v>742</v>
      </c>
      <c r="E2" s="158" t="s">
        <v>743</v>
      </c>
      <c r="F2" s="341" t="s">
        <v>744</v>
      </c>
      <c r="G2" s="160" t="s">
        <v>745</v>
      </c>
      <c r="H2" s="158" t="s">
        <v>746</v>
      </c>
      <c r="I2" s="342" t="s">
        <v>747</v>
      </c>
      <c r="J2" s="158" t="s">
        <v>748</v>
      </c>
      <c r="K2" s="158" t="s">
        <v>749</v>
      </c>
    </row>
    <row r="3" spans="1:11">
      <c r="A3" s="161" t="s">
        <v>750</v>
      </c>
      <c r="B3" s="162" t="s">
        <v>855</v>
      </c>
      <c r="C3" s="162" t="s">
        <v>856</v>
      </c>
      <c r="D3" s="161" t="s">
        <v>751</v>
      </c>
      <c r="E3" s="161" t="s">
        <v>752</v>
      </c>
      <c r="F3" s="165">
        <v>355</v>
      </c>
      <c r="G3" s="164">
        <v>1000</v>
      </c>
      <c r="H3" s="161" t="s">
        <v>753</v>
      </c>
      <c r="I3" s="162" t="s">
        <v>1254</v>
      </c>
      <c r="J3" s="162" t="s">
        <v>1264</v>
      </c>
      <c r="K3" s="162" t="s">
        <v>1264</v>
      </c>
    </row>
    <row r="4" spans="1:11">
      <c r="A4" s="161" t="s">
        <v>454</v>
      </c>
      <c r="B4" s="162" t="s">
        <v>455</v>
      </c>
      <c r="C4" s="162" t="s">
        <v>456</v>
      </c>
      <c r="D4" s="161" t="s">
        <v>751</v>
      </c>
      <c r="E4" s="161" t="s">
        <v>752</v>
      </c>
      <c r="F4" s="165">
        <v>325</v>
      </c>
      <c r="G4" s="164">
        <v>1000</v>
      </c>
      <c r="H4" s="161" t="s">
        <v>753</v>
      </c>
      <c r="I4" s="162" t="s">
        <v>1254</v>
      </c>
      <c r="J4" s="162" t="s">
        <v>840</v>
      </c>
      <c r="K4" s="162" t="s">
        <v>840</v>
      </c>
    </row>
    <row r="5" spans="1:11">
      <c r="A5" s="161" t="s">
        <v>984</v>
      </c>
      <c r="B5" s="162" t="s">
        <v>985</v>
      </c>
      <c r="C5" s="162" t="s">
        <v>856</v>
      </c>
      <c r="D5" s="161" t="s">
        <v>751</v>
      </c>
      <c r="E5" s="161" t="s">
        <v>752</v>
      </c>
      <c r="F5" s="165">
        <v>1445</v>
      </c>
      <c r="G5" s="164">
        <v>1000</v>
      </c>
      <c r="H5" s="161" t="s">
        <v>753</v>
      </c>
      <c r="I5" s="162" t="s">
        <v>986</v>
      </c>
      <c r="J5" s="162" t="s">
        <v>987</v>
      </c>
      <c r="K5" s="162" t="s">
        <v>987</v>
      </c>
    </row>
    <row r="6" spans="1:11">
      <c r="A6" s="161" t="s">
        <v>754</v>
      </c>
      <c r="B6" s="162" t="s">
        <v>858</v>
      </c>
      <c r="C6" s="162" t="s">
        <v>856</v>
      </c>
      <c r="D6" s="161" t="s">
        <v>751</v>
      </c>
      <c r="E6" s="161" t="s">
        <v>752</v>
      </c>
      <c r="F6" s="165">
        <v>1605</v>
      </c>
      <c r="G6" s="164">
        <v>1000</v>
      </c>
      <c r="H6" s="161" t="s">
        <v>753</v>
      </c>
      <c r="I6" s="162" t="s">
        <v>1254</v>
      </c>
      <c r="J6" s="162" t="s">
        <v>857</v>
      </c>
      <c r="K6" s="162" t="s">
        <v>857</v>
      </c>
    </row>
    <row r="7" spans="1:11">
      <c r="A7" s="161" t="s">
        <v>755</v>
      </c>
      <c r="B7" s="162" t="s">
        <v>45</v>
      </c>
      <c r="C7" s="162" t="s">
        <v>46</v>
      </c>
      <c r="D7" s="161" t="s">
        <v>751</v>
      </c>
      <c r="E7" s="161" t="s">
        <v>752</v>
      </c>
      <c r="F7" s="165">
        <v>217.05</v>
      </c>
      <c r="G7" s="164">
        <v>1000</v>
      </c>
      <c r="H7" s="161" t="s">
        <v>753</v>
      </c>
      <c r="I7" s="162" t="s">
        <v>1254</v>
      </c>
      <c r="J7" s="162" t="s">
        <v>840</v>
      </c>
      <c r="K7" s="162" t="s">
        <v>840</v>
      </c>
    </row>
    <row r="8" spans="1:11">
      <c r="A8" s="161" t="s">
        <v>756</v>
      </c>
      <c r="B8" s="162" t="s">
        <v>47</v>
      </c>
      <c r="C8" s="162" t="s">
        <v>46</v>
      </c>
      <c r="D8" s="161" t="s">
        <v>751</v>
      </c>
      <c r="E8" s="161" t="s">
        <v>752</v>
      </c>
      <c r="F8" s="165">
        <v>217.05</v>
      </c>
      <c r="G8" s="164">
        <v>1000</v>
      </c>
      <c r="H8" s="161" t="s">
        <v>753</v>
      </c>
      <c r="I8" s="162" t="s">
        <v>1254</v>
      </c>
      <c r="J8" s="162" t="s">
        <v>840</v>
      </c>
      <c r="K8" s="162" t="s">
        <v>840</v>
      </c>
    </row>
    <row r="9" spans="1:11">
      <c r="A9" s="161" t="s">
        <v>757</v>
      </c>
      <c r="B9" s="162" t="s">
        <v>48</v>
      </c>
      <c r="C9" s="162" t="s">
        <v>46</v>
      </c>
      <c r="D9" s="161" t="s">
        <v>751</v>
      </c>
      <c r="E9" s="161" t="s">
        <v>752</v>
      </c>
      <c r="F9" s="165">
        <v>217.05</v>
      </c>
      <c r="G9" s="164">
        <v>1000</v>
      </c>
      <c r="H9" s="161" t="s">
        <v>753</v>
      </c>
      <c r="I9" s="162" t="s">
        <v>1254</v>
      </c>
      <c r="J9" s="162" t="s">
        <v>840</v>
      </c>
      <c r="K9" s="162" t="s">
        <v>840</v>
      </c>
    </row>
    <row r="10" spans="1:11">
      <c r="A10" s="161" t="s">
        <v>758</v>
      </c>
      <c r="B10" s="162" t="s">
        <v>49</v>
      </c>
      <c r="C10" s="162" t="s">
        <v>46</v>
      </c>
      <c r="D10" s="161" t="s">
        <v>751</v>
      </c>
      <c r="E10" s="161" t="s">
        <v>752</v>
      </c>
      <c r="F10" s="165">
        <v>217.05</v>
      </c>
      <c r="G10" s="164">
        <v>1000</v>
      </c>
      <c r="H10" s="161" t="s">
        <v>753</v>
      </c>
      <c r="I10" s="162" t="s">
        <v>1254</v>
      </c>
      <c r="J10" s="162" t="s">
        <v>840</v>
      </c>
      <c r="K10" s="162" t="s">
        <v>840</v>
      </c>
    </row>
    <row r="11" spans="1:11">
      <c r="A11" s="161" t="s">
        <v>759</v>
      </c>
      <c r="B11" s="162" t="s">
        <v>50</v>
      </c>
      <c r="C11" s="162" t="s">
        <v>46</v>
      </c>
      <c r="D11" s="161" t="s">
        <v>751</v>
      </c>
      <c r="E11" s="161" t="s">
        <v>752</v>
      </c>
      <c r="F11" s="165">
        <v>217.05</v>
      </c>
      <c r="G11" s="164">
        <v>1000</v>
      </c>
      <c r="H11" s="161" t="s">
        <v>753</v>
      </c>
      <c r="I11" s="162" t="s">
        <v>1254</v>
      </c>
      <c r="J11" s="162" t="s">
        <v>840</v>
      </c>
      <c r="K11" s="162" t="s">
        <v>840</v>
      </c>
    </row>
    <row r="12" spans="1:11">
      <c r="A12" s="161" t="s">
        <v>760</v>
      </c>
      <c r="B12" s="162" t="s">
        <v>51</v>
      </c>
      <c r="C12" s="162" t="s">
        <v>46</v>
      </c>
      <c r="D12" s="161" t="s">
        <v>751</v>
      </c>
      <c r="E12" s="161" t="s">
        <v>752</v>
      </c>
      <c r="F12" s="165">
        <v>217.05</v>
      </c>
      <c r="G12" s="164">
        <v>1000</v>
      </c>
      <c r="H12" s="161" t="s">
        <v>753</v>
      </c>
      <c r="I12" s="162" t="s">
        <v>1254</v>
      </c>
      <c r="J12" s="162" t="s">
        <v>840</v>
      </c>
      <c r="K12" s="162" t="s">
        <v>840</v>
      </c>
    </row>
    <row r="13" spans="1:11">
      <c r="A13" s="161" t="s">
        <v>988</v>
      </c>
      <c r="B13" s="162" t="s">
        <v>989</v>
      </c>
      <c r="C13" s="162" t="s">
        <v>856</v>
      </c>
      <c r="D13" s="161" t="s">
        <v>751</v>
      </c>
      <c r="E13" s="161" t="s">
        <v>752</v>
      </c>
      <c r="F13" s="165">
        <v>1535</v>
      </c>
      <c r="G13" s="164">
        <v>1000</v>
      </c>
      <c r="H13" s="161" t="s">
        <v>753</v>
      </c>
      <c r="I13" s="162" t="s">
        <v>986</v>
      </c>
      <c r="J13" s="162" t="s">
        <v>987</v>
      </c>
      <c r="K13" s="162" t="s">
        <v>987</v>
      </c>
    </row>
    <row r="14" spans="1:11">
      <c r="A14" s="161" t="s">
        <v>990</v>
      </c>
      <c r="B14" s="162" t="s">
        <v>457</v>
      </c>
      <c r="C14" s="162" t="s">
        <v>856</v>
      </c>
      <c r="D14" s="161" t="s">
        <v>751</v>
      </c>
      <c r="E14" s="161" t="s">
        <v>752</v>
      </c>
      <c r="F14" s="165">
        <v>1525</v>
      </c>
      <c r="G14" s="164">
        <v>1000</v>
      </c>
      <c r="H14" s="161" t="s">
        <v>753</v>
      </c>
      <c r="I14" s="162" t="s">
        <v>986</v>
      </c>
      <c r="J14" s="162" t="s">
        <v>987</v>
      </c>
      <c r="K14" s="162" t="s">
        <v>987</v>
      </c>
    </row>
    <row r="15" spans="1:11">
      <c r="A15" s="161" t="s">
        <v>992</v>
      </c>
      <c r="B15" s="162" t="s">
        <v>993</v>
      </c>
      <c r="C15" s="162" t="s">
        <v>856</v>
      </c>
      <c r="D15" s="161" t="s">
        <v>751</v>
      </c>
      <c r="E15" s="161" t="s">
        <v>752</v>
      </c>
      <c r="F15" s="165">
        <v>1525</v>
      </c>
      <c r="G15" s="164">
        <v>1000</v>
      </c>
      <c r="H15" s="161" t="s">
        <v>753</v>
      </c>
      <c r="I15" s="162" t="s">
        <v>986</v>
      </c>
      <c r="J15" s="162" t="s">
        <v>987</v>
      </c>
      <c r="K15" s="162" t="s">
        <v>987</v>
      </c>
    </row>
    <row r="16" spans="1:11">
      <c r="A16" s="161" t="s">
        <v>761</v>
      </c>
      <c r="B16" s="162" t="s">
        <v>52</v>
      </c>
      <c r="C16" s="162" t="s">
        <v>46</v>
      </c>
      <c r="D16" s="161" t="s">
        <v>751</v>
      </c>
      <c r="E16" s="161" t="s">
        <v>752</v>
      </c>
      <c r="F16" s="165">
        <v>227.85</v>
      </c>
      <c r="G16" s="164">
        <v>1000</v>
      </c>
      <c r="H16" s="161" t="s">
        <v>753</v>
      </c>
      <c r="I16" s="162" t="s">
        <v>1254</v>
      </c>
      <c r="J16" s="162" t="s">
        <v>840</v>
      </c>
      <c r="K16" s="162" t="s">
        <v>840</v>
      </c>
    </row>
    <row r="17" spans="1:11">
      <c r="A17" s="161" t="s">
        <v>994</v>
      </c>
      <c r="B17" s="162" t="s">
        <v>995</v>
      </c>
      <c r="C17" s="162" t="s">
        <v>856</v>
      </c>
      <c r="D17" s="161" t="s">
        <v>751</v>
      </c>
      <c r="E17" s="161" t="s">
        <v>752</v>
      </c>
      <c r="F17" s="165">
        <v>3040</v>
      </c>
      <c r="G17" s="164">
        <v>1000</v>
      </c>
      <c r="H17" s="161" t="s">
        <v>753</v>
      </c>
      <c r="I17" s="162" t="s">
        <v>986</v>
      </c>
      <c r="J17" s="162" t="s">
        <v>1252</v>
      </c>
      <c r="K17" s="162" t="s">
        <v>1252</v>
      </c>
    </row>
    <row r="18" spans="1:11">
      <c r="A18" s="161" t="s">
        <v>458</v>
      </c>
      <c r="B18" s="162" t="s">
        <v>459</v>
      </c>
      <c r="C18" s="162" t="s">
        <v>424</v>
      </c>
      <c r="D18" s="161" t="s">
        <v>751</v>
      </c>
      <c r="E18" s="161" t="s">
        <v>752</v>
      </c>
      <c r="F18" s="165">
        <v>1100</v>
      </c>
      <c r="G18" s="164">
        <v>1000</v>
      </c>
      <c r="H18" s="161" t="s">
        <v>753</v>
      </c>
      <c r="I18" s="162" t="s">
        <v>460</v>
      </c>
      <c r="J18" s="162" t="s">
        <v>461</v>
      </c>
      <c r="K18" s="162" t="s">
        <v>462</v>
      </c>
    </row>
    <row r="19" spans="1:11">
      <c r="A19" s="161" t="s">
        <v>996</v>
      </c>
      <c r="B19" s="162" t="s">
        <v>997</v>
      </c>
      <c r="C19" s="162" t="s">
        <v>856</v>
      </c>
      <c r="D19" s="161" t="s">
        <v>751</v>
      </c>
      <c r="E19" s="161" t="s">
        <v>752</v>
      </c>
      <c r="F19" s="165">
        <v>1445</v>
      </c>
      <c r="G19" s="164">
        <v>1000</v>
      </c>
      <c r="H19" s="161" t="s">
        <v>753</v>
      </c>
      <c r="I19" s="162" t="s">
        <v>986</v>
      </c>
      <c r="J19" s="162" t="s">
        <v>987</v>
      </c>
      <c r="K19" s="162" t="s">
        <v>987</v>
      </c>
    </row>
    <row r="20" spans="1:11">
      <c r="A20" s="161" t="s">
        <v>998</v>
      </c>
      <c r="B20" s="162" t="s">
        <v>999</v>
      </c>
      <c r="C20" s="162" t="s">
        <v>856</v>
      </c>
      <c r="D20" s="161" t="s">
        <v>751</v>
      </c>
      <c r="E20" s="161" t="s">
        <v>752</v>
      </c>
      <c r="F20" s="165">
        <v>1655</v>
      </c>
      <c r="G20" s="164">
        <v>1000</v>
      </c>
      <c r="H20" s="161" t="s">
        <v>753</v>
      </c>
      <c r="I20" s="162" t="s">
        <v>986</v>
      </c>
      <c r="J20" s="162" t="s">
        <v>987</v>
      </c>
      <c r="K20" s="162" t="s">
        <v>987</v>
      </c>
    </row>
    <row r="21" spans="1:11">
      <c r="A21" s="161" t="s">
        <v>1000</v>
      </c>
      <c r="B21" s="162" t="s">
        <v>1001</v>
      </c>
      <c r="C21" s="162" t="s">
        <v>856</v>
      </c>
      <c r="D21" s="161" t="s">
        <v>751</v>
      </c>
      <c r="E21" s="161" t="s">
        <v>752</v>
      </c>
      <c r="F21" s="165">
        <v>1665</v>
      </c>
      <c r="G21" s="164">
        <v>1000</v>
      </c>
      <c r="H21" s="161" t="s">
        <v>753</v>
      </c>
      <c r="I21" s="162" t="s">
        <v>986</v>
      </c>
      <c r="J21" s="162" t="s">
        <v>987</v>
      </c>
      <c r="K21" s="162" t="s">
        <v>987</v>
      </c>
    </row>
    <row r="22" spans="1:11">
      <c r="A22" s="161" t="s">
        <v>1002</v>
      </c>
      <c r="B22" s="162" t="s">
        <v>1003</v>
      </c>
      <c r="C22" s="162" t="s">
        <v>856</v>
      </c>
      <c r="D22" s="161" t="s">
        <v>751</v>
      </c>
      <c r="E22" s="161" t="s">
        <v>752</v>
      </c>
      <c r="F22" s="165">
        <v>1655</v>
      </c>
      <c r="G22" s="164">
        <v>1000</v>
      </c>
      <c r="H22" s="161" t="s">
        <v>753</v>
      </c>
      <c r="I22" s="162" t="s">
        <v>986</v>
      </c>
      <c r="J22" s="162" t="s">
        <v>987</v>
      </c>
      <c r="K22" s="162" t="s">
        <v>987</v>
      </c>
    </row>
    <row r="23" spans="1:11">
      <c r="A23" s="161" t="s">
        <v>1004</v>
      </c>
      <c r="B23" s="162" t="s">
        <v>1005</v>
      </c>
      <c r="C23" s="162" t="s">
        <v>856</v>
      </c>
      <c r="D23" s="161" t="s">
        <v>751</v>
      </c>
      <c r="E23" s="161" t="s">
        <v>752</v>
      </c>
      <c r="F23" s="165">
        <v>1020</v>
      </c>
      <c r="G23" s="164">
        <v>1000</v>
      </c>
      <c r="H23" s="161" t="s">
        <v>753</v>
      </c>
      <c r="I23" s="162" t="s">
        <v>986</v>
      </c>
      <c r="J23" s="162" t="s">
        <v>987</v>
      </c>
      <c r="K23" s="162" t="s">
        <v>987</v>
      </c>
    </row>
    <row r="24" spans="1:11">
      <c r="A24" s="161" t="s">
        <v>463</v>
      </c>
      <c r="B24" s="162" t="s">
        <v>464</v>
      </c>
      <c r="C24" s="162" t="s">
        <v>841</v>
      </c>
      <c r="D24" s="161" t="s">
        <v>465</v>
      </c>
      <c r="E24" s="161" t="s">
        <v>752</v>
      </c>
      <c r="F24" s="165">
        <v>377.4</v>
      </c>
      <c r="G24" s="164">
        <v>1</v>
      </c>
      <c r="H24" s="161" t="s">
        <v>466</v>
      </c>
      <c r="I24" s="162" t="s">
        <v>987</v>
      </c>
      <c r="J24" s="162" t="s">
        <v>467</v>
      </c>
      <c r="K24" s="162" t="s">
        <v>467</v>
      </c>
    </row>
    <row r="25" spans="1:11">
      <c r="A25" s="161" t="s">
        <v>762</v>
      </c>
      <c r="B25" s="162" t="s">
        <v>859</v>
      </c>
      <c r="C25" s="162" t="s">
        <v>856</v>
      </c>
      <c r="D25" s="161" t="s">
        <v>751</v>
      </c>
      <c r="E25" s="161" t="s">
        <v>752</v>
      </c>
      <c r="F25" s="165">
        <v>273</v>
      </c>
      <c r="G25" s="164">
        <v>1000</v>
      </c>
      <c r="H25" s="161" t="s">
        <v>753</v>
      </c>
      <c r="I25" s="162" t="s">
        <v>1254</v>
      </c>
      <c r="J25" s="162" t="s">
        <v>840</v>
      </c>
      <c r="K25" s="162" t="s">
        <v>840</v>
      </c>
    </row>
    <row r="26" spans="1:11">
      <c r="A26" s="161" t="s">
        <v>763</v>
      </c>
      <c r="B26" s="162" t="s">
        <v>839</v>
      </c>
      <c r="C26" s="162" t="s">
        <v>841</v>
      </c>
      <c r="D26" s="161" t="s">
        <v>764</v>
      </c>
      <c r="E26" s="161" t="s">
        <v>752</v>
      </c>
      <c r="F26" s="165">
        <v>84.15</v>
      </c>
      <c r="G26" s="164">
        <v>1000</v>
      </c>
      <c r="H26" s="161" t="s">
        <v>753</v>
      </c>
      <c r="I26" s="162" t="s">
        <v>1254</v>
      </c>
      <c r="J26" s="162" t="s">
        <v>840</v>
      </c>
      <c r="K26" s="162" t="s">
        <v>840</v>
      </c>
    </row>
    <row r="27" spans="1:11">
      <c r="A27" s="161" t="s">
        <v>765</v>
      </c>
      <c r="B27" s="162" t="s">
        <v>468</v>
      </c>
      <c r="C27" s="162" t="s">
        <v>1267</v>
      </c>
      <c r="D27" s="161" t="s">
        <v>751</v>
      </c>
      <c r="E27" s="161" t="s">
        <v>752</v>
      </c>
      <c r="F27" s="165">
        <v>225</v>
      </c>
      <c r="G27" s="164">
        <v>1000</v>
      </c>
      <c r="H27" s="161" t="s">
        <v>753</v>
      </c>
      <c r="I27" s="162" t="s">
        <v>1254</v>
      </c>
      <c r="J27" s="162" t="s">
        <v>1260</v>
      </c>
      <c r="K27" s="162" t="s">
        <v>1260</v>
      </c>
    </row>
    <row r="28" spans="1:11">
      <c r="A28" s="161" t="s">
        <v>780</v>
      </c>
      <c r="B28" s="162" t="s">
        <v>39</v>
      </c>
      <c r="C28" s="162" t="s">
        <v>40</v>
      </c>
      <c r="D28" s="161" t="s">
        <v>781</v>
      </c>
      <c r="E28" s="161" t="s">
        <v>752</v>
      </c>
      <c r="F28" s="165">
        <v>1800</v>
      </c>
      <c r="G28" s="164">
        <v>1000</v>
      </c>
      <c r="H28" s="161" t="s">
        <v>753</v>
      </c>
      <c r="I28" s="162" t="s">
        <v>1254</v>
      </c>
      <c r="J28" s="162" t="s">
        <v>849</v>
      </c>
      <c r="K28" s="162" t="s">
        <v>849</v>
      </c>
    </row>
    <row r="29" spans="1:11">
      <c r="A29" s="161" t="s">
        <v>782</v>
      </c>
      <c r="B29" s="162" t="s">
        <v>860</v>
      </c>
      <c r="C29" s="162" t="s">
        <v>856</v>
      </c>
      <c r="D29" s="161" t="s">
        <v>751</v>
      </c>
      <c r="E29" s="161" t="s">
        <v>752</v>
      </c>
      <c r="F29" s="165">
        <v>269</v>
      </c>
      <c r="G29" s="164">
        <v>1000</v>
      </c>
      <c r="H29" s="161" t="s">
        <v>753</v>
      </c>
      <c r="I29" s="162" t="s">
        <v>1254</v>
      </c>
      <c r="J29" s="162" t="s">
        <v>1260</v>
      </c>
      <c r="K29" s="162" t="s">
        <v>1260</v>
      </c>
    </row>
    <row r="30" spans="1:11">
      <c r="A30" s="161" t="s">
        <v>783</v>
      </c>
      <c r="B30" s="162" t="s">
        <v>861</v>
      </c>
      <c r="C30" s="162" t="s">
        <v>856</v>
      </c>
      <c r="D30" s="161" t="s">
        <v>751</v>
      </c>
      <c r="E30" s="161" t="s">
        <v>752</v>
      </c>
      <c r="F30" s="165">
        <v>289</v>
      </c>
      <c r="G30" s="164">
        <v>1000</v>
      </c>
      <c r="H30" s="161" t="s">
        <v>753</v>
      </c>
      <c r="I30" s="162" t="s">
        <v>1254</v>
      </c>
      <c r="J30" s="162" t="s">
        <v>1260</v>
      </c>
      <c r="K30" s="162" t="s">
        <v>1260</v>
      </c>
    </row>
    <row r="31" spans="1:11">
      <c r="A31" s="161" t="s">
        <v>784</v>
      </c>
      <c r="B31" s="162" t="s">
        <v>862</v>
      </c>
      <c r="C31" s="162" t="s">
        <v>856</v>
      </c>
      <c r="D31" s="161" t="s">
        <v>751</v>
      </c>
      <c r="E31" s="161" t="s">
        <v>752</v>
      </c>
      <c r="F31" s="165">
        <v>269</v>
      </c>
      <c r="G31" s="164">
        <v>1000</v>
      </c>
      <c r="H31" s="161" t="s">
        <v>753</v>
      </c>
      <c r="I31" s="162" t="s">
        <v>1254</v>
      </c>
      <c r="J31" s="162" t="s">
        <v>1260</v>
      </c>
      <c r="K31" s="162" t="s">
        <v>1260</v>
      </c>
    </row>
    <row r="32" spans="1:11">
      <c r="A32" s="161" t="s">
        <v>785</v>
      </c>
      <c r="B32" s="162" t="s">
        <v>863</v>
      </c>
      <c r="C32" s="162" t="s">
        <v>856</v>
      </c>
      <c r="D32" s="161" t="s">
        <v>751</v>
      </c>
      <c r="E32" s="161" t="s">
        <v>752</v>
      </c>
      <c r="F32" s="165">
        <v>289</v>
      </c>
      <c r="G32" s="164">
        <v>1000</v>
      </c>
      <c r="H32" s="161" t="s">
        <v>753</v>
      </c>
      <c r="I32" s="162" t="s">
        <v>1254</v>
      </c>
      <c r="J32" s="162" t="s">
        <v>1260</v>
      </c>
      <c r="K32" s="162" t="s">
        <v>1260</v>
      </c>
    </row>
    <row r="33" spans="1:11">
      <c r="A33" s="161" t="s">
        <v>786</v>
      </c>
      <c r="B33" s="162" t="s">
        <v>864</v>
      </c>
      <c r="C33" s="162" t="s">
        <v>856</v>
      </c>
      <c r="D33" s="161" t="s">
        <v>751</v>
      </c>
      <c r="E33" s="161" t="s">
        <v>752</v>
      </c>
      <c r="F33" s="165">
        <v>360</v>
      </c>
      <c r="G33" s="164">
        <v>1000</v>
      </c>
      <c r="H33" s="161" t="s">
        <v>753</v>
      </c>
      <c r="I33" s="162" t="s">
        <v>1254</v>
      </c>
      <c r="J33" s="162" t="s">
        <v>1260</v>
      </c>
      <c r="K33" s="162" t="s">
        <v>1260</v>
      </c>
    </row>
    <row r="34" spans="1:11">
      <c r="A34" s="161" t="s">
        <v>787</v>
      </c>
      <c r="B34" s="162" t="s">
        <v>865</v>
      </c>
      <c r="C34" s="162" t="s">
        <v>856</v>
      </c>
      <c r="D34" s="161" t="s">
        <v>751</v>
      </c>
      <c r="E34" s="161" t="s">
        <v>752</v>
      </c>
      <c r="F34" s="165">
        <v>616</v>
      </c>
      <c r="G34" s="164">
        <v>1000</v>
      </c>
      <c r="H34" s="161" t="s">
        <v>753</v>
      </c>
      <c r="I34" s="162" t="s">
        <v>1254</v>
      </c>
      <c r="J34" s="162" t="s">
        <v>1260</v>
      </c>
      <c r="K34" s="162" t="s">
        <v>1260</v>
      </c>
    </row>
    <row r="35" spans="1:11">
      <c r="A35" s="161" t="s">
        <v>788</v>
      </c>
      <c r="B35" s="162" t="s">
        <v>866</v>
      </c>
      <c r="C35" s="162" t="s">
        <v>856</v>
      </c>
      <c r="D35" s="161" t="s">
        <v>751</v>
      </c>
      <c r="E35" s="161" t="s">
        <v>752</v>
      </c>
      <c r="F35" s="165">
        <v>371.6</v>
      </c>
      <c r="G35" s="164">
        <v>1000</v>
      </c>
      <c r="H35" s="161" t="s">
        <v>753</v>
      </c>
      <c r="I35" s="162" t="s">
        <v>1254</v>
      </c>
      <c r="J35" s="162" t="s">
        <v>1252</v>
      </c>
      <c r="K35" s="162" t="s">
        <v>1252</v>
      </c>
    </row>
    <row r="36" spans="1:11">
      <c r="A36" s="161" t="s">
        <v>789</v>
      </c>
      <c r="B36" s="162" t="s">
        <v>867</v>
      </c>
      <c r="C36" s="162" t="s">
        <v>856</v>
      </c>
      <c r="D36" s="161" t="s">
        <v>751</v>
      </c>
      <c r="E36" s="161" t="s">
        <v>752</v>
      </c>
      <c r="F36" s="165">
        <v>386.6</v>
      </c>
      <c r="G36" s="164">
        <v>1000</v>
      </c>
      <c r="H36" s="161" t="s">
        <v>753</v>
      </c>
      <c r="I36" s="162" t="s">
        <v>1254</v>
      </c>
      <c r="J36" s="162" t="s">
        <v>1252</v>
      </c>
      <c r="K36" s="162" t="s">
        <v>1252</v>
      </c>
    </row>
    <row r="37" spans="1:11">
      <c r="A37" s="161" t="s">
        <v>790</v>
      </c>
      <c r="B37" s="162" t="s">
        <v>868</v>
      </c>
      <c r="C37" s="162" t="s">
        <v>856</v>
      </c>
      <c r="D37" s="161" t="s">
        <v>751</v>
      </c>
      <c r="E37" s="161" t="s">
        <v>752</v>
      </c>
      <c r="F37" s="165">
        <v>386.6</v>
      </c>
      <c r="G37" s="164">
        <v>1000</v>
      </c>
      <c r="H37" s="161" t="s">
        <v>753</v>
      </c>
      <c r="I37" s="162" t="s">
        <v>1254</v>
      </c>
      <c r="J37" s="162" t="s">
        <v>1252</v>
      </c>
      <c r="K37" s="162" t="s">
        <v>1252</v>
      </c>
    </row>
    <row r="38" spans="1:11">
      <c r="A38" s="161" t="s">
        <v>791</v>
      </c>
      <c r="B38" s="162" t="s">
        <v>869</v>
      </c>
      <c r="C38" s="162" t="s">
        <v>856</v>
      </c>
      <c r="D38" s="161" t="s">
        <v>751</v>
      </c>
      <c r="E38" s="161" t="s">
        <v>752</v>
      </c>
      <c r="F38" s="165">
        <v>386.6</v>
      </c>
      <c r="G38" s="164">
        <v>1000</v>
      </c>
      <c r="H38" s="161" t="s">
        <v>753</v>
      </c>
      <c r="I38" s="162" t="s">
        <v>1254</v>
      </c>
      <c r="J38" s="162" t="s">
        <v>1252</v>
      </c>
      <c r="K38" s="162" t="s">
        <v>1252</v>
      </c>
    </row>
    <row r="39" spans="1:11">
      <c r="A39" s="161" t="s">
        <v>792</v>
      </c>
      <c r="B39" s="162" t="s">
        <v>871</v>
      </c>
      <c r="C39" s="162" t="s">
        <v>856</v>
      </c>
      <c r="D39" s="161" t="s">
        <v>751</v>
      </c>
      <c r="E39" s="161" t="s">
        <v>752</v>
      </c>
      <c r="F39" s="165">
        <v>371.6</v>
      </c>
      <c r="G39" s="164">
        <v>1000</v>
      </c>
      <c r="H39" s="161" t="s">
        <v>753</v>
      </c>
      <c r="I39" s="162" t="s">
        <v>1254</v>
      </c>
      <c r="J39" s="162" t="s">
        <v>1252</v>
      </c>
      <c r="K39" s="162" t="s">
        <v>1252</v>
      </c>
    </row>
    <row r="40" spans="1:11">
      <c r="A40" s="161" t="s">
        <v>793</v>
      </c>
      <c r="B40" s="162" t="s">
        <v>872</v>
      </c>
      <c r="C40" s="162" t="s">
        <v>856</v>
      </c>
      <c r="D40" s="161" t="s">
        <v>751</v>
      </c>
      <c r="E40" s="161" t="s">
        <v>752</v>
      </c>
      <c r="F40" s="165">
        <v>371.6</v>
      </c>
      <c r="G40" s="164">
        <v>1000</v>
      </c>
      <c r="H40" s="161" t="s">
        <v>753</v>
      </c>
      <c r="I40" s="162" t="s">
        <v>1254</v>
      </c>
      <c r="J40" s="162" t="s">
        <v>1252</v>
      </c>
      <c r="K40" s="162" t="s">
        <v>1252</v>
      </c>
    </row>
    <row r="41" spans="1:11">
      <c r="A41" s="161" t="s">
        <v>794</v>
      </c>
      <c r="B41" s="162" t="s">
        <v>873</v>
      </c>
      <c r="C41" s="162" t="s">
        <v>856</v>
      </c>
      <c r="D41" s="161" t="s">
        <v>751</v>
      </c>
      <c r="E41" s="161" t="s">
        <v>752</v>
      </c>
      <c r="F41" s="165">
        <v>413</v>
      </c>
      <c r="G41" s="164">
        <v>1000</v>
      </c>
      <c r="H41" s="161" t="s">
        <v>753</v>
      </c>
      <c r="I41" s="162" t="s">
        <v>1254</v>
      </c>
      <c r="J41" s="162" t="s">
        <v>1252</v>
      </c>
      <c r="K41" s="162" t="s">
        <v>1252</v>
      </c>
    </row>
    <row r="42" spans="1:11">
      <c r="A42" s="161" t="s">
        <v>795</v>
      </c>
      <c r="B42" s="162" t="s">
        <v>874</v>
      </c>
      <c r="C42" s="162" t="s">
        <v>856</v>
      </c>
      <c r="D42" s="161" t="s">
        <v>751</v>
      </c>
      <c r="E42" s="161" t="s">
        <v>752</v>
      </c>
      <c r="F42" s="165">
        <v>413</v>
      </c>
      <c r="G42" s="164">
        <v>1000</v>
      </c>
      <c r="H42" s="161" t="s">
        <v>753</v>
      </c>
      <c r="I42" s="162" t="s">
        <v>1254</v>
      </c>
      <c r="J42" s="162" t="s">
        <v>1252</v>
      </c>
      <c r="K42" s="162" t="s">
        <v>1252</v>
      </c>
    </row>
    <row r="43" spans="1:11">
      <c r="A43" s="161" t="s">
        <v>469</v>
      </c>
      <c r="B43" s="162" t="s">
        <v>470</v>
      </c>
      <c r="C43" s="162" t="s">
        <v>841</v>
      </c>
      <c r="D43" s="161" t="s">
        <v>465</v>
      </c>
      <c r="E43" s="161" t="s">
        <v>752</v>
      </c>
      <c r="F43" s="165">
        <v>553.35</v>
      </c>
      <c r="G43" s="164">
        <v>1</v>
      </c>
      <c r="H43" s="161" t="s">
        <v>466</v>
      </c>
      <c r="I43" s="162" t="s">
        <v>987</v>
      </c>
      <c r="J43" s="162" t="s">
        <v>467</v>
      </c>
      <c r="K43" s="162" t="s">
        <v>467</v>
      </c>
    </row>
    <row r="44" spans="1:11">
      <c r="A44" s="161" t="s">
        <v>471</v>
      </c>
      <c r="B44" s="162" t="s">
        <v>472</v>
      </c>
      <c r="C44" s="162" t="s">
        <v>856</v>
      </c>
      <c r="D44" s="161" t="s">
        <v>751</v>
      </c>
      <c r="E44" s="161" t="s">
        <v>752</v>
      </c>
      <c r="F44" s="165">
        <v>0</v>
      </c>
      <c r="G44" s="164">
        <v>1000</v>
      </c>
      <c r="H44" s="161" t="s">
        <v>753</v>
      </c>
      <c r="I44" s="162" t="s">
        <v>986</v>
      </c>
      <c r="J44" s="162" t="s">
        <v>987</v>
      </c>
      <c r="K44" s="162" t="s">
        <v>987</v>
      </c>
    </row>
    <row r="45" spans="1:11">
      <c r="A45" s="161" t="s">
        <v>1006</v>
      </c>
      <c r="B45" s="162" t="s">
        <v>1007</v>
      </c>
      <c r="C45" s="162" t="s">
        <v>1255</v>
      </c>
      <c r="D45" s="161" t="s">
        <v>751</v>
      </c>
      <c r="E45" s="161" t="s">
        <v>752</v>
      </c>
      <c r="F45" s="165">
        <v>3520</v>
      </c>
      <c r="G45" s="164">
        <v>1000</v>
      </c>
      <c r="H45" s="161" t="s">
        <v>753</v>
      </c>
      <c r="I45" s="162" t="s">
        <v>986</v>
      </c>
      <c r="J45" s="162" t="s">
        <v>987</v>
      </c>
      <c r="K45" s="162" t="s">
        <v>987</v>
      </c>
    </row>
    <row r="46" spans="1:11">
      <c r="A46" s="161" t="s">
        <v>1008</v>
      </c>
      <c r="B46" s="162" t="s">
        <v>1009</v>
      </c>
      <c r="C46" s="162" t="s">
        <v>1255</v>
      </c>
      <c r="D46" s="161" t="s">
        <v>751</v>
      </c>
      <c r="E46" s="161" t="s">
        <v>752</v>
      </c>
      <c r="F46" s="165">
        <v>3520</v>
      </c>
      <c r="G46" s="164">
        <v>1000</v>
      </c>
      <c r="H46" s="161" t="s">
        <v>753</v>
      </c>
      <c r="I46" s="162" t="s">
        <v>986</v>
      </c>
      <c r="J46" s="162" t="s">
        <v>987</v>
      </c>
      <c r="K46" s="162" t="s">
        <v>987</v>
      </c>
    </row>
    <row r="47" spans="1:11">
      <c r="A47" s="161" t="s">
        <v>1010</v>
      </c>
      <c r="B47" s="162" t="s">
        <v>1011</v>
      </c>
      <c r="C47" s="162" t="s">
        <v>1255</v>
      </c>
      <c r="D47" s="161" t="s">
        <v>751</v>
      </c>
      <c r="E47" s="161" t="s">
        <v>752</v>
      </c>
      <c r="F47" s="165">
        <v>3220</v>
      </c>
      <c r="G47" s="164">
        <v>1000</v>
      </c>
      <c r="H47" s="161" t="s">
        <v>753</v>
      </c>
      <c r="I47" s="162" t="s">
        <v>986</v>
      </c>
      <c r="J47" s="162" t="s">
        <v>987</v>
      </c>
      <c r="K47" s="162" t="s">
        <v>987</v>
      </c>
    </row>
    <row r="48" spans="1:11">
      <c r="A48" s="161" t="s">
        <v>1012</v>
      </c>
      <c r="B48" s="162" t="s">
        <v>1013</v>
      </c>
      <c r="C48" s="162" t="s">
        <v>28</v>
      </c>
      <c r="D48" s="161" t="s">
        <v>751</v>
      </c>
      <c r="E48" s="161" t="s">
        <v>752</v>
      </c>
      <c r="F48" s="165">
        <v>3000</v>
      </c>
      <c r="G48" s="164">
        <v>1000</v>
      </c>
      <c r="H48" s="161" t="s">
        <v>753</v>
      </c>
      <c r="I48" s="162" t="s">
        <v>986</v>
      </c>
      <c r="J48" s="162" t="s">
        <v>987</v>
      </c>
      <c r="K48" s="162" t="s">
        <v>987</v>
      </c>
    </row>
    <row r="49" spans="1:11">
      <c r="A49" s="161" t="s">
        <v>1014</v>
      </c>
      <c r="B49" s="162" t="s">
        <v>1015</v>
      </c>
      <c r="C49" s="162" t="s">
        <v>1255</v>
      </c>
      <c r="D49" s="161" t="s">
        <v>751</v>
      </c>
      <c r="E49" s="161" t="s">
        <v>752</v>
      </c>
      <c r="F49" s="165">
        <v>3220</v>
      </c>
      <c r="G49" s="164">
        <v>1000</v>
      </c>
      <c r="H49" s="161" t="s">
        <v>753</v>
      </c>
      <c r="I49" s="162" t="s">
        <v>986</v>
      </c>
      <c r="J49" s="162" t="s">
        <v>987</v>
      </c>
      <c r="K49" s="162" t="s">
        <v>987</v>
      </c>
    </row>
    <row r="50" spans="1:11">
      <c r="A50" s="161" t="s">
        <v>473</v>
      </c>
      <c r="B50" s="162" t="s">
        <v>474</v>
      </c>
      <c r="C50" s="162" t="s">
        <v>856</v>
      </c>
      <c r="D50" s="161" t="s">
        <v>751</v>
      </c>
      <c r="E50" s="161" t="s">
        <v>752</v>
      </c>
      <c r="F50" s="165">
        <v>855</v>
      </c>
      <c r="G50" s="164">
        <v>1</v>
      </c>
      <c r="H50" s="161" t="s">
        <v>752</v>
      </c>
      <c r="I50" s="162" t="s">
        <v>987</v>
      </c>
      <c r="J50" s="162" t="s">
        <v>467</v>
      </c>
      <c r="K50" s="162" t="s">
        <v>467</v>
      </c>
    </row>
    <row r="51" spans="1:11">
      <c r="A51" s="161" t="s">
        <v>475</v>
      </c>
      <c r="B51" s="162" t="s">
        <v>476</v>
      </c>
      <c r="C51" s="162" t="s">
        <v>856</v>
      </c>
      <c r="D51" s="161" t="s">
        <v>751</v>
      </c>
      <c r="E51" s="161" t="s">
        <v>752</v>
      </c>
      <c r="F51" s="165">
        <v>855</v>
      </c>
      <c r="G51" s="164">
        <v>1</v>
      </c>
      <c r="H51" s="161" t="s">
        <v>752</v>
      </c>
      <c r="I51" s="162" t="s">
        <v>987</v>
      </c>
      <c r="J51" s="162" t="s">
        <v>467</v>
      </c>
      <c r="K51" s="162" t="s">
        <v>467</v>
      </c>
    </row>
    <row r="52" spans="1:11">
      <c r="A52" s="161" t="s">
        <v>796</v>
      </c>
      <c r="B52" s="162" t="s">
        <v>848</v>
      </c>
      <c r="C52" s="162" t="s">
        <v>41</v>
      </c>
      <c r="D52" s="161" t="s">
        <v>751</v>
      </c>
      <c r="E52" s="161" t="s">
        <v>752</v>
      </c>
      <c r="F52" s="165">
        <v>772</v>
      </c>
      <c r="G52" s="164">
        <v>1000</v>
      </c>
      <c r="H52" s="161" t="s">
        <v>753</v>
      </c>
      <c r="I52" s="162" t="s">
        <v>1254</v>
      </c>
      <c r="J52" s="162" t="s">
        <v>849</v>
      </c>
      <c r="K52" s="162" t="s">
        <v>849</v>
      </c>
    </row>
    <row r="53" spans="1:11">
      <c r="A53" s="161" t="s">
        <v>797</v>
      </c>
      <c r="B53" s="162" t="s">
        <v>42</v>
      </c>
      <c r="C53" s="162" t="s">
        <v>41</v>
      </c>
      <c r="D53" s="161" t="s">
        <v>751</v>
      </c>
      <c r="E53" s="161" t="s">
        <v>752</v>
      </c>
      <c r="F53" s="165">
        <v>772</v>
      </c>
      <c r="G53" s="164">
        <v>1000</v>
      </c>
      <c r="H53" s="161" t="s">
        <v>753</v>
      </c>
      <c r="I53" s="162" t="s">
        <v>1254</v>
      </c>
      <c r="J53" s="162" t="s">
        <v>849</v>
      </c>
      <c r="K53" s="162" t="s">
        <v>849</v>
      </c>
    </row>
    <row r="54" spans="1:11">
      <c r="A54" s="161" t="s">
        <v>798</v>
      </c>
      <c r="B54" s="162" t="s">
        <v>43</v>
      </c>
      <c r="C54" s="162" t="s">
        <v>41</v>
      </c>
      <c r="D54" s="161" t="s">
        <v>751</v>
      </c>
      <c r="E54" s="161" t="s">
        <v>752</v>
      </c>
      <c r="F54" s="165">
        <v>772</v>
      </c>
      <c r="G54" s="164">
        <v>1000</v>
      </c>
      <c r="H54" s="161" t="s">
        <v>753</v>
      </c>
      <c r="I54" s="162" t="s">
        <v>1254</v>
      </c>
      <c r="J54" s="162" t="s">
        <v>849</v>
      </c>
      <c r="K54" s="162" t="s">
        <v>849</v>
      </c>
    </row>
    <row r="55" spans="1:11">
      <c r="A55" s="161" t="s">
        <v>799</v>
      </c>
      <c r="B55" s="162" t="s">
        <v>875</v>
      </c>
      <c r="C55" s="162" t="s">
        <v>856</v>
      </c>
      <c r="D55" s="161" t="s">
        <v>751</v>
      </c>
      <c r="E55" s="161" t="s">
        <v>752</v>
      </c>
      <c r="F55" s="165">
        <v>353</v>
      </c>
      <c r="G55" s="164">
        <v>1000</v>
      </c>
      <c r="H55" s="161" t="s">
        <v>753</v>
      </c>
      <c r="I55" s="162" t="s">
        <v>1254</v>
      </c>
      <c r="J55" s="162" t="s">
        <v>840</v>
      </c>
      <c r="K55" s="162" t="s">
        <v>840</v>
      </c>
    </row>
    <row r="56" spans="1:11">
      <c r="A56" s="161" t="s">
        <v>800</v>
      </c>
      <c r="B56" s="162" t="s">
        <v>876</v>
      </c>
      <c r="C56" s="162" t="s">
        <v>856</v>
      </c>
      <c r="D56" s="161" t="s">
        <v>751</v>
      </c>
      <c r="E56" s="161" t="s">
        <v>752</v>
      </c>
      <c r="F56" s="165">
        <v>236</v>
      </c>
      <c r="G56" s="164">
        <v>1000</v>
      </c>
      <c r="H56" s="161" t="s">
        <v>753</v>
      </c>
      <c r="I56" s="162" t="s">
        <v>1254</v>
      </c>
      <c r="J56" s="162" t="s">
        <v>840</v>
      </c>
      <c r="K56" s="162" t="s">
        <v>840</v>
      </c>
    </row>
    <row r="57" spans="1:11">
      <c r="A57" s="161" t="s">
        <v>801</v>
      </c>
      <c r="B57" s="162" t="s">
        <v>850</v>
      </c>
      <c r="C57" s="162" t="s">
        <v>856</v>
      </c>
      <c r="D57" s="161" t="s">
        <v>751</v>
      </c>
      <c r="E57" s="161" t="s">
        <v>752</v>
      </c>
      <c r="F57" s="165">
        <v>216</v>
      </c>
      <c r="G57" s="164">
        <v>1000</v>
      </c>
      <c r="H57" s="161" t="s">
        <v>753</v>
      </c>
      <c r="I57" s="162" t="s">
        <v>1254</v>
      </c>
      <c r="J57" s="162" t="s">
        <v>840</v>
      </c>
      <c r="K57" s="162" t="s">
        <v>840</v>
      </c>
    </row>
    <row r="58" spans="1:11">
      <c r="A58" s="161" t="s">
        <v>802</v>
      </c>
      <c r="B58" s="162" t="s">
        <v>877</v>
      </c>
      <c r="C58" s="162" t="s">
        <v>856</v>
      </c>
      <c r="D58" s="161" t="s">
        <v>751</v>
      </c>
      <c r="E58" s="161" t="s">
        <v>752</v>
      </c>
      <c r="F58" s="165">
        <v>214</v>
      </c>
      <c r="G58" s="164">
        <v>1000</v>
      </c>
      <c r="H58" s="161" t="s">
        <v>753</v>
      </c>
      <c r="I58" s="162" t="s">
        <v>1254</v>
      </c>
      <c r="J58" s="162" t="s">
        <v>840</v>
      </c>
      <c r="K58" s="162" t="s">
        <v>840</v>
      </c>
    </row>
    <row r="59" spans="1:11">
      <c r="A59" s="161" t="s">
        <v>477</v>
      </c>
      <c r="B59" s="162" t="s">
        <v>478</v>
      </c>
      <c r="C59" s="162" t="s">
        <v>479</v>
      </c>
      <c r="D59" s="161" t="s">
        <v>751</v>
      </c>
      <c r="E59" s="161" t="s">
        <v>752</v>
      </c>
      <c r="F59" s="165">
        <v>88</v>
      </c>
      <c r="G59" s="164">
        <v>1</v>
      </c>
      <c r="H59" s="161" t="s">
        <v>752</v>
      </c>
      <c r="I59" s="162" t="s">
        <v>987</v>
      </c>
      <c r="J59" s="162" t="s">
        <v>987</v>
      </c>
      <c r="K59" s="162" t="s">
        <v>987</v>
      </c>
    </row>
    <row r="60" spans="1:11">
      <c r="A60" s="161" t="s">
        <v>803</v>
      </c>
      <c r="B60" s="162" t="s">
        <v>878</v>
      </c>
      <c r="C60" s="162" t="s">
        <v>856</v>
      </c>
      <c r="D60" s="161" t="s">
        <v>751</v>
      </c>
      <c r="E60" s="161" t="s">
        <v>752</v>
      </c>
      <c r="F60" s="165">
        <v>673</v>
      </c>
      <c r="G60" s="164">
        <v>1000</v>
      </c>
      <c r="H60" s="161" t="s">
        <v>753</v>
      </c>
      <c r="I60" s="162" t="s">
        <v>1254</v>
      </c>
      <c r="J60" s="162" t="s">
        <v>879</v>
      </c>
      <c r="K60" s="162" t="s">
        <v>879</v>
      </c>
    </row>
    <row r="61" spans="1:11">
      <c r="A61" s="161" t="s">
        <v>804</v>
      </c>
      <c r="B61" s="162" t="s">
        <v>880</v>
      </c>
      <c r="C61" s="162" t="s">
        <v>856</v>
      </c>
      <c r="D61" s="161" t="s">
        <v>751</v>
      </c>
      <c r="E61" s="161" t="s">
        <v>752</v>
      </c>
      <c r="F61" s="165">
        <v>253</v>
      </c>
      <c r="G61" s="164">
        <v>1000</v>
      </c>
      <c r="H61" s="161" t="s">
        <v>753</v>
      </c>
      <c r="I61" s="162" t="s">
        <v>1254</v>
      </c>
      <c r="J61" s="162" t="s">
        <v>1260</v>
      </c>
      <c r="K61" s="162" t="s">
        <v>1260</v>
      </c>
    </row>
    <row r="62" spans="1:11">
      <c r="A62" s="161" t="s">
        <v>805</v>
      </c>
      <c r="B62" s="162" t="s">
        <v>881</v>
      </c>
      <c r="C62" s="162" t="s">
        <v>856</v>
      </c>
      <c r="D62" s="161" t="s">
        <v>751</v>
      </c>
      <c r="E62" s="161" t="s">
        <v>752</v>
      </c>
      <c r="F62" s="165">
        <v>230</v>
      </c>
      <c r="G62" s="164">
        <v>1000</v>
      </c>
      <c r="H62" s="161" t="s">
        <v>753</v>
      </c>
      <c r="I62" s="162" t="s">
        <v>1254</v>
      </c>
      <c r="J62" s="162" t="s">
        <v>1260</v>
      </c>
      <c r="K62" s="162" t="s">
        <v>1260</v>
      </c>
    </row>
    <row r="63" spans="1:11">
      <c r="A63" s="161" t="s">
        <v>806</v>
      </c>
      <c r="B63" s="162" t="s">
        <v>882</v>
      </c>
      <c r="C63" s="162" t="s">
        <v>856</v>
      </c>
      <c r="D63" s="161" t="s">
        <v>751</v>
      </c>
      <c r="E63" s="161" t="s">
        <v>752</v>
      </c>
      <c r="F63" s="165">
        <v>253</v>
      </c>
      <c r="G63" s="164">
        <v>1000</v>
      </c>
      <c r="H63" s="161" t="s">
        <v>753</v>
      </c>
      <c r="I63" s="162" t="s">
        <v>1254</v>
      </c>
      <c r="J63" s="162" t="s">
        <v>1260</v>
      </c>
      <c r="K63" s="162" t="s">
        <v>1260</v>
      </c>
    </row>
    <row r="64" spans="1:11">
      <c r="A64" s="161" t="s">
        <v>807</v>
      </c>
      <c r="B64" s="162" t="s">
        <v>883</v>
      </c>
      <c r="C64" s="162" t="s">
        <v>856</v>
      </c>
      <c r="D64" s="161" t="s">
        <v>751</v>
      </c>
      <c r="E64" s="161" t="s">
        <v>752</v>
      </c>
      <c r="F64" s="165">
        <v>253</v>
      </c>
      <c r="G64" s="164">
        <v>1000</v>
      </c>
      <c r="H64" s="161" t="s">
        <v>753</v>
      </c>
      <c r="I64" s="162" t="s">
        <v>1254</v>
      </c>
      <c r="J64" s="162" t="s">
        <v>1260</v>
      </c>
      <c r="K64" s="162" t="s">
        <v>1260</v>
      </c>
    </row>
    <row r="65" spans="1:11">
      <c r="A65" s="161" t="s">
        <v>808</v>
      </c>
      <c r="B65" s="162" t="s">
        <v>884</v>
      </c>
      <c r="C65" s="162" t="s">
        <v>856</v>
      </c>
      <c r="D65" s="161" t="s">
        <v>751</v>
      </c>
      <c r="E65" s="161" t="s">
        <v>752</v>
      </c>
      <c r="F65" s="165">
        <v>248</v>
      </c>
      <c r="G65" s="164">
        <v>1000</v>
      </c>
      <c r="H65" s="161" t="s">
        <v>753</v>
      </c>
      <c r="I65" s="162" t="s">
        <v>1254</v>
      </c>
      <c r="J65" s="162" t="s">
        <v>1260</v>
      </c>
      <c r="K65" s="162" t="s">
        <v>1260</v>
      </c>
    </row>
    <row r="66" spans="1:11">
      <c r="A66" s="161" t="s">
        <v>809</v>
      </c>
      <c r="B66" s="162" t="s">
        <v>885</v>
      </c>
      <c r="C66" s="162" t="s">
        <v>856</v>
      </c>
      <c r="D66" s="161" t="s">
        <v>751</v>
      </c>
      <c r="E66" s="161" t="s">
        <v>752</v>
      </c>
      <c r="F66" s="165">
        <v>355</v>
      </c>
      <c r="G66" s="164">
        <v>1000</v>
      </c>
      <c r="H66" s="161" t="s">
        <v>753</v>
      </c>
      <c r="I66" s="162" t="s">
        <v>1254</v>
      </c>
      <c r="J66" s="162" t="s">
        <v>1260</v>
      </c>
      <c r="K66" s="162" t="s">
        <v>1260</v>
      </c>
    </row>
    <row r="67" spans="1:11">
      <c r="A67" s="161" t="s">
        <v>810</v>
      </c>
      <c r="B67" s="162" t="s">
        <v>886</v>
      </c>
      <c r="C67" s="162" t="s">
        <v>856</v>
      </c>
      <c r="D67" s="161" t="s">
        <v>751</v>
      </c>
      <c r="E67" s="161" t="s">
        <v>752</v>
      </c>
      <c r="F67" s="165">
        <v>355</v>
      </c>
      <c r="G67" s="164">
        <v>1000</v>
      </c>
      <c r="H67" s="161" t="s">
        <v>753</v>
      </c>
      <c r="I67" s="162" t="s">
        <v>1254</v>
      </c>
      <c r="J67" s="162" t="s">
        <v>1260</v>
      </c>
      <c r="K67" s="162" t="s">
        <v>1260</v>
      </c>
    </row>
    <row r="68" spans="1:11">
      <c r="A68" s="161" t="s">
        <v>811</v>
      </c>
      <c r="B68" s="162" t="s">
        <v>887</v>
      </c>
      <c r="C68" s="162" t="s">
        <v>856</v>
      </c>
      <c r="D68" s="161" t="s">
        <v>751</v>
      </c>
      <c r="E68" s="161" t="s">
        <v>752</v>
      </c>
      <c r="F68" s="165">
        <v>375</v>
      </c>
      <c r="G68" s="164">
        <v>1000</v>
      </c>
      <c r="H68" s="161" t="s">
        <v>753</v>
      </c>
      <c r="I68" s="162" t="s">
        <v>1254</v>
      </c>
      <c r="J68" s="162" t="s">
        <v>1260</v>
      </c>
      <c r="K68" s="162" t="s">
        <v>1260</v>
      </c>
    </row>
    <row r="69" spans="1:11">
      <c r="A69" s="161" t="s">
        <v>812</v>
      </c>
      <c r="B69" s="162" t="s">
        <v>888</v>
      </c>
      <c r="C69" s="162" t="s">
        <v>856</v>
      </c>
      <c r="D69" s="161" t="s">
        <v>751</v>
      </c>
      <c r="E69" s="161" t="s">
        <v>752</v>
      </c>
      <c r="F69" s="165">
        <v>343</v>
      </c>
      <c r="G69" s="164">
        <v>1000</v>
      </c>
      <c r="H69" s="161" t="s">
        <v>753</v>
      </c>
      <c r="I69" s="162" t="s">
        <v>1254</v>
      </c>
      <c r="J69" s="162" t="s">
        <v>1260</v>
      </c>
      <c r="K69" s="162" t="s">
        <v>1260</v>
      </c>
    </row>
    <row r="70" spans="1:11">
      <c r="A70" s="161" t="s">
        <v>813</v>
      </c>
      <c r="B70" s="162" t="s">
        <v>814</v>
      </c>
      <c r="C70" s="162" t="s">
        <v>856</v>
      </c>
      <c r="D70" s="161" t="s">
        <v>751</v>
      </c>
      <c r="E70" s="161" t="s">
        <v>752</v>
      </c>
      <c r="F70" s="165">
        <v>343</v>
      </c>
      <c r="G70" s="164">
        <v>1000</v>
      </c>
      <c r="H70" s="161" t="s">
        <v>753</v>
      </c>
      <c r="I70" s="162" t="s">
        <v>1254</v>
      </c>
      <c r="J70" s="162" t="s">
        <v>1260</v>
      </c>
      <c r="K70" s="162" t="s">
        <v>1260</v>
      </c>
    </row>
    <row r="71" spans="1:11">
      <c r="A71" s="161" t="s">
        <v>815</v>
      </c>
      <c r="B71" s="162" t="s">
        <v>889</v>
      </c>
      <c r="C71" s="162" t="s">
        <v>856</v>
      </c>
      <c r="D71" s="161" t="s">
        <v>816</v>
      </c>
      <c r="E71" s="161" t="s">
        <v>752</v>
      </c>
      <c r="F71" s="165">
        <v>375</v>
      </c>
      <c r="G71" s="164">
        <v>1000</v>
      </c>
      <c r="H71" s="161" t="s">
        <v>753</v>
      </c>
      <c r="I71" s="162" t="s">
        <v>1254</v>
      </c>
      <c r="J71" s="162" t="s">
        <v>1260</v>
      </c>
      <c r="K71" s="162" t="s">
        <v>1260</v>
      </c>
    </row>
    <row r="72" spans="1:11">
      <c r="A72" s="161" t="s">
        <v>817</v>
      </c>
      <c r="B72" s="162" t="s">
        <v>890</v>
      </c>
      <c r="C72" s="162" t="s">
        <v>856</v>
      </c>
      <c r="D72" s="161" t="s">
        <v>751</v>
      </c>
      <c r="E72" s="161" t="s">
        <v>752</v>
      </c>
      <c r="F72" s="165">
        <v>335</v>
      </c>
      <c r="G72" s="164">
        <v>1000</v>
      </c>
      <c r="H72" s="161" t="s">
        <v>753</v>
      </c>
      <c r="I72" s="162" t="s">
        <v>1254</v>
      </c>
      <c r="J72" s="162" t="s">
        <v>1260</v>
      </c>
      <c r="K72" s="162" t="s">
        <v>1260</v>
      </c>
    </row>
    <row r="73" spans="1:11">
      <c r="A73" s="161" t="s">
        <v>818</v>
      </c>
      <c r="B73" s="162" t="s">
        <v>891</v>
      </c>
      <c r="C73" s="162" t="s">
        <v>856</v>
      </c>
      <c r="D73" s="161" t="s">
        <v>751</v>
      </c>
      <c r="E73" s="161" t="s">
        <v>752</v>
      </c>
      <c r="F73" s="165">
        <v>385</v>
      </c>
      <c r="G73" s="164">
        <v>1000</v>
      </c>
      <c r="H73" s="161" t="s">
        <v>753</v>
      </c>
      <c r="I73" s="162" t="s">
        <v>1254</v>
      </c>
      <c r="J73" s="162" t="s">
        <v>1260</v>
      </c>
      <c r="K73" s="162" t="s">
        <v>1260</v>
      </c>
    </row>
    <row r="74" spans="1:11">
      <c r="A74" s="161" t="s">
        <v>819</v>
      </c>
      <c r="B74" s="162" t="s">
        <v>892</v>
      </c>
      <c r="C74" s="162" t="s">
        <v>856</v>
      </c>
      <c r="D74" s="161" t="s">
        <v>751</v>
      </c>
      <c r="E74" s="161" t="s">
        <v>752</v>
      </c>
      <c r="F74" s="165">
        <v>425</v>
      </c>
      <c r="G74" s="164">
        <v>1000</v>
      </c>
      <c r="H74" s="161" t="s">
        <v>753</v>
      </c>
      <c r="I74" s="162" t="s">
        <v>1254</v>
      </c>
      <c r="J74" s="162" t="s">
        <v>1260</v>
      </c>
      <c r="K74" s="162" t="s">
        <v>1260</v>
      </c>
    </row>
    <row r="75" spans="1:11">
      <c r="A75" s="161" t="s">
        <v>820</v>
      </c>
      <c r="B75" s="162" t="s">
        <v>893</v>
      </c>
      <c r="C75" s="162" t="s">
        <v>856</v>
      </c>
      <c r="D75" s="161" t="s">
        <v>751</v>
      </c>
      <c r="E75" s="161" t="s">
        <v>752</v>
      </c>
      <c r="F75" s="165">
        <v>535</v>
      </c>
      <c r="G75" s="164">
        <v>1000</v>
      </c>
      <c r="H75" s="161" t="s">
        <v>753</v>
      </c>
      <c r="I75" s="162" t="s">
        <v>1254</v>
      </c>
      <c r="J75" s="162" t="s">
        <v>1260</v>
      </c>
      <c r="K75" s="162" t="s">
        <v>1260</v>
      </c>
    </row>
    <row r="76" spans="1:11">
      <c r="A76" s="161" t="s">
        <v>821</v>
      </c>
      <c r="B76" s="162" t="s">
        <v>852</v>
      </c>
      <c r="C76" s="162" t="s">
        <v>853</v>
      </c>
      <c r="D76" s="161" t="s">
        <v>781</v>
      </c>
      <c r="E76" s="161" t="s">
        <v>752</v>
      </c>
      <c r="F76" s="165">
        <v>550</v>
      </c>
      <c r="G76" s="164">
        <v>1000</v>
      </c>
      <c r="H76" s="161" t="s">
        <v>753</v>
      </c>
      <c r="I76" s="162" t="s">
        <v>1254</v>
      </c>
      <c r="J76" s="162" t="s">
        <v>849</v>
      </c>
      <c r="K76" s="162" t="s">
        <v>849</v>
      </c>
    </row>
    <row r="77" spans="1:11">
      <c r="A77" s="161" t="s">
        <v>480</v>
      </c>
      <c r="B77" s="162" t="s">
        <v>481</v>
      </c>
      <c r="C77" s="162" t="s">
        <v>482</v>
      </c>
      <c r="D77" s="161" t="s">
        <v>781</v>
      </c>
      <c r="E77" s="161" t="s">
        <v>752</v>
      </c>
      <c r="F77" s="165">
        <v>3500</v>
      </c>
      <c r="G77" s="164">
        <v>1000</v>
      </c>
      <c r="H77" s="161" t="s">
        <v>753</v>
      </c>
      <c r="I77" s="162" t="s">
        <v>1254</v>
      </c>
      <c r="J77" s="162" t="s">
        <v>849</v>
      </c>
      <c r="K77" s="162" t="s">
        <v>849</v>
      </c>
    </row>
    <row r="78" spans="1:11">
      <c r="A78" s="161" t="s">
        <v>822</v>
      </c>
      <c r="B78" s="162" t="s">
        <v>854</v>
      </c>
      <c r="C78" s="162" t="s">
        <v>853</v>
      </c>
      <c r="D78" s="161" t="s">
        <v>781</v>
      </c>
      <c r="E78" s="161" t="s">
        <v>752</v>
      </c>
      <c r="F78" s="165">
        <v>3500</v>
      </c>
      <c r="G78" s="164">
        <v>1000</v>
      </c>
      <c r="H78" s="161" t="s">
        <v>753</v>
      </c>
      <c r="I78" s="162" t="s">
        <v>1254</v>
      </c>
      <c r="J78" s="162" t="s">
        <v>849</v>
      </c>
      <c r="K78" s="162" t="s">
        <v>849</v>
      </c>
    </row>
    <row r="79" spans="1:11">
      <c r="A79" s="161" t="s">
        <v>483</v>
      </c>
      <c r="B79" s="162" t="s">
        <v>484</v>
      </c>
      <c r="C79" s="162" t="s">
        <v>853</v>
      </c>
      <c r="D79" s="161" t="s">
        <v>781</v>
      </c>
      <c r="E79" s="161" t="s">
        <v>752</v>
      </c>
      <c r="F79" s="165">
        <v>95</v>
      </c>
      <c r="G79" s="164">
        <v>1000</v>
      </c>
      <c r="H79" s="161" t="s">
        <v>753</v>
      </c>
      <c r="I79" s="162" t="s">
        <v>485</v>
      </c>
      <c r="J79" s="162" t="s">
        <v>486</v>
      </c>
      <c r="K79" s="162" t="s">
        <v>486</v>
      </c>
    </row>
    <row r="80" spans="1:11">
      <c r="A80" s="161" t="s">
        <v>487</v>
      </c>
      <c r="B80" s="162" t="s">
        <v>488</v>
      </c>
      <c r="C80" s="162" t="s">
        <v>489</v>
      </c>
      <c r="D80" s="161" t="s">
        <v>751</v>
      </c>
      <c r="E80" s="161" t="s">
        <v>752</v>
      </c>
      <c r="F80" s="165">
        <v>190</v>
      </c>
      <c r="G80" s="164">
        <v>1000</v>
      </c>
      <c r="H80" s="161" t="s">
        <v>753</v>
      </c>
      <c r="I80" s="162" t="s">
        <v>1254</v>
      </c>
      <c r="J80" s="162" t="s">
        <v>840</v>
      </c>
      <c r="K80" s="162" t="s">
        <v>840</v>
      </c>
    </row>
    <row r="81" spans="1:11">
      <c r="A81" s="161" t="s">
        <v>490</v>
      </c>
      <c r="B81" s="162" t="s">
        <v>491</v>
      </c>
      <c r="C81" s="162" t="s">
        <v>492</v>
      </c>
      <c r="D81" s="161" t="s">
        <v>493</v>
      </c>
      <c r="E81" s="161" t="s">
        <v>752</v>
      </c>
      <c r="F81" s="165">
        <v>47</v>
      </c>
      <c r="G81" s="164">
        <v>1</v>
      </c>
      <c r="H81" s="161" t="s">
        <v>752</v>
      </c>
      <c r="I81" s="162" t="s">
        <v>987</v>
      </c>
      <c r="J81" s="162" t="s">
        <v>987</v>
      </c>
      <c r="K81" s="162" t="s">
        <v>987</v>
      </c>
    </row>
    <row r="82" spans="1:11">
      <c r="A82" s="161" t="s">
        <v>1016</v>
      </c>
      <c r="B82" s="162" t="s">
        <v>1017</v>
      </c>
      <c r="C82" s="162" t="s">
        <v>856</v>
      </c>
      <c r="D82" s="161" t="s">
        <v>751</v>
      </c>
      <c r="E82" s="161" t="s">
        <v>752</v>
      </c>
      <c r="F82" s="165">
        <v>1880</v>
      </c>
      <c r="G82" s="164">
        <v>1000</v>
      </c>
      <c r="H82" s="161" t="s">
        <v>753</v>
      </c>
      <c r="I82" s="162" t="s">
        <v>986</v>
      </c>
      <c r="J82" s="162" t="s">
        <v>987</v>
      </c>
      <c r="K82" s="162" t="s">
        <v>987</v>
      </c>
    </row>
    <row r="83" spans="1:11">
      <c r="A83" s="161" t="s">
        <v>494</v>
      </c>
      <c r="B83" s="162" t="s">
        <v>495</v>
      </c>
      <c r="C83" s="162" t="s">
        <v>856</v>
      </c>
      <c r="D83" s="161" t="s">
        <v>751</v>
      </c>
      <c r="E83" s="161" t="s">
        <v>752</v>
      </c>
      <c r="F83" s="165">
        <v>1545</v>
      </c>
      <c r="G83" s="164">
        <v>1000</v>
      </c>
      <c r="H83" s="161" t="s">
        <v>753</v>
      </c>
      <c r="I83" s="162" t="s">
        <v>496</v>
      </c>
      <c r="J83" s="162" t="s">
        <v>496</v>
      </c>
      <c r="K83" s="162" t="s">
        <v>496</v>
      </c>
    </row>
    <row r="84" spans="1:11">
      <c r="A84" s="161" t="s">
        <v>497</v>
      </c>
      <c r="B84" s="162" t="s">
        <v>498</v>
      </c>
      <c r="C84" s="162" t="s">
        <v>856</v>
      </c>
      <c r="D84" s="161" t="s">
        <v>751</v>
      </c>
      <c r="E84" s="161" t="s">
        <v>752</v>
      </c>
      <c r="F84" s="165">
        <v>1545</v>
      </c>
      <c r="G84" s="164">
        <v>1000</v>
      </c>
      <c r="H84" s="161" t="s">
        <v>753</v>
      </c>
      <c r="I84" s="162" t="s">
        <v>496</v>
      </c>
      <c r="J84" s="162" t="s">
        <v>496</v>
      </c>
      <c r="K84" s="162" t="s">
        <v>496</v>
      </c>
    </row>
    <row r="85" spans="1:11">
      <c r="A85" s="161" t="s">
        <v>499</v>
      </c>
      <c r="B85" s="162" t="s">
        <v>500</v>
      </c>
      <c r="C85" s="162" t="s">
        <v>856</v>
      </c>
      <c r="D85" s="161" t="s">
        <v>751</v>
      </c>
      <c r="E85" s="161" t="s">
        <v>752</v>
      </c>
      <c r="F85" s="165">
        <v>1545</v>
      </c>
      <c r="G85" s="164">
        <v>1000</v>
      </c>
      <c r="H85" s="161" t="s">
        <v>753</v>
      </c>
      <c r="I85" s="162" t="s">
        <v>496</v>
      </c>
      <c r="J85" s="162" t="s">
        <v>496</v>
      </c>
      <c r="K85" s="162" t="s">
        <v>496</v>
      </c>
    </row>
    <row r="86" spans="1:11">
      <c r="A86" s="161" t="s">
        <v>501</v>
      </c>
      <c r="B86" s="162" t="s">
        <v>502</v>
      </c>
      <c r="C86" s="162" t="s">
        <v>856</v>
      </c>
      <c r="D86" s="161" t="s">
        <v>751</v>
      </c>
      <c r="E86" s="161" t="s">
        <v>752</v>
      </c>
      <c r="F86" s="165">
        <v>1545</v>
      </c>
      <c r="G86" s="164">
        <v>1000</v>
      </c>
      <c r="H86" s="161" t="s">
        <v>753</v>
      </c>
      <c r="I86" s="162" t="s">
        <v>496</v>
      </c>
      <c r="J86" s="162" t="s">
        <v>496</v>
      </c>
      <c r="K86" s="162" t="s">
        <v>496</v>
      </c>
    </row>
    <row r="87" spans="1:11">
      <c r="A87" s="161" t="s">
        <v>503</v>
      </c>
      <c r="B87" s="162" t="s">
        <v>504</v>
      </c>
      <c r="C87" s="162" t="s">
        <v>856</v>
      </c>
      <c r="D87" s="161" t="s">
        <v>751</v>
      </c>
      <c r="E87" s="161" t="s">
        <v>752</v>
      </c>
      <c r="F87" s="165">
        <v>1545</v>
      </c>
      <c r="G87" s="164">
        <v>1000</v>
      </c>
      <c r="H87" s="161" t="s">
        <v>753</v>
      </c>
      <c r="I87" s="162" t="s">
        <v>496</v>
      </c>
      <c r="J87" s="162" t="s">
        <v>496</v>
      </c>
      <c r="K87" s="162" t="s">
        <v>496</v>
      </c>
    </row>
    <row r="88" spans="1:11">
      <c r="A88" s="161" t="s">
        <v>823</v>
      </c>
      <c r="B88" s="162" t="s">
        <v>898</v>
      </c>
      <c r="C88" s="162" t="s">
        <v>856</v>
      </c>
      <c r="D88" s="161" t="s">
        <v>751</v>
      </c>
      <c r="E88" s="161" t="s">
        <v>752</v>
      </c>
      <c r="F88" s="165">
        <v>1545</v>
      </c>
      <c r="G88" s="164">
        <v>1000</v>
      </c>
      <c r="H88" s="161" t="s">
        <v>753</v>
      </c>
      <c r="I88" s="162" t="s">
        <v>1254</v>
      </c>
      <c r="J88" s="162" t="s">
        <v>857</v>
      </c>
      <c r="K88" s="162" t="s">
        <v>857</v>
      </c>
    </row>
    <row r="89" spans="1:11">
      <c r="A89" s="161" t="s">
        <v>824</v>
      </c>
      <c r="B89" s="162" t="s">
        <v>899</v>
      </c>
      <c r="C89" s="162" t="s">
        <v>856</v>
      </c>
      <c r="D89" s="161" t="s">
        <v>751</v>
      </c>
      <c r="E89" s="161" t="s">
        <v>752</v>
      </c>
      <c r="F89" s="165">
        <v>1545</v>
      </c>
      <c r="G89" s="164">
        <v>1000</v>
      </c>
      <c r="H89" s="161" t="s">
        <v>753</v>
      </c>
      <c r="I89" s="162" t="s">
        <v>1254</v>
      </c>
      <c r="J89" s="162" t="s">
        <v>857</v>
      </c>
      <c r="K89" s="162" t="s">
        <v>857</v>
      </c>
    </row>
    <row r="90" spans="1:11">
      <c r="A90" s="161" t="s">
        <v>505</v>
      </c>
      <c r="B90" s="162" t="s">
        <v>506</v>
      </c>
      <c r="C90" s="162" t="s">
        <v>856</v>
      </c>
      <c r="D90" s="161" t="s">
        <v>751</v>
      </c>
      <c r="E90" s="161" t="s">
        <v>752</v>
      </c>
      <c r="F90" s="165">
        <v>1545</v>
      </c>
      <c r="G90" s="164">
        <v>1000</v>
      </c>
      <c r="H90" s="161" t="s">
        <v>753</v>
      </c>
      <c r="I90" s="162" t="s">
        <v>496</v>
      </c>
      <c r="J90" s="162" t="s">
        <v>496</v>
      </c>
      <c r="K90" s="162" t="s">
        <v>496</v>
      </c>
    </row>
    <row r="91" spans="1:11">
      <c r="A91" s="161" t="s">
        <v>1018</v>
      </c>
      <c r="B91" s="162" t="s">
        <v>1019</v>
      </c>
      <c r="C91" s="162" t="s">
        <v>856</v>
      </c>
      <c r="D91" s="161" t="s">
        <v>751</v>
      </c>
      <c r="E91" s="161" t="s">
        <v>752</v>
      </c>
      <c r="F91" s="165">
        <v>1545</v>
      </c>
      <c r="G91" s="164">
        <v>1000</v>
      </c>
      <c r="H91" s="161" t="s">
        <v>753</v>
      </c>
      <c r="I91" s="162" t="s">
        <v>986</v>
      </c>
      <c r="J91" s="162" t="s">
        <v>987</v>
      </c>
      <c r="K91" s="162" t="s">
        <v>987</v>
      </c>
    </row>
    <row r="92" spans="1:11">
      <c r="A92" s="161" t="s">
        <v>1020</v>
      </c>
      <c r="B92" s="162" t="s">
        <v>1021</v>
      </c>
      <c r="C92" s="162" t="s">
        <v>856</v>
      </c>
      <c r="D92" s="161" t="s">
        <v>751</v>
      </c>
      <c r="E92" s="161" t="s">
        <v>752</v>
      </c>
      <c r="F92" s="165">
        <v>1545</v>
      </c>
      <c r="G92" s="164">
        <v>1000</v>
      </c>
      <c r="H92" s="161" t="s">
        <v>753</v>
      </c>
      <c r="I92" s="162" t="s">
        <v>986</v>
      </c>
      <c r="J92" s="162" t="s">
        <v>987</v>
      </c>
      <c r="K92" s="162" t="s">
        <v>987</v>
      </c>
    </row>
    <row r="93" spans="1:11">
      <c r="A93" s="161" t="s">
        <v>394</v>
      </c>
      <c r="B93" s="162" t="s">
        <v>395</v>
      </c>
      <c r="C93" s="162" t="s">
        <v>856</v>
      </c>
      <c r="D93" s="161" t="s">
        <v>751</v>
      </c>
      <c r="E93" s="161" t="s">
        <v>752</v>
      </c>
      <c r="F93" s="165">
        <v>1210</v>
      </c>
      <c r="G93" s="164">
        <v>1000</v>
      </c>
      <c r="H93" s="161" t="s">
        <v>753</v>
      </c>
      <c r="I93" s="162" t="s">
        <v>986</v>
      </c>
      <c r="J93" s="162" t="s">
        <v>987</v>
      </c>
      <c r="K93" s="162" t="s">
        <v>987</v>
      </c>
    </row>
    <row r="94" spans="1:11">
      <c r="A94" s="161" t="s">
        <v>396</v>
      </c>
      <c r="B94" s="162" t="s">
        <v>397</v>
      </c>
      <c r="C94" s="162" t="s">
        <v>856</v>
      </c>
      <c r="D94" s="161" t="s">
        <v>751</v>
      </c>
      <c r="E94" s="161" t="s">
        <v>752</v>
      </c>
      <c r="F94" s="165">
        <v>1210</v>
      </c>
      <c r="G94" s="164">
        <v>1000</v>
      </c>
      <c r="H94" s="161" t="s">
        <v>753</v>
      </c>
      <c r="I94" s="162" t="s">
        <v>986</v>
      </c>
      <c r="J94" s="162" t="s">
        <v>987</v>
      </c>
      <c r="K94" s="162" t="s">
        <v>987</v>
      </c>
    </row>
    <row r="95" spans="1:11">
      <c r="A95" s="161" t="s">
        <v>398</v>
      </c>
      <c r="B95" s="162" t="s">
        <v>399</v>
      </c>
      <c r="C95" s="162" t="s">
        <v>856</v>
      </c>
      <c r="D95" s="161" t="s">
        <v>751</v>
      </c>
      <c r="E95" s="161" t="s">
        <v>752</v>
      </c>
      <c r="F95" s="165">
        <v>1545</v>
      </c>
      <c r="G95" s="164">
        <v>1000</v>
      </c>
      <c r="H95" s="161" t="s">
        <v>753</v>
      </c>
      <c r="I95" s="162" t="s">
        <v>986</v>
      </c>
      <c r="J95" s="162" t="s">
        <v>987</v>
      </c>
      <c r="K95" s="162" t="s">
        <v>987</v>
      </c>
    </row>
    <row r="96" spans="1:11">
      <c r="A96" s="161" t="s">
        <v>825</v>
      </c>
      <c r="B96" s="162" t="s">
        <v>31</v>
      </c>
      <c r="C96" s="162" t="s">
        <v>32</v>
      </c>
      <c r="D96" s="161" t="s">
        <v>751</v>
      </c>
      <c r="E96" s="161" t="s">
        <v>752</v>
      </c>
      <c r="F96" s="165">
        <v>520</v>
      </c>
      <c r="G96" s="164">
        <v>1000</v>
      </c>
      <c r="H96" s="161" t="s">
        <v>753</v>
      </c>
      <c r="I96" s="162" t="s">
        <v>1254</v>
      </c>
      <c r="J96" s="162" t="s">
        <v>1271</v>
      </c>
      <c r="K96" s="162" t="s">
        <v>1272</v>
      </c>
    </row>
    <row r="97" spans="1:11">
      <c r="A97" s="161" t="s">
        <v>1138</v>
      </c>
      <c r="B97" s="162" t="s">
        <v>33</v>
      </c>
      <c r="C97" s="162" t="s">
        <v>32</v>
      </c>
      <c r="D97" s="161" t="s">
        <v>751</v>
      </c>
      <c r="E97" s="161" t="s">
        <v>752</v>
      </c>
      <c r="F97" s="165">
        <v>370</v>
      </c>
      <c r="G97" s="164">
        <v>1000</v>
      </c>
      <c r="H97" s="161" t="s">
        <v>753</v>
      </c>
      <c r="I97" s="162" t="s">
        <v>1254</v>
      </c>
      <c r="J97" s="162" t="s">
        <v>1271</v>
      </c>
      <c r="K97" s="162" t="s">
        <v>1272</v>
      </c>
    </row>
    <row r="98" spans="1:11">
      <c r="A98" s="161" t="s">
        <v>1139</v>
      </c>
      <c r="B98" s="162" t="s">
        <v>34</v>
      </c>
      <c r="C98" s="162" t="s">
        <v>32</v>
      </c>
      <c r="D98" s="161" t="s">
        <v>751</v>
      </c>
      <c r="E98" s="161" t="s">
        <v>752</v>
      </c>
      <c r="F98" s="165">
        <v>433</v>
      </c>
      <c r="G98" s="164">
        <v>1000</v>
      </c>
      <c r="H98" s="161" t="s">
        <v>753</v>
      </c>
      <c r="I98" s="162" t="s">
        <v>1254</v>
      </c>
      <c r="J98" s="162" t="s">
        <v>1271</v>
      </c>
      <c r="K98" s="162" t="s">
        <v>1272</v>
      </c>
    </row>
    <row r="99" spans="1:11">
      <c r="A99" s="161" t="s">
        <v>1140</v>
      </c>
      <c r="B99" s="162" t="s">
        <v>900</v>
      </c>
      <c r="C99" s="162" t="s">
        <v>856</v>
      </c>
      <c r="D99" s="161" t="s">
        <v>751</v>
      </c>
      <c r="E99" s="161" t="s">
        <v>752</v>
      </c>
      <c r="F99" s="165">
        <v>454.9</v>
      </c>
      <c r="G99" s="164">
        <v>1000</v>
      </c>
      <c r="H99" s="161" t="s">
        <v>753</v>
      </c>
      <c r="I99" s="162" t="s">
        <v>1254</v>
      </c>
      <c r="J99" s="162" t="s">
        <v>1269</v>
      </c>
      <c r="K99" s="162" t="s">
        <v>1269</v>
      </c>
    </row>
    <row r="100" spans="1:11">
      <c r="A100" s="161" t="s">
        <v>1141</v>
      </c>
      <c r="B100" s="162" t="s">
        <v>901</v>
      </c>
      <c r="C100" s="162" t="s">
        <v>856</v>
      </c>
      <c r="D100" s="161" t="s">
        <v>751</v>
      </c>
      <c r="E100" s="161" t="s">
        <v>752</v>
      </c>
      <c r="F100" s="165">
        <v>454.9</v>
      </c>
      <c r="G100" s="164">
        <v>1000</v>
      </c>
      <c r="H100" s="161" t="s">
        <v>753</v>
      </c>
      <c r="I100" s="162" t="s">
        <v>1254</v>
      </c>
      <c r="J100" s="162" t="s">
        <v>1269</v>
      </c>
      <c r="K100" s="162" t="s">
        <v>1269</v>
      </c>
    </row>
    <row r="101" spans="1:11">
      <c r="A101" s="161" t="s">
        <v>1142</v>
      </c>
      <c r="B101" s="162" t="s">
        <v>902</v>
      </c>
      <c r="C101" s="162" t="s">
        <v>856</v>
      </c>
      <c r="D101" s="161" t="s">
        <v>751</v>
      </c>
      <c r="E101" s="161" t="s">
        <v>752</v>
      </c>
      <c r="F101" s="165">
        <v>454.9</v>
      </c>
      <c r="G101" s="164">
        <v>1000</v>
      </c>
      <c r="H101" s="161" t="s">
        <v>753</v>
      </c>
      <c r="I101" s="162" t="s">
        <v>1254</v>
      </c>
      <c r="J101" s="162" t="s">
        <v>1269</v>
      </c>
      <c r="K101" s="162" t="s">
        <v>1269</v>
      </c>
    </row>
    <row r="102" spans="1:11">
      <c r="A102" s="161" t="s">
        <v>507</v>
      </c>
      <c r="B102" s="162" t="s">
        <v>508</v>
      </c>
      <c r="C102" s="162" t="s">
        <v>856</v>
      </c>
      <c r="D102" s="161" t="s">
        <v>751</v>
      </c>
      <c r="E102" s="161" t="s">
        <v>752</v>
      </c>
      <c r="F102" s="165">
        <v>600</v>
      </c>
      <c r="G102" s="164">
        <v>1000</v>
      </c>
      <c r="H102" s="161" t="s">
        <v>753</v>
      </c>
      <c r="I102" s="162" t="s">
        <v>1254</v>
      </c>
      <c r="J102" s="162" t="s">
        <v>1269</v>
      </c>
      <c r="K102" s="162" t="s">
        <v>1269</v>
      </c>
    </row>
    <row r="103" spans="1:11">
      <c r="A103" s="161" t="s">
        <v>400</v>
      </c>
      <c r="B103" s="162" t="s">
        <v>401</v>
      </c>
      <c r="C103" s="162" t="s">
        <v>856</v>
      </c>
      <c r="D103" s="161" t="s">
        <v>751</v>
      </c>
      <c r="E103" s="161" t="s">
        <v>752</v>
      </c>
      <c r="F103" s="165">
        <v>1210</v>
      </c>
      <c r="G103" s="164">
        <v>1000</v>
      </c>
      <c r="H103" s="161" t="s">
        <v>753</v>
      </c>
      <c r="I103" s="162" t="s">
        <v>986</v>
      </c>
      <c r="J103" s="162" t="s">
        <v>987</v>
      </c>
      <c r="K103" s="162" t="s">
        <v>987</v>
      </c>
    </row>
    <row r="104" spans="1:11">
      <c r="A104" s="161" t="s">
        <v>402</v>
      </c>
      <c r="B104" s="162" t="s">
        <v>403</v>
      </c>
      <c r="C104" s="162" t="s">
        <v>856</v>
      </c>
      <c r="D104" s="161" t="s">
        <v>751</v>
      </c>
      <c r="E104" s="161" t="s">
        <v>752</v>
      </c>
      <c r="F104" s="165">
        <v>1615</v>
      </c>
      <c r="G104" s="164">
        <v>1000</v>
      </c>
      <c r="H104" s="161" t="s">
        <v>753</v>
      </c>
      <c r="I104" s="162" t="s">
        <v>986</v>
      </c>
      <c r="J104" s="162" t="s">
        <v>987</v>
      </c>
      <c r="K104" s="162" t="s">
        <v>987</v>
      </c>
    </row>
    <row r="105" spans="1:11">
      <c r="A105" s="161" t="s">
        <v>404</v>
      </c>
      <c r="B105" s="162" t="s">
        <v>405</v>
      </c>
      <c r="C105" s="162" t="s">
        <v>856</v>
      </c>
      <c r="D105" s="161" t="s">
        <v>751</v>
      </c>
      <c r="E105" s="161" t="s">
        <v>752</v>
      </c>
      <c r="F105" s="165">
        <v>1605</v>
      </c>
      <c r="G105" s="164">
        <v>1000</v>
      </c>
      <c r="H105" s="161" t="s">
        <v>753</v>
      </c>
      <c r="I105" s="162" t="s">
        <v>986</v>
      </c>
      <c r="J105" s="162" t="s">
        <v>987</v>
      </c>
      <c r="K105" s="162" t="s">
        <v>987</v>
      </c>
    </row>
    <row r="106" spans="1:11">
      <c r="A106" s="161" t="s">
        <v>509</v>
      </c>
      <c r="B106" s="162" t="s">
        <v>510</v>
      </c>
      <c r="C106" s="162" t="s">
        <v>856</v>
      </c>
      <c r="D106" s="161" t="s">
        <v>751</v>
      </c>
      <c r="E106" s="161" t="s">
        <v>752</v>
      </c>
      <c r="F106" s="165">
        <v>1495</v>
      </c>
      <c r="G106" s="164">
        <v>1</v>
      </c>
      <c r="H106" s="161" t="s">
        <v>752</v>
      </c>
      <c r="I106" s="162" t="s">
        <v>987</v>
      </c>
      <c r="J106" s="162" t="s">
        <v>987</v>
      </c>
      <c r="K106" s="162" t="s">
        <v>987</v>
      </c>
    </row>
    <row r="107" spans="1:11">
      <c r="A107" s="161" t="s">
        <v>511</v>
      </c>
      <c r="B107" s="162" t="s">
        <v>512</v>
      </c>
      <c r="C107" s="162" t="s">
        <v>513</v>
      </c>
      <c r="D107" s="161" t="s">
        <v>514</v>
      </c>
      <c r="E107" s="161" t="s">
        <v>752</v>
      </c>
      <c r="F107" s="165">
        <v>46360</v>
      </c>
      <c r="G107" s="164">
        <v>1000</v>
      </c>
      <c r="H107" s="161" t="s">
        <v>753</v>
      </c>
      <c r="I107" s="162" t="s">
        <v>460</v>
      </c>
      <c r="J107" s="162" t="s">
        <v>515</v>
      </c>
      <c r="K107" s="162" t="s">
        <v>515</v>
      </c>
    </row>
    <row r="108" spans="1:11">
      <c r="A108" s="161" t="s">
        <v>516</v>
      </c>
      <c r="B108" s="162" t="s">
        <v>517</v>
      </c>
      <c r="C108" s="162" t="s">
        <v>513</v>
      </c>
      <c r="D108" s="161" t="s">
        <v>514</v>
      </c>
      <c r="E108" s="161" t="s">
        <v>752</v>
      </c>
      <c r="F108" s="165">
        <v>46360</v>
      </c>
      <c r="G108" s="164">
        <v>1000</v>
      </c>
      <c r="H108" s="161" t="s">
        <v>753</v>
      </c>
      <c r="I108" s="162" t="s">
        <v>460</v>
      </c>
      <c r="J108" s="162" t="s">
        <v>515</v>
      </c>
      <c r="K108" s="162" t="s">
        <v>515</v>
      </c>
    </row>
    <row r="109" spans="1:11">
      <c r="A109" s="161" t="s">
        <v>518</v>
      </c>
      <c r="B109" s="162" t="s">
        <v>519</v>
      </c>
      <c r="C109" s="162" t="s">
        <v>520</v>
      </c>
      <c r="D109" s="161" t="s">
        <v>514</v>
      </c>
      <c r="E109" s="161" t="s">
        <v>752</v>
      </c>
      <c r="F109" s="165">
        <v>4025</v>
      </c>
      <c r="G109" s="164">
        <v>1000</v>
      </c>
      <c r="H109" s="161" t="s">
        <v>753</v>
      </c>
      <c r="I109" s="162" t="s">
        <v>460</v>
      </c>
      <c r="J109" s="162" t="s">
        <v>515</v>
      </c>
      <c r="K109" s="162" t="s">
        <v>515</v>
      </c>
    </row>
    <row r="110" spans="1:11">
      <c r="A110" s="161" t="s">
        <v>521</v>
      </c>
      <c r="B110" s="162" t="s">
        <v>522</v>
      </c>
      <c r="C110" s="162" t="s">
        <v>523</v>
      </c>
      <c r="D110" s="161" t="s">
        <v>514</v>
      </c>
      <c r="E110" s="161" t="s">
        <v>752</v>
      </c>
      <c r="F110" s="165">
        <v>4000</v>
      </c>
      <c r="G110" s="164">
        <v>1000</v>
      </c>
      <c r="H110" s="161" t="s">
        <v>753</v>
      </c>
      <c r="I110" s="162" t="s">
        <v>460</v>
      </c>
      <c r="J110" s="162" t="s">
        <v>515</v>
      </c>
      <c r="K110" s="162" t="s">
        <v>515</v>
      </c>
    </row>
    <row r="111" spans="1:11">
      <c r="A111" s="161" t="s">
        <v>524</v>
      </c>
      <c r="B111" s="162" t="s">
        <v>1278</v>
      </c>
      <c r="C111" s="162" t="s">
        <v>523</v>
      </c>
      <c r="D111" s="161" t="s">
        <v>514</v>
      </c>
      <c r="E111" s="161" t="s">
        <v>752</v>
      </c>
      <c r="F111" s="165">
        <v>0</v>
      </c>
      <c r="G111" s="164">
        <v>1000</v>
      </c>
      <c r="H111" s="161" t="s">
        <v>753</v>
      </c>
      <c r="I111" s="162" t="s">
        <v>460</v>
      </c>
      <c r="J111" s="162" t="s">
        <v>515</v>
      </c>
      <c r="K111" s="162" t="s">
        <v>515</v>
      </c>
    </row>
    <row r="112" spans="1:11">
      <c r="A112" s="161" t="s">
        <v>1145</v>
      </c>
      <c r="B112" s="162" t="s">
        <v>53</v>
      </c>
      <c r="C112" s="162" t="s">
        <v>46</v>
      </c>
      <c r="D112" s="161" t="s">
        <v>751</v>
      </c>
      <c r="E112" s="161" t="s">
        <v>752</v>
      </c>
      <c r="F112" s="165">
        <v>475</v>
      </c>
      <c r="G112" s="164">
        <v>1000</v>
      </c>
      <c r="H112" s="161" t="s">
        <v>753</v>
      </c>
      <c r="I112" s="162" t="s">
        <v>1254</v>
      </c>
      <c r="J112" s="162" t="s">
        <v>1271</v>
      </c>
      <c r="K112" s="162" t="s">
        <v>1272</v>
      </c>
    </row>
    <row r="113" spans="1:11">
      <c r="A113" s="161" t="s">
        <v>1146</v>
      </c>
      <c r="B113" s="162" t="s">
        <v>1270</v>
      </c>
      <c r="C113" s="162" t="s">
        <v>1273</v>
      </c>
      <c r="D113" s="161" t="s">
        <v>751</v>
      </c>
      <c r="E113" s="161" t="s">
        <v>752</v>
      </c>
      <c r="F113" s="165">
        <v>425</v>
      </c>
      <c r="G113" s="164">
        <v>1000</v>
      </c>
      <c r="H113" s="161" t="s">
        <v>753</v>
      </c>
      <c r="I113" s="162" t="s">
        <v>1254</v>
      </c>
      <c r="J113" s="162" t="s">
        <v>1271</v>
      </c>
      <c r="K113" s="162" t="s">
        <v>1272</v>
      </c>
    </row>
    <row r="114" spans="1:11">
      <c r="A114" s="161" t="s">
        <v>1147</v>
      </c>
      <c r="B114" s="162" t="s">
        <v>1274</v>
      </c>
      <c r="C114" s="162" t="s">
        <v>1273</v>
      </c>
      <c r="D114" s="161" t="s">
        <v>751</v>
      </c>
      <c r="E114" s="161" t="s">
        <v>752</v>
      </c>
      <c r="F114" s="165">
        <v>495</v>
      </c>
      <c r="G114" s="164">
        <v>1000</v>
      </c>
      <c r="H114" s="161" t="s">
        <v>753</v>
      </c>
      <c r="I114" s="162" t="s">
        <v>1254</v>
      </c>
      <c r="J114" s="162" t="s">
        <v>1271</v>
      </c>
      <c r="K114" s="162" t="s">
        <v>1272</v>
      </c>
    </row>
    <row r="115" spans="1:11">
      <c r="A115" s="161" t="s">
        <v>1148</v>
      </c>
      <c r="B115" s="162" t="s">
        <v>1275</v>
      </c>
      <c r="C115" s="162" t="s">
        <v>1273</v>
      </c>
      <c r="D115" s="161" t="s">
        <v>751</v>
      </c>
      <c r="E115" s="161" t="s">
        <v>752</v>
      </c>
      <c r="F115" s="165">
        <v>425</v>
      </c>
      <c r="G115" s="164">
        <v>1000</v>
      </c>
      <c r="H115" s="161" t="s">
        <v>753</v>
      </c>
      <c r="I115" s="162" t="s">
        <v>1254</v>
      </c>
      <c r="J115" s="162" t="s">
        <v>1271</v>
      </c>
      <c r="K115" s="162" t="s">
        <v>1272</v>
      </c>
    </row>
    <row r="116" spans="1:11">
      <c r="A116" s="161" t="s">
        <v>1149</v>
      </c>
      <c r="B116" s="162" t="s">
        <v>903</v>
      </c>
      <c r="C116" s="162" t="s">
        <v>856</v>
      </c>
      <c r="D116" s="161" t="s">
        <v>751</v>
      </c>
      <c r="E116" s="161" t="s">
        <v>752</v>
      </c>
      <c r="F116" s="165">
        <v>567</v>
      </c>
      <c r="G116" s="164">
        <v>1000</v>
      </c>
      <c r="H116" s="161" t="s">
        <v>753</v>
      </c>
      <c r="I116" s="162" t="s">
        <v>1254</v>
      </c>
      <c r="J116" s="162" t="s">
        <v>1252</v>
      </c>
      <c r="K116" s="162" t="s">
        <v>1252</v>
      </c>
    </row>
    <row r="117" spans="1:11">
      <c r="A117" s="161" t="s">
        <v>1150</v>
      </c>
      <c r="B117" s="162" t="s">
        <v>904</v>
      </c>
      <c r="C117" s="162" t="s">
        <v>856</v>
      </c>
      <c r="D117" s="161" t="s">
        <v>751</v>
      </c>
      <c r="E117" s="161" t="s">
        <v>752</v>
      </c>
      <c r="F117" s="165">
        <v>572</v>
      </c>
      <c r="G117" s="164">
        <v>1000</v>
      </c>
      <c r="H117" s="161" t="s">
        <v>753</v>
      </c>
      <c r="I117" s="162" t="s">
        <v>1254</v>
      </c>
      <c r="J117" s="162" t="s">
        <v>1252</v>
      </c>
      <c r="K117" s="162" t="s">
        <v>1252</v>
      </c>
    </row>
    <row r="118" spans="1:11">
      <c r="A118" s="161" t="s">
        <v>1151</v>
      </c>
      <c r="B118" s="162" t="s">
        <v>905</v>
      </c>
      <c r="C118" s="162" t="s">
        <v>856</v>
      </c>
      <c r="D118" s="161" t="s">
        <v>751</v>
      </c>
      <c r="E118" s="161" t="s">
        <v>752</v>
      </c>
      <c r="F118" s="165">
        <v>567</v>
      </c>
      <c r="G118" s="164">
        <v>1000</v>
      </c>
      <c r="H118" s="161" t="s">
        <v>753</v>
      </c>
      <c r="I118" s="162" t="s">
        <v>1254</v>
      </c>
      <c r="J118" s="162" t="s">
        <v>1252</v>
      </c>
      <c r="K118" s="162" t="s">
        <v>1252</v>
      </c>
    </row>
    <row r="119" spans="1:11">
      <c r="A119" s="161" t="s">
        <v>1152</v>
      </c>
      <c r="B119" s="162" t="s">
        <v>113</v>
      </c>
      <c r="C119" s="162" t="s">
        <v>856</v>
      </c>
      <c r="D119" s="161" t="s">
        <v>751</v>
      </c>
      <c r="E119" s="161" t="s">
        <v>752</v>
      </c>
      <c r="F119" s="165">
        <v>677</v>
      </c>
      <c r="G119" s="164">
        <v>1000</v>
      </c>
      <c r="H119" s="161" t="s">
        <v>753</v>
      </c>
      <c r="I119" s="162" t="s">
        <v>1254</v>
      </c>
      <c r="J119" s="162" t="s">
        <v>1252</v>
      </c>
      <c r="K119" s="162" t="s">
        <v>1252</v>
      </c>
    </row>
    <row r="120" spans="1:11">
      <c r="A120" s="161" t="s">
        <v>1153</v>
      </c>
      <c r="B120" s="162" t="s">
        <v>907</v>
      </c>
      <c r="C120" s="162" t="s">
        <v>856</v>
      </c>
      <c r="D120" s="161" t="s">
        <v>751</v>
      </c>
      <c r="E120" s="161" t="s">
        <v>752</v>
      </c>
      <c r="F120" s="165">
        <v>657</v>
      </c>
      <c r="G120" s="164">
        <v>1000</v>
      </c>
      <c r="H120" s="161" t="s">
        <v>753</v>
      </c>
      <c r="I120" s="162" t="s">
        <v>1254</v>
      </c>
      <c r="J120" s="162" t="s">
        <v>1252</v>
      </c>
      <c r="K120" s="162" t="s">
        <v>1252</v>
      </c>
    </row>
    <row r="121" spans="1:11">
      <c r="A121" s="161" t="s">
        <v>1154</v>
      </c>
      <c r="B121" s="162" t="s">
        <v>114</v>
      </c>
      <c r="C121" s="162" t="s">
        <v>856</v>
      </c>
      <c r="D121" s="161" t="s">
        <v>751</v>
      </c>
      <c r="E121" s="161" t="s">
        <v>752</v>
      </c>
      <c r="F121" s="165">
        <v>697</v>
      </c>
      <c r="G121" s="164">
        <v>1000</v>
      </c>
      <c r="H121" s="161" t="s">
        <v>753</v>
      </c>
      <c r="I121" s="162" t="s">
        <v>1254</v>
      </c>
      <c r="J121" s="162" t="s">
        <v>1252</v>
      </c>
      <c r="K121" s="162" t="s">
        <v>1252</v>
      </c>
    </row>
    <row r="122" spans="1:11">
      <c r="A122" s="161" t="s">
        <v>1155</v>
      </c>
      <c r="B122" s="162" t="s">
        <v>909</v>
      </c>
      <c r="C122" s="162" t="s">
        <v>856</v>
      </c>
      <c r="D122" s="161" t="s">
        <v>751</v>
      </c>
      <c r="E122" s="161" t="s">
        <v>752</v>
      </c>
      <c r="F122" s="165">
        <v>697</v>
      </c>
      <c r="G122" s="164">
        <v>1000</v>
      </c>
      <c r="H122" s="161" t="s">
        <v>753</v>
      </c>
      <c r="I122" s="162" t="s">
        <v>1254</v>
      </c>
      <c r="J122" s="162" t="s">
        <v>1252</v>
      </c>
      <c r="K122" s="162" t="s">
        <v>1252</v>
      </c>
    </row>
    <row r="123" spans="1:11">
      <c r="A123" s="161" t="s">
        <v>1156</v>
      </c>
      <c r="B123" s="162" t="s">
        <v>1157</v>
      </c>
      <c r="C123" s="162" t="s">
        <v>856</v>
      </c>
      <c r="D123" s="161" t="s">
        <v>751</v>
      </c>
      <c r="E123" s="161" t="s">
        <v>752</v>
      </c>
      <c r="F123" s="165">
        <v>462</v>
      </c>
      <c r="G123" s="164">
        <v>1000</v>
      </c>
      <c r="H123" s="161" t="s">
        <v>753</v>
      </c>
      <c r="I123" s="162" t="s">
        <v>1254</v>
      </c>
      <c r="J123" s="162" t="s">
        <v>1252</v>
      </c>
      <c r="K123" s="162" t="s">
        <v>1252</v>
      </c>
    </row>
    <row r="124" spans="1:11">
      <c r="A124" s="161" t="s">
        <v>1158</v>
      </c>
      <c r="B124" s="162" t="s">
        <v>910</v>
      </c>
      <c r="C124" s="162" t="s">
        <v>856</v>
      </c>
      <c r="D124" s="161" t="s">
        <v>751</v>
      </c>
      <c r="E124" s="161" t="s">
        <v>752</v>
      </c>
      <c r="F124" s="165">
        <v>457</v>
      </c>
      <c r="G124" s="164">
        <v>1000</v>
      </c>
      <c r="H124" s="161" t="s">
        <v>753</v>
      </c>
      <c r="I124" s="162" t="s">
        <v>1254</v>
      </c>
      <c r="J124" s="162" t="s">
        <v>1252</v>
      </c>
      <c r="K124" s="162" t="s">
        <v>1252</v>
      </c>
    </row>
    <row r="125" spans="1:11">
      <c r="A125" s="161" t="s">
        <v>1159</v>
      </c>
      <c r="B125" s="162" t="s">
        <v>911</v>
      </c>
      <c r="C125" s="162" t="s">
        <v>856</v>
      </c>
      <c r="D125" s="161" t="s">
        <v>751</v>
      </c>
      <c r="E125" s="161" t="s">
        <v>752</v>
      </c>
      <c r="F125" s="165">
        <v>462</v>
      </c>
      <c r="G125" s="164">
        <v>1000</v>
      </c>
      <c r="H125" s="161" t="s">
        <v>753</v>
      </c>
      <c r="I125" s="162" t="s">
        <v>1254</v>
      </c>
      <c r="J125" s="162" t="s">
        <v>1252</v>
      </c>
      <c r="K125" s="162" t="s">
        <v>1252</v>
      </c>
    </row>
    <row r="126" spans="1:11">
      <c r="A126" s="161" t="s">
        <v>1160</v>
      </c>
      <c r="B126" s="162" t="s">
        <v>912</v>
      </c>
      <c r="C126" s="162" t="s">
        <v>856</v>
      </c>
      <c r="D126" s="161" t="s">
        <v>751</v>
      </c>
      <c r="E126" s="161" t="s">
        <v>752</v>
      </c>
      <c r="F126" s="165">
        <v>457</v>
      </c>
      <c r="G126" s="164">
        <v>1000</v>
      </c>
      <c r="H126" s="161" t="s">
        <v>753</v>
      </c>
      <c r="I126" s="162" t="s">
        <v>1254</v>
      </c>
      <c r="J126" s="162" t="s">
        <v>1252</v>
      </c>
      <c r="K126" s="162" t="s">
        <v>1252</v>
      </c>
    </row>
    <row r="127" spans="1:11">
      <c r="A127" s="161" t="s">
        <v>1161</v>
      </c>
      <c r="B127" s="162" t="s">
        <v>913</v>
      </c>
      <c r="C127" s="162" t="s">
        <v>856</v>
      </c>
      <c r="D127" s="161" t="s">
        <v>751</v>
      </c>
      <c r="E127" s="161" t="s">
        <v>752</v>
      </c>
      <c r="F127" s="165">
        <v>462</v>
      </c>
      <c r="G127" s="164">
        <v>1000</v>
      </c>
      <c r="H127" s="161" t="s">
        <v>753</v>
      </c>
      <c r="I127" s="162" t="s">
        <v>1254</v>
      </c>
      <c r="J127" s="162" t="s">
        <v>1252</v>
      </c>
      <c r="K127" s="162" t="s">
        <v>1252</v>
      </c>
    </row>
    <row r="128" spans="1:11">
      <c r="A128" s="161" t="s">
        <v>1162</v>
      </c>
      <c r="B128" s="162" t="s">
        <v>914</v>
      </c>
      <c r="C128" s="162" t="s">
        <v>856</v>
      </c>
      <c r="D128" s="161" t="s">
        <v>751</v>
      </c>
      <c r="E128" s="161" t="s">
        <v>752</v>
      </c>
      <c r="F128" s="165">
        <v>457</v>
      </c>
      <c r="G128" s="164">
        <v>1000</v>
      </c>
      <c r="H128" s="161" t="s">
        <v>753</v>
      </c>
      <c r="I128" s="162" t="s">
        <v>1254</v>
      </c>
      <c r="J128" s="162" t="s">
        <v>1252</v>
      </c>
      <c r="K128" s="162" t="s">
        <v>1252</v>
      </c>
    </row>
    <row r="129" spans="1:11">
      <c r="A129" s="161" t="s">
        <v>1163</v>
      </c>
      <c r="B129" s="162" t="s">
        <v>915</v>
      </c>
      <c r="C129" s="162" t="s">
        <v>856</v>
      </c>
      <c r="D129" s="161" t="s">
        <v>751</v>
      </c>
      <c r="E129" s="161" t="s">
        <v>752</v>
      </c>
      <c r="F129" s="165">
        <v>462</v>
      </c>
      <c r="G129" s="164">
        <v>1000</v>
      </c>
      <c r="H129" s="161" t="s">
        <v>753</v>
      </c>
      <c r="I129" s="162" t="s">
        <v>1254</v>
      </c>
      <c r="J129" s="162" t="s">
        <v>1252</v>
      </c>
      <c r="K129" s="162" t="s">
        <v>1252</v>
      </c>
    </row>
    <row r="130" spans="1:11">
      <c r="A130" s="161" t="s">
        <v>1164</v>
      </c>
      <c r="B130" s="162" t="s">
        <v>916</v>
      </c>
      <c r="C130" s="162" t="s">
        <v>856</v>
      </c>
      <c r="D130" s="161" t="s">
        <v>751</v>
      </c>
      <c r="E130" s="161" t="s">
        <v>752</v>
      </c>
      <c r="F130" s="165">
        <v>457</v>
      </c>
      <c r="G130" s="164">
        <v>1000</v>
      </c>
      <c r="H130" s="161" t="s">
        <v>753</v>
      </c>
      <c r="I130" s="162" t="s">
        <v>1254</v>
      </c>
      <c r="J130" s="162" t="s">
        <v>1252</v>
      </c>
      <c r="K130" s="162" t="s">
        <v>1252</v>
      </c>
    </row>
    <row r="131" spans="1:11">
      <c r="A131" s="161" t="s">
        <v>1165</v>
      </c>
      <c r="B131" s="162" t="s">
        <v>917</v>
      </c>
      <c r="C131" s="162" t="s">
        <v>856</v>
      </c>
      <c r="D131" s="161" t="s">
        <v>751</v>
      </c>
      <c r="E131" s="161" t="s">
        <v>752</v>
      </c>
      <c r="F131" s="165">
        <v>457</v>
      </c>
      <c r="G131" s="164">
        <v>1000</v>
      </c>
      <c r="H131" s="161" t="s">
        <v>753</v>
      </c>
      <c r="I131" s="162" t="s">
        <v>1254</v>
      </c>
      <c r="J131" s="162" t="s">
        <v>1252</v>
      </c>
      <c r="K131" s="162" t="s">
        <v>1252</v>
      </c>
    </row>
    <row r="132" spans="1:11">
      <c r="A132" s="161" t="s">
        <v>1166</v>
      </c>
      <c r="B132" s="162" t="s">
        <v>918</v>
      </c>
      <c r="C132" s="162" t="s">
        <v>856</v>
      </c>
      <c r="D132" s="161" t="s">
        <v>751</v>
      </c>
      <c r="E132" s="161" t="s">
        <v>752</v>
      </c>
      <c r="F132" s="165">
        <v>457</v>
      </c>
      <c r="G132" s="164">
        <v>1000</v>
      </c>
      <c r="H132" s="161" t="s">
        <v>753</v>
      </c>
      <c r="I132" s="162" t="s">
        <v>1254</v>
      </c>
      <c r="J132" s="162" t="s">
        <v>1252</v>
      </c>
      <c r="K132" s="162" t="s">
        <v>1252</v>
      </c>
    </row>
    <row r="133" spans="1:11">
      <c r="A133" s="161" t="s">
        <v>1167</v>
      </c>
      <c r="B133" s="162" t="s">
        <v>919</v>
      </c>
      <c r="C133" s="162" t="s">
        <v>856</v>
      </c>
      <c r="D133" s="161" t="s">
        <v>751</v>
      </c>
      <c r="E133" s="161" t="s">
        <v>752</v>
      </c>
      <c r="F133" s="165">
        <v>682</v>
      </c>
      <c r="G133" s="164">
        <v>1000</v>
      </c>
      <c r="H133" s="161" t="s">
        <v>753</v>
      </c>
      <c r="I133" s="162" t="s">
        <v>1254</v>
      </c>
      <c r="J133" s="162" t="s">
        <v>1252</v>
      </c>
      <c r="K133" s="162" t="s">
        <v>1252</v>
      </c>
    </row>
    <row r="134" spans="1:11">
      <c r="A134" s="161" t="s">
        <v>1168</v>
      </c>
      <c r="B134" s="162" t="s">
        <v>920</v>
      </c>
      <c r="C134" s="162" t="s">
        <v>856</v>
      </c>
      <c r="D134" s="161" t="s">
        <v>751</v>
      </c>
      <c r="E134" s="161" t="s">
        <v>752</v>
      </c>
      <c r="F134" s="165">
        <v>662</v>
      </c>
      <c r="G134" s="164">
        <v>1000</v>
      </c>
      <c r="H134" s="161" t="s">
        <v>753</v>
      </c>
      <c r="I134" s="162" t="s">
        <v>1254</v>
      </c>
      <c r="J134" s="162" t="s">
        <v>1252</v>
      </c>
      <c r="K134" s="162" t="s">
        <v>1252</v>
      </c>
    </row>
    <row r="135" spans="1:11">
      <c r="A135" s="161" t="s">
        <v>1169</v>
      </c>
      <c r="B135" s="162" t="s">
        <v>921</v>
      </c>
      <c r="C135" s="162" t="s">
        <v>856</v>
      </c>
      <c r="D135" s="161" t="s">
        <v>751</v>
      </c>
      <c r="E135" s="161" t="s">
        <v>752</v>
      </c>
      <c r="F135" s="165">
        <v>702</v>
      </c>
      <c r="G135" s="164">
        <v>1000</v>
      </c>
      <c r="H135" s="161" t="s">
        <v>753</v>
      </c>
      <c r="I135" s="162" t="s">
        <v>1254</v>
      </c>
      <c r="J135" s="162" t="s">
        <v>1252</v>
      </c>
      <c r="K135" s="162" t="s">
        <v>1252</v>
      </c>
    </row>
    <row r="136" spans="1:11">
      <c r="A136" s="161" t="s">
        <v>1170</v>
      </c>
      <c r="B136" s="162" t="s">
        <v>922</v>
      </c>
      <c r="C136" s="162" t="s">
        <v>856</v>
      </c>
      <c r="D136" s="161" t="s">
        <v>751</v>
      </c>
      <c r="E136" s="161" t="s">
        <v>752</v>
      </c>
      <c r="F136" s="165">
        <v>592</v>
      </c>
      <c r="G136" s="164">
        <v>1000</v>
      </c>
      <c r="H136" s="161" t="s">
        <v>753</v>
      </c>
      <c r="I136" s="162" t="s">
        <v>1254</v>
      </c>
      <c r="J136" s="162" t="s">
        <v>1252</v>
      </c>
      <c r="K136" s="162" t="s">
        <v>1252</v>
      </c>
    </row>
    <row r="137" spans="1:11">
      <c r="A137" s="161" t="s">
        <v>1279</v>
      </c>
      <c r="B137" s="162" t="s">
        <v>1280</v>
      </c>
      <c r="C137" s="162" t="s">
        <v>1281</v>
      </c>
      <c r="D137" s="161" t="s">
        <v>493</v>
      </c>
      <c r="E137" s="161" t="s">
        <v>752</v>
      </c>
      <c r="F137" s="165">
        <v>50</v>
      </c>
      <c r="G137" s="164">
        <v>1000</v>
      </c>
      <c r="H137" s="161" t="s">
        <v>753</v>
      </c>
      <c r="I137" s="162" t="s">
        <v>485</v>
      </c>
      <c r="J137" s="162" t="s">
        <v>987</v>
      </c>
      <c r="K137" s="162" t="s">
        <v>987</v>
      </c>
    </row>
    <row r="138" spans="1:11">
      <c r="A138" s="161" t="s">
        <v>1171</v>
      </c>
      <c r="B138" s="162" t="s">
        <v>923</v>
      </c>
      <c r="C138" s="162" t="s">
        <v>856</v>
      </c>
      <c r="D138" s="161" t="s">
        <v>751</v>
      </c>
      <c r="E138" s="161" t="s">
        <v>752</v>
      </c>
      <c r="F138" s="165">
        <v>314.89999999999998</v>
      </c>
      <c r="G138" s="164">
        <v>1000</v>
      </c>
      <c r="H138" s="161" t="s">
        <v>753</v>
      </c>
      <c r="I138" s="162" t="s">
        <v>1254</v>
      </c>
      <c r="J138" s="162" t="s">
        <v>1252</v>
      </c>
      <c r="K138" s="162" t="s">
        <v>1252</v>
      </c>
    </row>
    <row r="139" spans="1:11">
      <c r="A139" s="161" t="s">
        <v>1172</v>
      </c>
      <c r="B139" s="162" t="s">
        <v>924</v>
      </c>
      <c r="C139" s="162" t="s">
        <v>856</v>
      </c>
      <c r="D139" s="161" t="s">
        <v>751</v>
      </c>
      <c r="E139" s="161" t="s">
        <v>752</v>
      </c>
      <c r="F139" s="165">
        <v>314.89999999999998</v>
      </c>
      <c r="G139" s="164">
        <v>1000</v>
      </c>
      <c r="H139" s="161" t="s">
        <v>753</v>
      </c>
      <c r="I139" s="162" t="s">
        <v>1254</v>
      </c>
      <c r="J139" s="162" t="s">
        <v>1252</v>
      </c>
      <c r="K139" s="162" t="s">
        <v>1252</v>
      </c>
    </row>
    <row r="140" spans="1:11">
      <c r="A140" s="161" t="s">
        <v>1173</v>
      </c>
      <c r="B140" s="162" t="s">
        <v>925</v>
      </c>
      <c r="C140" s="162" t="s">
        <v>856</v>
      </c>
      <c r="D140" s="161" t="s">
        <v>751</v>
      </c>
      <c r="E140" s="161" t="s">
        <v>752</v>
      </c>
      <c r="F140" s="165">
        <v>319.89999999999998</v>
      </c>
      <c r="G140" s="164">
        <v>1000</v>
      </c>
      <c r="H140" s="161" t="s">
        <v>753</v>
      </c>
      <c r="I140" s="162" t="s">
        <v>1254</v>
      </c>
      <c r="J140" s="162" t="s">
        <v>1252</v>
      </c>
      <c r="K140" s="162" t="s">
        <v>1252</v>
      </c>
    </row>
    <row r="141" spans="1:11">
      <c r="A141" s="161" t="s">
        <v>1176</v>
      </c>
      <c r="B141" s="162" t="s">
        <v>926</v>
      </c>
      <c r="C141" s="162" t="s">
        <v>856</v>
      </c>
      <c r="D141" s="161" t="s">
        <v>751</v>
      </c>
      <c r="E141" s="161" t="s">
        <v>752</v>
      </c>
      <c r="F141" s="165">
        <v>319.89999999999998</v>
      </c>
      <c r="G141" s="164">
        <v>1000</v>
      </c>
      <c r="H141" s="161" t="s">
        <v>753</v>
      </c>
      <c r="I141" s="162" t="s">
        <v>1254</v>
      </c>
      <c r="J141" s="162" t="s">
        <v>1252</v>
      </c>
      <c r="K141" s="162" t="s">
        <v>1252</v>
      </c>
    </row>
    <row r="142" spans="1:11">
      <c r="A142" s="161" t="s">
        <v>1174</v>
      </c>
      <c r="B142" s="162" t="s">
        <v>927</v>
      </c>
      <c r="C142" s="162" t="s">
        <v>856</v>
      </c>
      <c r="D142" s="161" t="s">
        <v>751</v>
      </c>
      <c r="E142" s="161" t="s">
        <v>752</v>
      </c>
      <c r="F142" s="165">
        <v>314.89999999999998</v>
      </c>
      <c r="G142" s="164">
        <v>1000</v>
      </c>
      <c r="H142" s="161" t="s">
        <v>753</v>
      </c>
      <c r="I142" s="162" t="s">
        <v>1254</v>
      </c>
      <c r="J142" s="162" t="s">
        <v>1252</v>
      </c>
      <c r="K142" s="162" t="s">
        <v>1252</v>
      </c>
    </row>
    <row r="143" spans="1:11">
      <c r="A143" s="161" t="s">
        <v>1175</v>
      </c>
      <c r="B143" s="162" t="s">
        <v>928</v>
      </c>
      <c r="C143" s="162" t="s">
        <v>856</v>
      </c>
      <c r="D143" s="161" t="s">
        <v>751</v>
      </c>
      <c r="E143" s="161" t="s">
        <v>752</v>
      </c>
      <c r="F143" s="165">
        <v>314.89999999999998</v>
      </c>
      <c r="G143" s="164">
        <v>1000</v>
      </c>
      <c r="H143" s="161" t="s">
        <v>753</v>
      </c>
      <c r="I143" s="162" t="s">
        <v>1254</v>
      </c>
      <c r="J143" s="162" t="s">
        <v>1252</v>
      </c>
      <c r="K143" s="162" t="s">
        <v>1252</v>
      </c>
    </row>
    <row r="144" spans="1:11">
      <c r="A144" s="161" t="s">
        <v>1177</v>
      </c>
      <c r="B144" s="162" t="s">
        <v>929</v>
      </c>
      <c r="C144" s="162" t="s">
        <v>856</v>
      </c>
      <c r="D144" s="161" t="s">
        <v>751</v>
      </c>
      <c r="E144" s="161" t="s">
        <v>752</v>
      </c>
      <c r="F144" s="165">
        <v>431.9</v>
      </c>
      <c r="G144" s="164">
        <v>1000</v>
      </c>
      <c r="H144" s="161" t="s">
        <v>753</v>
      </c>
      <c r="I144" s="162" t="s">
        <v>1254</v>
      </c>
      <c r="J144" s="162" t="s">
        <v>1252</v>
      </c>
      <c r="K144" s="162" t="s">
        <v>1252</v>
      </c>
    </row>
    <row r="145" spans="1:11">
      <c r="A145" s="161" t="s">
        <v>1178</v>
      </c>
      <c r="B145" s="162" t="s">
        <v>930</v>
      </c>
      <c r="C145" s="162" t="s">
        <v>856</v>
      </c>
      <c r="D145" s="161" t="s">
        <v>751</v>
      </c>
      <c r="E145" s="161" t="s">
        <v>752</v>
      </c>
      <c r="F145" s="165">
        <v>441.9</v>
      </c>
      <c r="G145" s="164">
        <v>1000</v>
      </c>
      <c r="H145" s="161" t="s">
        <v>753</v>
      </c>
      <c r="I145" s="162" t="s">
        <v>1254</v>
      </c>
      <c r="J145" s="162" t="s">
        <v>1252</v>
      </c>
      <c r="K145" s="162" t="s">
        <v>1252</v>
      </c>
    </row>
    <row r="146" spans="1:11">
      <c r="A146" s="161" t="s">
        <v>1179</v>
      </c>
      <c r="B146" s="162" t="s">
        <v>7</v>
      </c>
      <c r="C146" s="162" t="s">
        <v>856</v>
      </c>
      <c r="D146" s="161" t="s">
        <v>751</v>
      </c>
      <c r="E146" s="161" t="s">
        <v>752</v>
      </c>
      <c r="F146" s="165">
        <v>547</v>
      </c>
      <c r="G146" s="164">
        <v>1000</v>
      </c>
      <c r="H146" s="161" t="s">
        <v>753</v>
      </c>
      <c r="I146" s="162" t="s">
        <v>1254</v>
      </c>
      <c r="J146" s="162" t="s">
        <v>1252</v>
      </c>
      <c r="K146" s="162" t="s">
        <v>1252</v>
      </c>
    </row>
    <row r="147" spans="1:11">
      <c r="A147" s="161" t="s">
        <v>1180</v>
      </c>
      <c r="B147" s="162" t="s">
        <v>8</v>
      </c>
      <c r="C147" s="162" t="s">
        <v>856</v>
      </c>
      <c r="D147" s="161" t="s">
        <v>751</v>
      </c>
      <c r="E147" s="161" t="s">
        <v>752</v>
      </c>
      <c r="F147" s="165">
        <v>552</v>
      </c>
      <c r="G147" s="164">
        <v>1000</v>
      </c>
      <c r="H147" s="161" t="s">
        <v>753</v>
      </c>
      <c r="I147" s="162" t="s">
        <v>1254</v>
      </c>
      <c r="J147" s="162" t="s">
        <v>1252</v>
      </c>
      <c r="K147" s="162" t="s">
        <v>1252</v>
      </c>
    </row>
    <row r="148" spans="1:11">
      <c r="A148" s="161" t="s">
        <v>1181</v>
      </c>
      <c r="B148" s="162" t="s">
        <v>9</v>
      </c>
      <c r="C148" s="162" t="s">
        <v>856</v>
      </c>
      <c r="D148" s="161" t="s">
        <v>751</v>
      </c>
      <c r="E148" s="161" t="s">
        <v>752</v>
      </c>
      <c r="F148" s="165">
        <v>667</v>
      </c>
      <c r="G148" s="164">
        <v>1000</v>
      </c>
      <c r="H148" s="161" t="s">
        <v>753</v>
      </c>
      <c r="I148" s="162" t="s">
        <v>1254</v>
      </c>
      <c r="J148" s="162" t="s">
        <v>1252</v>
      </c>
      <c r="K148" s="162" t="s">
        <v>1252</v>
      </c>
    </row>
    <row r="149" spans="1:11">
      <c r="A149" s="161" t="s">
        <v>1182</v>
      </c>
      <c r="B149" s="162" t="s">
        <v>10</v>
      </c>
      <c r="C149" s="162" t="s">
        <v>856</v>
      </c>
      <c r="D149" s="161" t="s">
        <v>751</v>
      </c>
      <c r="E149" s="161" t="s">
        <v>752</v>
      </c>
      <c r="F149" s="165">
        <v>670</v>
      </c>
      <c r="G149" s="164">
        <v>1000</v>
      </c>
      <c r="H149" s="161" t="s">
        <v>753</v>
      </c>
      <c r="I149" s="162" t="s">
        <v>1254</v>
      </c>
      <c r="J149" s="162" t="s">
        <v>1252</v>
      </c>
      <c r="K149" s="162" t="s">
        <v>1252</v>
      </c>
    </row>
    <row r="150" spans="1:11">
      <c r="A150" s="161" t="s">
        <v>1183</v>
      </c>
      <c r="B150" s="162" t="s">
        <v>11</v>
      </c>
      <c r="C150" s="162" t="s">
        <v>856</v>
      </c>
      <c r="D150" s="161" t="s">
        <v>751</v>
      </c>
      <c r="E150" s="161" t="s">
        <v>752</v>
      </c>
      <c r="F150" s="165">
        <v>405</v>
      </c>
      <c r="G150" s="164">
        <v>1000</v>
      </c>
      <c r="H150" s="161" t="s">
        <v>753</v>
      </c>
      <c r="I150" s="162" t="s">
        <v>1254</v>
      </c>
      <c r="J150" s="162" t="s">
        <v>1252</v>
      </c>
      <c r="K150" s="162" t="s">
        <v>1252</v>
      </c>
    </row>
    <row r="151" spans="1:11">
      <c r="A151" s="161" t="s">
        <v>1184</v>
      </c>
      <c r="B151" s="162" t="s">
        <v>12</v>
      </c>
      <c r="C151" s="162" t="s">
        <v>856</v>
      </c>
      <c r="D151" s="161" t="s">
        <v>816</v>
      </c>
      <c r="E151" s="161" t="s">
        <v>752</v>
      </c>
      <c r="F151" s="165">
        <v>455</v>
      </c>
      <c r="G151" s="164">
        <v>1000</v>
      </c>
      <c r="H151" s="161" t="s">
        <v>753</v>
      </c>
      <c r="I151" s="162" t="s">
        <v>1254</v>
      </c>
      <c r="J151" s="162" t="s">
        <v>1252</v>
      </c>
      <c r="K151" s="162" t="s">
        <v>1252</v>
      </c>
    </row>
    <row r="152" spans="1:11">
      <c r="A152" s="161" t="s">
        <v>1185</v>
      </c>
      <c r="B152" s="162" t="s">
        <v>13</v>
      </c>
      <c r="C152" s="162" t="s">
        <v>856</v>
      </c>
      <c r="D152" s="161" t="s">
        <v>751</v>
      </c>
      <c r="E152" s="161" t="s">
        <v>752</v>
      </c>
      <c r="F152" s="165">
        <v>537</v>
      </c>
      <c r="G152" s="164">
        <v>1000</v>
      </c>
      <c r="H152" s="161" t="s">
        <v>753</v>
      </c>
      <c r="I152" s="162" t="s">
        <v>1254</v>
      </c>
      <c r="J152" s="162" t="s">
        <v>1252</v>
      </c>
      <c r="K152" s="162" t="s">
        <v>1252</v>
      </c>
    </row>
    <row r="153" spans="1:11">
      <c r="A153" s="161" t="s">
        <v>1186</v>
      </c>
      <c r="B153" s="162" t="s">
        <v>14</v>
      </c>
      <c r="C153" s="162" t="s">
        <v>856</v>
      </c>
      <c r="D153" s="161" t="s">
        <v>751</v>
      </c>
      <c r="E153" s="161" t="s">
        <v>752</v>
      </c>
      <c r="F153" s="165">
        <v>542</v>
      </c>
      <c r="G153" s="164">
        <v>1000</v>
      </c>
      <c r="H153" s="161" t="s">
        <v>753</v>
      </c>
      <c r="I153" s="162" t="s">
        <v>1254</v>
      </c>
      <c r="J153" s="162" t="s">
        <v>1252</v>
      </c>
      <c r="K153" s="162" t="s">
        <v>1252</v>
      </c>
    </row>
    <row r="154" spans="1:11">
      <c r="A154" s="161" t="s">
        <v>1187</v>
      </c>
      <c r="B154" s="162" t="s">
        <v>15</v>
      </c>
      <c r="C154" s="162" t="s">
        <v>856</v>
      </c>
      <c r="D154" s="161" t="s">
        <v>751</v>
      </c>
      <c r="E154" s="161" t="s">
        <v>752</v>
      </c>
      <c r="F154" s="165">
        <v>480</v>
      </c>
      <c r="G154" s="164">
        <v>1000</v>
      </c>
      <c r="H154" s="161" t="s">
        <v>753</v>
      </c>
      <c r="I154" s="162" t="s">
        <v>1254</v>
      </c>
      <c r="J154" s="162" t="s">
        <v>1252</v>
      </c>
      <c r="K154" s="162" t="s">
        <v>1252</v>
      </c>
    </row>
    <row r="155" spans="1:11">
      <c r="A155" s="161" t="s">
        <v>1188</v>
      </c>
      <c r="B155" s="162" t="s">
        <v>16</v>
      </c>
      <c r="C155" s="162" t="s">
        <v>856</v>
      </c>
      <c r="D155" s="161" t="s">
        <v>751</v>
      </c>
      <c r="E155" s="161" t="s">
        <v>752</v>
      </c>
      <c r="F155" s="165">
        <v>470</v>
      </c>
      <c r="G155" s="164">
        <v>1000</v>
      </c>
      <c r="H155" s="161" t="s">
        <v>753</v>
      </c>
      <c r="I155" s="162" t="s">
        <v>1254</v>
      </c>
      <c r="J155" s="162" t="s">
        <v>1252</v>
      </c>
      <c r="K155" s="162" t="s">
        <v>1252</v>
      </c>
    </row>
    <row r="156" spans="1:11">
      <c r="A156" s="161" t="s">
        <v>1189</v>
      </c>
      <c r="B156" s="162" t="s">
        <v>17</v>
      </c>
      <c r="C156" s="162" t="s">
        <v>856</v>
      </c>
      <c r="D156" s="161" t="s">
        <v>751</v>
      </c>
      <c r="E156" s="161" t="s">
        <v>752</v>
      </c>
      <c r="F156" s="165">
        <v>244</v>
      </c>
      <c r="G156" s="164">
        <v>1000</v>
      </c>
      <c r="H156" s="161" t="s">
        <v>753</v>
      </c>
      <c r="I156" s="162" t="s">
        <v>1254</v>
      </c>
      <c r="J156" s="162" t="s">
        <v>840</v>
      </c>
      <c r="K156" s="162" t="s">
        <v>840</v>
      </c>
    </row>
    <row r="157" spans="1:11">
      <c r="A157" s="161" t="s">
        <v>1190</v>
      </c>
      <c r="B157" s="162" t="s">
        <v>18</v>
      </c>
      <c r="C157" s="162" t="s">
        <v>856</v>
      </c>
      <c r="D157" s="161" t="s">
        <v>751</v>
      </c>
      <c r="E157" s="161" t="s">
        <v>752</v>
      </c>
      <c r="F157" s="165">
        <v>246</v>
      </c>
      <c r="G157" s="164">
        <v>1000</v>
      </c>
      <c r="H157" s="161" t="s">
        <v>753</v>
      </c>
      <c r="I157" s="162" t="s">
        <v>1254</v>
      </c>
      <c r="J157" s="162" t="s">
        <v>840</v>
      </c>
      <c r="K157" s="162" t="s">
        <v>840</v>
      </c>
    </row>
    <row r="158" spans="1:11">
      <c r="A158" s="161" t="s">
        <v>1191</v>
      </c>
      <c r="B158" s="162" t="s">
        <v>19</v>
      </c>
      <c r="C158" s="162" t="s">
        <v>856</v>
      </c>
      <c r="D158" s="161" t="s">
        <v>751</v>
      </c>
      <c r="E158" s="161" t="s">
        <v>752</v>
      </c>
      <c r="F158" s="165">
        <v>238</v>
      </c>
      <c r="G158" s="164">
        <v>1000</v>
      </c>
      <c r="H158" s="161" t="s">
        <v>753</v>
      </c>
      <c r="I158" s="162" t="s">
        <v>1254</v>
      </c>
      <c r="J158" s="162" t="s">
        <v>840</v>
      </c>
      <c r="K158" s="162" t="s">
        <v>840</v>
      </c>
    </row>
    <row r="159" spans="1:11">
      <c r="A159" s="161" t="s">
        <v>1192</v>
      </c>
      <c r="B159" s="162" t="s">
        <v>20</v>
      </c>
      <c r="C159" s="162" t="s">
        <v>856</v>
      </c>
      <c r="D159" s="161" t="s">
        <v>751</v>
      </c>
      <c r="E159" s="161" t="s">
        <v>752</v>
      </c>
      <c r="F159" s="165">
        <v>313</v>
      </c>
      <c r="G159" s="164">
        <v>1000</v>
      </c>
      <c r="H159" s="161" t="s">
        <v>753</v>
      </c>
      <c r="I159" s="162" t="s">
        <v>1254</v>
      </c>
      <c r="J159" s="162" t="s">
        <v>840</v>
      </c>
      <c r="K159" s="162" t="s">
        <v>840</v>
      </c>
    </row>
    <row r="160" spans="1:11">
      <c r="A160" s="161" t="s">
        <v>1193</v>
      </c>
      <c r="B160" s="162" t="s">
        <v>21</v>
      </c>
      <c r="C160" s="162" t="s">
        <v>856</v>
      </c>
      <c r="D160" s="161" t="s">
        <v>751</v>
      </c>
      <c r="E160" s="161" t="s">
        <v>752</v>
      </c>
      <c r="F160" s="165">
        <v>246</v>
      </c>
      <c r="G160" s="164">
        <v>1000</v>
      </c>
      <c r="H160" s="161" t="s">
        <v>753</v>
      </c>
      <c r="I160" s="162" t="s">
        <v>1254</v>
      </c>
      <c r="J160" s="162" t="s">
        <v>840</v>
      </c>
      <c r="K160" s="162" t="s">
        <v>840</v>
      </c>
    </row>
    <row r="161" spans="1:11">
      <c r="A161" s="161" t="s">
        <v>1194</v>
      </c>
      <c r="B161" s="162" t="s">
        <v>1195</v>
      </c>
      <c r="C161" s="162" t="s">
        <v>28</v>
      </c>
      <c r="D161" s="161" t="s">
        <v>751</v>
      </c>
      <c r="E161" s="161" t="s">
        <v>752</v>
      </c>
      <c r="F161" s="165">
        <v>1030</v>
      </c>
      <c r="G161" s="164">
        <v>1000</v>
      </c>
      <c r="H161" s="161" t="s">
        <v>753</v>
      </c>
      <c r="I161" s="162" t="s">
        <v>1254</v>
      </c>
      <c r="J161" s="162" t="s">
        <v>27</v>
      </c>
      <c r="K161" s="162" t="s">
        <v>27</v>
      </c>
    </row>
    <row r="162" spans="1:11">
      <c r="A162" s="161" t="s">
        <v>1196</v>
      </c>
      <c r="B162" s="162" t="s">
        <v>25</v>
      </c>
      <c r="C162" s="162" t="s">
        <v>26</v>
      </c>
      <c r="D162" s="161" t="s">
        <v>751</v>
      </c>
      <c r="E162" s="161" t="s">
        <v>752</v>
      </c>
      <c r="F162" s="165">
        <v>189</v>
      </c>
      <c r="G162" s="164">
        <v>1000</v>
      </c>
      <c r="H162" s="161" t="s">
        <v>753</v>
      </c>
      <c r="I162" s="162" t="s">
        <v>1254</v>
      </c>
      <c r="J162" s="162" t="s">
        <v>840</v>
      </c>
      <c r="K162" s="162" t="s">
        <v>840</v>
      </c>
    </row>
    <row r="163" spans="1:11">
      <c r="A163" s="161" t="s">
        <v>1282</v>
      </c>
      <c r="B163" s="162" t="s">
        <v>1283</v>
      </c>
      <c r="C163" s="162" t="s">
        <v>856</v>
      </c>
      <c r="D163" s="161" t="s">
        <v>751</v>
      </c>
      <c r="E163" s="161" t="s">
        <v>752</v>
      </c>
      <c r="F163" s="165">
        <v>1545</v>
      </c>
      <c r="G163" s="164">
        <v>1000</v>
      </c>
      <c r="H163" s="161" t="s">
        <v>753</v>
      </c>
      <c r="I163" s="162" t="s">
        <v>496</v>
      </c>
      <c r="J163" s="162" t="s">
        <v>496</v>
      </c>
      <c r="K163" s="162" t="s">
        <v>496</v>
      </c>
    </row>
    <row r="164" spans="1:11">
      <c r="A164" s="161" t="s">
        <v>1197</v>
      </c>
      <c r="B164" s="162" t="s">
        <v>22</v>
      </c>
      <c r="C164" s="162" t="s">
        <v>856</v>
      </c>
      <c r="D164" s="161" t="s">
        <v>751</v>
      </c>
      <c r="E164" s="161" t="s">
        <v>752</v>
      </c>
      <c r="F164" s="165">
        <v>675</v>
      </c>
      <c r="G164" s="164">
        <v>1000</v>
      </c>
      <c r="H164" s="161" t="s">
        <v>753</v>
      </c>
      <c r="I164" s="162" t="s">
        <v>1254</v>
      </c>
      <c r="J164" s="162" t="s">
        <v>23</v>
      </c>
      <c r="K164" s="162" t="s">
        <v>23</v>
      </c>
    </row>
    <row r="165" spans="1:11">
      <c r="A165" s="161" t="s">
        <v>1284</v>
      </c>
      <c r="B165" s="162" t="s">
        <v>1285</v>
      </c>
      <c r="C165" s="162" t="s">
        <v>28</v>
      </c>
      <c r="D165" s="161" t="s">
        <v>751</v>
      </c>
      <c r="E165" s="161" t="s">
        <v>752</v>
      </c>
      <c r="F165" s="165">
        <v>1490</v>
      </c>
      <c r="G165" s="164">
        <v>1000</v>
      </c>
      <c r="H165" s="161" t="s">
        <v>753</v>
      </c>
      <c r="I165" s="162" t="s">
        <v>496</v>
      </c>
      <c r="J165" s="162" t="s">
        <v>496</v>
      </c>
      <c r="K165" s="162" t="s">
        <v>496</v>
      </c>
    </row>
    <row r="166" spans="1:11">
      <c r="A166" s="161" t="s">
        <v>1198</v>
      </c>
      <c r="B166" s="162" t="s">
        <v>24</v>
      </c>
      <c r="C166" s="162" t="s">
        <v>856</v>
      </c>
      <c r="D166" s="161" t="s">
        <v>816</v>
      </c>
      <c r="E166" s="161" t="s">
        <v>752</v>
      </c>
      <c r="F166" s="165">
        <v>319.89999999999998</v>
      </c>
      <c r="G166" s="164">
        <v>1000</v>
      </c>
      <c r="H166" s="161" t="s">
        <v>753</v>
      </c>
      <c r="I166" s="162" t="s">
        <v>1254</v>
      </c>
      <c r="J166" s="162" t="s">
        <v>1252</v>
      </c>
      <c r="K166" s="162" t="s">
        <v>1252</v>
      </c>
    </row>
    <row r="167" spans="1:11">
      <c r="A167" s="161" t="s">
        <v>1286</v>
      </c>
      <c r="B167" s="162" t="s">
        <v>1287</v>
      </c>
      <c r="C167" s="162" t="s">
        <v>856</v>
      </c>
      <c r="D167" s="161" t="s">
        <v>751</v>
      </c>
      <c r="E167" s="161" t="s">
        <v>752</v>
      </c>
      <c r="F167" s="165">
        <v>865</v>
      </c>
      <c r="G167" s="164">
        <v>1000</v>
      </c>
      <c r="H167" s="161" t="s">
        <v>753</v>
      </c>
      <c r="I167" s="162" t="s">
        <v>496</v>
      </c>
      <c r="J167" s="162" t="s">
        <v>496</v>
      </c>
      <c r="K167" s="162" t="s">
        <v>496</v>
      </c>
    </row>
    <row r="168" spans="1:11">
      <c r="A168" s="161" t="s">
        <v>1288</v>
      </c>
      <c r="B168" s="162" t="s">
        <v>1289</v>
      </c>
      <c r="C168" s="162" t="s">
        <v>856</v>
      </c>
      <c r="D168" s="161" t="s">
        <v>751</v>
      </c>
      <c r="E168" s="161" t="s">
        <v>752</v>
      </c>
      <c r="F168" s="165">
        <v>1770</v>
      </c>
      <c r="G168" s="164">
        <v>1</v>
      </c>
      <c r="H168" s="161" t="s">
        <v>752</v>
      </c>
      <c r="I168" s="162" t="s">
        <v>987</v>
      </c>
      <c r="J168" s="162" t="s">
        <v>987</v>
      </c>
      <c r="K168" s="162" t="s">
        <v>987</v>
      </c>
    </row>
    <row r="169" spans="1:11">
      <c r="A169" s="161" t="s">
        <v>1290</v>
      </c>
      <c r="B169" s="162" t="s">
        <v>1291</v>
      </c>
      <c r="C169" s="162" t="s">
        <v>856</v>
      </c>
      <c r="D169" s="161" t="s">
        <v>751</v>
      </c>
      <c r="E169" s="161" t="s">
        <v>752</v>
      </c>
      <c r="F169" s="165">
        <v>1770</v>
      </c>
      <c r="G169" s="164">
        <v>1</v>
      </c>
      <c r="H169" s="161" t="s">
        <v>752</v>
      </c>
      <c r="I169" s="162" t="s">
        <v>987</v>
      </c>
      <c r="J169" s="162" t="s">
        <v>987</v>
      </c>
      <c r="K169" s="162" t="s">
        <v>987</v>
      </c>
    </row>
    <row r="170" spans="1:11">
      <c r="A170" s="161" t="s">
        <v>406</v>
      </c>
      <c r="B170" s="162" t="s">
        <v>407</v>
      </c>
      <c r="C170" s="162" t="s">
        <v>856</v>
      </c>
      <c r="D170" s="161" t="s">
        <v>751</v>
      </c>
      <c r="E170" s="161" t="s">
        <v>752</v>
      </c>
      <c r="F170" s="165">
        <v>3695</v>
      </c>
      <c r="G170" s="164">
        <v>1000</v>
      </c>
      <c r="H170" s="161" t="s">
        <v>753</v>
      </c>
      <c r="I170" s="162" t="s">
        <v>986</v>
      </c>
      <c r="J170" s="162" t="s">
        <v>987</v>
      </c>
      <c r="K170" s="162" t="s">
        <v>987</v>
      </c>
    </row>
    <row r="171" spans="1:11">
      <c r="A171" s="161" t="s">
        <v>408</v>
      </c>
      <c r="B171" s="162" t="s">
        <v>409</v>
      </c>
      <c r="C171" s="162" t="s">
        <v>856</v>
      </c>
      <c r="D171" s="161" t="s">
        <v>751</v>
      </c>
      <c r="E171" s="161" t="s">
        <v>752</v>
      </c>
      <c r="F171" s="165">
        <v>3695</v>
      </c>
      <c r="G171" s="164">
        <v>1000</v>
      </c>
      <c r="H171" s="161" t="s">
        <v>753</v>
      </c>
      <c r="I171" s="162" t="s">
        <v>986</v>
      </c>
      <c r="J171" s="162" t="s">
        <v>987</v>
      </c>
      <c r="K171" s="162" t="s">
        <v>987</v>
      </c>
    </row>
    <row r="172" spans="1:11">
      <c r="A172" s="161" t="s">
        <v>1292</v>
      </c>
      <c r="B172" s="162" t="s">
        <v>1293</v>
      </c>
      <c r="C172" s="162" t="s">
        <v>1281</v>
      </c>
      <c r="D172" s="161" t="s">
        <v>493</v>
      </c>
      <c r="E172" s="161" t="s">
        <v>752</v>
      </c>
      <c r="F172" s="165">
        <v>50</v>
      </c>
      <c r="G172" s="164">
        <v>1000</v>
      </c>
      <c r="H172" s="161" t="s">
        <v>753</v>
      </c>
      <c r="I172" s="162" t="s">
        <v>987</v>
      </c>
      <c r="J172" s="162" t="s">
        <v>987</v>
      </c>
      <c r="K172" s="162" t="s">
        <v>987</v>
      </c>
    </row>
    <row r="173" spans="1:11">
      <c r="A173" s="161" t="s">
        <v>1294</v>
      </c>
      <c r="B173" s="162" t="s">
        <v>1295</v>
      </c>
      <c r="C173" s="162" t="s">
        <v>492</v>
      </c>
      <c r="D173" s="161" t="s">
        <v>493</v>
      </c>
      <c r="E173" s="161" t="s">
        <v>752</v>
      </c>
      <c r="F173" s="165">
        <v>47</v>
      </c>
      <c r="G173" s="164">
        <v>1</v>
      </c>
      <c r="H173" s="161" t="s">
        <v>752</v>
      </c>
      <c r="I173" s="162" t="s">
        <v>987</v>
      </c>
      <c r="J173" s="162" t="s">
        <v>987</v>
      </c>
      <c r="K173" s="162" t="s">
        <v>987</v>
      </c>
    </row>
    <row r="174" spans="1:11">
      <c r="A174" s="161" t="s">
        <v>410</v>
      </c>
      <c r="B174" s="162" t="s">
        <v>411</v>
      </c>
      <c r="C174" s="162" t="s">
        <v>856</v>
      </c>
      <c r="D174" s="161" t="s">
        <v>751</v>
      </c>
      <c r="E174" s="161" t="s">
        <v>752</v>
      </c>
      <c r="F174" s="165">
        <v>1455</v>
      </c>
      <c r="G174" s="164">
        <v>1000</v>
      </c>
      <c r="H174" s="161" t="s">
        <v>753</v>
      </c>
      <c r="I174" s="162" t="s">
        <v>986</v>
      </c>
      <c r="J174" s="162" t="s">
        <v>987</v>
      </c>
      <c r="K174" s="162" t="s">
        <v>987</v>
      </c>
    </row>
    <row r="175" spans="1:11">
      <c r="A175" s="161" t="s">
        <v>412</v>
      </c>
      <c r="B175" s="162" t="s">
        <v>413</v>
      </c>
      <c r="C175" s="162" t="s">
        <v>856</v>
      </c>
      <c r="D175" s="161" t="s">
        <v>751</v>
      </c>
      <c r="E175" s="161" t="s">
        <v>752</v>
      </c>
      <c r="F175" s="165">
        <v>1455</v>
      </c>
      <c r="G175" s="164">
        <v>1000</v>
      </c>
      <c r="H175" s="161" t="s">
        <v>753</v>
      </c>
      <c r="I175" s="162" t="s">
        <v>986</v>
      </c>
      <c r="J175" s="162" t="s">
        <v>987</v>
      </c>
      <c r="K175" s="162" t="s">
        <v>987</v>
      </c>
    </row>
    <row r="176" spans="1:11">
      <c r="A176" s="161" t="s">
        <v>414</v>
      </c>
      <c r="B176" s="162" t="s">
        <v>415</v>
      </c>
      <c r="C176" s="162" t="s">
        <v>856</v>
      </c>
      <c r="D176" s="161" t="s">
        <v>751</v>
      </c>
      <c r="E176" s="161" t="s">
        <v>752</v>
      </c>
      <c r="F176" s="165">
        <v>1445</v>
      </c>
      <c r="G176" s="164">
        <v>1000</v>
      </c>
      <c r="H176" s="161" t="s">
        <v>753</v>
      </c>
      <c r="I176" s="162" t="s">
        <v>986</v>
      </c>
      <c r="J176" s="162" t="s">
        <v>987</v>
      </c>
      <c r="K176" s="162" t="s">
        <v>987</v>
      </c>
    </row>
    <row r="177" spans="1:11">
      <c r="A177" s="161" t="s">
        <v>416</v>
      </c>
      <c r="B177" s="162" t="s">
        <v>417</v>
      </c>
      <c r="C177" s="162" t="s">
        <v>28</v>
      </c>
      <c r="D177" s="161" t="s">
        <v>751</v>
      </c>
      <c r="E177" s="161" t="s">
        <v>752</v>
      </c>
      <c r="F177" s="165">
        <v>1490</v>
      </c>
      <c r="G177" s="164">
        <v>1000</v>
      </c>
      <c r="H177" s="161" t="s">
        <v>753</v>
      </c>
      <c r="I177" s="162" t="s">
        <v>986</v>
      </c>
      <c r="J177" s="162" t="s">
        <v>987</v>
      </c>
      <c r="K177" s="162" t="s">
        <v>987</v>
      </c>
    </row>
    <row r="178" spans="1:11">
      <c r="A178" s="161" t="s">
        <v>418</v>
      </c>
      <c r="B178" s="162" t="s">
        <v>419</v>
      </c>
      <c r="C178" s="162" t="s">
        <v>856</v>
      </c>
      <c r="D178" s="161" t="s">
        <v>751</v>
      </c>
      <c r="E178" s="161" t="s">
        <v>752</v>
      </c>
      <c r="F178" s="165">
        <v>1027.22</v>
      </c>
      <c r="G178" s="164">
        <v>1000</v>
      </c>
      <c r="H178" s="161" t="s">
        <v>753</v>
      </c>
      <c r="I178" s="162" t="s">
        <v>986</v>
      </c>
      <c r="J178" s="162" t="s">
        <v>987</v>
      </c>
      <c r="K178" s="162" t="s">
        <v>987</v>
      </c>
    </row>
    <row r="179" spans="1:11">
      <c r="A179" s="161" t="s">
        <v>420</v>
      </c>
      <c r="B179" s="162" t="s">
        <v>421</v>
      </c>
      <c r="C179" s="162" t="s">
        <v>856</v>
      </c>
      <c r="D179" s="161" t="s">
        <v>751</v>
      </c>
      <c r="E179" s="161" t="s">
        <v>752</v>
      </c>
      <c r="F179" s="165">
        <v>1855</v>
      </c>
      <c r="G179" s="164">
        <v>1000</v>
      </c>
      <c r="H179" s="161" t="s">
        <v>753</v>
      </c>
      <c r="I179" s="162" t="s">
        <v>986</v>
      </c>
      <c r="J179" s="162" t="s">
        <v>987</v>
      </c>
      <c r="K179" s="162" t="s">
        <v>987</v>
      </c>
    </row>
    <row r="180" spans="1:11">
      <c r="A180" s="161" t="s">
        <v>422</v>
      </c>
      <c r="B180" s="162" t="s">
        <v>423</v>
      </c>
      <c r="C180" s="162" t="s">
        <v>424</v>
      </c>
      <c r="D180" s="161" t="s">
        <v>751</v>
      </c>
      <c r="E180" s="161" t="s">
        <v>752</v>
      </c>
      <c r="F180" s="165">
        <v>4350</v>
      </c>
      <c r="G180" s="164">
        <v>1</v>
      </c>
      <c r="H180" s="161" t="s">
        <v>752</v>
      </c>
      <c r="I180" s="162" t="s">
        <v>986</v>
      </c>
      <c r="J180" s="162" t="s">
        <v>840</v>
      </c>
      <c r="K180" s="162" t="s">
        <v>840</v>
      </c>
    </row>
    <row r="181" spans="1:11">
      <c r="A181" s="161" t="s">
        <v>425</v>
      </c>
      <c r="B181" s="162" t="s">
        <v>426</v>
      </c>
      <c r="C181" s="162" t="s">
        <v>424</v>
      </c>
      <c r="D181" s="161" t="s">
        <v>751</v>
      </c>
      <c r="E181" s="161" t="s">
        <v>752</v>
      </c>
      <c r="F181" s="165">
        <v>4350</v>
      </c>
      <c r="G181" s="164">
        <v>1</v>
      </c>
      <c r="H181" s="161" t="s">
        <v>752</v>
      </c>
      <c r="I181" s="162" t="s">
        <v>986</v>
      </c>
      <c r="J181" s="162" t="s">
        <v>840</v>
      </c>
      <c r="K181" s="162" t="s">
        <v>840</v>
      </c>
    </row>
    <row r="182" spans="1:11">
      <c r="A182" s="161" t="s">
        <v>435</v>
      </c>
      <c r="B182" s="162" t="s">
        <v>436</v>
      </c>
      <c r="C182" s="162" t="s">
        <v>424</v>
      </c>
      <c r="D182" s="161" t="s">
        <v>751</v>
      </c>
      <c r="E182" s="161" t="s">
        <v>752</v>
      </c>
      <c r="F182" s="165">
        <v>1270</v>
      </c>
      <c r="G182" s="164">
        <v>1000</v>
      </c>
      <c r="H182" s="161" t="s">
        <v>753</v>
      </c>
      <c r="I182" s="162" t="s">
        <v>986</v>
      </c>
      <c r="J182" s="162" t="s">
        <v>987</v>
      </c>
      <c r="K182" s="162" t="s">
        <v>987</v>
      </c>
    </row>
    <row r="183" spans="1:11">
      <c r="A183" s="161" t="s">
        <v>1199</v>
      </c>
      <c r="B183" s="162" t="s">
        <v>54</v>
      </c>
      <c r="C183" s="162" t="s">
        <v>46</v>
      </c>
      <c r="D183" s="161" t="s">
        <v>751</v>
      </c>
      <c r="E183" s="161" t="s">
        <v>752</v>
      </c>
      <c r="F183" s="165">
        <v>865</v>
      </c>
      <c r="G183" s="164">
        <v>1000</v>
      </c>
      <c r="H183" s="161" t="s">
        <v>753</v>
      </c>
      <c r="I183" s="162" t="s">
        <v>1254</v>
      </c>
      <c r="J183" s="162" t="s">
        <v>27</v>
      </c>
      <c r="K183" s="162" t="s">
        <v>27</v>
      </c>
    </row>
    <row r="184" spans="1:11">
      <c r="A184" s="161" t="s">
        <v>1200</v>
      </c>
      <c r="B184" s="162" t="s">
        <v>55</v>
      </c>
      <c r="C184" s="162" t="s">
        <v>46</v>
      </c>
      <c r="D184" s="161" t="s">
        <v>751</v>
      </c>
      <c r="E184" s="161" t="s">
        <v>752</v>
      </c>
      <c r="F184" s="165">
        <v>825</v>
      </c>
      <c r="G184" s="164">
        <v>1000</v>
      </c>
      <c r="H184" s="161" t="s">
        <v>753</v>
      </c>
      <c r="I184" s="162" t="s">
        <v>1254</v>
      </c>
      <c r="J184" s="162" t="s">
        <v>27</v>
      </c>
      <c r="K184" s="162" t="s">
        <v>27</v>
      </c>
    </row>
    <row r="185" spans="1:11">
      <c r="A185" s="161" t="s">
        <v>1201</v>
      </c>
      <c r="B185" s="162" t="s">
        <v>56</v>
      </c>
      <c r="C185" s="162" t="s">
        <v>46</v>
      </c>
      <c r="D185" s="161" t="s">
        <v>751</v>
      </c>
      <c r="E185" s="161" t="s">
        <v>752</v>
      </c>
      <c r="F185" s="165">
        <v>895</v>
      </c>
      <c r="G185" s="164">
        <v>1000</v>
      </c>
      <c r="H185" s="161" t="s">
        <v>753</v>
      </c>
      <c r="I185" s="162" t="s">
        <v>1254</v>
      </c>
      <c r="J185" s="162" t="s">
        <v>27</v>
      </c>
      <c r="K185" s="162" t="s">
        <v>27</v>
      </c>
    </row>
    <row r="186" spans="1:11">
      <c r="A186" s="161" t="s">
        <v>427</v>
      </c>
      <c r="B186" s="162" t="s">
        <v>428</v>
      </c>
      <c r="C186" s="162" t="s">
        <v>424</v>
      </c>
      <c r="D186" s="161" t="s">
        <v>751</v>
      </c>
      <c r="E186" s="161" t="s">
        <v>752</v>
      </c>
      <c r="F186" s="165">
        <v>1500</v>
      </c>
      <c r="G186" s="164">
        <v>1000</v>
      </c>
      <c r="H186" s="161" t="s">
        <v>753</v>
      </c>
      <c r="I186" s="162" t="s">
        <v>986</v>
      </c>
      <c r="J186" s="162" t="s">
        <v>987</v>
      </c>
      <c r="K186" s="162" t="s">
        <v>987</v>
      </c>
    </row>
    <row r="187" spans="1:11">
      <c r="A187" s="161" t="s">
        <v>429</v>
      </c>
      <c r="B187" s="162" t="s">
        <v>430</v>
      </c>
      <c r="C187" s="162" t="s">
        <v>424</v>
      </c>
      <c r="D187" s="161" t="s">
        <v>751</v>
      </c>
      <c r="E187" s="161" t="s">
        <v>752</v>
      </c>
      <c r="F187" s="165">
        <v>1400</v>
      </c>
      <c r="G187" s="164">
        <v>1000</v>
      </c>
      <c r="H187" s="161" t="s">
        <v>753</v>
      </c>
      <c r="I187" s="162" t="s">
        <v>986</v>
      </c>
      <c r="J187" s="162" t="s">
        <v>987</v>
      </c>
      <c r="K187" s="162" t="s">
        <v>987</v>
      </c>
    </row>
    <row r="188" spans="1:11">
      <c r="A188" s="161" t="s">
        <v>431</v>
      </c>
      <c r="B188" s="162" t="s">
        <v>432</v>
      </c>
      <c r="C188" s="162" t="s">
        <v>424</v>
      </c>
      <c r="D188" s="161" t="s">
        <v>751</v>
      </c>
      <c r="E188" s="161" t="s">
        <v>752</v>
      </c>
      <c r="F188" s="165">
        <v>1000</v>
      </c>
      <c r="G188" s="164">
        <v>1000</v>
      </c>
      <c r="H188" s="161" t="s">
        <v>753</v>
      </c>
      <c r="I188" s="162" t="s">
        <v>986</v>
      </c>
      <c r="J188" s="162" t="s">
        <v>987</v>
      </c>
      <c r="K188" s="162" t="s">
        <v>987</v>
      </c>
    </row>
    <row r="189" spans="1:11">
      <c r="A189" s="161" t="s">
        <v>433</v>
      </c>
      <c r="B189" s="162" t="s">
        <v>434</v>
      </c>
      <c r="C189" s="162" t="s">
        <v>424</v>
      </c>
      <c r="D189" s="161" t="s">
        <v>751</v>
      </c>
      <c r="E189" s="161" t="s">
        <v>752</v>
      </c>
      <c r="F189" s="165">
        <v>950</v>
      </c>
      <c r="G189" s="164">
        <v>1000</v>
      </c>
      <c r="H189" s="161" t="s">
        <v>753</v>
      </c>
      <c r="I189" s="162" t="s">
        <v>986</v>
      </c>
      <c r="J189" s="162" t="s">
        <v>987</v>
      </c>
      <c r="K189" s="162" t="s">
        <v>987</v>
      </c>
    </row>
    <row r="190" spans="1:11">
      <c r="A190" s="161" t="s">
        <v>437</v>
      </c>
      <c r="B190" s="162" t="s">
        <v>438</v>
      </c>
      <c r="C190" s="162" t="s">
        <v>424</v>
      </c>
      <c r="D190" s="161" t="s">
        <v>751</v>
      </c>
      <c r="E190" s="161" t="s">
        <v>752</v>
      </c>
      <c r="F190" s="165">
        <v>550</v>
      </c>
      <c r="G190" s="164">
        <v>1000</v>
      </c>
      <c r="H190" s="161" t="s">
        <v>753</v>
      </c>
      <c r="I190" s="162" t="s">
        <v>986</v>
      </c>
      <c r="J190" s="162" t="s">
        <v>987</v>
      </c>
      <c r="K190" s="162" t="s">
        <v>987</v>
      </c>
    </row>
    <row r="191" spans="1:11">
      <c r="A191" s="161" t="s">
        <v>439</v>
      </c>
      <c r="B191" s="162" t="s">
        <v>440</v>
      </c>
      <c r="C191" s="162" t="s">
        <v>424</v>
      </c>
      <c r="D191" s="161" t="s">
        <v>751</v>
      </c>
      <c r="E191" s="161" t="s">
        <v>752</v>
      </c>
      <c r="F191" s="165">
        <v>550</v>
      </c>
      <c r="G191" s="164">
        <v>1000</v>
      </c>
      <c r="H191" s="161" t="s">
        <v>753</v>
      </c>
      <c r="I191" s="162" t="s">
        <v>986</v>
      </c>
      <c r="J191" s="162" t="s">
        <v>987</v>
      </c>
      <c r="K191" s="162" t="s">
        <v>987</v>
      </c>
    </row>
    <row r="192" spans="1:11">
      <c r="A192" s="161" t="s">
        <v>441</v>
      </c>
      <c r="B192" s="162" t="s">
        <v>442</v>
      </c>
      <c r="C192" s="162" t="s">
        <v>424</v>
      </c>
      <c r="D192" s="161" t="s">
        <v>751</v>
      </c>
      <c r="E192" s="161" t="s">
        <v>752</v>
      </c>
      <c r="F192" s="165">
        <v>720</v>
      </c>
      <c r="G192" s="164">
        <v>1000</v>
      </c>
      <c r="H192" s="161" t="s">
        <v>753</v>
      </c>
      <c r="I192" s="162" t="s">
        <v>986</v>
      </c>
      <c r="J192" s="162" t="s">
        <v>987</v>
      </c>
      <c r="K192" s="162" t="s">
        <v>987</v>
      </c>
    </row>
    <row r="193" spans="1:11">
      <c r="A193" s="161" t="s">
        <v>443</v>
      </c>
      <c r="B193" s="162" t="s">
        <v>444</v>
      </c>
      <c r="C193" s="162" t="s">
        <v>424</v>
      </c>
      <c r="D193" s="161" t="s">
        <v>751</v>
      </c>
      <c r="E193" s="161" t="s">
        <v>752</v>
      </c>
      <c r="F193" s="165">
        <v>720</v>
      </c>
      <c r="G193" s="164">
        <v>1000</v>
      </c>
      <c r="H193" s="161" t="s">
        <v>753</v>
      </c>
      <c r="I193" s="162" t="s">
        <v>986</v>
      </c>
      <c r="J193" s="162" t="s">
        <v>987</v>
      </c>
      <c r="K193" s="162" t="s">
        <v>987</v>
      </c>
    </row>
    <row r="194" spans="1:11">
      <c r="A194" s="161" t="s">
        <v>1296</v>
      </c>
      <c r="B194" s="162" t="s">
        <v>1297</v>
      </c>
      <c r="C194" s="162" t="s">
        <v>46</v>
      </c>
      <c r="D194" s="161" t="s">
        <v>751</v>
      </c>
      <c r="E194" s="161" t="s">
        <v>752</v>
      </c>
      <c r="F194" s="165">
        <v>850</v>
      </c>
      <c r="G194" s="164">
        <v>1</v>
      </c>
      <c r="H194" s="161" t="s">
        <v>752</v>
      </c>
      <c r="I194" s="162" t="s">
        <v>987</v>
      </c>
      <c r="J194" s="162" t="s">
        <v>987</v>
      </c>
      <c r="K194" s="162" t="s">
        <v>987</v>
      </c>
    </row>
    <row r="195" spans="1:11">
      <c r="A195" s="161" t="s">
        <v>1202</v>
      </c>
      <c r="B195" s="162" t="s">
        <v>44</v>
      </c>
      <c r="C195" s="162" t="s">
        <v>46</v>
      </c>
      <c r="D195" s="161" t="s">
        <v>751</v>
      </c>
      <c r="E195" s="161" t="s">
        <v>752</v>
      </c>
      <c r="F195" s="165">
        <v>377</v>
      </c>
      <c r="G195" s="164">
        <v>1000</v>
      </c>
      <c r="H195" s="161" t="s">
        <v>753</v>
      </c>
      <c r="I195" s="162" t="s">
        <v>1254</v>
      </c>
      <c r="J195" s="162" t="s">
        <v>1252</v>
      </c>
      <c r="K195" s="162" t="s">
        <v>1252</v>
      </c>
    </row>
    <row r="196" spans="1:11">
      <c r="A196" s="161" t="s">
        <v>445</v>
      </c>
      <c r="B196" s="162" t="s">
        <v>446</v>
      </c>
      <c r="C196" s="162" t="s">
        <v>856</v>
      </c>
      <c r="D196" s="161" t="s">
        <v>751</v>
      </c>
      <c r="E196" s="161" t="s">
        <v>752</v>
      </c>
      <c r="F196" s="165">
        <v>1460</v>
      </c>
      <c r="G196" s="164">
        <v>1000</v>
      </c>
      <c r="H196" s="161" t="s">
        <v>753</v>
      </c>
      <c r="I196" s="162" t="s">
        <v>986</v>
      </c>
      <c r="J196" s="162" t="s">
        <v>987</v>
      </c>
      <c r="K196" s="162" t="s">
        <v>987</v>
      </c>
    </row>
    <row r="197" spans="1:11">
      <c r="A197" s="161" t="s">
        <v>1298</v>
      </c>
      <c r="B197" s="162" t="s">
        <v>1299</v>
      </c>
      <c r="C197" s="162" t="s">
        <v>479</v>
      </c>
      <c r="D197" s="161" t="s">
        <v>751</v>
      </c>
      <c r="E197" s="161" t="s">
        <v>752</v>
      </c>
      <c r="F197" s="165">
        <v>90</v>
      </c>
      <c r="G197" s="164">
        <v>1</v>
      </c>
      <c r="H197" s="161" t="s">
        <v>466</v>
      </c>
      <c r="I197" s="162" t="s">
        <v>987</v>
      </c>
      <c r="J197" s="162" t="s">
        <v>467</v>
      </c>
      <c r="K197" s="162" t="s">
        <v>467</v>
      </c>
    </row>
    <row r="198" spans="1:11">
      <c r="A198" s="161" t="s">
        <v>1342</v>
      </c>
      <c r="B198" s="162" t="s">
        <v>1343</v>
      </c>
      <c r="C198" s="162" t="s">
        <v>424</v>
      </c>
      <c r="D198" s="161" t="s">
        <v>751</v>
      </c>
      <c r="E198" s="161" t="s">
        <v>752</v>
      </c>
      <c r="F198" s="165">
        <v>1430</v>
      </c>
      <c r="G198" s="164">
        <v>1000</v>
      </c>
      <c r="H198" s="161" t="s">
        <v>753</v>
      </c>
      <c r="I198" s="162" t="s">
        <v>986</v>
      </c>
      <c r="J198" s="162" t="s">
        <v>987</v>
      </c>
      <c r="K198" s="162" t="s">
        <v>987</v>
      </c>
    </row>
    <row r="199" spans="1:11">
      <c r="A199" s="161" t="s">
        <v>447</v>
      </c>
      <c r="B199" s="162" t="s">
        <v>448</v>
      </c>
      <c r="C199" s="162" t="s">
        <v>424</v>
      </c>
      <c r="D199" s="161" t="s">
        <v>751</v>
      </c>
      <c r="E199" s="161" t="s">
        <v>752</v>
      </c>
      <c r="F199" s="165">
        <v>1500</v>
      </c>
      <c r="G199" s="164">
        <v>1000</v>
      </c>
      <c r="H199" s="161" t="s">
        <v>753</v>
      </c>
      <c r="I199" s="162" t="s">
        <v>986</v>
      </c>
      <c r="J199" s="162" t="s">
        <v>987</v>
      </c>
      <c r="K199" s="162" t="s">
        <v>987</v>
      </c>
    </row>
    <row r="200" spans="1:11">
      <c r="A200" s="161" t="s">
        <v>449</v>
      </c>
      <c r="B200" s="162" t="s">
        <v>450</v>
      </c>
      <c r="C200" s="162" t="s">
        <v>424</v>
      </c>
      <c r="D200" s="161" t="s">
        <v>751</v>
      </c>
      <c r="E200" s="161" t="s">
        <v>752</v>
      </c>
      <c r="F200" s="165">
        <v>1500</v>
      </c>
      <c r="G200" s="164">
        <v>1000</v>
      </c>
      <c r="H200" s="161" t="s">
        <v>753</v>
      </c>
      <c r="I200" s="162" t="s">
        <v>986</v>
      </c>
      <c r="J200" s="162" t="s">
        <v>987</v>
      </c>
      <c r="K200" s="162" t="s">
        <v>987</v>
      </c>
    </row>
    <row r="201" spans="1:11">
      <c r="A201" s="161" t="s">
        <v>451</v>
      </c>
      <c r="B201" s="162" t="s">
        <v>452</v>
      </c>
      <c r="C201" s="162" t="s">
        <v>424</v>
      </c>
      <c r="D201" s="161" t="s">
        <v>751</v>
      </c>
      <c r="E201" s="161" t="s">
        <v>752</v>
      </c>
      <c r="F201" s="165">
        <v>1200</v>
      </c>
      <c r="G201" s="164">
        <v>1</v>
      </c>
      <c r="H201" s="161" t="s">
        <v>752</v>
      </c>
      <c r="I201" s="162" t="s">
        <v>986</v>
      </c>
      <c r="J201" s="162" t="s">
        <v>840</v>
      </c>
      <c r="K201" s="162" t="s">
        <v>840</v>
      </c>
    </row>
    <row r="202" spans="1:11">
      <c r="A202" s="161" t="s">
        <v>1338</v>
      </c>
      <c r="B202" s="162" t="s">
        <v>1339</v>
      </c>
      <c r="C202" s="162" t="s">
        <v>424</v>
      </c>
      <c r="D202" s="161" t="s">
        <v>751</v>
      </c>
      <c r="E202" s="161" t="s">
        <v>752</v>
      </c>
      <c r="F202" s="165">
        <v>1100</v>
      </c>
      <c r="G202" s="164">
        <v>1000</v>
      </c>
      <c r="H202" s="161" t="s">
        <v>753</v>
      </c>
      <c r="I202" s="162" t="s">
        <v>986</v>
      </c>
      <c r="J202" s="162" t="s">
        <v>987</v>
      </c>
      <c r="K202" s="162" t="s">
        <v>987</v>
      </c>
    </row>
    <row r="203" spans="1:11">
      <c r="A203" s="161" t="s">
        <v>1340</v>
      </c>
      <c r="B203" s="162" t="s">
        <v>1341</v>
      </c>
      <c r="C203" s="162" t="s">
        <v>424</v>
      </c>
      <c r="D203" s="161" t="s">
        <v>751</v>
      </c>
      <c r="E203" s="161" t="s">
        <v>752</v>
      </c>
      <c r="F203" s="165">
        <v>530</v>
      </c>
      <c r="G203" s="164">
        <v>1000</v>
      </c>
      <c r="H203" s="161" t="s">
        <v>753</v>
      </c>
      <c r="I203" s="162" t="s">
        <v>986</v>
      </c>
      <c r="J203" s="162" t="s">
        <v>987</v>
      </c>
      <c r="K203" s="162" t="s">
        <v>987</v>
      </c>
    </row>
    <row r="204" spans="1:11">
      <c r="A204" s="161" t="s">
        <v>1300</v>
      </c>
      <c r="B204" s="162" t="s">
        <v>1301</v>
      </c>
      <c r="C204" s="162" t="s">
        <v>479</v>
      </c>
      <c r="D204" s="161" t="s">
        <v>751</v>
      </c>
      <c r="E204" s="161" t="s">
        <v>752</v>
      </c>
      <c r="F204" s="165">
        <v>110</v>
      </c>
      <c r="G204" s="164">
        <v>1</v>
      </c>
      <c r="H204" s="161" t="s">
        <v>466</v>
      </c>
      <c r="I204" s="162" t="s">
        <v>987</v>
      </c>
      <c r="J204" s="162" t="s">
        <v>467</v>
      </c>
      <c r="K204" s="162" t="s">
        <v>467</v>
      </c>
    </row>
    <row r="205" spans="1:11">
      <c r="A205" s="161" t="s">
        <v>1344</v>
      </c>
      <c r="B205" s="162" t="s">
        <v>1345</v>
      </c>
      <c r="C205" s="162" t="s">
        <v>856</v>
      </c>
      <c r="D205" s="161" t="s">
        <v>751</v>
      </c>
      <c r="E205" s="161" t="s">
        <v>752</v>
      </c>
      <c r="F205" s="165">
        <v>810</v>
      </c>
      <c r="G205" s="164">
        <v>1000</v>
      </c>
      <c r="H205" s="161" t="s">
        <v>753</v>
      </c>
      <c r="I205" s="162" t="s">
        <v>986</v>
      </c>
      <c r="J205" s="162" t="s">
        <v>987</v>
      </c>
      <c r="K205" s="162" t="s">
        <v>987</v>
      </c>
    </row>
    <row r="206" spans="1:11">
      <c r="A206" s="161" t="s">
        <v>1348</v>
      </c>
      <c r="B206" s="162" t="s">
        <v>1349</v>
      </c>
      <c r="C206" s="162" t="s">
        <v>424</v>
      </c>
      <c r="D206" s="161" t="s">
        <v>751</v>
      </c>
      <c r="E206" s="161" t="s">
        <v>752</v>
      </c>
      <c r="F206" s="165">
        <v>970</v>
      </c>
      <c r="G206" s="164">
        <v>1000</v>
      </c>
      <c r="H206" s="161" t="s">
        <v>753</v>
      </c>
      <c r="I206" s="162" t="s">
        <v>986</v>
      </c>
      <c r="J206" s="162" t="s">
        <v>987</v>
      </c>
      <c r="K206" s="162" t="s">
        <v>987</v>
      </c>
    </row>
    <row r="207" spans="1:11">
      <c r="A207" s="161" t="s">
        <v>1350</v>
      </c>
      <c r="B207" s="162" t="s">
        <v>1351</v>
      </c>
      <c r="C207" s="162" t="s">
        <v>424</v>
      </c>
      <c r="D207" s="161" t="s">
        <v>751</v>
      </c>
      <c r="E207" s="161" t="s">
        <v>752</v>
      </c>
      <c r="F207" s="165">
        <v>1050</v>
      </c>
      <c r="G207" s="164">
        <v>1000</v>
      </c>
      <c r="H207" s="161" t="s">
        <v>753</v>
      </c>
      <c r="I207" s="162" t="s">
        <v>986</v>
      </c>
      <c r="J207" s="162" t="s">
        <v>987</v>
      </c>
      <c r="K207" s="162" t="s">
        <v>987</v>
      </c>
    </row>
    <row r="208" spans="1:11">
      <c r="A208" s="161" t="s">
        <v>1346</v>
      </c>
      <c r="B208" s="162" t="s">
        <v>1347</v>
      </c>
      <c r="C208" s="162" t="s">
        <v>424</v>
      </c>
      <c r="D208" s="161" t="s">
        <v>751</v>
      </c>
      <c r="E208" s="161" t="s">
        <v>752</v>
      </c>
      <c r="F208" s="165">
        <v>660</v>
      </c>
      <c r="G208" s="164">
        <v>1000</v>
      </c>
      <c r="H208" s="161" t="s">
        <v>753</v>
      </c>
      <c r="I208" s="162" t="s">
        <v>986</v>
      </c>
      <c r="J208" s="162" t="s">
        <v>987</v>
      </c>
      <c r="K208" s="162" t="s">
        <v>987</v>
      </c>
    </row>
    <row r="209" spans="1:11">
      <c r="A209" s="161" t="s">
        <v>1352</v>
      </c>
      <c r="B209" s="162" t="s">
        <v>1353</v>
      </c>
      <c r="C209" s="162" t="s">
        <v>424</v>
      </c>
      <c r="D209" s="161" t="s">
        <v>751</v>
      </c>
      <c r="E209" s="161" t="s">
        <v>752</v>
      </c>
      <c r="F209" s="165">
        <v>1400</v>
      </c>
      <c r="G209" s="164">
        <v>1000</v>
      </c>
      <c r="H209" s="161" t="s">
        <v>753</v>
      </c>
      <c r="I209" s="162" t="s">
        <v>986</v>
      </c>
      <c r="J209" s="162" t="s">
        <v>987</v>
      </c>
      <c r="K209" s="162" t="s">
        <v>987</v>
      </c>
    </row>
    <row r="210" spans="1:11">
      <c r="A210" s="161" t="s">
        <v>1354</v>
      </c>
      <c r="B210" s="162" t="s">
        <v>1355</v>
      </c>
      <c r="C210" s="162" t="s">
        <v>424</v>
      </c>
      <c r="D210" s="161" t="s">
        <v>751</v>
      </c>
      <c r="E210" s="161" t="s">
        <v>752</v>
      </c>
      <c r="F210" s="165">
        <v>1400</v>
      </c>
      <c r="G210" s="164">
        <v>1000</v>
      </c>
      <c r="H210" s="161" t="s">
        <v>753</v>
      </c>
      <c r="I210" s="162" t="s">
        <v>986</v>
      </c>
      <c r="J210" s="162" t="s">
        <v>987</v>
      </c>
      <c r="K210" s="162" t="s">
        <v>987</v>
      </c>
    </row>
    <row r="211" spans="1:11">
      <c r="A211" s="161" t="s">
        <v>1356</v>
      </c>
      <c r="B211" s="162" t="s">
        <v>1357</v>
      </c>
      <c r="C211" s="162" t="s">
        <v>424</v>
      </c>
      <c r="D211" s="161" t="s">
        <v>751</v>
      </c>
      <c r="E211" s="161" t="s">
        <v>752</v>
      </c>
      <c r="F211" s="165">
        <v>595</v>
      </c>
      <c r="G211" s="164">
        <v>1000</v>
      </c>
      <c r="H211" s="161" t="s">
        <v>753</v>
      </c>
      <c r="I211" s="162" t="s">
        <v>986</v>
      </c>
      <c r="J211" s="162" t="s">
        <v>987</v>
      </c>
      <c r="K211" s="162" t="s">
        <v>987</v>
      </c>
    </row>
    <row r="212" spans="1:11">
      <c r="A212" s="161" t="s">
        <v>1358</v>
      </c>
      <c r="B212" s="162" t="s">
        <v>1359</v>
      </c>
      <c r="C212" s="162" t="s">
        <v>424</v>
      </c>
      <c r="D212" s="161" t="s">
        <v>751</v>
      </c>
      <c r="E212" s="161" t="s">
        <v>752</v>
      </c>
      <c r="F212" s="165">
        <v>530</v>
      </c>
      <c r="G212" s="164">
        <v>1000</v>
      </c>
      <c r="H212" s="161" t="s">
        <v>753</v>
      </c>
      <c r="I212" s="162" t="s">
        <v>986</v>
      </c>
      <c r="J212" s="162" t="s">
        <v>987</v>
      </c>
      <c r="K212" s="162" t="s">
        <v>987</v>
      </c>
    </row>
    <row r="213" spans="1:11">
      <c r="A213" s="161" t="s">
        <v>1360</v>
      </c>
      <c r="B213" s="162" t="s">
        <v>1361</v>
      </c>
      <c r="C213" s="162" t="s">
        <v>424</v>
      </c>
      <c r="D213" s="161" t="s">
        <v>751</v>
      </c>
      <c r="E213" s="161" t="s">
        <v>752</v>
      </c>
      <c r="F213" s="165">
        <v>1200</v>
      </c>
      <c r="G213" s="164">
        <v>1000</v>
      </c>
      <c r="H213" s="161" t="s">
        <v>753</v>
      </c>
      <c r="I213" s="162" t="s">
        <v>986</v>
      </c>
      <c r="J213" s="162" t="s">
        <v>987</v>
      </c>
      <c r="K213" s="162" t="s">
        <v>987</v>
      </c>
    </row>
    <row r="214" spans="1:11">
      <c r="A214" s="161" t="s">
        <v>1362</v>
      </c>
      <c r="B214" s="162" t="s">
        <v>1363</v>
      </c>
      <c r="C214" s="162" t="s">
        <v>424</v>
      </c>
      <c r="D214" s="161" t="s">
        <v>751</v>
      </c>
      <c r="E214" s="161" t="s">
        <v>752</v>
      </c>
      <c r="F214" s="165">
        <v>1175</v>
      </c>
      <c r="G214" s="164">
        <v>1000</v>
      </c>
      <c r="H214" s="161" t="s">
        <v>753</v>
      </c>
      <c r="I214" s="162" t="s">
        <v>986</v>
      </c>
      <c r="J214" s="162" t="s">
        <v>987</v>
      </c>
      <c r="K214" s="162" t="s">
        <v>987</v>
      </c>
    </row>
    <row r="215" spans="1:11">
      <c r="A215" s="161" t="s">
        <v>1203</v>
      </c>
      <c r="B215" s="162" t="s">
        <v>842</v>
      </c>
      <c r="C215" s="162" t="s">
        <v>844</v>
      </c>
      <c r="D215" s="161" t="s">
        <v>751</v>
      </c>
      <c r="E215" s="161" t="s">
        <v>752</v>
      </c>
      <c r="F215" s="165">
        <v>475</v>
      </c>
      <c r="G215" s="164">
        <v>1000</v>
      </c>
      <c r="H215" s="161" t="s">
        <v>753</v>
      </c>
      <c r="I215" s="162" t="s">
        <v>1254</v>
      </c>
      <c r="J215" s="162" t="s">
        <v>843</v>
      </c>
      <c r="K215" s="162" t="s">
        <v>843</v>
      </c>
    </row>
    <row r="216" spans="1:11">
      <c r="A216" s="161" t="s">
        <v>1204</v>
      </c>
      <c r="B216" s="162" t="s">
        <v>845</v>
      </c>
      <c r="C216" s="162" t="s">
        <v>844</v>
      </c>
      <c r="D216" s="161" t="s">
        <v>751</v>
      </c>
      <c r="E216" s="161" t="s">
        <v>752</v>
      </c>
      <c r="F216" s="165">
        <v>475</v>
      </c>
      <c r="G216" s="164">
        <v>1000</v>
      </c>
      <c r="H216" s="161" t="s">
        <v>753</v>
      </c>
      <c r="I216" s="162" t="s">
        <v>1254</v>
      </c>
      <c r="J216" s="162" t="s">
        <v>843</v>
      </c>
      <c r="K216" s="162" t="s">
        <v>843</v>
      </c>
    </row>
    <row r="217" spans="1:11">
      <c r="A217" s="161" t="s">
        <v>1205</v>
      </c>
      <c r="B217" s="162" t="s">
        <v>846</v>
      </c>
      <c r="C217" s="162" t="s">
        <v>844</v>
      </c>
      <c r="D217" s="161" t="s">
        <v>751</v>
      </c>
      <c r="E217" s="161" t="s">
        <v>752</v>
      </c>
      <c r="F217" s="165">
        <v>475</v>
      </c>
      <c r="G217" s="164">
        <v>1000</v>
      </c>
      <c r="H217" s="161" t="s">
        <v>753</v>
      </c>
      <c r="I217" s="162" t="s">
        <v>1254</v>
      </c>
      <c r="J217" s="162" t="s">
        <v>843</v>
      </c>
      <c r="K217" s="162" t="s">
        <v>843</v>
      </c>
    </row>
    <row r="218" spans="1:11">
      <c r="A218" s="161" t="s">
        <v>1206</v>
      </c>
      <c r="B218" s="162" t="s">
        <v>847</v>
      </c>
      <c r="C218" s="162" t="s">
        <v>844</v>
      </c>
      <c r="D218" s="161" t="s">
        <v>751</v>
      </c>
      <c r="E218" s="161" t="s">
        <v>752</v>
      </c>
      <c r="F218" s="165">
        <v>475</v>
      </c>
      <c r="G218" s="164">
        <v>1000</v>
      </c>
      <c r="H218" s="161" t="s">
        <v>753</v>
      </c>
      <c r="I218" s="162" t="s">
        <v>1254</v>
      </c>
      <c r="J218" s="162" t="s">
        <v>843</v>
      </c>
      <c r="K218" s="162" t="s">
        <v>843</v>
      </c>
    </row>
    <row r="219" spans="1:11">
      <c r="A219" s="161" t="s">
        <v>1302</v>
      </c>
      <c r="B219" s="162" t="s">
        <v>1303</v>
      </c>
      <c r="C219" s="162" t="s">
        <v>856</v>
      </c>
      <c r="D219" s="161" t="s">
        <v>751</v>
      </c>
      <c r="E219" s="161" t="s">
        <v>752</v>
      </c>
      <c r="F219" s="165">
        <v>475</v>
      </c>
      <c r="G219" s="164">
        <v>1</v>
      </c>
      <c r="H219" s="161" t="s">
        <v>752</v>
      </c>
      <c r="I219" s="162" t="s">
        <v>987</v>
      </c>
      <c r="J219" s="162" t="s">
        <v>987</v>
      </c>
      <c r="K219" s="162" t="s">
        <v>987</v>
      </c>
    </row>
    <row r="220" spans="1:11">
      <c r="A220" s="161" t="s">
        <v>1304</v>
      </c>
      <c r="B220" s="162" t="s">
        <v>1305</v>
      </c>
      <c r="C220" s="162" t="s">
        <v>841</v>
      </c>
      <c r="D220" s="161" t="s">
        <v>1306</v>
      </c>
      <c r="E220" s="161" t="s">
        <v>752</v>
      </c>
      <c r="F220" s="165">
        <v>1</v>
      </c>
      <c r="G220" s="164">
        <v>1000</v>
      </c>
      <c r="H220" s="161" t="s">
        <v>753</v>
      </c>
      <c r="I220" s="162" t="s">
        <v>987</v>
      </c>
      <c r="J220" s="162" t="s">
        <v>987</v>
      </c>
      <c r="K220" s="162" t="s">
        <v>987</v>
      </c>
    </row>
    <row r="221" spans="1:11">
      <c r="A221" s="161" t="s">
        <v>1364</v>
      </c>
      <c r="B221" s="162" t="s">
        <v>1365</v>
      </c>
      <c r="C221" s="162" t="s">
        <v>856</v>
      </c>
      <c r="D221" s="161" t="s">
        <v>751</v>
      </c>
      <c r="E221" s="161" t="s">
        <v>752</v>
      </c>
      <c r="F221" s="165">
        <v>1445</v>
      </c>
      <c r="G221" s="164">
        <v>1000</v>
      </c>
      <c r="H221" s="161" t="s">
        <v>753</v>
      </c>
      <c r="I221" s="162" t="s">
        <v>986</v>
      </c>
      <c r="J221" s="162" t="s">
        <v>987</v>
      </c>
      <c r="K221" s="162" t="s">
        <v>987</v>
      </c>
    </row>
    <row r="222" spans="1:11">
      <c r="A222" s="161" t="s">
        <v>1208</v>
      </c>
      <c r="B222" s="162" t="s">
        <v>29</v>
      </c>
      <c r="C222" s="162" t="s">
        <v>28</v>
      </c>
      <c r="D222" s="161" t="s">
        <v>751</v>
      </c>
      <c r="E222" s="161" t="s">
        <v>752</v>
      </c>
      <c r="F222" s="165">
        <v>350</v>
      </c>
      <c r="G222" s="164">
        <v>1000</v>
      </c>
      <c r="H222" s="161" t="s">
        <v>753</v>
      </c>
      <c r="I222" s="162" t="s">
        <v>1254</v>
      </c>
      <c r="J222" s="162" t="s">
        <v>1252</v>
      </c>
      <c r="K222" s="162" t="s">
        <v>1252</v>
      </c>
    </row>
    <row r="223" spans="1:11">
      <c r="A223" s="161" t="s">
        <v>1209</v>
      </c>
      <c r="B223" s="162" t="s">
        <v>30</v>
      </c>
      <c r="C223" s="162" t="s">
        <v>28</v>
      </c>
      <c r="D223" s="161" t="s">
        <v>751</v>
      </c>
      <c r="E223" s="161" t="s">
        <v>752</v>
      </c>
      <c r="F223" s="165">
        <v>350</v>
      </c>
      <c r="G223" s="164">
        <v>1000</v>
      </c>
      <c r="H223" s="161" t="s">
        <v>753</v>
      </c>
      <c r="I223" s="162" t="s">
        <v>1254</v>
      </c>
      <c r="J223" s="162" t="s">
        <v>1252</v>
      </c>
      <c r="K223" s="162" t="s">
        <v>1252</v>
      </c>
    </row>
    <row r="224" spans="1:11">
      <c r="A224" s="161" t="s">
        <v>1307</v>
      </c>
      <c r="B224" s="162" t="s">
        <v>1308</v>
      </c>
      <c r="C224" s="162" t="s">
        <v>1309</v>
      </c>
      <c r="D224" s="161" t="s">
        <v>751</v>
      </c>
      <c r="E224" s="161" t="s">
        <v>752</v>
      </c>
      <c r="F224" s="165">
        <v>323</v>
      </c>
      <c r="G224" s="164">
        <v>1</v>
      </c>
      <c r="H224" s="161" t="s">
        <v>752</v>
      </c>
      <c r="I224" s="162" t="s">
        <v>987</v>
      </c>
      <c r="J224" s="162" t="s">
        <v>987</v>
      </c>
      <c r="K224" s="162" t="s">
        <v>987</v>
      </c>
    </row>
    <row r="225" spans="1:11">
      <c r="A225" s="161" t="s">
        <v>1310</v>
      </c>
      <c r="B225" s="162" t="s">
        <v>1316</v>
      </c>
      <c r="C225" s="162" t="s">
        <v>1309</v>
      </c>
      <c r="D225" s="161" t="s">
        <v>751</v>
      </c>
      <c r="E225" s="161" t="s">
        <v>752</v>
      </c>
      <c r="F225" s="165">
        <v>319</v>
      </c>
      <c r="G225" s="164">
        <v>1</v>
      </c>
      <c r="H225" s="161" t="s">
        <v>752</v>
      </c>
      <c r="I225" s="162" t="s">
        <v>987</v>
      </c>
      <c r="J225" s="162" t="s">
        <v>987</v>
      </c>
      <c r="K225" s="162" t="s">
        <v>987</v>
      </c>
    </row>
    <row r="226" spans="1:11">
      <c r="A226" s="161" t="s">
        <v>1317</v>
      </c>
      <c r="B226" s="162" t="s">
        <v>1318</v>
      </c>
      <c r="C226" s="162" t="s">
        <v>1309</v>
      </c>
      <c r="D226" s="161" t="s">
        <v>751</v>
      </c>
      <c r="E226" s="161" t="s">
        <v>752</v>
      </c>
      <c r="F226" s="165">
        <v>192</v>
      </c>
      <c r="G226" s="164">
        <v>1</v>
      </c>
      <c r="H226" s="161" t="s">
        <v>752</v>
      </c>
      <c r="I226" s="162" t="s">
        <v>987</v>
      </c>
      <c r="J226" s="162" t="s">
        <v>987</v>
      </c>
      <c r="K226" s="162" t="s">
        <v>987</v>
      </c>
    </row>
    <row r="227" spans="1:11">
      <c r="A227" s="161" t="s">
        <v>1319</v>
      </c>
      <c r="B227" s="162" t="s">
        <v>1320</v>
      </c>
      <c r="C227" s="162" t="s">
        <v>1309</v>
      </c>
      <c r="D227" s="161" t="s">
        <v>751</v>
      </c>
      <c r="E227" s="161" t="s">
        <v>752</v>
      </c>
      <c r="F227" s="165">
        <v>192</v>
      </c>
      <c r="G227" s="164">
        <v>1</v>
      </c>
      <c r="H227" s="161" t="s">
        <v>752</v>
      </c>
      <c r="I227" s="162" t="s">
        <v>987</v>
      </c>
      <c r="J227" s="162" t="s">
        <v>987</v>
      </c>
      <c r="K227" s="162" t="s">
        <v>987</v>
      </c>
    </row>
    <row r="228" spans="1:11">
      <c r="A228" s="161" t="s">
        <v>966</v>
      </c>
      <c r="B228" s="162" t="s">
        <v>35</v>
      </c>
      <c r="C228" s="162" t="s">
        <v>36</v>
      </c>
      <c r="D228" s="161" t="s">
        <v>751</v>
      </c>
      <c r="E228" s="161" t="s">
        <v>752</v>
      </c>
      <c r="F228" s="165">
        <v>340</v>
      </c>
      <c r="G228" s="164">
        <v>1000</v>
      </c>
      <c r="H228" s="161" t="s">
        <v>753</v>
      </c>
      <c r="I228" s="162" t="s">
        <v>1254</v>
      </c>
      <c r="J228" s="162" t="s">
        <v>1269</v>
      </c>
      <c r="K228" s="162" t="s">
        <v>1269</v>
      </c>
    </row>
    <row r="229" spans="1:11">
      <c r="A229" s="161" t="s">
        <v>964</v>
      </c>
      <c r="B229" s="162" t="s">
        <v>851</v>
      </c>
      <c r="C229" s="162" t="s">
        <v>46</v>
      </c>
      <c r="D229" s="161" t="s">
        <v>751</v>
      </c>
      <c r="E229" s="161" t="s">
        <v>752</v>
      </c>
      <c r="F229" s="165">
        <v>232.35</v>
      </c>
      <c r="G229" s="164">
        <v>1000</v>
      </c>
      <c r="H229" s="161" t="s">
        <v>753</v>
      </c>
      <c r="I229" s="162" t="s">
        <v>1254</v>
      </c>
      <c r="J229" s="162" t="s">
        <v>840</v>
      </c>
      <c r="K229" s="162" t="s">
        <v>840</v>
      </c>
    </row>
    <row r="230" spans="1:11">
      <c r="A230" s="161" t="s">
        <v>1321</v>
      </c>
      <c r="B230" s="162" t="s">
        <v>1322</v>
      </c>
      <c r="C230" s="162" t="s">
        <v>492</v>
      </c>
      <c r="D230" s="161" t="s">
        <v>493</v>
      </c>
      <c r="E230" s="161" t="s">
        <v>752</v>
      </c>
      <c r="F230" s="165">
        <v>48</v>
      </c>
      <c r="G230" s="164">
        <v>1000</v>
      </c>
      <c r="H230" s="161" t="s">
        <v>753</v>
      </c>
      <c r="I230" s="162" t="s">
        <v>987</v>
      </c>
      <c r="J230" s="162" t="s">
        <v>987</v>
      </c>
      <c r="K230" s="162" t="s">
        <v>987</v>
      </c>
    </row>
    <row r="231" spans="1:11">
      <c r="A231" s="161" t="s">
        <v>965</v>
      </c>
      <c r="B231" s="162" t="s">
        <v>37</v>
      </c>
      <c r="C231" s="162" t="s">
        <v>38</v>
      </c>
      <c r="D231" s="161" t="s">
        <v>751</v>
      </c>
      <c r="E231" s="161" t="s">
        <v>752</v>
      </c>
      <c r="F231" s="165">
        <v>209</v>
      </c>
      <c r="G231" s="164">
        <v>1000</v>
      </c>
      <c r="H231" s="161" t="s">
        <v>753</v>
      </c>
      <c r="I231" s="162" t="s">
        <v>1254</v>
      </c>
      <c r="J231" s="162" t="s">
        <v>840</v>
      </c>
      <c r="K231" s="162" t="s">
        <v>840</v>
      </c>
    </row>
    <row r="232" spans="1:11">
      <c r="A232" s="161" t="s">
        <v>967</v>
      </c>
      <c r="B232" s="162" t="s">
        <v>67</v>
      </c>
      <c r="C232" s="162" t="s">
        <v>968</v>
      </c>
      <c r="D232" s="161" t="s">
        <v>751</v>
      </c>
      <c r="E232" s="161" t="s">
        <v>752</v>
      </c>
      <c r="F232" s="165">
        <v>157.25</v>
      </c>
      <c r="G232" s="164">
        <v>1000</v>
      </c>
      <c r="H232" s="161" t="s">
        <v>753</v>
      </c>
      <c r="I232" s="162" t="s">
        <v>1254</v>
      </c>
      <c r="J232" s="162" t="s">
        <v>1252</v>
      </c>
      <c r="K232" s="162" t="s">
        <v>1252</v>
      </c>
    </row>
    <row r="233" spans="1:11">
      <c r="A233" s="161" t="s">
        <v>969</v>
      </c>
      <c r="B233" s="162" t="s">
        <v>1253</v>
      </c>
      <c r="C233" s="162" t="s">
        <v>1255</v>
      </c>
      <c r="D233" s="161" t="s">
        <v>751</v>
      </c>
      <c r="E233" s="161" t="s">
        <v>752</v>
      </c>
      <c r="F233" s="165">
        <v>350</v>
      </c>
      <c r="G233" s="164">
        <v>1000</v>
      </c>
      <c r="H233" s="161" t="s">
        <v>753</v>
      </c>
      <c r="I233" s="162" t="s">
        <v>1254</v>
      </c>
      <c r="J233" s="162" t="s">
        <v>1252</v>
      </c>
      <c r="K233" s="162" t="s">
        <v>1252</v>
      </c>
    </row>
    <row r="234" spans="1:11">
      <c r="A234" s="161" t="s">
        <v>970</v>
      </c>
      <c r="B234" s="162" t="s">
        <v>1256</v>
      </c>
      <c r="C234" s="162" t="s">
        <v>1255</v>
      </c>
      <c r="D234" s="161" t="s">
        <v>751</v>
      </c>
      <c r="E234" s="161" t="s">
        <v>752</v>
      </c>
      <c r="F234" s="165">
        <v>350</v>
      </c>
      <c r="G234" s="164">
        <v>1000</v>
      </c>
      <c r="H234" s="161" t="s">
        <v>753</v>
      </c>
      <c r="I234" s="162" t="s">
        <v>1254</v>
      </c>
      <c r="J234" s="162" t="s">
        <v>1252</v>
      </c>
      <c r="K234" s="162" t="s">
        <v>1252</v>
      </c>
    </row>
    <row r="235" spans="1:11">
      <c r="A235" s="161" t="s">
        <v>971</v>
      </c>
      <c r="B235" s="162" t="s">
        <v>1257</v>
      </c>
      <c r="C235" s="162" t="s">
        <v>1323</v>
      </c>
      <c r="D235" s="161" t="s">
        <v>751</v>
      </c>
      <c r="E235" s="161" t="s">
        <v>752</v>
      </c>
      <c r="F235" s="165">
        <v>255</v>
      </c>
      <c r="G235" s="164">
        <v>1000</v>
      </c>
      <c r="H235" s="161" t="s">
        <v>753</v>
      </c>
      <c r="I235" s="162" t="s">
        <v>1254</v>
      </c>
      <c r="J235" s="162" t="s">
        <v>1252</v>
      </c>
      <c r="K235" s="162" t="s">
        <v>1252</v>
      </c>
    </row>
    <row r="236" spans="1:11">
      <c r="A236" s="161" t="s">
        <v>972</v>
      </c>
      <c r="B236" s="162" t="s">
        <v>1258</v>
      </c>
      <c r="C236" s="162" t="s">
        <v>1255</v>
      </c>
      <c r="D236" s="161" t="s">
        <v>751</v>
      </c>
      <c r="E236" s="161" t="s">
        <v>752</v>
      </c>
      <c r="F236" s="165">
        <v>255</v>
      </c>
      <c r="G236" s="164">
        <v>1000</v>
      </c>
      <c r="H236" s="161" t="s">
        <v>753</v>
      </c>
      <c r="I236" s="162" t="s">
        <v>1254</v>
      </c>
      <c r="J236" s="162" t="s">
        <v>1252</v>
      </c>
      <c r="K236" s="162" t="s">
        <v>1252</v>
      </c>
    </row>
    <row r="237" spans="1:11">
      <c r="A237" s="161" t="s">
        <v>973</v>
      </c>
      <c r="B237" s="162" t="s">
        <v>1259</v>
      </c>
      <c r="C237" s="162" t="s">
        <v>1255</v>
      </c>
      <c r="D237" s="161" t="s">
        <v>751</v>
      </c>
      <c r="E237" s="161" t="s">
        <v>752</v>
      </c>
      <c r="F237" s="165">
        <v>350</v>
      </c>
      <c r="G237" s="164">
        <v>1000</v>
      </c>
      <c r="H237" s="161" t="s">
        <v>753</v>
      </c>
      <c r="I237" s="162" t="s">
        <v>1254</v>
      </c>
      <c r="J237" s="162" t="s">
        <v>1260</v>
      </c>
      <c r="K237" s="162" t="s">
        <v>1260</v>
      </c>
    </row>
    <row r="238" spans="1:11">
      <c r="A238" s="161" t="s">
        <v>974</v>
      </c>
      <c r="B238" s="162" t="s">
        <v>1261</v>
      </c>
      <c r="C238" s="162" t="s">
        <v>1323</v>
      </c>
      <c r="D238" s="161" t="s">
        <v>751</v>
      </c>
      <c r="E238" s="161" t="s">
        <v>752</v>
      </c>
      <c r="F238" s="165">
        <v>462</v>
      </c>
      <c r="G238" s="164">
        <v>1000</v>
      </c>
      <c r="H238" s="161" t="s">
        <v>753</v>
      </c>
      <c r="I238" s="162" t="s">
        <v>1254</v>
      </c>
      <c r="J238" s="162" t="s">
        <v>1260</v>
      </c>
      <c r="K238" s="162" t="s">
        <v>1260</v>
      </c>
    </row>
    <row r="239" spans="1:11">
      <c r="A239" s="161" t="s">
        <v>975</v>
      </c>
      <c r="B239" s="162" t="s">
        <v>1262</v>
      </c>
      <c r="C239" s="162" t="s">
        <v>1323</v>
      </c>
      <c r="D239" s="161" t="s">
        <v>751</v>
      </c>
      <c r="E239" s="161" t="s">
        <v>752</v>
      </c>
      <c r="F239" s="165">
        <v>462</v>
      </c>
      <c r="G239" s="164">
        <v>1000</v>
      </c>
      <c r="H239" s="161" t="s">
        <v>753</v>
      </c>
      <c r="I239" s="162" t="s">
        <v>1254</v>
      </c>
      <c r="J239" s="162" t="s">
        <v>1260</v>
      </c>
      <c r="K239" s="162" t="s">
        <v>1260</v>
      </c>
    </row>
    <row r="240" spans="1:11">
      <c r="A240" s="161" t="s">
        <v>976</v>
      </c>
      <c r="B240" s="162" t="s">
        <v>1263</v>
      </c>
      <c r="C240" s="162" t="s">
        <v>1255</v>
      </c>
      <c r="D240" s="161" t="s">
        <v>751</v>
      </c>
      <c r="E240" s="161" t="s">
        <v>752</v>
      </c>
      <c r="F240" s="165">
        <v>397</v>
      </c>
      <c r="G240" s="164">
        <v>1000</v>
      </c>
      <c r="H240" s="161" t="s">
        <v>753</v>
      </c>
      <c r="I240" s="162" t="s">
        <v>1254</v>
      </c>
      <c r="J240" s="162" t="s">
        <v>1264</v>
      </c>
      <c r="K240" s="162" t="s">
        <v>1264</v>
      </c>
    </row>
    <row r="241" spans="1:11">
      <c r="A241" s="161" t="s">
        <v>977</v>
      </c>
      <c r="B241" s="162" t="s">
        <v>1265</v>
      </c>
      <c r="C241" s="162" t="s">
        <v>1255</v>
      </c>
      <c r="D241" s="161" t="s">
        <v>751</v>
      </c>
      <c r="E241" s="161" t="s">
        <v>752</v>
      </c>
      <c r="F241" s="165">
        <v>1747</v>
      </c>
      <c r="G241" s="164">
        <v>1000</v>
      </c>
      <c r="H241" s="161" t="s">
        <v>753</v>
      </c>
      <c r="I241" s="162" t="s">
        <v>1254</v>
      </c>
      <c r="J241" s="162" t="s">
        <v>1266</v>
      </c>
      <c r="K241" s="162" t="s">
        <v>1266</v>
      </c>
    </row>
    <row r="242" spans="1:11">
      <c r="A242" s="161" t="s">
        <v>1324</v>
      </c>
      <c r="B242" s="162" t="s">
        <v>1325</v>
      </c>
      <c r="C242" s="162" t="s">
        <v>841</v>
      </c>
      <c r="D242" s="161" t="s">
        <v>1326</v>
      </c>
      <c r="E242" s="161" t="s">
        <v>752</v>
      </c>
      <c r="F242" s="165">
        <v>459.85</v>
      </c>
      <c r="G242" s="164">
        <v>1</v>
      </c>
      <c r="H242" s="161" t="s">
        <v>466</v>
      </c>
      <c r="I242" s="162" t="s">
        <v>987</v>
      </c>
      <c r="J242" s="162" t="s">
        <v>467</v>
      </c>
      <c r="K242" s="162" t="s">
        <v>467</v>
      </c>
    </row>
    <row r="243" spans="1:11">
      <c r="A243" s="161" t="s">
        <v>978</v>
      </c>
      <c r="B243" s="162" t="s">
        <v>838</v>
      </c>
      <c r="C243" s="162" t="s">
        <v>1273</v>
      </c>
      <c r="D243" s="161" t="s">
        <v>751</v>
      </c>
      <c r="E243" s="161" t="s">
        <v>752</v>
      </c>
      <c r="F243" s="165">
        <v>2440</v>
      </c>
      <c r="G243" s="164">
        <v>1000</v>
      </c>
      <c r="H243" s="161" t="s">
        <v>753</v>
      </c>
      <c r="I243" s="162" t="s">
        <v>1254</v>
      </c>
      <c r="J243" s="162" t="s">
        <v>1252</v>
      </c>
      <c r="K243" s="162" t="s">
        <v>1252</v>
      </c>
    </row>
    <row r="244" spans="1:11">
      <c r="A244" s="161" t="s">
        <v>979</v>
      </c>
      <c r="B244" s="162" t="s">
        <v>57</v>
      </c>
      <c r="C244" s="162" t="s">
        <v>46</v>
      </c>
      <c r="D244" s="161" t="s">
        <v>751</v>
      </c>
      <c r="E244" s="161" t="s">
        <v>752</v>
      </c>
      <c r="F244" s="165">
        <v>575</v>
      </c>
      <c r="G244" s="164">
        <v>1000</v>
      </c>
      <c r="H244" s="161" t="s">
        <v>753</v>
      </c>
      <c r="I244" s="162" t="s">
        <v>1254</v>
      </c>
      <c r="J244" s="162" t="s">
        <v>843</v>
      </c>
      <c r="K244" s="162" t="s">
        <v>843</v>
      </c>
    </row>
    <row r="245" spans="1:11">
      <c r="A245" s="161" t="s">
        <v>980</v>
      </c>
      <c r="B245" s="162" t="s">
        <v>58</v>
      </c>
      <c r="C245" s="162" t="s">
        <v>46</v>
      </c>
      <c r="D245" s="161" t="s">
        <v>751</v>
      </c>
      <c r="E245" s="161" t="s">
        <v>752</v>
      </c>
      <c r="F245" s="165">
        <v>575</v>
      </c>
      <c r="G245" s="164">
        <v>1000</v>
      </c>
      <c r="H245" s="161" t="s">
        <v>753</v>
      </c>
      <c r="I245" s="162" t="s">
        <v>1254</v>
      </c>
      <c r="J245" s="162" t="s">
        <v>843</v>
      </c>
      <c r="K245" s="162" t="s">
        <v>843</v>
      </c>
    </row>
    <row r="246" spans="1:11">
      <c r="A246" s="161" t="s">
        <v>981</v>
      </c>
      <c r="B246" s="162" t="s">
        <v>59</v>
      </c>
      <c r="C246" s="162" t="s">
        <v>46</v>
      </c>
      <c r="D246" s="161" t="s">
        <v>751</v>
      </c>
      <c r="E246" s="161" t="s">
        <v>752</v>
      </c>
      <c r="F246" s="165">
        <v>575</v>
      </c>
      <c r="G246" s="164">
        <v>1000</v>
      </c>
      <c r="H246" s="161" t="s">
        <v>753</v>
      </c>
      <c r="I246" s="162" t="s">
        <v>1254</v>
      </c>
      <c r="J246" s="162" t="s">
        <v>843</v>
      </c>
      <c r="K246" s="162" t="s">
        <v>843</v>
      </c>
    </row>
    <row r="247" spans="1:11">
      <c r="A247" s="161" t="s">
        <v>982</v>
      </c>
      <c r="B247" s="162" t="s">
        <v>60</v>
      </c>
      <c r="C247" s="162" t="s">
        <v>46</v>
      </c>
      <c r="D247" s="161" t="s">
        <v>751</v>
      </c>
      <c r="E247" s="161" t="s">
        <v>752</v>
      </c>
      <c r="F247" s="165">
        <v>575</v>
      </c>
      <c r="G247" s="164">
        <v>1000</v>
      </c>
      <c r="H247" s="161" t="s">
        <v>753</v>
      </c>
      <c r="I247" s="162" t="s">
        <v>1254</v>
      </c>
      <c r="J247" s="162" t="s">
        <v>843</v>
      </c>
      <c r="K247" s="162" t="s">
        <v>843</v>
      </c>
    </row>
    <row r="248" spans="1:11">
      <c r="A248" s="161" t="s">
        <v>983</v>
      </c>
      <c r="B248" s="162" t="s">
        <v>1268</v>
      </c>
      <c r="C248" s="162" t="s">
        <v>1267</v>
      </c>
      <c r="D248" s="161" t="s">
        <v>751</v>
      </c>
      <c r="E248" s="161" t="s">
        <v>752</v>
      </c>
      <c r="F248" s="165">
        <v>325</v>
      </c>
      <c r="G248" s="164">
        <v>1000</v>
      </c>
      <c r="H248" s="161" t="s">
        <v>753</v>
      </c>
      <c r="I248" s="162" t="s">
        <v>1254</v>
      </c>
      <c r="J248" s="162" t="s">
        <v>1269</v>
      </c>
      <c r="K248" s="162" t="s">
        <v>1269</v>
      </c>
    </row>
    <row r="249" spans="1:11">
      <c r="A249" s="161" t="s">
        <v>1327</v>
      </c>
      <c r="B249" s="162" t="s">
        <v>1328</v>
      </c>
      <c r="C249" s="162" t="s">
        <v>492</v>
      </c>
      <c r="D249" s="161" t="s">
        <v>493</v>
      </c>
      <c r="E249" s="161" t="s">
        <v>752</v>
      </c>
      <c r="F249" s="165">
        <v>47</v>
      </c>
      <c r="G249" s="164">
        <v>1</v>
      </c>
      <c r="H249" s="161" t="s">
        <v>752</v>
      </c>
      <c r="I249" s="162" t="s">
        <v>987</v>
      </c>
      <c r="J249" s="162" t="s">
        <v>987</v>
      </c>
      <c r="K249" s="162" t="s">
        <v>987</v>
      </c>
    </row>
    <row r="250" spans="1:11">
      <c r="A250" s="161" t="s">
        <v>1329</v>
      </c>
      <c r="B250" s="162" t="s">
        <v>1330</v>
      </c>
      <c r="C250" s="162" t="s">
        <v>492</v>
      </c>
      <c r="D250" s="161" t="s">
        <v>493</v>
      </c>
      <c r="E250" s="161" t="s">
        <v>752</v>
      </c>
      <c r="F250" s="165">
        <v>47</v>
      </c>
      <c r="G250" s="164">
        <v>1</v>
      </c>
      <c r="H250" s="161" t="s">
        <v>752</v>
      </c>
      <c r="I250" s="162" t="s">
        <v>987</v>
      </c>
      <c r="J250" s="162" t="s">
        <v>987</v>
      </c>
      <c r="K250" s="162" t="s">
        <v>987</v>
      </c>
    </row>
    <row r="251" spans="1:11">
      <c r="A251" s="161" t="s">
        <v>1366</v>
      </c>
      <c r="B251" s="162" t="s">
        <v>1367</v>
      </c>
      <c r="C251" s="162" t="s">
        <v>28</v>
      </c>
      <c r="D251" s="161" t="s">
        <v>751</v>
      </c>
      <c r="E251" s="161" t="s">
        <v>752</v>
      </c>
      <c r="F251" s="165">
        <v>1800</v>
      </c>
      <c r="G251" s="164">
        <v>1000</v>
      </c>
      <c r="H251" s="161" t="s">
        <v>753</v>
      </c>
      <c r="I251" s="162" t="s">
        <v>986</v>
      </c>
      <c r="J251" s="162" t="s">
        <v>987</v>
      </c>
      <c r="K251" s="162" t="s">
        <v>987</v>
      </c>
    </row>
    <row r="252" spans="1:11">
      <c r="A252" s="161" t="s">
        <v>1331</v>
      </c>
      <c r="B252" s="162" t="s">
        <v>1332</v>
      </c>
      <c r="C252" s="162" t="s">
        <v>1333</v>
      </c>
      <c r="D252" s="161" t="s">
        <v>493</v>
      </c>
      <c r="E252" s="161" t="s">
        <v>752</v>
      </c>
      <c r="F252" s="165">
        <v>50</v>
      </c>
      <c r="G252" s="164">
        <v>1</v>
      </c>
      <c r="H252" s="161" t="s">
        <v>752</v>
      </c>
      <c r="I252" s="162" t="s">
        <v>987</v>
      </c>
      <c r="J252" s="162" t="s">
        <v>987</v>
      </c>
      <c r="K252" s="162" t="s">
        <v>987</v>
      </c>
    </row>
    <row r="253" spans="1:11">
      <c r="A253" s="161" t="s">
        <v>1334</v>
      </c>
      <c r="B253" s="162" t="s">
        <v>1335</v>
      </c>
      <c r="C253" s="162" t="s">
        <v>1281</v>
      </c>
      <c r="D253" s="161" t="s">
        <v>493</v>
      </c>
      <c r="E253" s="161" t="s">
        <v>752</v>
      </c>
      <c r="F253" s="165">
        <v>30</v>
      </c>
      <c r="G253" s="164">
        <v>1000</v>
      </c>
      <c r="H253" s="161" t="s">
        <v>753</v>
      </c>
      <c r="I253" s="162" t="s">
        <v>987</v>
      </c>
      <c r="J253" s="162" t="s">
        <v>987</v>
      </c>
      <c r="K253" s="162" t="s">
        <v>987</v>
      </c>
    </row>
    <row r="254" spans="1:11">
      <c r="A254" s="161" t="s">
        <v>1336</v>
      </c>
      <c r="B254" s="162" t="s">
        <v>1337</v>
      </c>
      <c r="C254" s="162" t="s">
        <v>1281</v>
      </c>
      <c r="D254" s="161" t="s">
        <v>493</v>
      </c>
      <c r="E254" s="161" t="s">
        <v>752</v>
      </c>
      <c r="F254" s="165">
        <v>50</v>
      </c>
      <c r="G254" s="164">
        <v>1</v>
      </c>
      <c r="H254" s="161" t="s">
        <v>752</v>
      </c>
      <c r="I254" s="162" t="s">
        <v>987</v>
      </c>
      <c r="J254" s="162" t="s">
        <v>987</v>
      </c>
      <c r="K254" s="162" t="s">
        <v>987</v>
      </c>
    </row>
    <row r="255" spans="1:11">
      <c r="A255" s="161" t="s">
        <v>1209</v>
      </c>
      <c r="B255" s="162" t="s">
        <v>30</v>
      </c>
      <c r="C255" s="162" t="s">
        <v>28</v>
      </c>
      <c r="D255" s="161" t="s">
        <v>751</v>
      </c>
      <c r="E255" s="161" t="s">
        <v>752</v>
      </c>
      <c r="F255" s="165">
        <v>350</v>
      </c>
      <c r="G255" s="164">
        <v>1000</v>
      </c>
      <c r="H255" s="161" t="s">
        <v>753</v>
      </c>
      <c r="I255" s="162" t="s">
        <v>1254</v>
      </c>
      <c r="J255" s="162" t="s">
        <v>1252</v>
      </c>
      <c r="K255" s="162" t="s">
        <v>1252</v>
      </c>
    </row>
    <row r="256" spans="1:11">
      <c r="A256" s="161" t="s">
        <v>1307</v>
      </c>
      <c r="B256" s="162" t="s">
        <v>1308</v>
      </c>
      <c r="C256" s="162" t="s">
        <v>1309</v>
      </c>
      <c r="D256" s="161" t="s">
        <v>751</v>
      </c>
      <c r="E256" s="161" t="s">
        <v>752</v>
      </c>
      <c r="F256" s="165">
        <v>323</v>
      </c>
      <c r="G256" s="164">
        <v>1</v>
      </c>
      <c r="H256" s="161" t="s">
        <v>752</v>
      </c>
      <c r="I256" s="162" t="s">
        <v>987</v>
      </c>
      <c r="J256" s="162" t="s">
        <v>987</v>
      </c>
      <c r="K256" s="162" t="s">
        <v>987</v>
      </c>
    </row>
    <row r="257" spans="1:11">
      <c r="A257" s="161" t="s">
        <v>1310</v>
      </c>
      <c r="B257" s="162" t="s">
        <v>1316</v>
      </c>
      <c r="C257" s="162" t="s">
        <v>1309</v>
      </c>
      <c r="D257" s="161" t="s">
        <v>751</v>
      </c>
      <c r="E257" s="161" t="s">
        <v>752</v>
      </c>
      <c r="F257" s="165">
        <v>319</v>
      </c>
      <c r="G257" s="164">
        <v>1</v>
      </c>
      <c r="H257" s="161" t="s">
        <v>752</v>
      </c>
      <c r="I257" s="162" t="s">
        <v>987</v>
      </c>
      <c r="J257" s="162" t="s">
        <v>987</v>
      </c>
      <c r="K257" s="162" t="s">
        <v>987</v>
      </c>
    </row>
    <row r="258" spans="1:11">
      <c r="A258" s="161" t="s">
        <v>1317</v>
      </c>
      <c r="B258" s="162" t="s">
        <v>1318</v>
      </c>
      <c r="C258" s="162" t="s">
        <v>1309</v>
      </c>
      <c r="D258" s="161" t="s">
        <v>751</v>
      </c>
      <c r="E258" s="161" t="s">
        <v>752</v>
      </c>
      <c r="F258" s="165">
        <v>192</v>
      </c>
      <c r="G258" s="164">
        <v>1</v>
      </c>
      <c r="H258" s="161" t="s">
        <v>752</v>
      </c>
      <c r="I258" s="162" t="s">
        <v>987</v>
      </c>
      <c r="J258" s="162" t="s">
        <v>987</v>
      </c>
      <c r="K258" s="162" t="s">
        <v>987</v>
      </c>
    </row>
    <row r="259" spans="1:11">
      <c r="A259" s="161" t="s">
        <v>1319</v>
      </c>
      <c r="B259" s="162" t="s">
        <v>1320</v>
      </c>
      <c r="C259" s="162" t="s">
        <v>1309</v>
      </c>
      <c r="D259" s="161" t="s">
        <v>751</v>
      </c>
      <c r="E259" s="161" t="s">
        <v>752</v>
      </c>
      <c r="F259" s="165">
        <v>192</v>
      </c>
      <c r="G259" s="164">
        <v>1</v>
      </c>
      <c r="H259" s="161" t="s">
        <v>752</v>
      </c>
      <c r="I259" s="162" t="s">
        <v>987</v>
      </c>
      <c r="J259" s="162" t="s">
        <v>987</v>
      </c>
      <c r="K259" s="162" t="s">
        <v>987</v>
      </c>
    </row>
    <row r="260" spans="1:11">
      <c r="A260" s="161" t="s">
        <v>966</v>
      </c>
      <c r="B260" s="162" t="s">
        <v>35</v>
      </c>
      <c r="C260" s="162" t="s">
        <v>36</v>
      </c>
      <c r="D260" s="161" t="s">
        <v>751</v>
      </c>
      <c r="E260" s="161" t="s">
        <v>752</v>
      </c>
      <c r="F260" s="165">
        <v>340</v>
      </c>
      <c r="G260" s="164">
        <v>1000</v>
      </c>
      <c r="H260" s="161" t="s">
        <v>753</v>
      </c>
      <c r="I260" s="162" t="s">
        <v>1254</v>
      </c>
      <c r="J260" s="162" t="s">
        <v>1269</v>
      </c>
      <c r="K260" s="162" t="s">
        <v>1269</v>
      </c>
    </row>
    <row r="261" spans="1:11">
      <c r="A261" s="161" t="s">
        <v>964</v>
      </c>
      <c r="B261" s="162" t="s">
        <v>851</v>
      </c>
      <c r="C261" s="162" t="s">
        <v>46</v>
      </c>
      <c r="D261" s="161" t="s">
        <v>751</v>
      </c>
      <c r="E261" s="161" t="s">
        <v>752</v>
      </c>
      <c r="F261" s="165">
        <v>232.35</v>
      </c>
      <c r="G261" s="164">
        <v>1000</v>
      </c>
      <c r="H261" s="161" t="s">
        <v>753</v>
      </c>
      <c r="I261" s="162" t="s">
        <v>1254</v>
      </c>
      <c r="J261" s="162" t="s">
        <v>840</v>
      </c>
      <c r="K261" s="162" t="s">
        <v>840</v>
      </c>
    </row>
    <row r="262" spans="1:11">
      <c r="A262" s="161" t="s">
        <v>1321</v>
      </c>
      <c r="B262" s="162" t="s">
        <v>1322</v>
      </c>
      <c r="C262" s="162" t="s">
        <v>492</v>
      </c>
      <c r="D262" s="161" t="s">
        <v>493</v>
      </c>
      <c r="E262" s="161" t="s">
        <v>752</v>
      </c>
      <c r="F262" s="165">
        <v>48</v>
      </c>
      <c r="G262" s="164">
        <v>1000</v>
      </c>
      <c r="H262" s="161" t="s">
        <v>753</v>
      </c>
      <c r="I262" s="162" t="s">
        <v>987</v>
      </c>
      <c r="J262" s="162" t="s">
        <v>987</v>
      </c>
      <c r="K262" s="162" t="s">
        <v>987</v>
      </c>
    </row>
    <row r="263" spans="1:11">
      <c r="A263" s="161" t="s">
        <v>965</v>
      </c>
      <c r="B263" s="162" t="s">
        <v>37</v>
      </c>
      <c r="C263" s="162" t="s">
        <v>38</v>
      </c>
      <c r="D263" s="161" t="s">
        <v>751</v>
      </c>
      <c r="E263" s="161" t="s">
        <v>752</v>
      </c>
      <c r="F263" s="165">
        <v>209</v>
      </c>
      <c r="G263" s="164">
        <v>1000</v>
      </c>
      <c r="H263" s="161" t="s">
        <v>753</v>
      </c>
      <c r="I263" s="162" t="s">
        <v>1254</v>
      </c>
      <c r="J263" s="162" t="s">
        <v>840</v>
      </c>
      <c r="K263" s="162" t="s">
        <v>840</v>
      </c>
    </row>
    <row r="264" spans="1:11">
      <c r="A264" s="161" t="s">
        <v>967</v>
      </c>
      <c r="B264" s="162" t="s">
        <v>67</v>
      </c>
      <c r="C264" s="162" t="s">
        <v>968</v>
      </c>
      <c r="D264" s="161" t="s">
        <v>751</v>
      </c>
      <c r="E264" s="161" t="s">
        <v>752</v>
      </c>
      <c r="F264" s="165">
        <v>157.25</v>
      </c>
      <c r="G264" s="164">
        <v>1000</v>
      </c>
      <c r="H264" s="161" t="s">
        <v>753</v>
      </c>
      <c r="I264" s="162" t="s">
        <v>1254</v>
      </c>
      <c r="J264" s="162" t="s">
        <v>1252</v>
      </c>
      <c r="K264" s="162" t="s">
        <v>1252</v>
      </c>
    </row>
    <row r="265" spans="1:11">
      <c r="A265" s="161" t="s">
        <v>969</v>
      </c>
      <c r="B265" s="162" t="s">
        <v>1253</v>
      </c>
      <c r="C265" s="162" t="s">
        <v>1255</v>
      </c>
      <c r="D265" s="161" t="s">
        <v>751</v>
      </c>
      <c r="E265" s="161" t="s">
        <v>752</v>
      </c>
      <c r="F265" s="165">
        <v>350</v>
      </c>
      <c r="G265" s="164">
        <v>1000</v>
      </c>
      <c r="H265" s="161" t="s">
        <v>753</v>
      </c>
      <c r="I265" s="162" t="s">
        <v>1254</v>
      </c>
      <c r="J265" s="162" t="s">
        <v>1252</v>
      </c>
      <c r="K265" s="162" t="s">
        <v>1252</v>
      </c>
    </row>
    <row r="266" spans="1:11">
      <c r="A266" s="161" t="s">
        <v>970</v>
      </c>
      <c r="B266" s="162" t="s">
        <v>1256</v>
      </c>
      <c r="C266" s="162" t="s">
        <v>1255</v>
      </c>
      <c r="D266" s="161" t="s">
        <v>751</v>
      </c>
      <c r="E266" s="161" t="s">
        <v>752</v>
      </c>
      <c r="F266" s="165">
        <v>350</v>
      </c>
      <c r="G266" s="164">
        <v>1000</v>
      </c>
      <c r="H266" s="161" t="s">
        <v>753</v>
      </c>
      <c r="I266" s="162" t="s">
        <v>1254</v>
      </c>
      <c r="J266" s="162" t="s">
        <v>1252</v>
      </c>
      <c r="K266" s="162" t="s">
        <v>1252</v>
      </c>
    </row>
    <row r="267" spans="1:11">
      <c r="A267" s="161" t="s">
        <v>971</v>
      </c>
      <c r="B267" s="162" t="s">
        <v>1257</v>
      </c>
      <c r="C267" s="162" t="s">
        <v>1323</v>
      </c>
      <c r="D267" s="161" t="s">
        <v>751</v>
      </c>
      <c r="E267" s="161" t="s">
        <v>752</v>
      </c>
      <c r="F267" s="165">
        <v>255</v>
      </c>
      <c r="G267" s="164">
        <v>1000</v>
      </c>
      <c r="H267" s="161" t="s">
        <v>753</v>
      </c>
      <c r="I267" s="162" t="s">
        <v>1254</v>
      </c>
      <c r="J267" s="162" t="s">
        <v>1252</v>
      </c>
      <c r="K267" s="162" t="s">
        <v>1252</v>
      </c>
    </row>
    <row r="268" spans="1:11">
      <c r="A268" s="161" t="s">
        <v>972</v>
      </c>
      <c r="B268" s="162" t="s">
        <v>1258</v>
      </c>
      <c r="C268" s="162" t="s">
        <v>1255</v>
      </c>
      <c r="D268" s="161" t="s">
        <v>751</v>
      </c>
      <c r="E268" s="161" t="s">
        <v>752</v>
      </c>
      <c r="F268" s="165">
        <v>255</v>
      </c>
      <c r="G268" s="164">
        <v>1000</v>
      </c>
      <c r="H268" s="161" t="s">
        <v>753</v>
      </c>
      <c r="I268" s="162" t="s">
        <v>1254</v>
      </c>
      <c r="J268" s="162" t="s">
        <v>1252</v>
      </c>
      <c r="K268" s="162" t="s">
        <v>1252</v>
      </c>
    </row>
    <row r="269" spans="1:11">
      <c r="A269" s="161" t="s">
        <v>973</v>
      </c>
      <c r="B269" s="162" t="s">
        <v>1259</v>
      </c>
      <c r="C269" s="162" t="s">
        <v>1255</v>
      </c>
      <c r="D269" s="161" t="s">
        <v>751</v>
      </c>
      <c r="E269" s="161" t="s">
        <v>752</v>
      </c>
      <c r="F269" s="165">
        <v>350</v>
      </c>
      <c r="G269" s="164">
        <v>1000</v>
      </c>
      <c r="H269" s="161" t="s">
        <v>753</v>
      </c>
      <c r="I269" s="162" t="s">
        <v>1254</v>
      </c>
      <c r="J269" s="162" t="s">
        <v>1260</v>
      </c>
      <c r="K269" s="162" t="s">
        <v>1260</v>
      </c>
    </row>
    <row r="270" spans="1:11">
      <c r="A270" s="161" t="s">
        <v>974</v>
      </c>
      <c r="B270" s="162" t="s">
        <v>1261</v>
      </c>
      <c r="C270" s="162" t="s">
        <v>1323</v>
      </c>
      <c r="D270" s="161" t="s">
        <v>751</v>
      </c>
      <c r="E270" s="161" t="s">
        <v>752</v>
      </c>
      <c r="F270" s="165">
        <v>462</v>
      </c>
      <c r="G270" s="164">
        <v>1000</v>
      </c>
      <c r="H270" s="161" t="s">
        <v>753</v>
      </c>
      <c r="I270" s="162" t="s">
        <v>1254</v>
      </c>
      <c r="J270" s="162" t="s">
        <v>1260</v>
      </c>
      <c r="K270" s="162" t="s">
        <v>1260</v>
      </c>
    </row>
    <row r="271" spans="1:11">
      <c r="A271" s="161" t="s">
        <v>975</v>
      </c>
      <c r="B271" s="162" t="s">
        <v>1262</v>
      </c>
      <c r="C271" s="162" t="s">
        <v>1323</v>
      </c>
      <c r="D271" s="161" t="s">
        <v>751</v>
      </c>
      <c r="E271" s="161" t="s">
        <v>752</v>
      </c>
      <c r="F271" s="165">
        <v>462</v>
      </c>
      <c r="G271" s="164">
        <v>1000</v>
      </c>
      <c r="H271" s="161" t="s">
        <v>753</v>
      </c>
      <c r="I271" s="162" t="s">
        <v>1254</v>
      </c>
      <c r="J271" s="162" t="s">
        <v>1260</v>
      </c>
      <c r="K271" s="162" t="s">
        <v>1260</v>
      </c>
    </row>
    <row r="272" spans="1:11">
      <c r="A272" s="161" t="s">
        <v>976</v>
      </c>
      <c r="B272" s="162" t="s">
        <v>1263</v>
      </c>
      <c r="C272" s="162" t="s">
        <v>1255</v>
      </c>
      <c r="D272" s="161" t="s">
        <v>751</v>
      </c>
      <c r="E272" s="161" t="s">
        <v>752</v>
      </c>
      <c r="F272" s="165">
        <v>397</v>
      </c>
      <c r="G272" s="164">
        <v>1000</v>
      </c>
      <c r="H272" s="161" t="s">
        <v>753</v>
      </c>
      <c r="I272" s="162" t="s">
        <v>1254</v>
      </c>
      <c r="J272" s="162" t="s">
        <v>1264</v>
      </c>
      <c r="K272" s="162" t="s">
        <v>1264</v>
      </c>
    </row>
    <row r="273" spans="1:11">
      <c r="A273" s="161" t="s">
        <v>977</v>
      </c>
      <c r="B273" s="162" t="s">
        <v>1265</v>
      </c>
      <c r="C273" s="162" t="s">
        <v>1255</v>
      </c>
      <c r="D273" s="161" t="s">
        <v>751</v>
      </c>
      <c r="E273" s="161" t="s">
        <v>752</v>
      </c>
      <c r="F273" s="165">
        <v>1747</v>
      </c>
      <c r="G273" s="164">
        <v>1000</v>
      </c>
      <c r="H273" s="161" t="s">
        <v>753</v>
      </c>
      <c r="I273" s="162" t="s">
        <v>1254</v>
      </c>
      <c r="J273" s="162" t="s">
        <v>1266</v>
      </c>
      <c r="K273" s="162" t="s">
        <v>1266</v>
      </c>
    </row>
    <row r="274" spans="1:11">
      <c r="A274" s="161" t="s">
        <v>1324</v>
      </c>
      <c r="B274" s="162" t="s">
        <v>1325</v>
      </c>
      <c r="C274" s="162" t="s">
        <v>841</v>
      </c>
      <c r="D274" s="161" t="s">
        <v>1326</v>
      </c>
      <c r="E274" s="161" t="s">
        <v>752</v>
      </c>
      <c r="F274" s="165">
        <v>459.85</v>
      </c>
      <c r="G274" s="164">
        <v>1</v>
      </c>
      <c r="H274" s="161" t="s">
        <v>466</v>
      </c>
      <c r="I274" s="162" t="s">
        <v>987</v>
      </c>
      <c r="J274" s="162" t="s">
        <v>467</v>
      </c>
      <c r="K274" s="162" t="s">
        <v>467</v>
      </c>
    </row>
    <row r="275" spans="1:11">
      <c r="A275" s="161" t="s">
        <v>978</v>
      </c>
      <c r="B275" s="162" t="s">
        <v>838</v>
      </c>
      <c r="C275" s="162" t="s">
        <v>1273</v>
      </c>
      <c r="D275" s="161" t="s">
        <v>751</v>
      </c>
      <c r="E275" s="161" t="s">
        <v>752</v>
      </c>
      <c r="F275" s="165">
        <v>2440</v>
      </c>
      <c r="G275" s="164">
        <v>1000</v>
      </c>
      <c r="H275" s="161" t="s">
        <v>753</v>
      </c>
      <c r="I275" s="162" t="s">
        <v>1254</v>
      </c>
      <c r="J275" s="162" t="s">
        <v>1252</v>
      </c>
      <c r="K275" s="162" t="s">
        <v>1252</v>
      </c>
    </row>
    <row r="276" spans="1:11">
      <c r="A276" s="161" t="s">
        <v>979</v>
      </c>
      <c r="B276" s="162" t="s">
        <v>57</v>
      </c>
      <c r="C276" s="162" t="s">
        <v>46</v>
      </c>
      <c r="D276" s="161" t="s">
        <v>751</v>
      </c>
      <c r="E276" s="161" t="s">
        <v>752</v>
      </c>
      <c r="F276" s="165">
        <v>575</v>
      </c>
      <c r="G276" s="164">
        <v>1000</v>
      </c>
      <c r="H276" s="161" t="s">
        <v>753</v>
      </c>
      <c r="I276" s="162" t="s">
        <v>1254</v>
      </c>
      <c r="J276" s="162" t="s">
        <v>843</v>
      </c>
      <c r="K276" s="162" t="s">
        <v>843</v>
      </c>
    </row>
    <row r="277" spans="1:11">
      <c r="A277" s="161" t="s">
        <v>980</v>
      </c>
      <c r="B277" s="162" t="s">
        <v>58</v>
      </c>
      <c r="C277" s="162" t="s">
        <v>46</v>
      </c>
      <c r="D277" s="161" t="s">
        <v>751</v>
      </c>
      <c r="E277" s="161" t="s">
        <v>752</v>
      </c>
      <c r="F277" s="165">
        <v>575</v>
      </c>
      <c r="G277" s="164">
        <v>1000</v>
      </c>
      <c r="H277" s="161" t="s">
        <v>753</v>
      </c>
      <c r="I277" s="162" t="s">
        <v>1254</v>
      </c>
      <c r="J277" s="162" t="s">
        <v>843</v>
      </c>
      <c r="K277" s="162" t="s">
        <v>843</v>
      </c>
    </row>
    <row r="278" spans="1:11">
      <c r="A278" s="161" t="s">
        <v>981</v>
      </c>
      <c r="B278" s="162" t="s">
        <v>59</v>
      </c>
      <c r="C278" s="162" t="s">
        <v>46</v>
      </c>
      <c r="D278" s="161" t="s">
        <v>751</v>
      </c>
      <c r="E278" s="161" t="s">
        <v>752</v>
      </c>
      <c r="F278" s="165">
        <v>575</v>
      </c>
      <c r="G278" s="164">
        <v>1000</v>
      </c>
      <c r="H278" s="161" t="s">
        <v>753</v>
      </c>
      <c r="I278" s="162" t="s">
        <v>1254</v>
      </c>
      <c r="J278" s="162" t="s">
        <v>843</v>
      </c>
      <c r="K278" s="162" t="s">
        <v>843</v>
      </c>
    </row>
    <row r="279" spans="1:11">
      <c r="A279" s="161" t="s">
        <v>982</v>
      </c>
      <c r="B279" s="162" t="s">
        <v>60</v>
      </c>
      <c r="C279" s="162" t="s">
        <v>46</v>
      </c>
      <c r="D279" s="161" t="s">
        <v>751</v>
      </c>
      <c r="E279" s="161" t="s">
        <v>752</v>
      </c>
      <c r="F279" s="165">
        <v>575</v>
      </c>
      <c r="G279" s="164">
        <v>1000</v>
      </c>
      <c r="H279" s="161" t="s">
        <v>753</v>
      </c>
      <c r="I279" s="162" t="s">
        <v>1254</v>
      </c>
      <c r="J279" s="162" t="s">
        <v>843</v>
      </c>
      <c r="K279" s="162" t="s">
        <v>843</v>
      </c>
    </row>
    <row r="280" spans="1:11">
      <c r="A280" s="161" t="s">
        <v>983</v>
      </c>
      <c r="B280" s="162" t="s">
        <v>1268</v>
      </c>
      <c r="C280" s="162" t="s">
        <v>1267</v>
      </c>
      <c r="D280" s="161" t="s">
        <v>751</v>
      </c>
      <c r="E280" s="161" t="s">
        <v>752</v>
      </c>
      <c r="F280" s="165">
        <v>325</v>
      </c>
      <c r="G280" s="164">
        <v>1000</v>
      </c>
      <c r="H280" s="161" t="s">
        <v>753</v>
      </c>
      <c r="I280" s="162" t="s">
        <v>1254</v>
      </c>
      <c r="J280" s="162" t="s">
        <v>1269</v>
      </c>
      <c r="K280" s="162" t="s">
        <v>1269</v>
      </c>
    </row>
    <row r="281" spans="1:11">
      <c r="A281" s="161" t="s">
        <v>1327</v>
      </c>
      <c r="B281" s="162" t="s">
        <v>1328</v>
      </c>
      <c r="C281" s="162" t="s">
        <v>492</v>
      </c>
      <c r="D281" s="161" t="s">
        <v>493</v>
      </c>
      <c r="E281" s="161" t="s">
        <v>752</v>
      </c>
      <c r="F281" s="165">
        <v>47</v>
      </c>
      <c r="G281" s="164">
        <v>1</v>
      </c>
      <c r="H281" s="161" t="s">
        <v>752</v>
      </c>
      <c r="I281" s="162" t="s">
        <v>987</v>
      </c>
      <c r="J281" s="162" t="s">
        <v>987</v>
      </c>
      <c r="K281" s="162" t="s">
        <v>987</v>
      </c>
    </row>
    <row r="282" spans="1:11">
      <c r="A282" s="161" t="s">
        <v>1329</v>
      </c>
      <c r="B282" s="162" t="s">
        <v>1330</v>
      </c>
      <c r="C282" s="162" t="s">
        <v>492</v>
      </c>
      <c r="D282" s="161" t="s">
        <v>493</v>
      </c>
      <c r="E282" s="161" t="s">
        <v>752</v>
      </c>
      <c r="F282" s="165">
        <v>47</v>
      </c>
      <c r="G282" s="164">
        <v>1</v>
      </c>
      <c r="H282" s="161" t="s">
        <v>752</v>
      </c>
      <c r="I282" s="162" t="s">
        <v>987</v>
      </c>
      <c r="J282" s="162" t="s">
        <v>987</v>
      </c>
      <c r="K282" s="162" t="s">
        <v>987</v>
      </c>
    </row>
    <row r="283" spans="1:11">
      <c r="A283" s="161" t="s">
        <v>1366</v>
      </c>
      <c r="B283" s="162" t="s">
        <v>1367</v>
      </c>
      <c r="C283" s="162" t="s">
        <v>28</v>
      </c>
      <c r="D283" s="161" t="s">
        <v>751</v>
      </c>
      <c r="E283" s="161" t="s">
        <v>752</v>
      </c>
      <c r="F283" s="165">
        <v>1800</v>
      </c>
      <c r="G283" s="164">
        <v>1000</v>
      </c>
      <c r="H283" s="161" t="s">
        <v>753</v>
      </c>
      <c r="I283" s="162" t="s">
        <v>986</v>
      </c>
      <c r="J283" s="162" t="s">
        <v>987</v>
      </c>
      <c r="K283" s="162" t="s">
        <v>987</v>
      </c>
    </row>
    <row r="284" spans="1:11">
      <c r="A284" s="161" t="s">
        <v>1331</v>
      </c>
      <c r="B284" s="162" t="s">
        <v>1332</v>
      </c>
      <c r="C284" s="162" t="s">
        <v>1333</v>
      </c>
      <c r="D284" s="161" t="s">
        <v>493</v>
      </c>
      <c r="E284" s="161" t="s">
        <v>752</v>
      </c>
      <c r="F284" s="165">
        <v>50</v>
      </c>
      <c r="G284" s="164">
        <v>1</v>
      </c>
      <c r="H284" s="161" t="s">
        <v>752</v>
      </c>
      <c r="I284" s="162" t="s">
        <v>987</v>
      </c>
      <c r="J284" s="162" t="s">
        <v>987</v>
      </c>
      <c r="K284" s="162" t="s">
        <v>987</v>
      </c>
    </row>
    <row r="285" spans="1:11">
      <c r="A285" s="161" t="s">
        <v>1334</v>
      </c>
      <c r="B285" s="162" t="s">
        <v>1335</v>
      </c>
      <c r="C285" s="162" t="s">
        <v>1281</v>
      </c>
      <c r="D285" s="161" t="s">
        <v>493</v>
      </c>
      <c r="E285" s="161" t="s">
        <v>752</v>
      </c>
      <c r="F285" s="165">
        <v>30</v>
      </c>
      <c r="G285" s="164">
        <v>1000</v>
      </c>
      <c r="H285" s="161" t="s">
        <v>753</v>
      </c>
      <c r="I285" s="162" t="s">
        <v>987</v>
      </c>
      <c r="J285" s="162" t="s">
        <v>987</v>
      </c>
      <c r="K285" s="162" t="s">
        <v>987</v>
      </c>
    </row>
    <row r="286" spans="1:11">
      <c r="A286" s="161" t="s">
        <v>1336</v>
      </c>
      <c r="B286" s="162" t="s">
        <v>1337</v>
      </c>
      <c r="C286" s="162" t="s">
        <v>1281</v>
      </c>
      <c r="D286" s="161" t="s">
        <v>493</v>
      </c>
      <c r="E286" s="161" t="s">
        <v>752</v>
      </c>
      <c r="F286" s="165">
        <v>50</v>
      </c>
      <c r="G286" s="164">
        <v>1</v>
      </c>
      <c r="H286" s="161" t="s">
        <v>752</v>
      </c>
      <c r="I286" s="162" t="s">
        <v>987</v>
      </c>
      <c r="J286" s="162" t="s">
        <v>987</v>
      </c>
      <c r="K286" s="162" t="s">
        <v>987</v>
      </c>
    </row>
    <row r="287" spans="1:11">
      <c r="A287" s="161" t="s">
        <v>1329</v>
      </c>
      <c r="B287" s="162" t="s">
        <v>1330</v>
      </c>
      <c r="C287" s="162" t="s">
        <v>492</v>
      </c>
      <c r="D287" s="161" t="s">
        <v>493</v>
      </c>
      <c r="E287" s="161" t="s">
        <v>752</v>
      </c>
      <c r="F287" s="165">
        <v>47</v>
      </c>
      <c r="G287" s="164">
        <v>1</v>
      </c>
      <c r="H287" s="161" t="s">
        <v>752</v>
      </c>
      <c r="I287" s="162" t="s">
        <v>987</v>
      </c>
      <c r="J287" s="162" t="s">
        <v>987</v>
      </c>
      <c r="K287" s="162" t="s">
        <v>987</v>
      </c>
    </row>
    <row r="288" spans="1:11">
      <c r="A288" s="161" t="s">
        <v>1366</v>
      </c>
      <c r="B288" s="162" t="s">
        <v>1367</v>
      </c>
      <c r="C288" s="162" t="s">
        <v>28</v>
      </c>
      <c r="D288" s="161" t="s">
        <v>751</v>
      </c>
      <c r="E288" s="161" t="s">
        <v>752</v>
      </c>
      <c r="F288" s="165">
        <v>1800</v>
      </c>
      <c r="G288" s="164">
        <v>1000</v>
      </c>
      <c r="H288" s="161" t="s">
        <v>753</v>
      </c>
      <c r="I288" s="162" t="s">
        <v>986</v>
      </c>
      <c r="J288" s="162" t="s">
        <v>987</v>
      </c>
      <c r="K288" s="162" t="s">
        <v>987</v>
      </c>
    </row>
    <row r="289" spans="1:11">
      <c r="A289" s="161" t="s">
        <v>1331</v>
      </c>
      <c r="B289" s="162" t="s">
        <v>1332</v>
      </c>
      <c r="C289" s="162" t="s">
        <v>1333</v>
      </c>
      <c r="D289" s="161" t="s">
        <v>493</v>
      </c>
      <c r="E289" s="161" t="s">
        <v>752</v>
      </c>
      <c r="F289" s="165">
        <v>50</v>
      </c>
      <c r="G289" s="164">
        <v>1</v>
      </c>
      <c r="H289" s="161" t="s">
        <v>752</v>
      </c>
      <c r="I289" s="162" t="s">
        <v>987</v>
      </c>
      <c r="J289" s="162" t="s">
        <v>987</v>
      </c>
      <c r="K289" s="162" t="s">
        <v>987</v>
      </c>
    </row>
    <row r="290" spans="1:11">
      <c r="A290" s="161" t="s">
        <v>1334</v>
      </c>
      <c r="B290" s="162" t="s">
        <v>1335</v>
      </c>
      <c r="C290" s="162" t="s">
        <v>1281</v>
      </c>
      <c r="D290" s="161" t="s">
        <v>493</v>
      </c>
      <c r="E290" s="161" t="s">
        <v>752</v>
      </c>
      <c r="F290" s="165">
        <v>30</v>
      </c>
      <c r="G290" s="164">
        <v>1000</v>
      </c>
      <c r="H290" s="161" t="s">
        <v>753</v>
      </c>
      <c r="I290" s="162" t="s">
        <v>987</v>
      </c>
      <c r="J290" s="162" t="s">
        <v>987</v>
      </c>
      <c r="K290" s="162" t="s">
        <v>987</v>
      </c>
    </row>
    <row r="291" spans="1:11">
      <c r="A291" s="161" t="s">
        <v>1336</v>
      </c>
      <c r="B291" s="162" t="s">
        <v>1337</v>
      </c>
      <c r="C291" s="162" t="s">
        <v>1281</v>
      </c>
      <c r="D291" s="161" t="s">
        <v>493</v>
      </c>
      <c r="E291" s="161" t="s">
        <v>752</v>
      </c>
      <c r="F291" s="165">
        <v>50</v>
      </c>
      <c r="G291" s="164">
        <v>1</v>
      </c>
      <c r="H291" s="161" t="s">
        <v>752</v>
      </c>
      <c r="I291" s="162" t="s">
        <v>987</v>
      </c>
      <c r="J291" s="162" t="s">
        <v>987</v>
      </c>
      <c r="K291" s="162" t="s">
        <v>987</v>
      </c>
    </row>
    <row r="292" spans="1:11">
      <c r="A292" s="161" t="s">
        <v>1336</v>
      </c>
      <c r="B292" s="162" t="s">
        <v>1337</v>
      </c>
      <c r="C292" s="162" t="s">
        <v>1281</v>
      </c>
      <c r="D292" s="161" t="s">
        <v>493</v>
      </c>
      <c r="E292" s="161" t="s">
        <v>752</v>
      </c>
      <c r="F292" s="165">
        <v>50</v>
      </c>
      <c r="G292" s="164">
        <v>1</v>
      </c>
      <c r="H292" s="161" t="s">
        <v>752</v>
      </c>
      <c r="I292" s="162" t="s">
        <v>987</v>
      </c>
      <c r="J292" s="162" t="s">
        <v>987</v>
      </c>
      <c r="K292" s="162" t="s">
        <v>987</v>
      </c>
    </row>
  </sheetData>
  <autoFilter ref="A2:K292" xr:uid="{00000000-0009-0000-0000-000002000000}"/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2">
    <pageSetUpPr fitToPage="1"/>
  </sheetPr>
  <dimension ref="A1:S17"/>
  <sheetViews>
    <sheetView zoomScale="70" workbookViewId="0">
      <selection activeCell="M35" sqref="M35"/>
    </sheetView>
  </sheetViews>
  <sheetFormatPr defaultColWidth="9" defaultRowHeight="13.5"/>
  <cols>
    <col min="1" max="1" width="18.125" style="343" bestFit="1" customWidth="1"/>
    <col min="2" max="2" width="7.125" style="343" bestFit="1" customWidth="1"/>
    <col min="3" max="3" width="6.5" style="343" bestFit="1" customWidth="1"/>
    <col min="4" max="4" width="20.625" style="343" bestFit="1" customWidth="1"/>
    <col min="5" max="5" width="16.5" style="343" customWidth="1"/>
    <col min="6" max="6" width="9.25" style="343" bestFit="1" customWidth="1"/>
    <col min="7" max="7" width="20.5" style="343" bestFit="1" customWidth="1"/>
    <col min="8" max="8" width="9.25" style="343" bestFit="1" customWidth="1"/>
    <col min="9" max="9" width="9.625" style="343" bestFit="1" customWidth="1"/>
    <col min="10" max="10" width="11" style="343" bestFit="1" customWidth="1"/>
    <col min="11" max="11" width="21" style="343" bestFit="1" customWidth="1"/>
    <col min="12" max="13" width="9" style="343"/>
    <col min="14" max="14" width="23.25" style="343" bestFit="1" customWidth="1"/>
    <col min="15" max="16" width="9" style="343"/>
    <col min="17" max="17" width="9.75" style="343" bestFit="1" customWidth="1"/>
    <col min="18" max="19" width="9" style="370"/>
    <col min="20" max="16384" width="9" style="343"/>
  </cols>
  <sheetData>
    <row r="1" spans="1:11">
      <c r="A1" s="371"/>
      <c r="B1" s="371"/>
      <c r="C1" s="371"/>
      <c r="D1" s="371"/>
      <c r="E1" s="371"/>
      <c r="F1" s="371"/>
      <c r="G1" s="371"/>
      <c r="H1" s="371"/>
      <c r="I1" s="371"/>
      <c r="J1" s="371"/>
      <c r="K1" s="372" t="s">
        <v>1032</v>
      </c>
    </row>
    <row r="2" spans="1:11">
      <c r="A2" s="373" t="s">
        <v>1033</v>
      </c>
      <c r="B2" s="371"/>
      <c r="C2" s="371"/>
      <c r="D2" s="371"/>
      <c r="E2" s="371"/>
      <c r="F2" s="371"/>
      <c r="G2" s="371"/>
      <c r="H2" s="371"/>
      <c r="I2" s="371"/>
      <c r="J2" s="371"/>
      <c r="K2" s="371"/>
    </row>
    <row r="3" spans="1:11">
      <c r="A3" s="373"/>
      <c r="B3" s="371"/>
      <c r="C3" s="371"/>
      <c r="D3" s="371"/>
      <c r="E3" s="371"/>
      <c r="F3" s="371"/>
      <c r="G3" s="371"/>
      <c r="H3" s="371"/>
      <c r="I3" s="371"/>
      <c r="J3" s="371"/>
      <c r="K3" s="371"/>
    </row>
    <row r="4" spans="1:11">
      <c r="A4" s="371"/>
      <c r="B4" s="371"/>
      <c r="C4" s="371"/>
      <c r="D4" s="371"/>
      <c r="E4" s="371"/>
      <c r="F4" s="371"/>
      <c r="G4" s="371"/>
      <c r="H4" s="371"/>
      <c r="I4" s="371"/>
      <c r="J4" s="371"/>
      <c r="K4" s="371"/>
    </row>
    <row r="5" spans="1:11" ht="29.25">
      <c r="A5" s="374" t="s">
        <v>1034</v>
      </c>
      <c r="B5" s="374" t="s">
        <v>1035</v>
      </c>
      <c r="C5" s="374" t="s">
        <v>1036</v>
      </c>
      <c r="D5" s="374" t="s">
        <v>1037</v>
      </c>
      <c r="E5" s="374" t="s">
        <v>1038</v>
      </c>
      <c r="F5" s="374" t="s">
        <v>1039</v>
      </c>
      <c r="G5" s="374" t="s">
        <v>1040</v>
      </c>
      <c r="H5" s="375" t="s">
        <v>1082</v>
      </c>
      <c r="I5" s="375" t="s">
        <v>1041</v>
      </c>
      <c r="J5" s="374" t="s">
        <v>1042</v>
      </c>
      <c r="K5" s="374" t="s">
        <v>1043</v>
      </c>
    </row>
    <row r="6" spans="1:11">
      <c r="A6" s="374"/>
      <c r="B6" s="374"/>
      <c r="C6" s="374"/>
      <c r="D6" s="374"/>
      <c r="E6" s="374"/>
      <c r="F6" s="374"/>
      <c r="G6" s="374"/>
      <c r="H6" s="374"/>
      <c r="I6" s="374"/>
      <c r="J6" s="374"/>
      <c r="K6" s="374"/>
    </row>
    <row r="7" spans="1:11">
      <c r="A7" s="374" t="s">
        <v>1044</v>
      </c>
      <c r="B7" s="374" t="s">
        <v>1045</v>
      </c>
      <c r="C7" s="374" t="s">
        <v>1046</v>
      </c>
      <c r="D7" s="374" t="s">
        <v>1047</v>
      </c>
      <c r="E7" s="376" t="s">
        <v>1048</v>
      </c>
      <c r="F7" s="376" t="s">
        <v>1049</v>
      </c>
      <c r="G7" s="376" t="s">
        <v>1050</v>
      </c>
      <c r="H7" s="376">
        <v>3418.5</v>
      </c>
      <c r="I7" s="376">
        <v>4.4779999999999998</v>
      </c>
      <c r="J7" s="376" t="s">
        <v>1051</v>
      </c>
      <c r="K7" s="376" t="s">
        <v>1052</v>
      </c>
    </row>
    <row r="8" spans="1:11">
      <c r="A8" s="374"/>
      <c r="B8" s="374"/>
      <c r="C8" s="374"/>
      <c r="D8" s="374"/>
      <c r="E8" s="377" t="s">
        <v>1053</v>
      </c>
      <c r="F8" s="377" t="s">
        <v>1054</v>
      </c>
      <c r="G8" s="378" t="s">
        <v>1055</v>
      </c>
      <c r="H8" s="377">
        <v>386.3</v>
      </c>
      <c r="I8" s="377">
        <v>0.50600000000000001</v>
      </c>
      <c r="J8" s="377" t="s">
        <v>1051</v>
      </c>
      <c r="K8" s="377" t="s">
        <v>1056</v>
      </c>
    </row>
    <row r="9" spans="1:11">
      <c r="A9" s="374"/>
      <c r="B9" s="374" t="s">
        <v>1057</v>
      </c>
      <c r="C9" s="374" t="s">
        <v>1058</v>
      </c>
      <c r="D9" s="374" t="s">
        <v>1059</v>
      </c>
      <c r="E9" s="376" t="s">
        <v>1060</v>
      </c>
      <c r="F9" s="376" t="s">
        <v>1049</v>
      </c>
      <c r="G9" s="379" t="s">
        <v>1061</v>
      </c>
      <c r="H9" s="376">
        <v>5585.2</v>
      </c>
      <c r="I9" s="376">
        <v>7.3170000000000002</v>
      </c>
      <c r="J9" s="376" t="s">
        <v>1051</v>
      </c>
      <c r="K9" s="376" t="s">
        <v>1062</v>
      </c>
    </row>
    <row r="10" spans="1:11">
      <c r="A10" s="374"/>
      <c r="B10" s="374"/>
      <c r="C10" s="374"/>
      <c r="D10" s="374"/>
      <c r="E10" s="377" t="s">
        <v>1063</v>
      </c>
      <c r="F10" s="377" t="s">
        <v>1054</v>
      </c>
      <c r="G10" s="378" t="s">
        <v>1055</v>
      </c>
      <c r="H10" s="377">
        <v>386.3</v>
      </c>
      <c r="I10" s="377">
        <v>0.50600000000000001</v>
      </c>
      <c r="J10" s="377" t="s">
        <v>1051</v>
      </c>
      <c r="K10" s="377" t="s">
        <v>1056</v>
      </c>
    </row>
    <row r="11" spans="1:11">
      <c r="A11" s="374" t="s">
        <v>1064</v>
      </c>
      <c r="B11" s="374" t="s">
        <v>1065</v>
      </c>
      <c r="C11" s="374" t="s">
        <v>1046</v>
      </c>
      <c r="D11" s="374" t="s">
        <v>1066</v>
      </c>
      <c r="E11" s="376" t="s">
        <v>1067</v>
      </c>
      <c r="F11" s="376" t="s">
        <v>1049</v>
      </c>
      <c r="G11" s="376" t="s">
        <v>1068</v>
      </c>
      <c r="H11" s="376">
        <v>3279.1</v>
      </c>
      <c r="I11" s="376">
        <v>4.2960000000000003</v>
      </c>
      <c r="J11" s="376" t="s">
        <v>1051</v>
      </c>
      <c r="K11" s="376" t="s">
        <v>1069</v>
      </c>
    </row>
    <row r="12" spans="1:11">
      <c r="A12" s="374"/>
      <c r="B12" s="374"/>
      <c r="C12" s="374"/>
      <c r="D12" s="374"/>
      <c r="E12" s="377" t="s">
        <v>1070</v>
      </c>
      <c r="F12" s="377" t="s">
        <v>1054</v>
      </c>
      <c r="G12" s="377" t="s">
        <v>1071</v>
      </c>
      <c r="H12" s="377">
        <v>365.3</v>
      </c>
      <c r="I12" s="377">
        <v>0.47799999999999998</v>
      </c>
      <c r="J12" s="377" t="s">
        <v>1051</v>
      </c>
      <c r="K12" s="377" t="s">
        <v>1072</v>
      </c>
    </row>
    <row r="13" spans="1:11">
      <c r="A13" s="374"/>
      <c r="B13" s="374" t="s">
        <v>1073</v>
      </c>
      <c r="C13" s="374" t="s">
        <v>1058</v>
      </c>
      <c r="D13" s="374" t="s">
        <v>1074</v>
      </c>
      <c r="E13" s="376" t="s">
        <v>1075</v>
      </c>
      <c r="F13" s="376" t="s">
        <v>1049</v>
      </c>
      <c r="G13" s="376" t="s">
        <v>1076</v>
      </c>
      <c r="H13" s="376">
        <v>6433.1</v>
      </c>
      <c r="I13" s="376">
        <v>8.4269999999999996</v>
      </c>
      <c r="J13" s="376" t="s">
        <v>1051</v>
      </c>
      <c r="K13" s="376" t="s">
        <v>1077</v>
      </c>
    </row>
    <row r="14" spans="1:11">
      <c r="A14" s="374"/>
      <c r="B14" s="374"/>
      <c r="C14" s="374"/>
      <c r="D14" s="374"/>
      <c r="E14" s="377" t="s">
        <v>1078</v>
      </c>
      <c r="F14" s="377" t="s">
        <v>1054</v>
      </c>
      <c r="G14" s="377" t="s">
        <v>1079</v>
      </c>
      <c r="H14" s="377">
        <v>398.8</v>
      </c>
      <c r="I14" s="377">
        <v>0.52200000000000002</v>
      </c>
      <c r="J14" s="377" t="s">
        <v>1051</v>
      </c>
      <c r="K14" s="377" t="s">
        <v>1080</v>
      </c>
    </row>
    <row r="15" spans="1:11">
      <c r="A15" s="371"/>
      <c r="B15" s="371"/>
      <c r="C15" s="371"/>
      <c r="D15" s="371"/>
      <c r="E15" s="371"/>
      <c r="F15" s="371"/>
      <c r="G15" s="371"/>
      <c r="H15" s="371"/>
      <c r="I15" s="371"/>
      <c r="J15" s="371"/>
      <c r="K15" s="371"/>
    </row>
    <row r="16" spans="1:11">
      <c r="A16" s="371" t="s">
        <v>1081</v>
      </c>
      <c r="B16" s="371"/>
      <c r="C16" s="371"/>
      <c r="D16" s="371"/>
      <c r="E16" s="371"/>
      <c r="F16" s="371"/>
      <c r="G16" s="371"/>
      <c r="H16" s="371"/>
      <c r="I16" s="371"/>
      <c r="J16" s="371"/>
      <c r="K16" s="371"/>
    </row>
    <row r="17" spans="1:11" ht="15.75">
      <c r="A17" s="371" t="s">
        <v>1083</v>
      </c>
      <c r="B17" s="371"/>
      <c r="C17" s="371"/>
      <c r="D17" s="371"/>
      <c r="E17" s="371"/>
      <c r="F17" s="371"/>
      <c r="G17" s="371"/>
      <c r="H17" s="371"/>
      <c r="I17" s="371"/>
      <c r="J17" s="371"/>
      <c r="K17" s="371"/>
    </row>
  </sheetData>
  <phoneticPr fontId="2"/>
  <pageMargins left="0.59055118110236227" right="0.59055118110236227" top="0.78740157480314965" bottom="0.59055118110236227" header="0.51181102362204722" footer="0.51181102362204722"/>
  <pageSetup paperSize="9" scale="65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3"/>
  <dimension ref="A1:G17"/>
  <sheetViews>
    <sheetView zoomScale="85" workbookViewId="0">
      <selection activeCell="M35" sqref="M35"/>
    </sheetView>
  </sheetViews>
  <sheetFormatPr defaultColWidth="9" defaultRowHeight="13.5"/>
  <cols>
    <col min="1" max="1" width="9" style="343"/>
    <col min="2" max="2" width="12.75" style="343" bestFit="1" customWidth="1"/>
    <col min="3" max="3" width="8.625" style="343" customWidth="1"/>
    <col min="4" max="6" width="9" style="343"/>
    <col min="7" max="7" width="12.25" style="343" customWidth="1"/>
    <col min="8" max="16384" width="9" style="343"/>
  </cols>
  <sheetData>
    <row r="1" spans="1:7" ht="41.25" thickBot="1">
      <c r="A1" s="344" t="s">
        <v>604</v>
      </c>
      <c r="B1" s="345" t="s">
        <v>605</v>
      </c>
      <c r="C1" s="345" t="s">
        <v>606</v>
      </c>
      <c r="D1" s="345" t="s">
        <v>607</v>
      </c>
      <c r="E1" s="345" t="s">
        <v>608</v>
      </c>
      <c r="F1" s="345" t="s">
        <v>609</v>
      </c>
      <c r="G1" s="345" t="s">
        <v>610</v>
      </c>
    </row>
    <row r="2" spans="1:7" ht="14.25" thickTop="1">
      <c r="A2" s="346" t="s">
        <v>1311</v>
      </c>
      <c r="B2" s="347" t="s">
        <v>611</v>
      </c>
      <c r="C2" s="347">
        <v>2</v>
      </c>
      <c r="D2" s="347" t="s">
        <v>612</v>
      </c>
      <c r="E2" s="348">
        <v>11.1</v>
      </c>
      <c r="F2" s="349">
        <f t="shared" ref="F2:F15" si="0">+E2*1.03</f>
        <v>11.433</v>
      </c>
      <c r="G2" s="347">
        <f t="shared" ref="G2:G15" si="1">+C2*2025*12*6</f>
        <v>291600</v>
      </c>
    </row>
    <row r="3" spans="1:7">
      <c r="A3" s="350" t="s">
        <v>1312</v>
      </c>
      <c r="B3" s="347" t="s">
        <v>613</v>
      </c>
      <c r="C3" s="347">
        <v>2</v>
      </c>
      <c r="D3" s="347" t="s">
        <v>612</v>
      </c>
      <c r="E3" s="348">
        <v>14.2</v>
      </c>
      <c r="F3" s="349">
        <f t="shared" si="0"/>
        <v>14.625999999999999</v>
      </c>
      <c r="G3" s="347">
        <f t="shared" si="1"/>
        <v>291600</v>
      </c>
    </row>
    <row r="4" spans="1:7">
      <c r="A4" s="350" t="s">
        <v>1313</v>
      </c>
      <c r="B4" s="347" t="s">
        <v>614</v>
      </c>
      <c r="C4" s="347">
        <v>2</v>
      </c>
      <c r="D4" s="347" t="s">
        <v>612</v>
      </c>
      <c r="E4" s="348">
        <v>10.9</v>
      </c>
      <c r="F4" s="349">
        <f t="shared" si="0"/>
        <v>11.227</v>
      </c>
      <c r="G4" s="347">
        <f t="shared" si="1"/>
        <v>291600</v>
      </c>
    </row>
    <row r="5" spans="1:7">
      <c r="A5" s="350" t="s">
        <v>1314</v>
      </c>
      <c r="B5" s="347" t="s">
        <v>615</v>
      </c>
      <c r="C5" s="347">
        <v>2</v>
      </c>
      <c r="D5" s="347" t="s">
        <v>612</v>
      </c>
      <c r="E5" s="348">
        <v>13.6</v>
      </c>
      <c r="F5" s="349">
        <f t="shared" si="0"/>
        <v>14.007999999999999</v>
      </c>
      <c r="G5" s="347">
        <f t="shared" si="1"/>
        <v>291600</v>
      </c>
    </row>
    <row r="6" spans="1:7">
      <c r="A6" s="350" t="s">
        <v>1315</v>
      </c>
      <c r="B6" s="347" t="s">
        <v>616</v>
      </c>
      <c r="C6" s="347">
        <v>4</v>
      </c>
      <c r="D6" s="347" t="s">
        <v>617</v>
      </c>
      <c r="E6" s="348">
        <v>21.9</v>
      </c>
      <c r="F6" s="349">
        <f t="shared" si="0"/>
        <v>22.556999999999999</v>
      </c>
      <c r="G6" s="347">
        <f t="shared" si="1"/>
        <v>583200</v>
      </c>
    </row>
    <row r="7" spans="1:7">
      <c r="A7" s="350" t="s">
        <v>595</v>
      </c>
      <c r="B7" s="347" t="s">
        <v>618</v>
      </c>
      <c r="C7" s="347">
        <v>4</v>
      </c>
      <c r="D7" s="347" t="s">
        <v>617</v>
      </c>
      <c r="E7" s="348">
        <v>24.3</v>
      </c>
      <c r="F7" s="349">
        <f t="shared" si="0"/>
        <v>25.029</v>
      </c>
      <c r="G7" s="347">
        <f t="shared" si="1"/>
        <v>583200</v>
      </c>
    </row>
    <row r="8" spans="1:7">
      <c r="A8" s="350" t="s">
        <v>596</v>
      </c>
      <c r="B8" s="347" t="s">
        <v>619</v>
      </c>
      <c r="C8" s="347">
        <v>1</v>
      </c>
      <c r="D8" s="347" t="s">
        <v>612</v>
      </c>
      <c r="E8" s="348">
        <v>9.9</v>
      </c>
      <c r="F8" s="349">
        <f t="shared" si="0"/>
        <v>10.197000000000001</v>
      </c>
      <c r="G8" s="347">
        <f t="shared" si="1"/>
        <v>145800</v>
      </c>
    </row>
    <row r="9" spans="1:7">
      <c r="A9" s="350" t="s">
        <v>597</v>
      </c>
      <c r="B9" s="347" t="s">
        <v>620</v>
      </c>
      <c r="C9" s="347">
        <v>1</v>
      </c>
      <c r="D9" s="347" t="s">
        <v>612</v>
      </c>
      <c r="E9" s="348">
        <v>11.7</v>
      </c>
      <c r="F9" s="349">
        <f t="shared" si="0"/>
        <v>12.051</v>
      </c>
      <c r="G9" s="347">
        <f t="shared" si="1"/>
        <v>145800</v>
      </c>
    </row>
    <row r="10" spans="1:7">
      <c r="A10" s="350" t="s">
        <v>598</v>
      </c>
      <c r="B10" s="351" t="s">
        <v>621</v>
      </c>
      <c r="C10" s="351">
        <v>1</v>
      </c>
      <c r="D10" s="351" t="s">
        <v>612</v>
      </c>
      <c r="E10" s="352">
        <v>6.9</v>
      </c>
      <c r="F10" s="353">
        <f t="shared" si="0"/>
        <v>7.1070000000000002</v>
      </c>
      <c r="G10" s="351">
        <f t="shared" si="1"/>
        <v>145800</v>
      </c>
    </row>
    <row r="11" spans="1:7">
      <c r="A11" s="350" t="s">
        <v>599</v>
      </c>
      <c r="B11" s="354" t="s">
        <v>622</v>
      </c>
      <c r="C11" s="354">
        <v>1</v>
      </c>
      <c r="D11" s="354" t="s">
        <v>612</v>
      </c>
      <c r="E11" s="355">
        <v>8.4</v>
      </c>
      <c r="F11" s="356">
        <f t="shared" si="0"/>
        <v>8.652000000000001</v>
      </c>
      <c r="G11" s="354">
        <f t="shared" si="1"/>
        <v>145800</v>
      </c>
    </row>
    <row r="12" spans="1:7">
      <c r="A12" s="350" t="s">
        <v>600</v>
      </c>
      <c r="B12" s="357" t="s">
        <v>623</v>
      </c>
      <c r="C12" s="357">
        <v>1</v>
      </c>
      <c r="D12" s="357" t="s">
        <v>612</v>
      </c>
      <c r="E12" s="358">
        <v>7.4</v>
      </c>
      <c r="F12" s="359">
        <f t="shared" si="0"/>
        <v>7.6220000000000008</v>
      </c>
      <c r="G12" s="357">
        <f t="shared" si="1"/>
        <v>145800</v>
      </c>
    </row>
    <row r="13" spans="1:7">
      <c r="A13" s="350" t="s">
        <v>601</v>
      </c>
      <c r="B13" s="360" t="s">
        <v>624</v>
      </c>
      <c r="C13" s="360">
        <v>1</v>
      </c>
      <c r="D13" s="360" t="s">
        <v>612</v>
      </c>
      <c r="E13" s="361">
        <v>8.8000000000000007</v>
      </c>
      <c r="F13" s="362">
        <f t="shared" si="0"/>
        <v>9.0640000000000018</v>
      </c>
      <c r="G13" s="360">
        <f t="shared" si="1"/>
        <v>145800</v>
      </c>
    </row>
    <row r="14" spans="1:7">
      <c r="A14" s="350" t="s">
        <v>602</v>
      </c>
      <c r="B14" s="347" t="s">
        <v>625</v>
      </c>
      <c r="C14" s="347">
        <v>2</v>
      </c>
      <c r="D14" s="347" t="s">
        <v>612</v>
      </c>
      <c r="E14" s="348">
        <v>7.4</v>
      </c>
      <c r="F14" s="349">
        <f t="shared" si="0"/>
        <v>7.6220000000000008</v>
      </c>
      <c r="G14" s="347">
        <f t="shared" si="1"/>
        <v>291600</v>
      </c>
    </row>
    <row r="15" spans="1:7">
      <c r="A15" s="363" t="s">
        <v>603</v>
      </c>
      <c r="B15" s="364" t="s">
        <v>626</v>
      </c>
      <c r="C15" s="364">
        <v>2</v>
      </c>
      <c r="D15" s="364" t="s">
        <v>612</v>
      </c>
      <c r="E15" s="365">
        <v>9.3000000000000007</v>
      </c>
      <c r="F15" s="366">
        <f t="shared" si="0"/>
        <v>9.5790000000000006</v>
      </c>
      <c r="G15" s="364">
        <f t="shared" si="1"/>
        <v>291600</v>
      </c>
    </row>
    <row r="16" spans="1:7">
      <c r="B16" s="367" t="s">
        <v>627</v>
      </c>
      <c r="C16" s="368"/>
    </row>
    <row r="17" spans="2:2">
      <c r="B17" s="369" t="s">
        <v>628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K207"/>
  <sheetViews>
    <sheetView topLeftCell="A63" workbookViewId="0">
      <selection activeCell="F79" sqref="F79"/>
    </sheetView>
  </sheetViews>
  <sheetFormatPr defaultRowHeight="13.5"/>
  <cols>
    <col min="1" max="3" width="16.125" customWidth="1"/>
    <col min="6" max="6" width="10.875" style="166" customWidth="1"/>
  </cols>
  <sheetData>
    <row r="1" spans="1:11" ht="18.75">
      <c r="A1" s="154" t="s">
        <v>736</v>
      </c>
      <c r="B1" s="122"/>
      <c r="C1" s="122"/>
      <c r="F1" s="155" t="s">
        <v>737</v>
      </c>
      <c r="G1" s="156" t="s">
        <v>738</v>
      </c>
      <c r="I1" s="122"/>
      <c r="J1" s="122"/>
      <c r="K1" s="122"/>
    </row>
    <row r="2" spans="1:11">
      <c r="A2" s="157" t="s">
        <v>739</v>
      </c>
      <c r="B2" s="158" t="s">
        <v>740</v>
      </c>
      <c r="C2" s="158" t="s">
        <v>741</v>
      </c>
      <c r="D2" s="158" t="s">
        <v>742</v>
      </c>
      <c r="E2" s="158" t="s">
        <v>743</v>
      </c>
      <c r="F2" s="159" t="s">
        <v>744</v>
      </c>
      <c r="G2" s="160" t="s">
        <v>745</v>
      </c>
      <c r="H2" s="158" t="s">
        <v>746</v>
      </c>
      <c r="I2" s="158" t="s">
        <v>747</v>
      </c>
      <c r="J2" s="158" t="s">
        <v>748</v>
      </c>
      <c r="K2" s="158" t="s">
        <v>749</v>
      </c>
    </row>
    <row r="3" spans="1:11">
      <c r="A3" s="161" t="s">
        <v>750</v>
      </c>
      <c r="B3" s="162" t="s">
        <v>855</v>
      </c>
      <c r="C3" s="162" t="s">
        <v>856</v>
      </c>
      <c r="D3" s="161" t="s">
        <v>751</v>
      </c>
      <c r="E3" s="161" t="s">
        <v>752</v>
      </c>
      <c r="F3" s="163">
        <v>385</v>
      </c>
      <c r="G3" s="164">
        <v>1000</v>
      </c>
      <c r="H3" s="161" t="s">
        <v>753</v>
      </c>
      <c r="I3" s="162" t="s">
        <v>1254</v>
      </c>
      <c r="J3" s="162" t="s">
        <v>1264</v>
      </c>
      <c r="K3" s="162" t="s">
        <v>1264</v>
      </c>
    </row>
    <row r="4" spans="1:11">
      <c r="A4" s="161" t="s">
        <v>754</v>
      </c>
      <c r="B4" s="162" t="s">
        <v>858</v>
      </c>
      <c r="C4" s="162" t="s">
        <v>856</v>
      </c>
      <c r="D4" s="161" t="s">
        <v>751</v>
      </c>
      <c r="E4" s="161" t="s">
        <v>752</v>
      </c>
      <c r="F4" s="163">
        <v>1605</v>
      </c>
      <c r="G4" s="164">
        <v>1000</v>
      </c>
      <c r="H4" s="161" t="s">
        <v>753</v>
      </c>
      <c r="I4" s="162" t="s">
        <v>1254</v>
      </c>
      <c r="J4" s="162" t="s">
        <v>857</v>
      </c>
      <c r="K4" s="162" t="s">
        <v>857</v>
      </c>
    </row>
    <row r="5" spans="1:11">
      <c r="A5" s="161" t="s">
        <v>755</v>
      </c>
      <c r="B5" s="162" t="s">
        <v>45</v>
      </c>
      <c r="C5" s="162" t="s">
        <v>46</v>
      </c>
      <c r="D5" s="161" t="s">
        <v>751</v>
      </c>
      <c r="E5" s="161" t="s">
        <v>752</v>
      </c>
      <c r="F5" s="165">
        <v>209.55</v>
      </c>
      <c r="G5" s="164">
        <v>1000</v>
      </c>
      <c r="H5" s="161" t="s">
        <v>753</v>
      </c>
      <c r="I5" s="162" t="s">
        <v>1254</v>
      </c>
      <c r="J5" s="162" t="s">
        <v>840</v>
      </c>
      <c r="K5" s="162" t="s">
        <v>840</v>
      </c>
    </row>
    <row r="6" spans="1:11">
      <c r="A6" s="161" t="s">
        <v>756</v>
      </c>
      <c r="B6" s="162" t="s">
        <v>47</v>
      </c>
      <c r="C6" s="162" t="s">
        <v>46</v>
      </c>
      <c r="D6" s="161" t="s">
        <v>751</v>
      </c>
      <c r="E6" s="161" t="s">
        <v>752</v>
      </c>
      <c r="F6" s="165">
        <v>209.55</v>
      </c>
      <c r="G6" s="164">
        <v>1000</v>
      </c>
      <c r="H6" s="161" t="s">
        <v>753</v>
      </c>
      <c r="I6" s="162" t="s">
        <v>1254</v>
      </c>
      <c r="J6" s="162" t="s">
        <v>840</v>
      </c>
      <c r="K6" s="162" t="s">
        <v>840</v>
      </c>
    </row>
    <row r="7" spans="1:11">
      <c r="A7" s="161" t="s">
        <v>757</v>
      </c>
      <c r="B7" s="162" t="s">
        <v>48</v>
      </c>
      <c r="C7" s="162" t="s">
        <v>46</v>
      </c>
      <c r="D7" s="161" t="s">
        <v>751</v>
      </c>
      <c r="E7" s="161" t="s">
        <v>752</v>
      </c>
      <c r="F7" s="165">
        <v>209.55</v>
      </c>
      <c r="G7" s="164">
        <v>1000</v>
      </c>
      <c r="H7" s="161" t="s">
        <v>753</v>
      </c>
      <c r="I7" s="162" t="s">
        <v>1254</v>
      </c>
      <c r="J7" s="162" t="s">
        <v>840</v>
      </c>
      <c r="K7" s="162" t="s">
        <v>840</v>
      </c>
    </row>
    <row r="8" spans="1:11">
      <c r="A8" s="161" t="s">
        <v>758</v>
      </c>
      <c r="B8" s="162" t="s">
        <v>49</v>
      </c>
      <c r="C8" s="162" t="s">
        <v>46</v>
      </c>
      <c r="D8" s="161" t="s">
        <v>751</v>
      </c>
      <c r="E8" s="161" t="s">
        <v>752</v>
      </c>
      <c r="F8" s="165">
        <v>209.55</v>
      </c>
      <c r="G8" s="164">
        <v>1000</v>
      </c>
      <c r="H8" s="161" t="s">
        <v>753</v>
      </c>
      <c r="I8" s="162" t="s">
        <v>1254</v>
      </c>
      <c r="J8" s="162" t="s">
        <v>840</v>
      </c>
      <c r="K8" s="162" t="s">
        <v>840</v>
      </c>
    </row>
    <row r="9" spans="1:11">
      <c r="A9" s="161" t="s">
        <v>759</v>
      </c>
      <c r="B9" s="162" t="s">
        <v>50</v>
      </c>
      <c r="C9" s="162" t="s">
        <v>46</v>
      </c>
      <c r="D9" s="161" t="s">
        <v>751</v>
      </c>
      <c r="E9" s="161" t="s">
        <v>752</v>
      </c>
      <c r="F9" s="165">
        <v>209.55</v>
      </c>
      <c r="G9" s="164">
        <v>1000</v>
      </c>
      <c r="H9" s="161" t="s">
        <v>753</v>
      </c>
      <c r="I9" s="162" t="s">
        <v>1254</v>
      </c>
      <c r="J9" s="162" t="s">
        <v>840</v>
      </c>
      <c r="K9" s="162" t="s">
        <v>840</v>
      </c>
    </row>
    <row r="10" spans="1:11">
      <c r="A10" s="161" t="s">
        <v>760</v>
      </c>
      <c r="B10" s="162" t="s">
        <v>51</v>
      </c>
      <c r="C10" s="162" t="s">
        <v>46</v>
      </c>
      <c r="D10" s="161" t="s">
        <v>751</v>
      </c>
      <c r="E10" s="161" t="s">
        <v>752</v>
      </c>
      <c r="F10" s="165">
        <v>209.55</v>
      </c>
      <c r="G10" s="164">
        <v>1000</v>
      </c>
      <c r="H10" s="161" t="s">
        <v>753</v>
      </c>
      <c r="I10" s="162" t="s">
        <v>1254</v>
      </c>
      <c r="J10" s="162" t="s">
        <v>840</v>
      </c>
      <c r="K10" s="162" t="s">
        <v>840</v>
      </c>
    </row>
    <row r="11" spans="1:11">
      <c r="A11" s="161" t="s">
        <v>761</v>
      </c>
      <c r="B11" s="162" t="s">
        <v>52</v>
      </c>
      <c r="C11" s="162" t="s">
        <v>46</v>
      </c>
      <c r="D11" s="161" t="s">
        <v>751</v>
      </c>
      <c r="E11" s="161" t="s">
        <v>752</v>
      </c>
      <c r="F11" s="165">
        <v>220.35</v>
      </c>
      <c r="G11" s="164">
        <v>1000</v>
      </c>
      <c r="H11" s="161" t="s">
        <v>753</v>
      </c>
      <c r="I11" s="162" t="s">
        <v>1254</v>
      </c>
      <c r="J11" s="162" t="s">
        <v>840</v>
      </c>
      <c r="K11" s="162" t="s">
        <v>840</v>
      </c>
    </row>
    <row r="12" spans="1:11">
      <c r="A12" s="161" t="s">
        <v>762</v>
      </c>
      <c r="B12" s="162" t="s">
        <v>859</v>
      </c>
      <c r="C12" s="162" t="s">
        <v>856</v>
      </c>
      <c r="D12" s="161" t="s">
        <v>751</v>
      </c>
      <c r="E12" s="161" t="s">
        <v>752</v>
      </c>
      <c r="F12" s="165">
        <v>273</v>
      </c>
      <c r="G12" s="164">
        <v>1000</v>
      </c>
      <c r="H12" s="161" t="s">
        <v>753</v>
      </c>
      <c r="I12" s="162" t="s">
        <v>1254</v>
      </c>
      <c r="J12" s="162" t="s">
        <v>840</v>
      </c>
      <c r="K12" s="162" t="s">
        <v>840</v>
      </c>
    </row>
    <row r="13" spans="1:11">
      <c r="A13" s="161" t="s">
        <v>763</v>
      </c>
      <c r="B13" s="162" t="s">
        <v>839</v>
      </c>
      <c r="C13" s="162" t="s">
        <v>841</v>
      </c>
      <c r="D13" s="161" t="s">
        <v>764</v>
      </c>
      <c r="E13" s="161" t="s">
        <v>752</v>
      </c>
      <c r="F13" s="165">
        <v>89.04</v>
      </c>
      <c r="G13" s="164">
        <v>1000</v>
      </c>
      <c r="H13" s="161" t="s">
        <v>753</v>
      </c>
      <c r="I13" s="162" t="s">
        <v>1254</v>
      </c>
      <c r="J13" s="162" t="s">
        <v>840</v>
      </c>
      <c r="K13" s="162" t="s">
        <v>840</v>
      </c>
    </row>
    <row r="14" spans="1:11">
      <c r="A14" s="161" t="s">
        <v>765</v>
      </c>
      <c r="B14" s="162" t="s">
        <v>766</v>
      </c>
      <c r="C14" s="162" t="s">
        <v>1267</v>
      </c>
      <c r="D14" s="161" t="s">
        <v>751</v>
      </c>
      <c r="E14" s="161" t="s">
        <v>752</v>
      </c>
      <c r="F14" s="163">
        <v>225</v>
      </c>
      <c r="G14" s="164">
        <v>1000</v>
      </c>
      <c r="H14" s="161" t="s">
        <v>753</v>
      </c>
      <c r="I14" s="162" t="s">
        <v>1254</v>
      </c>
      <c r="J14" s="162" t="s">
        <v>1260</v>
      </c>
      <c r="K14" s="162" t="s">
        <v>1260</v>
      </c>
    </row>
    <row r="15" spans="1:11">
      <c r="A15" s="161" t="s">
        <v>780</v>
      </c>
      <c r="B15" s="162" t="s">
        <v>39</v>
      </c>
      <c r="C15" s="162" t="s">
        <v>40</v>
      </c>
      <c r="D15" s="161" t="s">
        <v>781</v>
      </c>
      <c r="E15" s="161" t="s">
        <v>752</v>
      </c>
      <c r="F15" s="163">
        <v>1800</v>
      </c>
      <c r="G15" s="164">
        <v>1000</v>
      </c>
      <c r="H15" s="161" t="s">
        <v>753</v>
      </c>
      <c r="I15" s="162" t="s">
        <v>1254</v>
      </c>
      <c r="J15" s="162" t="s">
        <v>849</v>
      </c>
      <c r="K15" s="162" t="s">
        <v>849</v>
      </c>
    </row>
    <row r="16" spans="1:11">
      <c r="A16" s="161" t="s">
        <v>782</v>
      </c>
      <c r="B16" s="162" t="s">
        <v>860</v>
      </c>
      <c r="C16" s="162" t="s">
        <v>856</v>
      </c>
      <c r="D16" s="161" t="s">
        <v>751</v>
      </c>
      <c r="E16" s="161" t="s">
        <v>752</v>
      </c>
      <c r="F16" s="163">
        <v>299</v>
      </c>
      <c r="G16" s="164">
        <v>1000</v>
      </c>
      <c r="H16" s="161" t="s">
        <v>753</v>
      </c>
      <c r="I16" s="162" t="s">
        <v>1254</v>
      </c>
      <c r="J16" s="162" t="s">
        <v>1260</v>
      </c>
      <c r="K16" s="162" t="s">
        <v>1260</v>
      </c>
    </row>
    <row r="17" spans="1:11">
      <c r="A17" s="161" t="s">
        <v>783</v>
      </c>
      <c r="B17" s="162" t="s">
        <v>861</v>
      </c>
      <c r="C17" s="162" t="s">
        <v>856</v>
      </c>
      <c r="D17" s="161" t="s">
        <v>751</v>
      </c>
      <c r="E17" s="161" t="s">
        <v>752</v>
      </c>
      <c r="F17" s="163">
        <v>269</v>
      </c>
      <c r="G17" s="164">
        <v>1000</v>
      </c>
      <c r="H17" s="161" t="s">
        <v>753</v>
      </c>
      <c r="I17" s="162" t="s">
        <v>1254</v>
      </c>
      <c r="J17" s="162" t="s">
        <v>1260</v>
      </c>
      <c r="K17" s="162" t="s">
        <v>1260</v>
      </c>
    </row>
    <row r="18" spans="1:11">
      <c r="A18" s="161" t="s">
        <v>784</v>
      </c>
      <c r="B18" s="162" t="s">
        <v>862</v>
      </c>
      <c r="C18" s="162" t="s">
        <v>856</v>
      </c>
      <c r="D18" s="161" t="s">
        <v>751</v>
      </c>
      <c r="E18" s="161" t="s">
        <v>752</v>
      </c>
      <c r="F18" s="163">
        <v>299</v>
      </c>
      <c r="G18" s="164">
        <v>1000</v>
      </c>
      <c r="H18" s="161" t="s">
        <v>753</v>
      </c>
      <c r="I18" s="162" t="s">
        <v>1254</v>
      </c>
      <c r="J18" s="162" t="s">
        <v>1260</v>
      </c>
      <c r="K18" s="162" t="s">
        <v>1260</v>
      </c>
    </row>
    <row r="19" spans="1:11">
      <c r="A19" s="161" t="s">
        <v>785</v>
      </c>
      <c r="B19" s="162" t="s">
        <v>863</v>
      </c>
      <c r="C19" s="162" t="s">
        <v>856</v>
      </c>
      <c r="D19" s="161" t="s">
        <v>751</v>
      </c>
      <c r="E19" s="161" t="s">
        <v>752</v>
      </c>
      <c r="F19" s="163">
        <v>269</v>
      </c>
      <c r="G19" s="164">
        <v>1000</v>
      </c>
      <c r="H19" s="161" t="s">
        <v>753</v>
      </c>
      <c r="I19" s="162" t="s">
        <v>1254</v>
      </c>
      <c r="J19" s="162" t="s">
        <v>1260</v>
      </c>
      <c r="K19" s="162" t="s">
        <v>1260</v>
      </c>
    </row>
    <row r="20" spans="1:11">
      <c r="A20" s="161" t="s">
        <v>786</v>
      </c>
      <c r="B20" s="162" t="s">
        <v>864</v>
      </c>
      <c r="C20" s="162" t="s">
        <v>856</v>
      </c>
      <c r="D20" s="161" t="s">
        <v>751</v>
      </c>
      <c r="E20" s="161" t="s">
        <v>752</v>
      </c>
      <c r="F20" s="163">
        <v>360</v>
      </c>
      <c r="G20" s="164">
        <v>1000</v>
      </c>
      <c r="H20" s="161" t="s">
        <v>753</v>
      </c>
      <c r="I20" s="162" t="s">
        <v>1254</v>
      </c>
      <c r="J20" s="162" t="s">
        <v>1260</v>
      </c>
      <c r="K20" s="162" t="s">
        <v>1260</v>
      </c>
    </row>
    <row r="21" spans="1:11">
      <c r="A21" s="161" t="s">
        <v>787</v>
      </c>
      <c r="B21" s="162" t="s">
        <v>865</v>
      </c>
      <c r="C21" s="162" t="s">
        <v>856</v>
      </c>
      <c r="D21" s="161" t="s">
        <v>751</v>
      </c>
      <c r="E21" s="161" t="s">
        <v>752</v>
      </c>
      <c r="F21" s="163">
        <v>646</v>
      </c>
      <c r="G21" s="164">
        <v>1000</v>
      </c>
      <c r="H21" s="161" t="s">
        <v>753</v>
      </c>
      <c r="I21" s="162" t="s">
        <v>1254</v>
      </c>
      <c r="J21" s="162" t="s">
        <v>1260</v>
      </c>
      <c r="K21" s="162" t="s">
        <v>1260</v>
      </c>
    </row>
    <row r="22" spans="1:11">
      <c r="A22" s="161" t="s">
        <v>788</v>
      </c>
      <c r="B22" s="162" t="s">
        <v>866</v>
      </c>
      <c r="C22" s="162" t="s">
        <v>856</v>
      </c>
      <c r="D22" s="161" t="s">
        <v>751</v>
      </c>
      <c r="E22" s="161" t="s">
        <v>752</v>
      </c>
      <c r="F22" s="163">
        <v>386.6</v>
      </c>
      <c r="G22" s="164">
        <v>1000</v>
      </c>
      <c r="H22" s="161" t="s">
        <v>753</v>
      </c>
      <c r="I22" s="162" t="s">
        <v>1254</v>
      </c>
      <c r="J22" s="162" t="s">
        <v>1252</v>
      </c>
      <c r="K22" s="162" t="s">
        <v>1252</v>
      </c>
    </row>
    <row r="23" spans="1:11">
      <c r="A23" s="161" t="s">
        <v>789</v>
      </c>
      <c r="B23" s="162" t="s">
        <v>867</v>
      </c>
      <c r="C23" s="162" t="s">
        <v>856</v>
      </c>
      <c r="D23" s="161" t="s">
        <v>751</v>
      </c>
      <c r="E23" s="161" t="s">
        <v>752</v>
      </c>
      <c r="F23" s="163">
        <v>386.6</v>
      </c>
      <c r="G23" s="164">
        <v>1000</v>
      </c>
      <c r="H23" s="161" t="s">
        <v>753</v>
      </c>
      <c r="I23" s="162" t="s">
        <v>1254</v>
      </c>
      <c r="J23" s="162" t="s">
        <v>1252</v>
      </c>
      <c r="K23" s="162" t="s">
        <v>1252</v>
      </c>
    </row>
    <row r="24" spans="1:11">
      <c r="A24" s="161" t="s">
        <v>790</v>
      </c>
      <c r="B24" s="162" t="s">
        <v>868</v>
      </c>
      <c r="C24" s="162" t="s">
        <v>856</v>
      </c>
      <c r="D24" s="161" t="s">
        <v>751</v>
      </c>
      <c r="E24" s="161" t="s">
        <v>752</v>
      </c>
      <c r="F24" s="163">
        <v>426.6</v>
      </c>
      <c r="G24" s="164">
        <v>1000</v>
      </c>
      <c r="H24" s="161" t="s">
        <v>753</v>
      </c>
      <c r="I24" s="162" t="s">
        <v>1254</v>
      </c>
      <c r="J24" s="162" t="s">
        <v>1252</v>
      </c>
      <c r="K24" s="162" t="s">
        <v>1252</v>
      </c>
    </row>
    <row r="25" spans="1:11">
      <c r="A25" s="161" t="s">
        <v>791</v>
      </c>
      <c r="B25" s="162" t="s">
        <v>869</v>
      </c>
      <c r="C25" s="162" t="s">
        <v>856</v>
      </c>
      <c r="D25" s="161" t="s">
        <v>751</v>
      </c>
      <c r="E25" s="161" t="s">
        <v>752</v>
      </c>
      <c r="F25" s="163">
        <v>386.6</v>
      </c>
      <c r="G25" s="164">
        <v>1000</v>
      </c>
      <c r="H25" s="161" t="s">
        <v>753</v>
      </c>
      <c r="I25" s="162" t="s">
        <v>1254</v>
      </c>
      <c r="J25" s="162" t="s">
        <v>1252</v>
      </c>
      <c r="K25" s="162" t="s">
        <v>1252</v>
      </c>
    </row>
    <row r="26" spans="1:11">
      <c r="A26" s="161" t="s">
        <v>792</v>
      </c>
      <c r="B26" s="162" t="s">
        <v>871</v>
      </c>
      <c r="C26" s="162" t="s">
        <v>856</v>
      </c>
      <c r="D26" s="161" t="s">
        <v>751</v>
      </c>
      <c r="E26" s="161" t="s">
        <v>752</v>
      </c>
      <c r="F26" s="163">
        <v>426.6</v>
      </c>
      <c r="G26" s="164">
        <v>1000</v>
      </c>
      <c r="H26" s="161" t="s">
        <v>753</v>
      </c>
      <c r="I26" s="162" t="s">
        <v>1254</v>
      </c>
      <c r="J26" s="162" t="s">
        <v>1252</v>
      </c>
      <c r="K26" s="162" t="s">
        <v>1252</v>
      </c>
    </row>
    <row r="27" spans="1:11">
      <c r="A27" s="161" t="s">
        <v>793</v>
      </c>
      <c r="B27" s="162" t="s">
        <v>872</v>
      </c>
      <c r="C27" s="162" t="s">
        <v>856</v>
      </c>
      <c r="D27" s="161" t="s">
        <v>751</v>
      </c>
      <c r="E27" s="161" t="s">
        <v>752</v>
      </c>
      <c r="F27" s="163">
        <v>426.6</v>
      </c>
      <c r="G27" s="164">
        <v>1000</v>
      </c>
      <c r="H27" s="161" t="s">
        <v>753</v>
      </c>
      <c r="I27" s="162" t="s">
        <v>1254</v>
      </c>
      <c r="J27" s="162" t="s">
        <v>1252</v>
      </c>
      <c r="K27" s="162" t="s">
        <v>1252</v>
      </c>
    </row>
    <row r="28" spans="1:11">
      <c r="A28" s="161" t="s">
        <v>794</v>
      </c>
      <c r="B28" s="162" t="s">
        <v>873</v>
      </c>
      <c r="C28" s="162" t="s">
        <v>856</v>
      </c>
      <c r="D28" s="161" t="s">
        <v>751</v>
      </c>
      <c r="E28" s="161" t="s">
        <v>752</v>
      </c>
      <c r="F28" s="163">
        <v>469</v>
      </c>
      <c r="G28" s="164">
        <v>1000</v>
      </c>
      <c r="H28" s="161" t="s">
        <v>753</v>
      </c>
      <c r="I28" s="162" t="s">
        <v>1254</v>
      </c>
      <c r="J28" s="162" t="s">
        <v>1252</v>
      </c>
      <c r="K28" s="162" t="s">
        <v>1252</v>
      </c>
    </row>
    <row r="29" spans="1:11">
      <c r="A29" s="161" t="s">
        <v>795</v>
      </c>
      <c r="B29" s="162" t="s">
        <v>874</v>
      </c>
      <c r="C29" s="162" t="s">
        <v>856</v>
      </c>
      <c r="D29" s="161" t="s">
        <v>751</v>
      </c>
      <c r="E29" s="161" t="s">
        <v>752</v>
      </c>
      <c r="F29" s="163">
        <v>460</v>
      </c>
      <c r="G29" s="164">
        <v>1000</v>
      </c>
      <c r="H29" s="161" t="s">
        <v>753</v>
      </c>
      <c r="I29" s="162" t="s">
        <v>1254</v>
      </c>
      <c r="J29" s="162" t="s">
        <v>1252</v>
      </c>
      <c r="K29" s="162" t="s">
        <v>1252</v>
      </c>
    </row>
    <row r="30" spans="1:11">
      <c r="A30" s="161" t="s">
        <v>796</v>
      </c>
      <c r="B30" s="162" t="s">
        <v>848</v>
      </c>
      <c r="C30" s="162" t="s">
        <v>41</v>
      </c>
      <c r="D30" s="161" t="s">
        <v>751</v>
      </c>
      <c r="E30" s="161" t="s">
        <v>752</v>
      </c>
      <c r="F30" s="163">
        <v>812</v>
      </c>
      <c r="G30" s="164">
        <v>1000</v>
      </c>
      <c r="H30" s="161" t="s">
        <v>753</v>
      </c>
      <c r="I30" s="162" t="s">
        <v>1254</v>
      </c>
      <c r="J30" s="162" t="s">
        <v>849</v>
      </c>
      <c r="K30" s="162" t="s">
        <v>849</v>
      </c>
    </row>
    <row r="31" spans="1:11">
      <c r="A31" s="161" t="s">
        <v>797</v>
      </c>
      <c r="B31" s="162" t="s">
        <v>42</v>
      </c>
      <c r="C31" s="162" t="s">
        <v>41</v>
      </c>
      <c r="D31" s="161" t="s">
        <v>751</v>
      </c>
      <c r="E31" s="161" t="s">
        <v>752</v>
      </c>
      <c r="F31" s="163">
        <v>812</v>
      </c>
      <c r="G31" s="164">
        <v>1000</v>
      </c>
      <c r="H31" s="161" t="s">
        <v>753</v>
      </c>
      <c r="I31" s="162" t="s">
        <v>1254</v>
      </c>
      <c r="J31" s="162" t="s">
        <v>849</v>
      </c>
      <c r="K31" s="162" t="s">
        <v>849</v>
      </c>
    </row>
    <row r="32" spans="1:11">
      <c r="A32" s="161" t="s">
        <v>798</v>
      </c>
      <c r="B32" s="162" t="s">
        <v>43</v>
      </c>
      <c r="C32" s="162" t="s">
        <v>41</v>
      </c>
      <c r="D32" s="161" t="s">
        <v>751</v>
      </c>
      <c r="E32" s="161" t="s">
        <v>752</v>
      </c>
      <c r="F32" s="163">
        <v>812</v>
      </c>
      <c r="G32" s="164">
        <v>1000</v>
      </c>
      <c r="H32" s="161" t="s">
        <v>753</v>
      </c>
      <c r="I32" s="162" t="s">
        <v>1254</v>
      </c>
      <c r="J32" s="162" t="s">
        <v>849</v>
      </c>
      <c r="K32" s="162" t="s">
        <v>849</v>
      </c>
    </row>
    <row r="33" spans="1:11">
      <c r="A33" s="161" t="s">
        <v>799</v>
      </c>
      <c r="B33" s="162" t="s">
        <v>875</v>
      </c>
      <c r="C33" s="162" t="s">
        <v>856</v>
      </c>
      <c r="D33" s="161" t="s">
        <v>751</v>
      </c>
      <c r="E33" s="161" t="s">
        <v>752</v>
      </c>
      <c r="F33" s="165">
        <v>295</v>
      </c>
      <c r="G33" s="164">
        <v>1000</v>
      </c>
      <c r="H33" s="161" t="s">
        <v>753</v>
      </c>
      <c r="I33" s="162" t="s">
        <v>1254</v>
      </c>
      <c r="J33" s="162" t="s">
        <v>840</v>
      </c>
      <c r="K33" s="162" t="s">
        <v>840</v>
      </c>
    </row>
    <row r="34" spans="1:11">
      <c r="A34" s="161" t="s">
        <v>800</v>
      </c>
      <c r="B34" s="162" t="s">
        <v>876</v>
      </c>
      <c r="C34" s="162" t="s">
        <v>856</v>
      </c>
      <c r="D34" s="161" t="s">
        <v>751</v>
      </c>
      <c r="E34" s="161" t="s">
        <v>752</v>
      </c>
      <c r="F34" s="165">
        <v>295</v>
      </c>
      <c r="G34" s="164">
        <v>1000</v>
      </c>
      <c r="H34" s="161" t="s">
        <v>753</v>
      </c>
      <c r="I34" s="162" t="s">
        <v>1254</v>
      </c>
      <c r="J34" s="162" t="s">
        <v>840</v>
      </c>
      <c r="K34" s="162" t="s">
        <v>840</v>
      </c>
    </row>
    <row r="35" spans="1:11">
      <c r="A35" s="161" t="s">
        <v>801</v>
      </c>
      <c r="B35" s="162" t="s">
        <v>850</v>
      </c>
      <c r="C35" s="162" t="s">
        <v>856</v>
      </c>
      <c r="D35" s="161" t="s">
        <v>751</v>
      </c>
      <c r="E35" s="161" t="s">
        <v>752</v>
      </c>
      <c r="F35" s="165">
        <v>275</v>
      </c>
      <c r="G35" s="164">
        <v>1000</v>
      </c>
      <c r="H35" s="161" t="s">
        <v>753</v>
      </c>
      <c r="I35" s="162" t="s">
        <v>1254</v>
      </c>
      <c r="J35" s="162" t="s">
        <v>840</v>
      </c>
      <c r="K35" s="162" t="s">
        <v>840</v>
      </c>
    </row>
    <row r="36" spans="1:11">
      <c r="A36" s="161" t="s">
        <v>802</v>
      </c>
      <c r="B36" s="162" t="s">
        <v>877</v>
      </c>
      <c r="C36" s="162" t="s">
        <v>856</v>
      </c>
      <c r="D36" s="161" t="s">
        <v>751</v>
      </c>
      <c r="E36" s="161" t="s">
        <v>752</v>
      </c>
      <c r="F36" s="165">
        <v>228</v>
      </c>
      <c r="G36" s="164">
        <v>1000</v>
      </c>
      <c r="H36" s="161" t="s">
        <v>753</v>
      </c>
      <c r="I36" s="162" t="s">
        <v>1254</v>
      </c>
      <c r="J36" s="162" t="s">
        <v>840</v>
      </c>
      <c r="K36" s="162" t="s">
        <v>840</v>
      </c>
    </row>
    <row r="37" spans="1:11">
      <c r="A37" s="161" t="s">
        <v>803</v>
      </c>
      <c r="B37" s="162" t="s">
        <v>878</v>
      </c>
      <c r="C37" s="162" t="s">
        <v>856</v>
      </c>
      <c r="D37" s="161" t="s">
        <v>751</v>
      </c>
      <c r="E37" s="161" t="s">
        <v>752</v>
      </c>
      <c r="F37" s="163">
        <v>673</v>
      </c>
      <c r="G37" s="164">
        <v>1000</v>
      </c>
      <c r="H37" s="161" t="s">
        <v>753</v>
      </c>
      <c r="I37" s="162" t="s">
        <v>1254</v>
      </c>
      <c r="J37" s="162" t="s">
        <v>879</v>
      </c>
      <c r="K37" s="162" t="s">
        <v>879</v>
      </c>
    </row>
    <row r="38" spans="1:11">
      <c r="A38" s="161" t="s">
        <v>804</v>
      </c>
      <c r="B38" s="162" t="s">
        <v>880</v>
      </c>
      <c r="C38" s="162" t="s">
        <v>856</v>
      </c>
      <c r="D38" s="161" t="s">
        <v>751</v>
      </c>
      <c r="E38" s="161" t="s">
        <v>752</v>
      </c>
      <c r="F38" s="163">
        <v>260</v>
      </c>
      <c r="G38" s="164">
        <v>1000</v>
      </c>
      <c r="H38" s="161" t="s">
        <v>753</v>
      </c>
      <c r="I38" s="162" t="s">
        <v>1254</v>
      </c>
      <c r="J38" s="162" t="s">
        <v>1260</v>
      </c>
      <c r="K38" s="162" t="s">
        <v>1260</v>
      </c>
    </row>
    <row r="39" spans="1:11">
      <c r="A39" s="161" t="s">
        <v>805</v>
      </c>
      <c r="B39" s="162" t="s">
        <v>881</v>
      </c>
      <c r="C39" s="162" t="s">
        <v>856</v>
      </c>
      <c r="D39" s="161" t="s">
        <v>751</v>
      </c>
      <c r="E39" s="161" t="s">
        <v>752</v>
      </c>
      <c r="F39" s="163">
        <v>266.85000000000002</v>
      </c>
      <c r="G39" s="164">
        <v>1000</v>
      </c>
      <c r="H39" s="161" t="s">
        <v>753</v>
      </c>
      <c r="I39" s="162" t="s">
        <v>1254</v>
      </c>
      <c r="J39" s="162" t="s">
        <v>1260</v>
      </c>
      <c r="K39" s="162" t="s">
        <v>1260</v>
      </c>
    </row>
    <row r="40" spans="1:11">
      <c r="A40" s="161" t="s">
        <v>806</v>
      </c>
      <c r="B40" s="162" t="s">
        <v>882</v>
      </c>
      <c r="C40" s="162" t="s">
        <v>856</v>
      </c>
      <c r="D40" s="161" t="s">
        <v>751</v>
      </c>
      <c r="E40" s="161" t="s">
        <v>752</v>
      </c>
      <c r="F40" s="163">
        <v>260</v>
      </c>
      <c r="G40" s="164">
        <v>1000</v>
      </c>
      <c r="H40" s="161" t="s">
        <v>753</v>
      </c>
      <c r="I40" s="162" t="s">
        <v>1254</v>
      </c>
      <c r="J40" s="162" t="s">
        <v>1260</v>
      </c>
      <c r="K40" s="162" t="s">
        <v>1260</v>
      </c>
    </row>
    <row r="41" spans="1:11">
      <c r="A41" s="161" t="s">
        <v>807</v>
      </c>
      <c r="B41" s="162" t="s">
        <v>883</v>
      </c>
      <c r="C41" s="162" t="s">
        <v>856</v>
      </c>
      <c r="D41" s="161" t="s">
        <v>751</v>
      </c>
      <c r="E41" s="161" t="s">
        <v>752</v>
      </c>
      <c r="F41" s="163">
        <v>240</v>
      </c>
      <c r="G41" s="164">
        <v>1000</v>
      </c>
      <c r="H41" s="161" t="s">
        <v>753</v>
      </c>
      <c r="I41" s="162" t="s">
        <v>1254</v>
      </c>
      <c r="J41" s="162" t="s">
        <v>1260</v>
      </c>
      <c r="K41" s="162" t="s">
        <v>1260</v>
      </c>
    </row>
    <row r="42" spans="1:11">
      <c r="A42" s="161" t="s">
        <v>808</v>
      </c>
      <c r="B42" s="162" t="s">
        <v>884</v>
      </c>
      <c r="C42" s="162" t="s">
        <v>856</v>
      </c>
      <c r="D42" s="161" t="s">
        <v>751</v>
      </c>
      <c r="E42" s="161" t="s">
        <v>752</v>
      </c>
      <c r="F42" s="163">
        <v>248</v>
      </c>
      <c r="G42" s="164">
        <v>1000</v>
      </c>
      <c r="H42" s="161" t="s">
        <v>753</v>
      </c>
      <c r="I42" s="162" t="s">
        <v>1254</v>
      </c>
      <c r="J42" s="162" t="s">
        <v>1260</v>
      </c>
      <c r="K42" s="162" t="s">
        <v>1260</v>
      </c>
    </row>
    <row r="43" spans="1:11">
      <c r="A43" s="161" t="s">
        <v>809</v>
      </c>
      <c r="B43" s="162" t="s">
        <v>885</v>
      </c>
      <c r="C43" s="162" t="s">
        <v>856</v>
      </c>
      <c r="D43" s="161" t="s">
        <v>751</v>
      </c>
      <c r="E43" s="161" t="s">
        <v>752</v>
      </c>
      <c r="F43" s="163">
        <v>355</v>
      </c>
      <c r="G43" s="164">
        <v>1000</v>
      </c>
      <c r="H43" s="161" t="s">
        <v>753</v>
      </c>
      <c r="I43" s="162" t="s">
        <v>1254</v>
      </c>
      <c r="J43" s="162" t="s">
        <v>1260</v>
      </c>
      <c r="K43" s="162" t="s">
        <v>1260</v>
      </c>
    </row>
    <row r="44" spans="1:11">
      <c r="A44" s="161" t="s">
        <v>810</v>
      </c>
      <c r="B44" s="162" t="s">
        <v>886</v>
      </c>
      <c r="C44" s="162" t="s">
        <v>856</v>
      </c>
      <c r="D44" s="161" t="s">
        <v>751</v>
      </c>
      <c r="E44" s="161" t="s">
        <v>752</v>
      </c>
      <c r="F44" s="163">
        <v>355</v>
      </c>
      <c r="G44" s="164">
        <v>1000</v>
      </c>
      <c r="H44" s="161" t="s">
        <v>753</v>
      </c>
      <c r="I44" s="162" t="s">
        <v>1254</v>
      </c>
      <c r="J44" s="162" t="s">
        <v>1260</v>
      </c>
      <c r="K44" s="162" t="s">
        <v>1260</v>
      </c>
    </row>
    <row r="45" spans="1:11">
      <c r="A45" s="161" t="s">
        <v>811</v>
      </c>
      <c r="B45" s="162" t="s">
        <v>887</v>
      </c>
      <c r="C45" s="162" t="s">
        <v>856</v>
      </c>
      <c r="D45" s="161" t="s">
        <v>751</v>
      </c>
      <c r="E45" s="161" t="s">
        <v>752</v>
      </c>
      <c r="F45" s="163">
        <v>355</v>
      </c>
      <c r="G45" s="164">
        <v>1000</v>
      </c>
      <c r="H45" s="161" t="s">
        <v>753</v>
      </c>
      <c r="I45" s="162" t="s">
        <v>1254</v>
      </c>
      <c r="J45" s="162" t="s">
        <v>1260</v>
      </c>
      <c r="K45" s="162" t="s">
        <v>1260</v>
      </c>
    </row>
    <row r="46" spans="1:11">
      <c r="A46" s="161" t="s">
        <v>812</v>
      </c>
      <c r="B46" s="162" t="s">
        <v>888</v>
      </c>
      <c r="C46" s="162" t="s">
        <v>856</v>
      </c>
      <c r="D46" s="161" t="s">
        <v>751</v>
      </c>
      <c r="E46" s="161" t="s">
        <v>752</v>
      </c>
      <c r="F46" s="163">
        <v>323</v>
      </c>
      <c r="G46" s="164">
        <v>1000</v>
      </c>
      <c r="H46" s="161" t="s">
        <v>753</v>
      </c>
      <c r="I46" s="162" t="s">
        <v>1254</v>
      </c>
      <c r="J46" s="162" t="s">
        <v>1260</v>
      </c>
      <c r="K46" s="162" t="s">
        <v>1260</v>
      </c>
    </row>
    <row r="47" spans="1:11">
      <c r="A47" s="161" t="s">
        <v>813</v>
      </c>
      <c r="B47" s="162" t="s">
        <v>814</v>
      </c>
      <c r="C47" s="162" t="s">
        <v>856</v>
      </c>
      <c r="D47" s="161" t="s">
        <v>751</v>
      </c>
      <c r="E47" s="161" t="s">
        <v>752</v>
      </c>
      <c r="F47" s="163">
        <v>323</v>
      </c>
      <c r="G47" s="164">
        <v>1000</v>
      </c>
      <c r="H47" s="161" t="s">
        <v>753</v>
      </c>
      <c r="I47" s="162" t="s">
        <v>1254</v>
      </c>
      <c r="J47" s="162" t="s">
        <v>1260</v>
      </c>
      <c r="K47" s="162" t="s">
        <v>1260</v>
      </c>
    </row>
    <row r="48" spans="1:11">
      <c r="A48" s="161" t="s">
        <v>815</v>
      </c>
      <c r="B48" s="162" t="s">
        <v>889</v>
      </c>
      <c r="C48" s="162" t="s">
        <v>856</v>
      </c>
      <c r="D48" s="161" t="s">
        <v>816</v>
      </c>
      <c r="E48" s="161" t="s">
        <v>752</v>
      </c>
      <c r="F48" s="163">
        <v>375</v>
      </c>
      <c r="G48" s="164">
        <v>1000</v>
      </c>
      <c r="H48" s="161" t="s">
        <v>753</v>
      </c>
      <c r="I48" s="162" t="s">
        <v>1254</v>
      </c>
      <c r="J48" s="162" t="s">
        <v>1260</v>
      </c>
      <c r="K48" s="162" t="s">
        <v>1260</v>
      </c>
    </row>
    <row r="49" spans="1:11">
      <c r="A49" s="161" t="s">
        <v>817</v>
      </c>
      <c r="B49" s="162" t="s">
        <v>890</v>
      </c>
      <c r="C49" s="162" t="s">
        <v>856</v>
      </c>
      <c r="D49" s="161" t="s">
        <v>751</v>
      </c>
      <c r="E49" s="161" t="s">
        <v>752</v>
      </c>
      <c r="F49" s="163">
        <v>315</v>
      </c>
      <c r="G49" s="164">
        <v>1000</v>
      </c>
      <c r="H49" s="161" t="s">
        <v>753</v>
      </c>
      <c r="I49" s="162" t="s">
        <v>1254</v>
      </c>
      <c r="J49" s="162" t="s">
        <v>1260</v>
      </c>
      <c r="K49" s="162" t="s">
        <v>1260</v>
      </c>
    </row>
    <row r="50" spans="1:11">
      <c r="A50" s="161" t="s">
        <v>818</v>
      </c>
      <c r="B50" s="162" t="s">
        <v>891</v>
      </c>
      <c r="C50" s="162" t="s">
        <v>856</v>
      </c>
      <c r="D50" s="161" t="s">
        <v>751</v>
      </c>
      <c r="E50" s="161" t="s">
        <v>752</v>
      </c>
      <c r="F50" s="163">
        <v>365</v>
      </c>
      <c r="G50" s="164">
        <v>1000</v>
      </c>
      <c r="H50" s="161" t="s">
        <v>753</v>
      </c>
      <c r="I50" s="162" t="s">
        <v>1254</v>
      </c>
      <c r="J50" s="162" t="s">
        <v>1260</v>
      </c>
      <c r="K50" s="162" t="s">
        <v>1260</v>
      </c>
    </row>
    <row r="51" spans="1:11">
      <c r="A51" s="161" t="s">
        <v>819</v>
      </c>
      <c r="B51" s="162" t="s">
        <v>892</v>
      </c>
      <c r="C51" s="162" t="s">
        <v>856</v>
      </c>
      <c r="D51" s="161" t="s">
        <v>751</v>
      </c>
      <c r="E51" s="161" t="s">
        <v>752</v>
      </c>
      <c r="F51" s="163">
        <v>405</v>
      </c>
      <c r="G51" s="164">
        <v>1000</v>
      </c>
      <c r="H51" s="161" t="s">
        <v>753</v>
      </c>
      <c r="I51" s="162" t="s">
        <v>1254</v>
      </c>
      <c r="J51" s="162" t="s">
        <v>1260</v>
      </c>
      <c r="K51" s="162" t="s">
        <v>1260</v>
      </c>
    </row>
    <row r="52" spans="1:11">
      <c r="A52" s="161" t="s">
        <v>820</v>
      </c>
      <c r="B52" s="162" t="s">
        <v>893</v>
      </c>
      <c r="C52" s="162" t="s">
        <v>856</v>
      </c>
      <c r="D52" s="161" t="s">
        <v>751</v>
      </c>
      <c r="E52" s="161" t="s">
        <v>752</v>
      </c>
      <c r="F52" s="163">
        <v>545</v>
      </c>
      <c r="G52" s="164">
        <v>1000</v>
      </c>
      <c r="H52" s="161" t="s">
        <v>753</v>
      </c>
      <c r="I52" s="162" t="s">
        <v>1254</v>
      </c>
      <c r="J52" s="162" t="s">
        <v>1260</v>
      </c>
      <c r="K52" s="162" t="s">
        <v>1260</v>
      </c>
    </row>
    <row r="53" spans="1:11">
      <c r="A53" s="161" t="s">
        <v>821</v>
      </c>
      <c r="B53" s="162" t="s">
        <v>852</v>
      </c>
      <c r="C53" s="162" t="s">
        <v>853</v>
      </c>
      <c r="D53" s="161" t="s">
        <v>781</v>
      </c>
      <c r="E53" s="161" t="s">
        <v>752</v>
      </c>
      <c r="F53" s="163">
        <v>550</v>
      </c>
      <c r="G53" s="164">
        <v>1000</v>
      </c>
      <c r="H53" s="161" t="s">
        <v>753</v>
      </c>
      <c r="I53" s="162" t="s">
        <v>1254</v>
      </c>
      <c r="J53" s="162" t="s">
        <v>849</v>
      </c>
      <c r="K53" s="162" t="s">
        <v>849</v>
      </c>
    </row>
    <row r="54" spans="1:11">
      <c r="A54" s="161" t="s">
        <v>822</v>
      </c>
      <c r="B54" s="162" t="s">
        <v>854</v>
      </c>
      <c r="C54" s="162" t="s">
        <v>853</v>
      </c>
      <c r="D54" s="161" t="s">
        <v>781</v>
      </c>
      <c r="E54" s="161" t="s">
        <v>752</v>
      </c>
      <c r="F54" s="163">
        <v>3500</v>
      </c>
      <c r="G54" s="164">
        <v>1000</v>
      </c>
      <c r="H54" s="161" t="s">
        <v>753</v>
      </c>
      <c r="I54" s="162" t="s">
        <v>1254</v>
      </c>
      <c r="J54" s="162" t="s">
        <v>849</v>
      </c>
      <c r="K54" s="162" t="s">
        <v>849</v>
      </c>
    </row>
    <row r="55" spans="1:11">
      <c r="A55" s="161" t="s">
        <v>823</v>
      </c>
      <c r="B55" s="162" t="s">
        <v>898</v>
      </c>
      <c r="C55" s="162" t="s">
        <v>856</v>
      </c>
      <c r="D55" s="161" t="s">
        <v>751</v>
      </c>
      <c r="E55" s="161" t="s">
        <v>752</v>
      </c>
      <c r="F55" s="163">
        <v>1545</v>
      </c>
      <c r="G55" s="164">
        <v>1000</v>
      </c>
      <c r="H55" s="161" t="s">
        <v>753</v>
      </c>
      <c r="I55" s="162" t="s">
        <v>1254</v>
      </c>
      <c r="J55" s="162" t="s">
        <v>857</v>
      </c>
      <c r="K55" s="162" t="s">
        <v>857</v>
      </c>
    </row>
    <row r="56" spans="1:11">
      <c r="A56" s="161" t="s">
        <v>824</v>
      </c>
      <c r="B56" s="162" t="s">
        <v>899</v>
      </c>
      <c r="C56" s="162" t="s">
        <v>856</v>
      </c>
      <c r="D56" s="161" t="s">
        <v>751</v>
      </c>
      <c r="E56" s="161" t="s">
        <v>752</v>
      </c>
      <c r="F56" s="163">
        <v>1545</v>
      </c>
      <c r="G56" s="164">
        <v>1000</v>
      </c>
      <c r="H56" s="161" t="s">
        <v>753</v>
      </c>
      <c r="I56" s="162" t="s">
        <v>1254</v>
      </c>
      <c r="J56" s="162" t="s">
        <v>857</v>
      </c>
      <c r="K56" s="162" t="s">
        <v>857</v>
      </c>
    </row>
    <row r="57" spans="1:11">
      <c r="A57" s="161" t="s">
        <v>825</v>
      </c>
      <c r="B57" s="162" t="s">
        <v>31</v>
      </c>
      <c r="C57" s="162" t="s">
        <v>32</v>
      </c>
      <c r="D57" s="161" t="s">
        <v>751</v>
      </c>
      <c r="E57" s="161" t="s">
        <v>752</v>
      </c>
      <c r="F57" s="163">
        <v>520</v>
      </c>
      <c r="G57" s="164">
        <v>1000</v>
      </c>
      <c r="H57" s="161" t="s">
        <v>753</v>
      </c>
      <c r="I57" s="162" t="s">
        <v>1254</v>
      </c>
      <c r="J57" s="162" t="s">
        <v>1271</v>
      </c>
      <c r="K57" s="162" t="s">
        <v>1272</v>
      </c>
    </row>
    <row r="58" spans="1:11">
      <c r="A58" s="161" t="s">
        <v>1138</v>
      </c>
      <c r="B58" s="162" t="s">
        <v>33</v>
      </c>
      <c r="C58" s="162" t="s">
        <v>32</v>
      </c>
      <c r="D58" s="161" t="s">
        <v>751</v>
      </c>
      <c r="E58" s="161" t="s">
        <v>752</v>
      </c>
      <c r="F58" s="163">
        <v>370</v>
      </c>
      <c r="G58" s="164">
        <v>1000</v>
      </c>
      <c r="H58" s="161" t="s">
        <v>753</v>
      </c>
      <c r="I58" s="162" t="s">
        <v>1254</v>
      </c>
      <c r="J58" s="162" t="s">
        <v>1271</v>
      </c>
      <c r="K58" s="162" t="s">
        <v>1272</v>
      </c>
    </row>
    <row r="59" spans="1:11">
      <c r="A59" s="161" t="s">
        <v>1139</v>
      </c>
      <c r="B59" s="162" t="s">
        <v>34</v>
      </c>
      <c r="C59" s="162" t="s">
        <v>32</v>
      </c>
      <c r="D59" s="161" t="s">
        <v>751</v>
      </c>
      <c r="E59" s="161" t="s">
        <v>752</v>
      </c>
      <c r="F59" s="163">
        <v>433</v>
      </c>
      <c r="G59" s="164">
        <v>1000</v>
      </c>
      <c r="H59" s="161" t="s">
        <v>753</v>
      </c>
      <c r="I59" s="162" t="s">
        <v>1254</v>
      </c>
      <c r="J59" s="162" t="s">
        <v>1271</v>
      </c>
      <c r="K59" s="162" t="s">
        <v>1272</v>
      </c>
    </row>
    <row r="60" spans="1:11">
      <c r="A60" s="161" t="s">
        <v>1140</v>
      </c>
      <c r="B60" s="162" t="s">
        <v>900</v>
      </c>
      <c r="C60" s="162" t="s">
        <v>856</v>
      </c>
      <c r="D60" s="161" t="s">
        <v>751</v>
      </c>
      <c r="E60" s="161" t="s">
        <v>752</v>
      </c>
      <c r="F60" s="163">
        <v>454.9</v>
      </c>
      <c r="G60" s="164">
        <v>1000</v>
      </c>
      <c r="H60" s="161" t="s">
        <v>753</v>
      </c>
      <c r="I60" s="162" t="s">
        <v>1254</v>
      </c>
      <c r="J60" s="162" t="s">
        <v>1269</v>
      </c>
      <c r="K60" s="162" t="s">
        <v>1269</v>
      </c>
    </row>
    <row r="61" spans="1:11">
      <c r="A61" s="161" t="s">
        <v>1141</v>
      </c>
      <c r="B61" s="162" t="s">
        <v>901</v>
      </c>
      <c r="C61" s="162" t="s">
        <v>856</v>
      </c>
      <c r="D61" s="161" t="s">
        <v>751</v>
      </c>
      <c r="E61" s="161" t="s">
        <v>752</v>
      </c>
      <c r="F61" s="163">
        <v>454.9</v>
      </c>
      <c r="G61" s="164">
        <v>1000</v>
      </c>
      <c r="H61" s="161" t="s">
        <v>753</v>
      </c>
      <c r="I61" s="162" t="s">
        <v>1254</v>
      </c>
      <c r="J61" s="162" t="s">
        <v>1269</v>
      </c>
      <c r="K61" s="162" t="s">
        <v>1269</v>
      </c>
    </row>
    <row r="62" spans="1:11">
      <c r="A62" s="161" t="s">
        <v>1142</v>
      </c>
      <c r="B62" s="162" t="s">
        <v>902</v>
      </c>
      <c r="C62" s="162" t="s">
        <v>856</v>
      </c>
      <c r="D62" s="161" t="s">
        <v>751</v>
      </c>
      <c r="E62" s="161" t="s">
        <v>752</v>
      </c>
      <c r="F62" s="163">
        <v>454.9</v>
      </c>
      <c r="G62" s="164">
        <v>1000</v>
      </c>
      <c r="H62" s="161" t="s">
        <v>753</v>
      </c>
      <c r="I62" s="162" t="s">
        <v>1254</v>
      </c>
      <c r="J62" s="162" t="s">
        <v>1269</v>
      </c>
      <c r="K62" s="162" t="s">
        <v>1269</v>
      </c>
    </row>
    <row r="63" spans="1:11">
      <c r="A63" s="161" t="s">
        <v>1143</v>
      </c>
      <c r="B63" s="162" t="s">
        <v>64</v>
      </c>
      <c r="C63" s="162" t="s">
        <v>66</v>
      </c>
      <c r="D63" s="161" t="s">
        <v>1144</v>
      </c>
      <c r="E63" s="161" t="s">
        <v>752</v>
      </c>
      <c r="F63" s="163">
        <v>1650</v>
      </c>
      <c r="G63" s="164">
        <v>1000</v>
      </c>
      <c r="H63" s="161" t="s">
        <v>753</v>
      </c>
      <c r="I63" s="162" t="s">
        <v>1254</v>
      </c>
      <c r="J63" s="162" t="s">
        <v>65</v>
      </c>
      <c r="K63" s="162" t="s">
        <v>65</v>
      </c>
    </row>
    <row r="64" spans="1:11">
      <c r="A64" s="161" t="s">
        <v>1145</v>
      </c>
      <c r="B64" s="162" t="s">
        <v>53</v>
      </c>
      <c r="C64" s="162" t="s">
        <v>46</v>
      </c>
      <c r="D64" s="161" t="s">
        <v>751</v>
      </c>
      <c r="E64" s="161" t="s">
        <v>752</v>
      </c>
      <c r="F64" s="163">
        <v>475</v>
      </c>
      <c r="G64" s="164">
        <v>1000</v>
      </c>
      <c r="H64" s="161" t="s">
        <v>753</v>
      </c>
      <c r="I64" s="162" t="s">
        <v>1254</v>
      </c>
      <c r="J64" s="162" t="s">
        <v>1271</v>
      </c>
      <c r="K64" s="162" t="s">
        <v>1272</v>
      </c>
    </row>
    <row r="65" spans="1:11">
      <c r="A65" s="161" t="s">
        <v>1146</v>
      </c>
      <c r="B65" s="162" t="s">
        <v>1270</v>
      </c>
      <c r="C65" s="162" t="s">
        <v>1273</v>
      </c>
      <c r="D65" s="161" t="s">
        <v>751</v>
      </c>
      <c r="E65" s="161" t="s">
        <v>752</v>
      </c>
      <c r="F65" s="163">
        <v>445</v>
      </c>
      <c r="G65" s="164">
        <v>1000</v>
      </c>
      <c r="H65" s="161" t="s">
        <v>753</v>
      </c>
      <c r="I65" s="162" t="s">
        <v>1254</v>
      </c>
      <c r="J65" s="162" t="s">
        <v>1271</v>
      </c>
      <c r="K65" s="162" t="s">
        <v>1272</v>
      </c>
    </row>
    <row r="66" spans="1:11">
      <c r="A66" s="161" t="s">
        <v>1147</v>
      </c>
      <c r="B66" s="162" t="s">
        <v>1274</v>
      </c>
      <c r="C66" s="162" t="s">
        <v>1273</v>
      </c>
      <c r="D66" s="161" t="s">
        <v>751</v>
      </c>
      <c r="E66" s="161" t="s">
        <v>752</v>
      </c>
      <c r="F66" s="163">
        <v>515</v>
      </c>
      <c r="G66" s="164">
        <v>1000</v>
      </c>
      <c r="H66" s="161" t="s">
        <v>753</v>
      </c>
      <c r="I66" s="162" t="s">
        <v>1254</v>
      </c>
      <c r="J66" s="162" t="s">
        <v>1271</v>
      </c>
      <c r="K66" s="162" t="s">
        <v>1272</v>
      </c>
    </row>
    <row r="67" spans="1:11">
      <c r="A67" s="161" t="s">
        <v>1148</v>
      </c>
      <c r="B67" s="162" t="s">
        <v>1275</v>
      </c>
      <c r="C67" s="162" t="s">
        <v>1273</v>
      </c>
      <c r="D67" s="161" t="s">
        <v>751</v>
      </c>
      <c r="E67" s="161" t="s">
        <v>752</v>
      </c>
      <c r="F67" s="163">
        <v>445</v>
      </c>
      <c r="G67" s="164">
        <v>1000</v>
      </c>
      <c r="H67" s="161" t="s">
        <v>753</v>
      </c>
      <c r="I67" s="162" t="s">
        <v>1254</v>
      </c>
      <c r="J67" s="162" t="s">
        <v>1271</v>
      </c>
      <c r="K67" s="162" t="s">
        <v>1272</v>
      </c>
    </row>
    <row r="68" spans="1:11">
      <c r="A68" s="161" t="s">
        <v>1149</v>
      </c>
      <c r="B68" s="162" t="s">
        <v>903</v>
      </c>
      <c r="C68" s="162" t="s">
        <v>856</v>
      </c>
      <c r="D68" s="161" t="s">
        <v>751</v>
      </c>
      <c r="E68" s="161" t="s">
        <v>752</v>
      </c>
      <c r="F68" s="163">
        <v>562</v>
      </c>
      <c r="G68" s="164">
        <v>1000</v>
      </c>
      <c r="H68" s="161" t="s">
        <v>753</v>
      </c>
      <c r="I68" s="162" t="s">
        <v>1254</v>
      </c>
      <c r="J68" s="162" t="s">
        <v>1252</v>
      </c>
      <c r="K68" s="162" t="s">
        <v>1252</v>
      </c>
    </row>
    <row r="69" spans="1:11">
      <c r="A69" s="161" t="s">
        <v>1150</v>
      </c>
      <c r="B69" s="162" t="s">
        <v>904</v>
      </c>
      <c r="C69" s="162" t="s">
        <v>856</v>
      </c>
      <c r="D69" s="161" t="s">
        <v>751</v>
      </c>
      <c r="E69" s="161" t="s">
        <v>752</v>
      </c>
      <c r="F69" s="163">
        <v>572</v>
      </c>
      <c r="G69" s="164">
        <v>1000</v>
      </c>
      <c r="H69" s="161" t="s">
        <v>753</v>
      </c>
      <c r="I69" s="162" t="s">
        <v>1254</v>
      </c>
      <c r="J69" s="162" t="s">
        <v>1252</v>
      </c>
      <c r="K69" s="162" t="s">
        <v>1252</v>
      </c>
    </row>
    <row r="70" spans="1:11">
      <c r="A70" s="161" t="s">
        <v>1151</v>
      </c>
      <c r="B70" s="162" t="s">
        <v>905</v>
      </c>
      <c r="C70" s="162" t="s">
        <v>856</v>
      </c>
      <c r="D70" s="161" t="s">
        <v>751</v>
      </c>
      <c r="E70" s="161" t="s">
        <v>752</v>
      </c>
      <c r="F70" s="163">
        <v>608.91999999999996</v>
      </c>
      <c r="G70" s="164">
        <v>1000</v>
      </c>
      <c r="H70" s="161" t="s">
        <v>753</v>
      </c>
      <c r="I70" s="162" t="s">
        <v>1254</v>
      </c>
      <c r="J70" s="162" t="s">
        <v>1252</v>
      </c>
      <c r="K70" s="162" t="s">
        <v>1252</v>
      </c>
    </row>
    <row r="71" spans="1:11">
      <c r="A71" s="161" t="s">
        <v>1152</v>
      </c>
      <c r="B71" s="162" t="s">
        <v>906</v>
      </c>
      <c r="C71" s="162" t="s">
        <v>856</v>
      </c>
      <c r="D71" s="161" t="s">
        <v>751</v>
      </c>
      <c r="E71" s="161" t="s">
        <v>752</v>
      </c>
      <c r="F71" s="163">
        <v>637</v>
      </c>
      <c r="G71" s="164">
        <v>1000</v>
      </c>
      <c r="H71" s="161" t="s">
        <v>753</v>
      </c>
      <c r="I71" s="162" t="s">
        <v>1254</v>
      </c>
      <c r="J71" s="162" t="s">
        <v>1252</v>
      </c>
      <c r="K71" s="162" t="s">
        <v>1252</v>
      </c>
    </row>
    <row r="72" spans="1:11">
      <c r="A72" s="161" t="s">
        <v>1153</v>
      </c>
      <c r="B72" s="162" t="s">
        <v>907</v>
      </c>
      <c r="C72" s="162" t="s">
        <v>856</v>
      </c>
      <c r="D72" s="161" t="s">
        <v>751</v>
      </c>
      <c r="E72" s="161" t="s">
        <v>752</v>
      </c>
      <c r="F72" s="163">
        <v>657</v>
      </c>
      <c r="G72" s="164">
        <v>1000</v>
      </c>
      <c r="H72" s="161" t="s">
        <v>753</v>
      </c>
      <c r="I72" s="162" t="s">
        <v>1254</v>
      </c>
      <c r="J72" s="162" t="s">
        <v>1252</v>
      </c>
      <c r="K72" s="162" t="s">
        <v>1252</v>
      </c>
    </row>
    <row r="73" spans="1:11">
      <c r="A73" s="161" t="s">
        <v>1154</v>
      </c>
      <c r="B73" s="162" t="s">
        <v>908</v>
      </c>
      <c r="C73" s="162" t="s">
        <v>856</v>
      </c>
      <c r="D73" s="161" t="s">
        <v>751</v>
      </c>
      <c r="E73" s="161" t="s">
        <v>752</v>
      </c>
      <c r="F73" s="163">
        <v>657</v>
      </c>
      <c r="G73" s="164">
        <v>1000</v>
      </c>
      <c r="H73" s="161" t="s">
        <v>753</v>
      </c>
      <c r="I73" s="162" t="s">
        <v>1254</v>
      </c>
      <c r="J73" s="162" t="s">
        <v>1252</v>
      </c>
      <c r="K73" s="162" t="s">
        <v>1252</v>
      </c>
    </row>
    <row r="74" spans="1:11">
      <c r="A74" s="161" t="s">
        <v>1155</v>
      </c>
      <c r="B74" s="162" t="s">
        <v>909</v>
      </c>
      <c r="C74" s="162" t="s">
        <v>856</v>
      </c>
      <c r="D74" s="161" t="s">
        <v>751</v>
      </c>
      <c r="E74" s="161" t="s">
        <v>752</v>
      </c>
      <c r="F74" s="163">
        <v>672</v>
      </c>
      <c r="G74" s="164">
        <v>1000</v>
      </c>
      <c r="H74" s="161" t="s">
        <v>753</v>
      </c>
      <c r="I74" s="162" t="s">
        <v>1254</v>
      </c>
      <c r="J74" s="162" t="s">
        <v>1252</v>
      </c>
      <c r="K74" s="162" t="s">
        <v>1252</v>
      </c>
    </row>
    <row r="75" spans="1:11">
      <c r="A75" s="161" t="s">
        <v>1156</v>
      </c>
      <c r="B75" s="162" t="s">
        <v>1157</v>
      </c>
      <c r="C75" s="162" t="s">
        <v>856</v>
      </c>
      <c r="D75" s="161" t="s">
        <v>751</v>
      </c>
      <c r="E75" s="161" t="s">
        <v>752</v>
      </c>
      <c r="F75" s="163">
        <v>462</v>
      </c>
      <c r="G75" s="164">
        <v>1000</v>
      </c>
      <c r="H75" s="161" t="s">
        <v>753</v>
      </c>
      <c r="I75" s="162" t="s">
        <v>1254</v>
      </c>
      <c r="J75" s="162" t="s">
        <v>1252</v>
      </c>
      <c r="K75" s="162" t="s">
        <v>1252</v>
      </c>
    </row>
    <row r="76" spans="1:11">
      <c r="A76" s="161" t="s">
        <v>1158</v>
      </c>
      <c r="B76" s="162" t="s">
        <v>910</v>
      </c>
      <c r="C76" s="162" t="s">
        <v>856</v>
      </c>
      <c r="D76" s="161" t="s">
        <v>751</v>
      </c>
      <c r="E76" s="161" t="s">
        <v>752</v>
      </c>
      <c r="F76" s="163">
        <v>482</v>
      </c>
      <c r="G76" s="164">
        <v>1000</v>
      </c>
      <c r="H76" s="161" t="s">
        <v>753</v>
      </c>
      <c r="I76" s="162" t="s">
        <v>1254</v>
      </c>
      <c r="J76" s="162" t="s">
        <v>1252</v>
      </c>
      <c r="K76" s="162" t="s">
        <v>1252</v>
      </c>
    </row>
    <row r="77" spans="1:11">
      <c r="A77" s="161" t="s">
        <v>1159</v>
      </c>
      <c r="B77" s="162" t="s">
        <v>911</v>
      </c>
      <c r="C77" s="162" t="s">
        <v>856</v>
      </c>
      <c r="D77" s="161" t="s">
        <v>751</v>
      </c>
      <c r="E77" s="161" t="s">
        <v>752</v>
      </c>
      <c r="F77" s="163">
        <v>462</v>
      </c>
      <c r="G77" s="164">
        <v>1000</v>
      </c>
      <c r="H77" s="161" t="s">
        <v>753</v>
      </c>
      <c r="I77" s="162" t="s">
        <v>1254</v>
      </c>
      <c r="J77" s="162" t="s">
        <v>1252</v>
      </c>
      <c r="K77" s="162" t="s">
        <v>1252</v>
      </c>
    </row>
    <row r="78" spans="1:11">
      <c r="A78" s="161" t="s">
        <v>1160</v>
      </c>
      <c r="B78" s="162" t="s">
        <v>912</v>
      </c>
      <c r="C78" s="162" t="s">
        <v>856</v>
      </c>
      <c r="D78" s="161" t="s">
        <v>751</v>
      </c>
      <c r="E78" s="161" t="s">
        <v>752</v>
      </c>
      <c r="F78" s="163">
        <v>482</v>
      </c>
      <c r="G78" s="164">
        <v>1000</v>
      </c>
      <c r="H78" s="161" t="s">
        <v>753</v>
      </c>
      <c r="I78" s="162" t="s">
        <v>1254</v>
      </c>
      <c r="J78" s="162" t="s">
        <v>1252</v>
      </c>
      <c r="K78" s="162" t="s">
        <v>1252</v>
      </c>
    </row>
    <row r="79" spans="1:11">
      <c r="A79" s="161" t="s">
        <v>1161</v>
      </c>
      <c r="B79" s="162" t="s">
        <v>913</v>
      </c>
      <c r="C79" s="162" t="s">
        <v>856</v>
      </c>
      <c r="D79" s="161" t="s">
        <v>751</v>
      </c>
      <c r="E79" s="161" t="s">
        <v>752</v>
      </c>
      <c r="F79" s="163">
        <v>462</v>
      </c>
      <c r="G79" s="164">
        <v>1000</v>
      </c>
      <c r="H79" s="161" t="s">
        <v>753</v>
      </c>
      <c r="I79" s="162" t="s">
        <v>1254</v>
      </c>
      <c r="J79" s="162" t="s">
        <v>1252</v>
      </c>
      <c r="K79" s="162" t="s">
        <v>1252</v>
      </c>
    </row>
    <row r="80" spans="1:11">
      <c r="A80" s="161" t="s">
        <v>1162</v>
      </c>
      <c r="B80" s="162" t="s">
        <v>914</v>
      </c>
      <c r="C80" s="162" t="s">
        <v>856</v>
      </c>
      <c r="D80" s="161" t="s">
        <v>751</v>
      </c>
      <c r="E80" s="161" t="s">
        <v>752</v>
      </c>
      <c r="F80" s="163">
        <v>462</v>
      </c>
      <c r="G80" s="164">
        <v>1000</v>
      </c>
      <c r="H80" s="161" t="s">
        <v>753</v>
      </c>
      <c r="I80" s="162" t="s">
        <v>1254</v>
      </c>
      <c r="J80" s="162" t="s">
        <v>1252</v>
      </c>
      <c r="K80" s="162" t="s">
        <v>1252</v>
      </c>
    </row>
    <row r="81" spans="1:11">
      <c r="A81" s="161" t="s">
        <v>1163</v>
      </c>
      <c r="B81" s="162" t="s">
        <v>915</v>
      </c>
      <c r="C81" s="162" t="s">
        <v>856</v>
      </c>
      <c r="D81" s="161" t="s">
        <v>751</v>
      </c>
      <c r="E81" s="161" t="s">
        <v>752</v>
      </c>
      <c r="F81" s="163">
        <v>492</v>
      </c>
      <c r="G81" s="164">
        <v>1000</v>
      </c>
      <c r="H81" s="161" t="s">
        <v>753</v>
      </c>
      <c r="I81" s="162" t="s">
        <v>1254</v>
      </c>
      <c r="J81" s="162" t="s">
        <v>1252</v>
      </c>
      <c r="K81" s="162" t="s">
        <v>1252</v>
      </c>
    </row>
    <row r="82" spans="1:11">
      <c r="A82" s="161" t="s">
        <v>1164</v>
      </c>
      <c r="B82" s="162" t="s">
        <v>916</v>
      </c>
      <c r="C82" s="162" t="s">
        <v>856</v>
      </c>
      <c r="D82" s="161" t="s">
        <v>751</v>
      </c>
      <c r="E82" s="161" t="s">
        <v>752</v>
      </c>
      <c r="F82" s="163">
        <v>500.92</v>
      </c>
      <c r="G82" s="164">
        <v>1000</v>
      </c>
      <c r="H82" s="161" t="s">
        <v>753</v>
      </c>
      <c r="I82" s="162" t="s">
        <v>1254</v>
      </c>
      <c r="J82" s="162" t="s">
        <v>1252</v>
      </c>
      <c r="K82" s="162" t="s">
        <v>1252</v>
      </c>
    </row>
    <row r="83" spans="1:11">
      <c r="A83" s="161" t="s">
        <v>1165</v>
      </c>
      <c r="B83" s="162" t="s">
        <v>917</v>
      </c>
      <c r="C83" s="162" t="s">
        <v>856</v>
      </c>
      <c r="D83" s="161" t="s">
        <v>751</v>
      </c>
      <c r="E83" s="161" t="s">
        <v>752</v>
      </c>
      <c r="F83" s="163">
        <v>452</v>
      </c>
      <c r="G83" s="164">
        <v>1000</v>
      </c>
      <c r="H83" s="161" t="s">
        <v>753</v>
      </c>
      <c r="I83" s="162" t="s">
        <v>1254</v>
      </c>
      <c r="J83" s="162" t="s">
        <v>1252</v>
      </c>
      <c r="K83" s="162" t="s">
        <v>1252</v>
      </c>
    </row>
    <row r="84" spans="1:11">
      <c r="A84" s="161" t="s">
        <v>1166</v>
      </c>
      <c r="B84" s="162" t="s">
        <v>918</v>
      </c>
      <c r="C84" s="162" t="s">
        <v>856</v>
      </c>
      <c r="D84" s="161" t="s">
        <v>751</v>
      </c>
      <c r="E84" s="161" t="s">
        <v>752</v>
      </c>
      <c r="F84" s="163">
        <v>452</v>
      </c>
      <c r="G84" s="164">
        <v>1000</v>
      </c>
      <c r="H84" s="161" t="s">
        <v>753</v>
      </c>
      <c r="I84" s="162" t="s">
        <v>1254</v>
      </c>
      <c r="J84" s="162" t="s">
        <v>1252</v>
      </c>
      <c r="K84" s="162" t="s">
        <v>1252</v>
      </c>
    </row>
    <row r="85" spans="1:11">
      <c r="A85" s="161" t="s">
        <v>1167</v>
      </c>
      <c r="B85" s="162" t="s">
        <v>919</v>
      </c>
      <c r="C85" s="162" t="s">
        <v>856</v>
      </c>
      <c r="D85" s="161" t="s">
        <v>751</v>
      </c>
      <c r="E85" s="161" t="s">
        <v>752</v>
      </c>
      <c r="F85" s="163">
        <v>642</v>
      </c>
      <c r="G85" s="164">
        <v>1000</v>
      </c>
      <c r="H85" s="161" t="s">
        <v>753</v>
      </c>
      <c r="I85" s="162" t="s">
        <v>1254</v>
      </c>
      <c r="J85" s="162" t="s">
        <v>1252</v>
      </c>
      <c r="K85" s="162" t="s">
        <v>1252</v>
      </c>
    </row>
    <row r="86" spans="1:11">
      <c r="A86" s="161" t="s">
        <v>1168</v>
      </c>
      <c r="B86" s="162" t="s">
        <v>920</v>
      </c>
      <c r="C86" s="162" t="s">
        <v>856</v>
      </c>
      <c r="D86" s="161" t="s">
        <v>751</v>
      </c>
      <c r="E86" s="161" t="s">
        <v>752</v>
      </c>
      <c r="F86" s="163">
        <v>662</v>
      </c>
      <c r="G86" s="164">
        <v>1000</v>
      </c>
      <c r="H86" s="161" t="s">
        <v>753</v>
      </c>
      <c r="I86" s="162" t="s">
        <v>1254</v>
      </c>
      <c r="J86" s="162" t="s">
        <v>1252</v>
      </c>
      <c r="K86" s="162" t="s">
        <v>1252</v>
      </c>
    </row>
    <row r="87" spans="1:11">
      <c r="A87" s="161" t="s">
        <v>1169</v>
      </c>
      <c r="B87" s="162" t="s">
        <v>921</v>
      </c>
      <c r="C87" s="162" t="s">
        <v>856</v>
      </c>
      <c r="D87" s="161" t="s">
        <v>751</v>
      </c>
      <c r="E87" s="161" t="s">
        <v>752</v>
      </c>
      <c r="F87" s="163">
        <v>662</v>
      </c>
      <c r="G87" s="164">
        <v>1000</v>
      </c>
      <c r="H87" s="161" t="s">
        <v>753</v>
      </c>
      <c r="I87" s="162" t="s">
        <v>1254</v>
      </c>
      <c r="J87" s="162" t="s">
        <v>1252</v>
      </c>
      <c r="K87" s="162" t="s">
        <v>1252</v>
      </c>
    </row>
    <row r="88" spans="1:11">
      <c r="A88" s="161" t="s">
        <v>1170</v>
      </c>
      <c r="B88" s="162" t="s">
        <v>922</v>
      </c>
      <c r="C88" s="162" t="s">
        <v>856</v>
      </c>
      <c r="D88" s="161" t="s">
        <v>751</v>
      </c>
      <c r="E88" s="161" t="s">
        <v>752</v>
      </c>
      <c r="F88" s="163">
        <v>552</v>
      </c>
      <c r="G88" s="164">
        <v>1000</v>
      </c>
      <c r="H88" s="161" t="s">
        <v>753</v>
      </c>
      <c r="I88" s="162" t="s">
        <v>1254</v>
      </c>
      <c r="J88" s="162" t="s">
        <v>1252</v>
      </c>
      <c r="K88" s="162" t="s">
        <v>1252</v>
      </c>
    </row>
    <row r="89" spans="1:11">
      <c r="A89" s="161" t="s">
        <v>1171</v>
      </c>
      <c r="B89" s="162" t="s">
        <v>923</v>
      </c>
      <c r="C89" s="162" t="s">
        <v>856</v>
      </c>
      <c r="D89" s="161" t="s">
        <v>751</v>
      </c>
      <c r="E89" s="161" t="s">
        <v>752</v>
      </c>
      <c r="F89" s="163">
        <v>314.89999999999998</v>
      </c>
      <c r="G89" s="164">
        <v>1000</v>
      </c>
      <c r="H89" s="161" t="s">
        <v>753</v>
      </c>
      <c r="I89" s="162" t="s">
        <v>1254</v>
      </c>
      <c r="J89" s="162" t="s">
        <v>1252</v>
      </c>
      <c r="K89" s="162" t="s">
        <v>1252</v>
      </c>
    </row>
    <row r="90" spans="1:11">
      <c r="A90" s="161" t="s">
        <v>1172</v>
      </c>
      <c r="B90" s="162" t="s">
        <v>924</v>
      </c>
      <c r="C90" s="162" t="s">
        <v>856</v>
      </c>
      <c r="D90" s="161" t="s">
        <v>751</v>
      </c>
      <c r="E90" s="161" t="s">
        <v>752</v>
      </c>
      <c r="F90" s="163">
        <v>314.89999999999998</v>
      </c>
      <c r="G90" s="164">
        <v>1000</v>
      </c>
      <c r="H90" s="161" t="s">
        <v>753</v>
      </c>
      <c r="I90" s="162" t="s">
        <v>1254</v>
      </c>
      <c r="J90" s="162" t="s">
        <v>1252</v>
      </c>
      <c r="K90" s="162" t="s">
        <v>1252</v>
      </c>
    </row>
    <row r="91" spans="1:11">
      <c r="A91" s="161" t="s">
        <v>1173</v>
      </c>
      <c r="B91" s="162" t="s">
        <v>925</v>
      </c>
      <c r="C91" s="162" t="s">
        <v>856</v>
      </c>
      <c r="D91" s="161" t="s">
        <v>751</v>
      </c>
      <c r="E91" s="161" t="s">
        <v>752</v>
      </c>
      <c r="F91" s="163">
        <v>319.89999999999998</v>
      </c>
      <c r="G91" s="164">
        <v>1000</v>
      </c>
      <c r="H91" s="161" t="s">
        <v>753</v>
      </c>
      <c r="I91" s="162" t="s">
        <v>1254</v>
      </c>
      <c r="J91" s="162" t="s">
        <v>1252</v>
      </c>
      <c r="K91" s="162" t="s">
        <v>1252</v>
      </c>
    </row>
    <row r="92" spans="1:11">
      <c r="A92" s="161" t="s">
        <v>1174</v>
      </c>
      <c r="B92" s="162" t="s">
        <v>927</v>
      </c>
      <c r="C92" s="162" t="s">
        <v>856</v>
      </c>
      <c r="D92" s="161" t="s">
        <v>751</v>
      </c>
      <c r="E92" s="161" t="s">
        <v>752</v>
      </c>
      <c r="F92" s="163">
        <v>314.89999999999998</v>
      </c>
      <c r="G92" s="164">
        <v>1000</v>
      </c>
      <c r="H92" s="161" t="s">
        <v>753</v>
      </c>
      <c r="I92" s="162" t="s">
        <v>1254</v>
      </c>
      <c r="J92" s="162" t="s">
        <v>1252</v>
      </c>
      <c r="K92" s="162" t="s">
        <v>1252</v>
      </c>
    </row>
    <row r="93" spans="1:11">
      <c r="A93" s="161" t="s">
        <v>1175</v>
      </c>
      <c r="B93" s="162" t="s">
        <v>928</v>
      </c>
      <c r="C93" s="162" t="s">
        <v>856</v>
      </c>
      <c r="D93" s="161" t="s">
        <v>751</v>
      </c>
      <c r="E93" s="161" t="s">
        <v>752</v>
      </c>
      <c r="F93" s="163">
        <v>314.89999999999998</v>
      </c>
      <c r="G93" s="164">
        <v>1000</v>
      </c>
      <c r="H93" s="161" t="s">
        <v>753</v>
      </c>
      <c r="I93" s="162" t="s">
        <v>1254</v>
      </c>
      <c r="J93" s="162" t="s">
        <v>1252</v>
      </c>
      <c r="K93" s="162" t="s">
        <v>1252</v>
      </c>
    </row>
    <row r="94" spans="1:11">
      <c r="A94" s="161" t="s">
        <v>1176</v>
      </c>
      <c r="B94" s="162" t="s">
        <v>926</v>
      </c>
      <c r="C94" s="162" t="s">
        <v>856</v>
      </c>
      <c r="D94" s="161" t="s">
        <v>751</v>
      </c>
      <c r="E94" s="161" t="s">
        <v>752</v>
      </c>
      <c r="F94" s="163">
        <v>319.89999999999998</v>
      </c>
      <c r="G94" s="164">
        <v>1000</v>
      </c>
      <c r="H94" s="161" t="s">
        <v>753</v>
      </c>
      <c r="I94" s="162" t="s">
        <v>1254</v>
      </c>
      <c r="J94" s="162" t="s">
        <v>1252</v>
      </c>
      <c r="K94" s="162" t="s">
        <v>1252</v>
      </c>
    </row>
    <row r="95" spans="1:11">
      <c r="A95" s="161" t="s">
        <v>1177</v>
      </c>
      <c r="B95" s="162" t="s">
        <v>929</v>
      </c>
      <c r="C95" s="162" t="s">
        <v>856</v>
      </c>
      <c r="D95" s="161" t="s">
        <v>751</v>
      </c>
      <c r="E95" s="161" t="s">
        <v>752</v>
      </c>
      <c r="F95" s="163">
        <v>459.22</v>
      </c>
      <c r="G95" s="164">
        <v>1000</v>
      </c>
      <c r="H95" s="161" t="s">
        <v>753</v>
      </c>
      <c r="I95" s="162" t="s">
        <v>1254</v>
      </c>
      <c r="J95" s="162" t="s">
        <v>1252</v>
      </c>
      <c r="K95" s="162" t="s">
        <v>1252</v>
      </c>
    </row>
    <row r="96" spans="1:11">
      <c r="A96" s="161" t="s">
        <v>1178</v>
      </c>
      <c r="B96" s="162" t="s">
        <v>930</v>
      </c>
      <c r="C96" s="162" t="s">
        <v>856</v>
      </c>
      <c r="D96" s="161" t="s">
        <v>751</v>
      </c>
      <c r="E96" s="161" t="s">
        <v>752</v>
      </c>
      <c r="F96" s="163">
        <v>441.9</v>
      </c>
      <c r="G96" s="164">
        <v>1000</v>
      </c>
      <c r="H96" s="161" t="s">
        <v>753</v>
      </c>
      <c r="I96" s="162" t="s">
        <v>1254</v>
      </c>
      <c r="J96" s="162" t="s">
        <v>1252</v>
      </c>
      <c r="K96" s="162" t="s">
        <v>1252</v>
      </c>
    </row>
    <row r="97" spans="1:11">
      <c r="A97" s="161" t="s">
        <v>1179</v>
      </c>
      <c r="B97" s="162" t="s">
        <v>7</v>
      </c>
      <c r="C97" s="162" t="s">
        <v>856</v>
      </c>
      <c r="D97" s="161" t="s">
        <v>751</v>
      </c>
      <c r="E97" s="161" t="s">
        <v>752</v>
      </c>
      <c r="F97" s="163">
        <v>590.29999999999995</v>
      </c>
      <c r="G97" s="164">
        <v>1000</v>
      </c>
      <c r="H97" s="161" t="s">
        <v>753</v>
      </c>
      <c r="I97" s="162" t="s">
        <v>1254</v>
      </c>
      <c r="J97" s="162" t="s">
        <v>1252</v>
      </c>
      <c r="K97" s="162" t="s">
        <v>1252</v>
      </c>
    </row>
    <row r="98" spans="1:11">
      <c r="A98" s="161" t="s">
        <v>1180</v>
      </c>
      <c r="B98" s="162" t="s">
        <v>8</v>
      </c>
      <c r="C98" s="162" t="s">
        <v>856</v>
      </c>
      <c r="D98" s="161" t="s">
        <v>751</v>
      </c>
      <c r="E98" s="161" t="s">
        <v>752</v>
      </c>
      <c r="F98" s="163">
        <v>587</v>
      </c>
      <c r="G98" s="164">
        <v>1000</v>
      </c>
      <c r="H98" s="161" t="s">
        <v>753</v>
      </c>
      <c r="I98" s="162" t="s">
        <v>1254</v>
      </c>
      <c r="J98" s="162" t="s">
        <v>1252</v>
      </c>
      <c r="K98" s="162" t="s">
        <v>1252</v>
      </c>
    </row>
    <row r="99" spans="1:11">
      <c r="A99" s="161" t="s">
        <v>1181</v>
      </c>
      <c r="B99" s="162" t="s">
        <v>9</v>
      </c>
      <c r="C99" s="162" t="s">
        <v>856</v>
      </c>
      <c r="D99" s="161" t="s">
        <v>751</v>
      </c>
      <c r="E99" s="161" t="s">
        <v>752</v>
      </c>
      <c r="F99" s="163">
        <v>667</v>
      </c>
      <c r="G99" s="164">
        <v>1000</v>
      </c>
      <c r="H99" s="161" t="s">
        <v>753</v>
      </c>
      <c r="I99" s="162" t="s">
        <v>1254</v>
      </c>
      <c r="J99" s="162" t="s">
        <v>1252</v>
      </c>
      <c r="K99" s="162" t="s">
        <v>1252</v>
      </c>
    </row>
    <row r="100" spans="1:11">
      <c r="A100" s="161" t="s">
        <v>1182</v>
      </c>
      <c r="B100" s="162" t="s">
        <v>10</v>
      </c>
      <c r="C100" s="162" t="s">
        <v>856</v>
      </c>
      <c r="D100" s="161" t="s">
        <v>751</v>
      </c>
      <c r="E100" s="161" t="s">
        <v>752</v>
      </c>
      <c r="F100" s="163">
        <v>670</v>
      </c>
      <c r="G100" s="164">
        <v>1000</v>
      </c>
      <c r="H100" s="161" t="s">
        <v>753</v>
      </c>
      <c r="I100" s="162" t="s">
        <v>1254</v>
      </c>
      <c r="J100" s="162" t="s">
        <v>1252</v>
      </c>
      <c r="K100" s="162" t="s">
        <v>1252</v>
      </c>
    </row>
    <row r="101" spans="1:11">
      <c r="A101" s="161" t="s">
        <v>1183</v>
      </c>
      <c r="B101" s="162" t="s">
        <v>11</v>
      </c>
      <c r="C101" s="162" t="s">
        <v>856</v>
      </c>
      <c r="D101" s="161" t="s">
        <v>751</v>
      </c>
      <c r="E101" s="161" t="s">
        <v>752</v>
      </c>
      <c r="F101" s="163">
        <v>450</v>
      </c>
      <c r="G101" s="164">
        <v>1000</v>
      </c>
      <c r="H101" s="161" t="s">
        <v>753</v>
      </c>
      <c r="I101" s="162" t="s">
        <v>1254</v>
      </c>
      <c r="J101" s="162" t="s">
        <v>1252</v>
      </c>
      <c r="K101" s="162" t="s">
        <v>1252</v>
      </c>
    </row>
    <row r="102" spans="1:11">
      <c r="A102" s="161" t="s">
        <v>1184</v>
      </c>
      <c r="B102" s="162" t="s">
        <v>12</v>
      </c>
      <c r="C102" s="162" t="s">
        <v>856</v>
      </c>
      <c r="D102" s="161" t="s">
        <v>816</v>
      </c>
      <c r="E102" s="161" t="s">
        <v>752</v>
      </c>
      <c r="F102" s="163">
        <v>455</v>
      </c>
      <c r="G102" s="164">
        <v>1000</v>
      </c>
      <c r="H102" s="161" t="s">
        <v>753</v>
      </c>
      <c r="I102" s="162" t="s">
        <v>1254</v>
      </c>
      <c r="J102" s="162" t="s">
        <v>1252</v>
      </c>
      <c r="K102" s="162" t="s">
        <v>1252</v>
      </c>
    </row>
    <row r="103" spans="1:11">
      <c r="A103" s="161" t="s">
        <v>1185</v>
      </c>
      <c r="B103" s="162" t="s">
        <v>13</v>
      </c>
      <c r="C103" s="162" t="s">
        <v>856</v>
      </c>
      <c r="D103" s="161" t="s">
        <v>751</v>
      </c>
      <c r="E103" s="161" t="s">
        <v>752</v>
      </c>
      <c r="F103" s="163">
        <v>537</v>
      </c>
      <c r="G103" s="164">
        <v>1000</v>
      </c>
      <c r="H103" s="161" t="s">
        <v>753</v>
      </c>
      <c r="I103" s="162" t="s">
        <v>1254</v>
      </c>
      <c r="J103" s="162" t="s">
        <v>1252</v>
      </c>
      <c r="K103" s="162" t="s">
        <v>1252</v>
      </c>
    </row>
    <row r="104" spans="1:11">
      <c r="A104" s="161" t="s">
        <v>1186</v>
      </c>
      <c r="B104" s="162" t="s">
        <v>14</v>
      </c>
      <c r="C104" s="162" t="s">
        <v>856</v>
      </c>
      <c r="D104" s="161" t="s">
        <v>751</v>
      </c>
      <c r="E104" s="161" t="s">
        <v>752</v>
      </c>
      <c r="F104" s="163">
        <v>577</v>
      </c>
      <c r="G104" s="164">
        <v>1000</v>
      </c>
      <c r="H104" s="161" t="s">
        <v>753</v>
      </c>
      <c r="I104" s="162" t="s">
        <v>1254</v>
      </c>
      <c r="J104" s="162" t="s">
        <v>1252</v>
      </c>
      <c r="K104" s="162" t="s">
        <v>1252</v>
      </c>
    </row>
    <row r="105" spans="1:11">
      <c r="A105" s="161" t="s">
        <v>1187</v>
      </c>
      <c r="B105" s="162" t="s">
        <v>15</v>
      </c>
      <c r="C105" s="162" t="s">
        <v>856</v>
      </c>
      <c r="D105" s="161" t="s">
        <v>751</v>
      </c>
      <c r="E105" s="161" t="s">
        <v>752</v>
      </c>
      <c r="F105" s="163">
        <v>507.22</v>
      </c>
      <c r="G105" s="164">
        <v>1000</v>
      </c>
      <c r="H105" s="161" t="s">
        <v>753</v>
      </c>
      <c r="I105" s="162" t="s">
        <v>1254</v>
      </c>
      <c r="J105" s="162" t="s">
        <v>1252</v>
      </c>
      <c r="K105" s="162" t="s">
        <v>1252</v>
      </c>
    </row>
    <row r="106" spans="1:11">
      <c r="A106" s="161" t="s">
        <v>1188</v>
      </c>
      <c r="B106" s="162" t="s">
        <v>16</v>
      </c>
      <c r="C106" s="162" t="s">
        <v>856</v>
      </c>
      <c r="D106" s="161" t="s">
        <v>751</v>
      </c>
      <c r="E106" s="161" t="s">
        <v>752</v>
      </c>
      <c r="F106" s="163">
        <v>500</v>
      </c>
      <c r="G106" s="164">
        <v>1000</v>
      </c>
      <c r="H106" s="161" t="s">
        <v>753</v>
      </c>
      <c r="I106" s="162" t="s">
        <v>1254</v>
      </c>
      <c r="J106" s="162" t="s">
        <v>1252</v>
      </c>
      <c r="K106" s="162" t="s">
        <v>1252</v>
      </c>
    </row>
    <row r="107" spans="1:11">
      <c r="A107" s="161" t="s">
        <v>1189</v>
      </c>
      <c r="B107" s="162" t="s">
        <v>17</v>
      </c>
      <c r="C107" s="162" t="s">
        <v>856</v>
      </c>
      <c r="D107" s="161" t="s">
        <v>751</v>
      </c>
      <c r="E107" s="161" t="s">
        <v>752</v>
      </c>
      <c r="F107" s="165">
        <v>256</v>
      </c>
      <c r="G107" s="164">
        <v>1000</v>
      </c>
      <c r="H107" s="161" t="s">
        <v>753</v>
      </c>
      <c r="I107" s="162" t="s">
        <v>1254</v>
      </c>
      <c r="J107" s="162" t="s">
        <v>840</v>
      </c>
      <c r="K107" s="162" t="s">
        <v>840</v>
      </c>
    </row>
    <row r="108" spans="1:11">
      <c r="A108" s="161" t="s">
        <v>1190</v>
      </c>
      <c r="B108" s="162" t="s">
        <v>18</v>
      </c>
      <c r="C108" s="162" t="s">
        <v>856</v>
      </c>
      <c r="D108" s="161" t="s">
        <v>751</v>
      </c>
      <c r="E108" s="161" t="s">
        <v>752</v>
      </c>
      <c r="F108" s="165">
        <v>305</v>
      </c>
      <c r="G108" s="164">
        <v>1000</v>
      </c>
      <c r="H108" s="161" t="s">
        <v>753</v>
      </c>
      <c r="I108" s="162" t="s">
        <v>1254</v>
      </c>
      <c r="J108" s="162" t="s">
        <v>840</v>
      </c>
      <c r="K108" s="162" t="s">
        <v>840</v>
      </c>
    </row>
    <row r="109" spans="1:11">
      <c r="A109" s="161" t="s">
        <v>1191</v>
      </c>
      <c r="B109" s="162" t="s">
        <v>19</v>
      </c>
      <c r="C109" s="162" t="s">
        <v>856</v>
      </c>
      <c r="D109" s="161" t="s">
        <v>751</v>
      </c>
      <c r="E109" s="161" t="s">
        <v>752</v>
      </c>
      <c r="F109" s="165">
        <v>238</v>
      </c>
      <c r="G109" s="164">
        <v>1000</v>
      </c>
      <c r="H109" s="161" t="s">
        <v>753</v>
      </c>
      <c r="I109" s="162" t="s">
        <v>1254</v>
      </c>
      <c r="J109" s="162" t="s">
        <v>840</v>
      </c>
      <c r="K109" s="162" t="s">
        <v>840</v>
      </c>
    </row>
    <row r="110" spans="1:11">
      <c r="A110" s="161" t="s">
        <v>1192</v>
      </c>
      <c r="B110" s="162" t="s">
        <v>20</v>
      </c>
      <c r="C110" s="162" t="s">
        <v>856</v>
      </c>
      <c r="D110" s="161" t="s">
        <v>751</v>
      </c>
      <c r="E110" s="161" t="s">
        <v>752</v>
      </c>
      <c r="F110" s="165">
        <v>313</v>
      </c>
      <c r="G110" s="164">
        <v>1000</v>
      </c>
      <c r="H110" s="161" t="s">
        <v>753</v>
      </c>
      <c r="I110" s="162" t="s">
        <v>1254</v>
      </c>
      <c r="J110" s="162" t="s">
        <v>840</v>
      </c>
      <c r="K110" s="162" t="s">
        <v>840</v>
      </c>
    </row>
    <row r="111" spans="1:11">
      <c r="A111" s="161" t="s">
        <v>1193</v>
      </c>
      <c r="B111" s="162" t="s">
        <v>21</v>
      </c>
      <c r="C111" s="162" t="s">
        <v>856</v>
      </c>
      <c r="D111" s="161" t="s">
        <v>751</v>
      </c>
      <c r="E111" s="161" t="s">
        <v>752</v>
      </c>
      <c r="F111" s="165">
        <v>245</v>
      </c>
      <c r="G111" s="164">
        <v>1000</v>
      </c>
      <c r="H111" s="161" t="s">
        <v>753</v>
      </c>
      <c r="I111" s="162" t="s">
        <v>1254</v>
      </c>
      <c r="J111" s="162" t="s">
        <v>840</v>
      </c>
      <c r="K111" s="162" t="s">
        <v>840</v>
      </c>
    </row>
    <row r="112" spans="1:11">
      <c r="A112" s="161" t="s">
        <v>1194</v>
      </c>
      <c r="B112" s="162" t="s">
        <v>1195</v>
      </c>
      <c r="C112" s="162" t="s">
        <v>28</v>
      </c>
      <c r="D112" s="161" t="s">
        <v>751</v>
      </c>
      <c r="E112" s="161" t="s">
        <v>752</v>
      </c>
      <c r="F112" s="163">
        <v>720</v>
      </c>
      <c r="G112" s="164">
        <v>1000</v>
      </c>
      <c r="H112" s="161" t="s">
        <v>753</v>
      </c>
      <c r="I112" s="162" t="s">
        <v>1254</v>
      </c>
      <c r="J112" s="162" t="s">
        <v>27</v>
      </c>
      <c r="K112" s="162" t="s">
        <v>27</v>
      </c>
    </row>
    <row r="113" spans="1:11">
      <c r="A113" s="161" t="s">
        <v>1196</v>
      </c>
      <c r="B113" s="162" t="s">
        <v>25</v>
      </c>
      <c r="C113" s="162" t="s">
        <v>26</v>
      </c>
      <c r="D113" s="161" t="s">
        <v>751</v>
      </c>
      <c r="E113" s="161" t="s">
        <v>752</v>
      </c>
      <c r="F113" s="165">
        <v>179</v>
      </c>
      <c r="G113" s="164">
        <v>1000</v>
      </c>
      <c r="H113" s="161" t="s">
        <v>753</v>
      </c>
      <c r="I113" s="162" t="s">
        <v>1254</v>
      </c>
      <c r="J113" s="162" t="s">
        <v>840</v>
      </c>
      <c r="K113" s="162" t="s">
        <v>840</v>
      </c>
    </row>
    <row r="114" spans="1:11">
      <c r="A114" s="161" t="s">
        <v>1197</v>
      </c>
      <c r="B114" s="162" t="s">
        <v>22</v>
      </c>
      <c r="C114" s="162" t="s">
        <v>856</v>
      </c>
      <c r="D114" s="161" t="s">
        <v>751</v>
      </c>
      <c r="E114" s="161" t="s">
        <v>752</v>
      </c>
      <c r="F114" s="163">
        <v>695</v>
      </c>
      <c r="G114" s="164">
        <v>1000</v>
      </c>
      <c r="H114" s="161" t="s">
        <v>753</v>
      </c>
      <c r="I114" s="162" t="s">
        <v>1254</v>
      </c>
      <c r="J114" s="162" t="s">
        <v>23</v>
      </c>
      <c r="K114" s="162" t="s">
        <v>23</v>
      </c>
    </row>
    <row r="115" spans="1:11">
      <c r="A115" s="161" t="s">
        <v>1198</v>
      </c>
      <c r="B115" s="162" t="s">
        <v>24</v>
      </c>
      <c r="C115" s="162" t="s">
        <v>856</v>
      </c>
      <c r="D115" s="161" t="s">
        <v>816</v>
      </c>
      <c r="E115" s="161" t="s">
        <v>752</v>
      </c>
      <c r="F115" s="163">
        <v>319</v>
      </c>
      <c r="G115" s="164">
        <v>1000</v>
      </c>
      <c r="H115" s="161" t="s">
        <v>753</v>
      </c>
      <c r="I115" s="162" t="s">
        <v>1254</v>
      </c>
      <c r="J115" s="162" t="s">
        <v>1252</v>
      </c>
      <c r="K115" s="162" t="s">
        <v>1252</v>
      </c>
    </row>
    <row r="116" spans="1:11">
      <c r="A116" s="161" t="s">
        <v>1199</v>
      </c>
      <c r="B116" s="162" t="s">
        <v>54</v>
      </c>
      <c r="C116" s="162" t="s">
        <v>46</v>
      </c>
      <c r="D116" s="161" t="s">
        <v>751</v>
      </c>
      <c r="E116" s="161" t="s">
        <v>752</v>
      </c>
      <c r="F116" s="163">
        <v>895</v>
      </c>
      <c r="G116" s="164">
        <v>1000</v>
      </c>
      <c r="H116" s="161" t="s">
        <v>753</v>
      </c>
      <c r="I116" s="162" t="s">
        <v>1254</v>
      </c>
      <c r="J116" s="162" t="s">
        <v>27</v>
      </c>
      <c r="K116" s="162" t="s">
        <v>27</v>
      </c>
    </row>
    <row r="117" spans="1:11">
      <c r="A117" s="161" t="s">
        <v>1200</v>
      </c>
      <c r="B117" s="162" t="s">
        <v>55</v>
      </c>
      <c r="C117" s="162" t="s">
        <v>46</v>
      </c>
      <c r="D117" s="161" t="s">
        <v>751</v>
      </c>
      <c r="E117" s="161" t="s">
        <v>752</v>
      </c>
      <c r="F117" s="163">
        <v>835</v>
      </c>
      <c r="G117" s="164">
        <v>1000</v>
      </c>
      <c r="H117" s="161" t="s">
        <v>753</v>
      </c>
      <c r="I117" s="162" t="s">
        <v>1254</v>
      </c>
      <c r="J117" s="162" t="s">
        <v>27</v>
      </c>
      <c r="K117" s="162" t="s">
        <v>27</v>
      </c>
    </row>
    <row r="118" spans="1:11">
      <c r="A118" s="161" t="s">
        <v>1201</v>
      </c>
      <c r="B118" s="162" t="s">
        <v>56</v>
      </c>
      <c r="C118" s="162" t="s">
        <v>46</v>
      </c>
      <c r="D118" s="161" t="s">
        <v>751</v>
      </c>
      <c r="E118" s="161" t="s">
        <v>752</v>
      </c>
      <c r="F118" s="163">
        <v>925</v>
      </c>
      <c r="G118" s="164">
        <v>1000</v>
      </c>
      <c r="H118" s="161" t="s">
        <v>753</v>
      </c>
      <c r="I118" s="162" t="s">
        <v>1254</v>
      </c>
      <c r="J118" s="162" t="s">
        <v>27</v>
      </c>
      <c r="K118" s="162" t="s">
        <v>27</v>
      </c>
    </row>
    <row r="119" spans="1:11">
      <c r="A119" s="161" t="s">
        <v>1202</v>
      </c>
      <c r="B119" s="162" t="s">
        <v>44</v>
      </c>
      <c r="C119" s="162" t="s">
        <v>46</v>
      </c>
      <c r="D119" s="161" t="s">
        <v>751</v>
      </c>
      <c r="E119" s="161" t="s">
        <v>752</v>
      </c>
      <c r="F119" s="163">
        <v>367</v>
      </c>
      <c r="G119" s="164">
        <v>1000</v>
      </c>
      <c r="H119" s="161" t="s">
        <v>753</v>
      </c>
      <c r="I119" s="162" t="s">
        <v>1254</v>
      </c>
      <c r="J119" s="162" t="s">
        <v>1252</v>
      </c>
      <c r="K119" s="162" t="s">
        <v>1252</v>
      </c>
    </row>
    <row r="120" spans="1:11">
      <c r="A120" s="161" t="s">
        <v>1203</v>
      </c>
      <c r="B120" s="162" t="s">
        <v>842</v>
      </c>
      <c r="C120" s="162" t="s">
        <v>844</v>
      </c>
      <c r="D120" s="161" t="s">
        <v>751</v>
      </c>
      <c r="E120" s="161" t="s">
        <v>752</v>
      </c>
      <c r="F120" s="163">
        <v>475</v>
      </c>
      <c r="G120" s="164">
        <v>1000</v>
      </c>
      <c r="H120" s="161" t="s">
        <v>753</v>
      </c>
      <c r="I120" s="162" t="s">
        <v>1254</v>
      </c>
      <c r="J120" s="162" t="s">
        <v>843</v>
      </c>
      <c r="K120" s="162" t="s">
        <v>843</v>
      </c>
    </row>
    <row r="121" spans="1:11">
      <c r="A121" s="161" t="s">
        <v>1204</v>
      </c>
      <c r="B121" s="162" t="s">
        <v>845</v>
      </c>
      <c r="C121" s="162" t="s">
        <v>844</v>
      </c>
      <c r="D121" s="161" t="s">
        <v>751</v>
      </c>
      <c r="E121" s="161" t="s">
        <v>752</v>
      </c>
      <c r="F121" s="163">
        <v>475</v>
      </c>
      <c r="G121" s="164">
        <v>1000</v>
      </c>
      <c r="H121" s="161" t="s">
        <v>753</v>
      </c>
      <c r="I121" s="162" t="s">
        <v>1254</v>
      </c>
      <c r="J121" s="162" t="s">
        <v>843</v>
      </c>
      <c r="K121" s="162" t="s">
        <v>843</v>
      </c>
    </row>
    <row r="122" spans="1:11">
      <c r="A122" s="161" t="s">
        <v>1205</v>
      </c>
      <c r="B122" s="162" t="s">
        <v>846</v>
      </c>
      <c r="C122" s="162" t="s">
        <v>844</v>
      </c>
      <c r="D122" s="161" t="s">
        <v>751</v>
      </c>
      <c r="E122" s="161" t="s">
        <v>752</v>
      </c>
      <c r="F122" s="163">
        <v>475</v>
      </c>
      <c r="G122" s="164">
        <v>1000</v>
      </c>
      <c r="H122" s="161" t="s">
        <v>753</v>
      </c>
      <c r="I122" s="162" t="s">
        <v>1254</v>
      </c>
      <c r="J122" s="162" t="s">
        <v>843</v>
      </c>
      <c r="K122" s="162" t="s">
        <v>843</v>
      </c>
    </row>
    <row r="123" spans="1:11">
      <c r="A123" s="161" t="s">
        <v>1206</v>
      </c>
      <c r="B123" s="162" t="s">
        <v>847</v>
      </c>
      <c r="C123" s="162" t="s">
        <v>844</v>
      </c>
      <c r="D123" s="161" t="s">
        <v>751</v>
      </c>
      <c r="E123" s="161" t="s">
        <v>752</v>
      </c>
      <c r="F123" s="163">
        <v>475</v>
      </c>
      <c r="G123" s="164">
        <v>1000</v>
      </c>
      <c r="H123" s="161" t="s">
        <v>753</v>
      </c>
      <c r="I123" s="162" t="s">
        <v>1254</v>
      </c>
      <c r="J123" s="162" t="s">
        <v>843</v>
      </c>
      <c r="K123" s="162" t="s">
        <v>843</v>
      </c>
    </row>
    <row r="124" spans="1:11">
      <c r="A124" s="161" t="s">
        <v>1207</v>
      </c>
      <c r="B124" s="162" t="s">
        <v>61</v>
      </c>
      <c r="C124" s="162" t="s">
        <v>63</v>
      </c>
      <c r="D124" s="161" t="s">
        <v>751</v>
      </c>
      <c r="E124" s="161" t="s">
        <v>752</v>
      </c>
      <c r="F124" s="163">
        <v>1838</v>
      </c>
      <c r="G124" s="164">
        <v>1000</v>
      </c>
      <c r="H124" s="161" t="s">
        <v>753</v>
      </c>
      <c r="I124" s="162" t="s">
        <v>1254</v>
      </c>
      <c r="J124" s="162" t="s">
        <v>62</v>
      </c>
      <c r="K124" s="162" t="s">
        <v>62</v>
      </c>
    </row>
    <row r="125" spans="1:11">
      <c r="A125" s="161" t="s">
        <v>1208</v>
      </c>
      <c r="B125" s="162" t="s">
        <v>29</v>
      </c>
      <c r="C125" s="162" t="s">
        <v>28</v>
      </c>
      <c r="D125" s="161" t="s">
        <v>751</v>
      </c>
      <c r="E125" s="161" t="s">
        <v>752</v>
      </c>
      <c r="F125" s="163">
        <v>385</v>
      </c>
      <c r="G125" s="164">
        <v>1000</v>
      </c>
      <c r="H125" s="161" t="s">
        <v>753</v>
      </c>
      <c r="I125" s="162" t="s">
        <v>1254</v>
      </c>
      <c r="J125" s="162" t="s">
        <v>1252</v>
      </c>
      <c r="K125" s="162" t="s">
        <v>1252</v>
      </c>
    </row>
    <row r="126" spans="1:11">
      <c r="A126" s="161" t="s">
        <v>1209</v>
      </c>
      <c r="B126" s="162" t="s">
        <v>30</v>
      </c>
      <c r="C126" s="162" t="s">
        <v>28</v>
      </c>
      <c r="D126" s="161" t="s">
        <v>751</v>
      </c>
      <c r="E126" s="161" t="s">
        <v>752</v>
      </c>
      <c r="F126" s="163">
        <v>385</v>
      </c>
      <c r="G126" s="164">
        <v>1000</v>
      </c>
      <c r="H126" s="161" t="s">
        <v>753</v>
      </c>
      <c r="I126" s="162" t="s">
        <v>1254</v>
      </c>
      <c r="J126" s="162" t="s">
        <v>1252</v>
      </c>
      <c r="K126" s="162" t="s">
        <v>1252</v>
      </c>
    </row>
    <row r="127" spans="1:11">
      <c r="A127" s="161" t="s">
        <v>964</v>
      </c>
      <c r="B127" s="162" t="s">
        <v>851</v>
      </c>
      <c r="C127" s="162" t="s">
        <v>46</v>
      </c>
      <c r="D127" s="161" t="s">
        <v>751</v>
      </c>
      <c r="E127" s="161" t="s">
        <v>752</v>
      </c>
      <c r="F127" s="165">
        <v>224.85</v>
      </c>
      <c r="G127" s="164">
        <v>1000</v>
      </c>
      <c r="H127" s="161" t="s">
        <v>753</v>
      </c>
      <c r="I127" s="162" t="s">
        <v>1254</v>
      </c>
      <c r="J127" s="162" t="s">
        <v>840</v>
      </c>
      <c r="K127" s="162" t="s">
        <v>840</v>
      </c>
    </row>
    <row r="128" spans="1:11">
      <c r="A128" s="161" t="s">
        <v>965</v>
      </c>
      <c r="B128" s="162" t="s">
        <v>37</v>
      </c>
      <c r="C128" s="162" t="s">
        <v>38</v>
      </c>
      <c r="D128" s="161" t="s">
        <v>751</v>
      </c>
      <c r="E128" s="161" t="s">
        <v>752</v>
      </c>
      <c r="F128" s="165">
        <v>209</v>
      </c>
      <c r="G128" s="164">
        <v>1000</v>
      </c>
      <c r="H128" s="161" t="s">
        <v>753</v>
      </c>
      <c r="I128" s="162" t="s">
        <v>1254</v>
      </c>
      <c r="J128" s="162" t="s">
        <v>840</v>
      </c>
      <c r="K128" s="162" t="s">
        <v>840</v>
      </c>
    </row>
    <row r="129" spans="1:11">
      <c r="A129" s="161" t="s">
        <v>966</v>
      </c>
      <c r="B129" s="162" t="s">
        <v>35</v>
      </c>
      <c r="C129" s="162" t="s">
        <v>36</v>
      </c>
      <c r="D129" s="161" t="s">
        <v>751</v>
      </c>
      <c r="E129" s="161" t="s">
        <v>752</v>
      </c>
      <c r="F129" s="163">
        <v>360</v>
      </c>
      <c r="G129" s="164">
        <v>1000</v>
      </c>
      <c r="H129" s="161" t="s">
        <v>753</v>
      </c>
      <c r="I129" s="162" t="s">
        <v>1254</v>
      </c>
      <c r="J129" s="162" t="s">
        <v>1269</v>
      </c>
      <c r="K129" s="162" t="s">
        <v>1269</v>
      </c>
    </row>
    <row r="130" spans="1:11">
      <c r="A130" s="161" t="s">
        <v>967</v>
      </c>
      <c r="B130" s="162" t="s">
        <v>67</v>
      </c>
      <c r="C130" s="162" t="s">
        <v>968</v>
      </c>
      <c r="D130" s="161" t="s">
        <v>751</v>
      </c>
      <c r="E130" s="161" t="s">
        <v>752</v>
      </c>
      <c r="F130" s="163">
        <v>167.08</v>
      </c>
      <c r="G130" s="164">
        <v>1000</v>
      </c>
      <c r="H130" s="161" t="s">
        <v>753</v>
      </c>
      <c r="I130" s="162" t="s">
        <v>1254</v>
      </c>
      <c r="J130" s="162" t="s">
        <v>1252</v>
      </c>
      <c r="K130" s="162" t="s">
        <v>1252</v>
      </c>
    </row>
    <row r="131" spans="1:11">
      <c r="A131" s="161" t="s">
        <v>969</v>
      </c>
      <c r="B131" s="162" t="s">
        <v>1253</v>
      </c>
      <c r="C131" s="162" t="s">
        <v>1255</v>
      </c>
      <c r="D131" s="161" t="s">
        <v>751</v>
      </c>
      <c r="E131" s="161" t="s">
        <v>752</v>
      </c>
      <c r="F131" s="163">
        <v>370</v>
      </c>
      <c r="G131" s="164">
        <v>1000</v>
      </c>
      <c r="H131" s="161" t="s">
        <v>753</v>
      </c>
      <c r="I131" s="162" t="s">
        <v>1254</v>
      </c>
      <c r="J131" s="162" t="s">
        <v>1252</v>
      </c>
      <c r="K131" s="162" t="s">
        <v>1252</v>
      </c>
    </row>
    <row r="132" spans="1:11">
      <c r="A132" s="161" t="s">
        <v>970</v>
      </c>
      <c r="B132" s="162" t="s">
        <v>1256</v>
      </c>
      <c r="C132" s="162" t="s">
        <v>1255</v>
      </c>
      <c r="D132" s="161" t="s">
        <v>751</v>
      </c>
      <c r="E132" s="161" t="s">
        <v>752</v>
      </c>
      <c r="F132" s="163">
        <v>370</v>
      </c>
      <c r="G132" s="164">
        <v>1000</v>
      </c>
      <c r="H132" s="161" t="s">
        <v>753</v>
      </c>
      <c r="I132" s="162" t="s">
        <v>1254</v>
      </c>
      <c r="J132" s="162" t="s">
        <v>1252</v>
      </c>
      <c r="K132" s="162" t="s">
        <v>1252</v>
      </c>
    </row>
    <row r="133" spans="1:11">
      <c r="A133" s="161" t="s">
        <v>971</v>
      </c>
      <c r="B133" s="162" t="s">
        <v>1257</v>
      </c>
      <c r="C133" s="162" t="s">
        <v>1255</v>
      </c>
      <c r="D133" s="161" t="s">
        <v>751</v>
      </c>
      <c r="E133" s="161" t="s">
        <v>752</v>
      </c>
      <c r="F133" s="163">
        <v>288</v>
      </c>
      <c r="G133" s="164">
        <v>1000</v>
      </c>
      <c r="H133" s="161" t="s">
        <v>753</v>
      </c>
      <c r="I133" s="162" t="s">
        <v>1254</v>
      </c>
      <c r="J133" s="162" t="s">
        <v>1252</v>
      </c>
      <c r="K133" s="162" t="s">
        <v>1252</v>
      </c>
    </row>
    <row r="134" spans="1:11">
      <c r="A134" s="161" t="s">
        <v>972</v>
      </c>
      <c r="B134" s="162" t="s">
        <v>1258</v>
      </c>
      <c r="C134" s="162" t="s">
        <v>1255</v>
      </c>
      <c r="D134" s="161" t="s">
        <v>751</v>
      </c>
      <c r="E134" s="161" t="s">
        <v>752</v>
      </c>
      <c r="F134" s="163">
        <v>278</v>
      </c>
      <c r="G134" s="164">
        <v>1000</v>
      </c>
      <c r="H134" s="161" t="s">
        <v>753</v>
      </c>
      <c r="I134" s="162" t="s">
        <v>1254</v>
      </c>
      <c r="J134" s="162" t="s">
        <v>1252</v>
      </c>
      <c r="K134" s="162" t="s">
        <v>1252</v>
      </c>
    </row>
    <row r="135" spans="1:11">
      <c r="A135" s="161" t="s">
        <v>973</v>
      </c>
      <c r="B135" s="162" t="s">
        <v>1259</v>
      </c>
      <c r="C135" s="162" t="s">
        <v>1255</v>
      </c>
      <c r="D135" s="161" t="s">
        <v>751</v>
      </c>
      <c r="E135" s="161" t="s">
        <v>752</v>
      </c>
      <c r="F135" s="163">
        <v>350</v>
      </c>
      <c r="G135" s="164">
        <v>1000</v>
      </c>
      <c r="H135" s="161" t="s">
        <v>753</v>
      </c>
      <c r="I135" s="162" t="s">
        <v>1254</v>
      </c>
      <c r="J135" s="162" t="s">
        <v>1260</v>
      </c>
      <c r="K135" s="162" t="s">
        <v>1260</v>
      </c>
    </row>
    <row r="136" spans="1:11">
      <c r="A136" s="161" t="s">
        <v>974</v>
      </c>
      <c r="B136" s="162" t="s">
        <v>1261</v>
      </c>
      <c r="C136" s="162" t="s">
        <v>1255</v>
      </c>
      <c r="D136" s="161" t="s">
        <v>751</v>
      </c>
      <c r="E136" s="161" t="s">
        <v>752</v>
      </c>
      <c r="F136" s="163">
        <v>485</v>
      </c>
      <c r="G136" s="164">
        <v>1000</v>
      </c>
      <c r="H136" s="161" t="s">
        <v>753</v>
      </c>
      <c r="I136" s="162" t="s">
        <v>1254</v>
      </c>
      <c r="J136" s="162" t="s">
        <v>1260</v>
      </c>
      <c r="K136" s="162" t="s">
        <v>1260</v>
      </c>
    </row>
    <row r="137" spans="1:11">
      <c r="A137" s="161" t="s">
        <v>975</v>
      </c>
      <c r="B137" s="162" t="s">
        <v>1262</v>
      </c>
      <c r="C137" s="162" t="s">
        <v>1255</v>
      </c>
      <c r="D137" s="161" t="s">
        <v>751</v>
      </c>
      <c r="E137" s="161" t="s">
        <v>752</v>
      </c>
      <c r="F137" s="163">
        <v>485</v>
      </c>
      <c r="G137" s="164">
        <v>1000</v>
      </c>
      <c r="H137" s="161" t="s">
        <v>753</v>
      </c>
      <c r="I137" s="162" t="s">
        <v>1254</v>
      </c>
      <c r="J137" s="162" t="s">
        <v>1260</v>
      </c>
      <c r="K137" s="162" t="s">
        <v>1260</v>
      </c>
    </row>
    <row r="138" spans="1:11">
      <c r="A138" s="161" t="s">
        <v>976</v>
      </c>
      <c r="B138" s="162" t="s">
        <v>1263</v>
      </c>
      <c r="C138" s="162" t="s">
        <v>1255</v>
      </c>
      <c r="D138" s="161" t="s">
        <v>751</v>
      </c>
      <c r="E138" s="161" t="s">
        <v>752</v>
      </c>
      <c r="F138" s="163">
        <v>430</v>
      </c>
      <c r="G138" s="164">
        <v>1000</v>
      </c>
      <c r="H138" s="161" t="s">
        <v>753</v>
      </c>
      <c r="I138" s="162" t="s">
        <v>1254</v>
      </c>
      <c r="J138" s="162" t="s">
        <v>1264</v>
      </c>
      <c r="K138" s="162" t="s">
        <v>1264</v>
      </c>
    </row>
    <row r="139" spans="1:11">
      <c r="A139" s="161" t="s">
        <v>977</v>
      </c>
      <c r="B139" s="162" t="s">
        <v>1265</v>
      </c>
      <c r="C139" s="162" t="s">
        <v>1255</v>
      </c>
      <c r="D139" s="161" t="s">
        <v>751</v>
      </c>
      <c r="E139" s="161" t="s">
        <v>752</v>
      </c>
      <c r="F139" s="163">
        <v>1570</v>
      </c>
      <c r="G139" s="164">
        <v>1000</v>
      </c>
      <c r="H139" s="161" t="s">
        <v>753</v>
      </c>
      <c r="I139" s="162" t="s">
        <v>1254</v>
      </c>
      <c r="J139" s="162" t="s">
        <v>1266</v>
      </c>
      <c r="K139" s="162" t="s">
        <v>1266</v>
      </c>
    </row>
    <row r="140" spans="1:11">
      <c r="A140" s="161" t="s">
        <v>978</v>
      </c>
      <c r="B140" s="162" t="s">
        <v>838</v>
      </c>
      <c r="C140" s="162" t="s">
        <v>1273</v>
      </c>
      <c r="D140" s="161" t="s">
        <v>751</v>
      </c>
      <c r="E140" s="161" t="s">
        <v>752</v>
      </c>
      <c r="F140" s="163">
        <v>2460</v>
      </c>
      <c r="G140" s="164">
        <v>1000</v>
      </c>
      <c r="H140" s="161" t="s">
        <v>753</v>
      </c>
      <c r="I140" s="162" t="s">
        <v>1254</v>
      </c>
      <c r="J140" s="162" t="s">
        <v>1252</v>
      </c>
      <c r="K140" s="162" t="s">
        <v>1252</v>
      </c>
    </row>
    <row r="141" spans="1:11">
      <c r="A141" s="161" t="s">
        <v>979</v>
      </c>
      <c r="B141" s="162" t="s">
        <v>57</v>
      </c>
      <c r="C141" s="162" t="s">
        <v>46</v>
      </c>
      <c r="D141" s="161" t="s">
        <v>751</v>
      </c>
      <c r="E141" s="161" t="s">
        <v>752</v>
      </c>
      <c r="F141" s="163">
        <v>565</v>
      </c>
      <c r="G141" s="164">
        <v>1000</v>
      </c>
      <c r="H141" s="161" t="s">
        <v>753</v>
      </c>
      <c r="I141" s="162" t="s">
        <v>1254</v>
      </c>
      <c r="J141" s="162" t="s">
        <v>843</v>
      </c>
      <c r="K141" s="162" t="s">
        <v>843</v>
      </c>
    </row>
    <row r="142" spans="1:11">
      <c r="A142" s="161" t="s">
        <v>980</v>
      </c>
      <c r="B142" s="162" t="s">
        <v>58</v>
      </c>
      <c r="C142" s="162" t="s">
        <v>46</v>
      </c>
      <c r="D142" s="161" t="s">
        <v>751</v>
      </c>
      <c r="E142" s="161" t="s">
        <v>752</v>
      </c>
      <c r="F142" s="163">
        <v>565</v>
      </c>
      <c r="G142" s="164">
        <v>1000</v>
      </c>
      <c r="H142" s="161" t="s">
        <v>753</v>
      </c>
      <c r="I142" s="162" t="s">
        <v>1254</v>
      </c>
      <c r="J142" s="162" t="s">
        <v>843</v>
      </c>
      <c r="K142" s="162" t="s">
        <v>843</v>
      </c>
    </row>
    <row r="143" spans="1:11">
      <c r="A143" s="161" t="s">
        <v>981</v>
      </c>
      <c r="B143" s="162" t="s">
        <v>59</v>
      </c>
      <c r="C143" s="162" t="s">
        <v>46</v>
      </c>
      <c r="D143" s="161" t="s">
        <v>751</v>
      </c>
      <c r="E143" s="161" t="s">
        <v>752</v>
      </c>
      <c r="F143" s="163">
        <v>565</v>
      </c>
      <c r="G143" s="164">
        <v>1000</v>
      </c>
      <c r="H143" s="161" t="s">
        <v>753</v>
      </c>
      <c r="I143" s="162" t="s">
        <v>1254</v>
      </c>
      <c r="J143" s="162" t="s">
        <v>843</v>
      </c>
      <c r="K143" s="162" t="s">
        <v>843</v>
      </c>
    </row>
    <row r="144" spans="1:11">
      <c r="A144" s="161" t="s">
        <v>982</v>
      </c>
      <c r="B144" s="162" t="s">
        <v>60</v>
      </c>
      <c r="C144" s="162" t="s">
        <v>46</v>
      </c>
      <c r="D144" s="161" t="s">
        <v>751</v>
      </c>
      <c r="E144" s="161" t="s">
        <v>752</v>
      </c>
      <c r="F144" s="163">
        <v>565</v>
      </c>
      <c r="G144" s="164">
        <v>1000</v>
      </c>
      <c r="H144" s="161" t="s">
        <v>753</v>
      </c>
      <c r="I144" s="162" t="s">
        <v>1254</v>
      </c>
      <c r="J144" s="162" t="s">
        <v>843</v>
      </c>
      <c r="K144" s="162" t="s">
        <v>843</v>
      </c>
    </row>
    <row r="145" spans="1:11">
      <c r="A145" s="161" t="s">
        <v>983</v>
      </c>
      <c r="B145" s="162" t="s">
        <v>1268</v>
      </c>
      <c r="C145" s="162" t="s">
        <v>1267</v>
      </c>
      <c r="D145" s="161" t="s">
        <v>751</v>
      </c>
      <c r="E145" s="161" t="s">
        <v>752</v>
      </c>
      <c r="F145" s="163">
        <v>325</v>
      </c>
      <c r="G145" s="164">
        <v>1000</v>
      </c>
      <c r="H145" s="161" t="s">
        <v>753</v>
      </c>
      <c r="I145" s="162" t="s">
        <v>1254</v>
      </c>
      <c r="J145" s="162" t="s">
        <v>1269</v>
      </c>
      <c r="K145" s="162" t="s">
        <v>1269</v>
      </c>
    </row>
    <row r="146" spans="1:11">
      <c r="A146" s="161" t="s">
        <v>984</v>
      </c>
      <c r="B146" s="162" t="s">
        <v>985</v>
      </c>
      <c r="C146" s="162" t="s">
        <v>856</v>
      </c>
      <c r="D146" s="161" t="s">
        <v>751</v>
      </c>
      <c r="E146" s="161" t="s">
        <v>752</v>
      </c>
      <c r="F146" s="165">
        <v>1445</v>
      </c>
      <c r="G146" s="164">
        <v>1000</v>
      </c>
      <c r="H146" s="161" t="s">
        <v>753</v>
      </c>
      <c r="I146" s="162" t="s">
        <v>986</v>
      </c>
      <c r="J146" s="162" t="s">
        <v>987</v>
      </c>
      <c r="K146" s="162" t="s">
        <v>987</v>
      </c>
    </row>
    <row r="147" spans="1:11">
      <c r="A147" s="161" t="s">
        <v>988</v>
      </c>
      <c r="B147" s="162" t="s">
        <v>989</v>
      </c>
      <c r="C147" s="162" t="s">
        <v>856</v>
      </c>
      <c r="D147" s="161" t="s">
        <v>751</v>
      </c>
      <c r="E147" s="161" t="s">
        <v>752</v>
      </c>
      <c r="F147" s="165">
        <v>1535</v>
      </c>
      <c r="G147" s="164">
        <v>1000</v>
      </c>
      <c r="H147" s="161" t="s">
        <v>753</v>
      </c>
      <c r="I147" s="162" t="s">
        <v>986</v>
      </c>
      <c r="J147" s="162" t="s">
        <v>987</v>
      </c>
      <c r="K147" s="162" t="s">
        <v>987</v>
      </c>
    </row>
    <row r="148" spans="1:11">
      <c r="A148" s="161" t="s">
        <v>990</v>
      </c>
      <c r="B148" s="162" t="s">
        <v>991</v>
      </c>
      <c r="C148" s="162" t="s">
        <v>856</v>
      </c>
      <c r="D148" s="161" t="s">
        <v>751</v>
      </c>
      <c r="E148" s="161" t="s">
        <v>752</v>
      </c>
      <c r="F148" s="165">
        <v>1525</v>
      </c>
      <c r="G148" s="164">
        <v>1000</v>
      </c>
      <c r="H148" s="161" t="s">
        <v>753</v>
      </c>
      <c r="I148" s="162" t="s">
        <v>986</v>
      </c>
      <c r="J148" s="162" t="s">
        <v>987</v>
      </c>
      <c r="K148" s="162" t="s">
        <v>987</v>
      </c>
    </row>
    <row r="149" spans="1:11">
      <c r="A149" s="161" t="s">
        <v>992</v>
      </c>
      <c r="B149" s="162" t="s">
        <v>993</v>
      </c>
      <c r="C149" s="162" t="s">
        <v>856</v>
      </c>
      <c r="D149" s="161" t="s">
        <v>751</v>
      </c>
      <c r="E149" s="161" t="s">
        <v>752</v>
      </c>
      <c r="F149" s="165">
        <v>1525</v>
      </c>
      <c r="G149" s="164">
        <v>1000</v>
      </c>
      <c r="H149" s="161" t="s">
        <v>753</v>
      </c>
      <c r="I149" s="162" t="s">
        <v>986</v>
      </c>
      <c r="J149" s="162" t="s">
        <v>987</v>
      </c>
      <c r="K149" s="162" t="s">
        <v>987</v>
      </c>
    </row>
    <row r="150" spans="1:11">
      <c r="A150" s="161" t="s">
        <v>994</v>
      </c>
      <c r="B150" s="162" t="s">
        <v>995</v>
      </c>
      <c r="C150" s="162" t="s">
        <v>856</v>
      </c>
      <c r="D150" s="161" t="s">
        <v>751</v>
      </c>
      <c r="E150" s="161" t="s">
        <v>752</v>
      </c>
      <c r="F150" s="165">
        <v>3095</v>
      </c>
      <c r="G150" s="164">
        <v>1000</v>
      </c>
      <c r="H150" s="161" t="s">
        <v>753</v>
      </c>
      <c r="I150" s="162" t="s">
        <v>986</v>
      </c>
      <c r="J150" s="162" t="s">
        <v>1252</v>
      </c>
      <c r="K150" s="162" t="s">
        <v>1252</v>
      </c>
    </row>
    <row r="151" spans="1:11">
      <c r="A151" s="161" t="s">
        <v>996</v>
      </c>
      <c r="B151" s="162" t="s">
        <v>997</v>
      </c>
      <c r="C151" s="162" t="s">
        <v>856</v>
      </c>
      <c r="D151" s="161" t="s">
        <v>751</v>
      </c>
      <c r="E151" s="161" t="s">
        <v>752</v>
      </c>
      <c r="F151" s="165">
        <v>1445</v>
      </c>
      <c r="G151" s="164">
        <v>1000</v>
      </c>
      <c r="H151" s="161" t="s">
        <v>753</v>
      </c>
      <c r="I151" s="162" t="s">
        <v>986</v>
      </c>
      <c r="J151" s="162" t="s">
        <v>987</v>
      </c>
      <c r="K151" s="162" t="s">
        <v>987</v>
      </c>
    </row>
    <row r="152" spans="1:11">
      <c r="A152" s="161" t="s">
        <v>998</v>
      </c>
      <c r="B152" s="162" t="s">
        <v>999</v>
      </c>
      <c r="C152" s="162" t="s">
        <v>856</v>
      </c>
      <c r="D152" s="161" t="s">
        <v>751</v>
      </c>
      <c r="E152" s="161" t="s">
        <v>752</v>
      </c>
      <c r="F152" s="165">
        <v>1655</v>
      </c>
      <c r="G152" s="164">
        <v>1000</v>
      </c>
      <c r="H152" s="161" t="s">
        <v>753</v>
      </c>
      <c r="I152" s="162" t="s">
        <v>986</v>
      </c>
      <c r="J152" s="162" t="s">
        <v>987</v>
      </c>
      <c r="K152" s="162" t="s">
        <v>987</v>
      </c>
    </row>
    <row r="153" spans="1:11">
      <c r="A153" s="161" t="s">
        <v>1000</v>
      </c>
      <c r="B153" s="162" t="s">
        <v>1001</v>
      </c>
      <c r="C153" s="162" t="s">
        <v>856</v>
      </c>
      <c r="D153" s="161" t="s">
        <v>751</v>
      </c>
      <c r="E153" s="161" t="s">
        <v>752</v>
      </c>
      <c r="F153" s="165">
        <v>1620</v>
      </c>
      <c r="G153" s="164">
        <v>1000</v>
      </c>
      <c r="H153" s="161" t="s">
        <v>753</v>
      </c>
      <c r="I153" s="162" t="s">
        <v>986</v>
      </c>
      <c r="J153" s="162" t="s">
        <v>987</v>
      </c>
      <c r="K153" s="162" t="s">
        <v>987</v>
      </c>
    </row>
    <row r="154" spans="1:11">
      <c r="A154" s="161" t="s">
        <v>1002</v>
      </c>
      <c r="B154" s="162" t="s">
        <v>1003</v>
      </c>
      <c r="C154" s="162" t="s">
        <v>856</v>
      </c>
      <c r="D154" s="161" t="s">
        <v>751</v>
      </c>
      <c r="E154" s="161" t="s">
        <v>752</v>
      </c>
      <c r="F154" s="165">
        <v>1655</v>
      </c>
      <c r="G154" s="164">
        <v>1000</v>
      </c>
      <c r="H154" s="161" t="s">
        <v>753</v>
      </c>
      <c r="I154" s="162" t="s">
        <v>986</v>
      </c>
      <c r="J154" s="162" t="s">
        <v>987</v>
      </c>
      <c r="K154" s="162" t="s">
        <v>987</v>
      </c>
    </row>
    <row r="155" spans="1:11">
      <c r="A155" s="161" t="s">
        <v>1004</v>
      </c>
      <c r="B155" s="162" t="s">
        <v>1005</v>
      </c>
      <c r="C155" s="162" t="s">
        <v>856</v>
      </c>
      <c r="D155" s="161" t="s">
        <v>751</v>
      </c>
      <c r="E155" s="161" t="s">
        <v>752</v>
      </c>
      <c r="F155" s="165">
        <v>1020</v>
      </c>
      <c r="G155" s="164">
        <v>1000</v>
      </c>
      <c r="H155" s="161" t="s">
        <v>753</v>
      </c>
      <c r="I155" s="162" t="s">
        <v>986</v>
      </c>
      <c r="J155" s="162" t="s">
        <v>987</v>
      </c>
      <c r="K155" s="162" t="s">
        <v>987</v>
      </c>
    </row>
    <row r="156" spans="1:11">
      <c r="A156" s="161" t="s">
        <v>1006</v>
      </c>
      <c r="B156" s="162" t="s">
        <v>1007</v>
      </c>
      <c r="C156" s="162" t="s">
        <v>1255</v>
      </c>
      <c r="D156" s="161" t="s">
        <v>751</v>
      </c>
      <c r="E156" s="161" t="s">
        <v>752</v>
      </c>
      <c r="F156" s="165">
        <v>3520</v>
      </c>
      <c r="G156" s="164">
        <v>1000</v>
      </c>
      <c r="H156" s="161" t="s">
        <v>753</v>
      </c>
      <c r="I156" s="162" t="s">
        <v>986</v>
      </c>
      <c r="J156" s="162" t="s">
        <v>987</v>
      </c>
      <c r="K156" s="162" t="s">
        <v>987</v>
      </c>
    </row>
    <row r="157" spans="1:11">
      <c r="A157" s="161" t="s">
        <v>1008</v>
      </c>
      <c r="B157" s="162" t="s">
        <v>1009</v>
      </c>
      <c r="C157" s="162" t="s">
        <v>1255</v>
      </c>
      <c r="D157" s="161" t="s">
        <v>751</v>
      </c>
      <c r="E157" s="161" t="s">
        <v>752</v>
      </c>
      <c r="F157" s="165">
        <v>3520</v>
      </c>
      <c r="G157" s="164">
        <v>1000</v>
      </c>
      <c r="H157" s="161" t="s">
        <v>753</v>
      </c>
      <c r="I157" s="162" t="s">
        <v>986</v>
      </c>
      <c r="J157" s="162" t="s">
        <v>987</v>
      </c>
      <c r="K157" s="162" t="s">
        <v>987</v>
      </c>
    </row>
    <row r="158" spans="1:11">
      <c r="A158" s="161" t="s">
        <v>1010</v>
      </c>
      <c r="B158" s="162" t="s">
        <v>1011</v>
      </c>
      <c r="C158" s="162" t="s">
        <v>1255</v>
      </c>
      <c r="D158" s="161" t="s">
        <v>751</v>
      </c>
      <c r="E158" s="161" t="s">
        <v>752</v>
      </c>
      <c r="F158" s="165">
        <v>3220</v>
      </c>
      <c r="G158" s="164">
        <v>1000</v>
      </c>
      <c r="H158" s="161" t="s">
        <v>753</v>
      </c>
      <c r="I158" s="162" t="s">
        <v>986</v>
      </c>
      <c r="J158" s="162" t="s">
        <v>987</v>
      </c>
      <c r="K158" s="162" t="s">
        <v>987</v>
      </c>
    </row>
    <row r="159" spans="1:11">
      <c r="A159" s="161" t="s">
        <v>1012</v>
      </c>
      <c r="B159" s="162" t="s">
        <v>1013</v>
      </c>
      <c r="C159" s="162" t="s">
        <v>28</v>
      </c>
      <c r="D159" s="161" t="s">
        <v>751</v>
      </c>
      <c r="E159" s="161" t="s">
        <v>752</v>
      </c>
      <c r="F159" s="165">
        <v>3020</v>
      </c>
      <c r="G159" s="164">
        <v>1000</v>
      </c>
      <c r="H159" s="161" t="s">
        <v>753</v>
      </c>
      <c r="I159" s="162" t="s">
        <v>986</v>
      </c>
      <c r="J159" s="162" t="s">
        <v>987</v>
      </c>
      <c r="K159" s="162" t="s">
        <v>987</v>
      </c>
    </row>
    <row r="160" spans="1:11">
      <c r="A160" s="161" t="s">
        <v>1014</v>
      </c>
      <c r="B160" s="162" t="s">
        <v>1015</v>
      </c>
      <c r="C160" s="162" t="s">
        <v>1255</v>
      </c>
      <c r="D160" s="161" t="s">
        <v>751</v>
      </c>
      <c r="E160" s="161" t="s">
        <v>752</v>
      </c>
      <c r="F160" s="165">
        <v>3220</v>
      </c>
      <c r="G160" s="164">
        <v>1000</v>
      </c>
      <c r="H160" s="161" t="s">
        <v>753</v>
      </c>
      <c r="I160" s="162" t="s">
        <v>986</v>
      </c>
      <c r="J160" s="162" t="s">
        <v>987</v>
      </c>
      <c r="K160" s="162" t="s">
        <v>987</v>
      </c>
    </row>
    <row r="161" spans="1:11">
      <c r="A161" s="161" t="s">
        <v>1016</v>
      </c>
      <c r="B161" s="162" t="s">
        <v>1017</v>
      </c>
      <c r="C161" s="162" t="s">
        <v>856</v>
      </c>
      <c r="D161" s="161" t="s">
        <v>751</v>
      </c>
      <c r="E161" s="161" t="s">
        <v>752</v>
      </c>
      <c r="F161" s="165">
        <v>1910</v>
      </c>
      <c r="G161" s="164">
        <v>1000</v>
      </c>
      <c r="H161" s="161" t="s">
        <v>753</v>
      </c>
      <c r="I161" s="162" t="s">
        <v>986</v>
      </c>
      <c r="J161" s="162" t="s">
        <v>987</v>
      </c>
      <c r="K161" s="162" t="s">
        <v>987</v>
      </c>
    </row>
    <row r="162" spans="1:11">
      <c r="A162" s="161" t="s">
        <v>1018</v>
      </c>
      <c r="B162" s="162" t="s">
        <v>1019</v>
      </c>
      <c r="C162" s="162" t="s">
        <v>856</v>
      </c>
      <c r="D162" s="161" t="s">
        <v>751</v>
      </c>
      <c r="E162" s="161" t="s">
        <v>752</v>
      </c>
      <c r="F162" s="165">
        <v>1495</v>
      </c>
      <c r="G162" s="164">
        <v>1000</v>
      </c>
      <c r="H162" s="161" t="s">
        <v>753</v>
      </c>
      <c r="I162" s="162" t="s">
        <v>986</v>
      </c>
      <c r="J162" s="162" t="s">
        <v>987</v>
      </c>
      <c r="K162" s="162" t="s">
        <v>987</v>
      </c>
    </row>
    <row r="163" spans="1:11">
      <c r="A163" s="161" t="s">
        <v>1020</v>
      </c>
      <c r="B163" s="162" t="s">
        <v>1021</v>
      </c>
      <c r="C163" s="162" t="s">
        <v>856</v>
      </c>
      <c r="D163" s="161" t="s">
        <v>751</v>
      </c>
      <c r="E163" s="161" t="s">
        <v>752</v>
      </c>
      <c r="F163" s="165">
        <v>1495</v>
      </c>
      <c r="G163" s="164">
        <v>1000</v>
      </c>
      <c r="H163" s="161" t="s">
        <v>753</v>
      </c>
      <c r="I163" s="162" t="s">
        <v>986</v>
      </c>
      <c r="J163" s="162" t="s">
        <v>987</v>
      </c>
      <c r="K163" s="162" t="s">
        <v>987</v>
      </c>
    </row>
    <row r="164" spans="1:11">
      <c r="A164" s="161" t="s">
        <v>394</v>
      </c>
      <c r="B164" s="162" t="s">
        <v>395</v>
      </c>
      <c r="C164" s="162" t="s">
        <v>856</v>
      </c>
      <c r="D164" s="161" t="s">
        <v>751</v>
      </c>
      <c r="E164" s="161" t="s">
        <v>752</v>
      </c>
      <c r="F164" s="165">
        <v>1210</v>
      </c>
      <c r="G164" s="164">
        <v>1000</v>
      </c>
      <c r="H164" s="161" t="s">
        <v>753</v>
      </c>
      <c r="I164" s="162" t="s">
        <v>986</v>
      </c>
      <c r="J164" s="162" t="s">
        <v>987</v>
      </c>
      <c r="K164" s="162" t="s">
        <v>987</v>
      </c>
    </row>
    <row r="165" spans="1:11">
      <c r="A165" s="161" t="s">
        <v>396</v>
      </c>
      <c r="B165" s="162" t="s">
        <v>397</v>
      </c>
      <c r="C165" s="162" t="s">
        <v>856</v>
      </c>
      <c r="D165" s="161" t="s">
        <v>751</v>
      </c>
      <c r="E165" s="161" t="s">
        <v>752</v>
      </c>
      <c r="F165" s="165">
        <v>1210</v>
      </c>
      <c r="G165" s="164">
        <v>1000</v>
      </c>
      <c r="H165" s="161" t="s">
        <v>753</v>
      </c>
      <c r="I165" s="162" t="s">
        <v>986</v>
      </c>
      <c r="J165" s="162" t="s">
        <v>987</v>
      </c>
      <c r="K165" s="162" t="s">
        <v>987</v>
      </c>
    </row>
    <row r="166" spans="1:11">
      <c r="A166" s="161" t="s">
        <v>398</v>
      </c>
      <c r="B166" s="162" t="s">
        <v>399</v>
      </c>
      <c r="C166" s="162" t="s">
        <v>856</v>
      </c>
      <c r="D166" s="161" t="s">
        <v>751</v>
      </c>
      <c r="E166" s="161" t="s">
        <v>752</v>
      </c>
      <c r="F166" s="165">
        <v>1475</v>
      </c>
      <c r="G166" s="164">
        <v>1000</v>
      </c>
      <c r="H166" s="161" t="s">
        <v>753</v>
      </c>
      <c r="I166" s="162" t="s">
        <v>986</v>
      </c>
      <c r="J166" s="162" t="s">
        <v>987</v>
      </c>
      <c r="K166" s="162" t="s">
        <v>987</v>
      </c>
    </row>
    <row r="167" spans="1:11">
      <c r="A167" s="161" t="s">
        <v>400</v>
      </c>
      <c r="B167" s="162" t="s">
        <v>401</v>
      </c>
      <c r="C167" s="162" t="s">
        <v>856</v>
      </c>
      <c r="D167" s="161" t="s">
        <v>751</v>
      </c>
      <c r="E167" s="161" t="s">
        <v>752</v>
      </c>
      <c r="F167" s="165">
        <v>1210</v>
      </c>
      <c r="G167" s="164">
        <v>1000</v>
      </c>
      <c r="H167" s="161" t="s">
        <v>753</v>
      </c>
      <c r="I167" s="162" t="s">
        <v>986</v>
      </c>
      <c r="J167" s="162" t="s">
        <v>987</v>
      </c>
      <c r="K167" s="162" t="s">
        <v>987</v>
      </c>
    </row>
    <row r="168" spans="1:11">
      <c r="A168" s="161" t="s">
        <v>402</v>
      </c>
      <c r="B168" s="162" t="s">
        <v>403</v>
      </c>
      <c r="C168" s="162" t="s">
        <v>856</v>
      </c>
      <c r="D168" s="161" t="s">
        <v>751</v>
      </c>
      <c r="E168" s="161" t="s">
        <v>752</v>
      </c>
      <c r="F168" s="165">
        <v>1615</v>
      </c>
      <c r="G168" s="164">
        <v>1000</v>
      </c>
      <c r="H168" s="161" t="s">
        <v>753</v>
      </c>
      <c r="I168" s="162" t="s">
        <v>986</v>
      </c>
      <c r="J168" s="162" t="s">
        <v>987</v>
      </c>
      <c r="K168" s="162" t="s">
        <v>987</v>
      </c>
    </row>
    <row r="169" spans="1:11">
      <c r="A169" s="161" t="s">
        <v>404</v>
      </c>
      <c r="B169" s="162" t="s">
        <v>405</v>
      </c>
      <c r="C169" s="162" t="s">
        <v>856</v>
      </c>
      <c r="D169" s="161" t="s">
        <v>751</v>
      </c>
      <c r="E169" s="161" t="s">
        <v>752</v>
      </c>
      <c r="F169" s="165">
        <v>1605</v>
      </c>
      <c r="G169" s="164">
        <v>1000</v>
      </c>
      <c r="H169" s="161" t="s">
        <v>753</v>
      </c>
      <c r="I169" s="162" t="s">
        <v>986</v>
      </c>
      <c r="J169" s="162" t="s">
        <v>987</v>
      </c>
      <c r="K169" s="162" t="s">
        <v>987</v>
      </c>
    </row>
    <row r="170" spans="1:11">
      <c r="A170" s="161" t="s">
        <v>406</v>
      </c>
      <c r="B170" s="162" t="s">
        <v>407</v>
      </c>
      <c r="C170" s="162" t="s">
        <v>856</v>
      </c>
      <c r="D170" s="161" t="s">
        <v>751</v>
      </c>
      <c r="E170" s="161" t="s">
        <v>752</v>
      </c>
      <c r="F170" s="165">
        <v>3695</v>
      </c>
      <c r="G170" s="164">
        <v>1000</v>
      </c>
      <c r="H170" s="161" t="s">
        <v>753</v>
      </c>
      <c r="I170" s="162" t="s">
        <v>986</v>
      </c>
      <c r="J170" s="162" t="s">
        <v>987</v>
      </c>
      <c r="K170" s="162" t="s">
        <v>987</v>
      </c>
    </row>
    <row r="171" spans="1:11">
      <c r="A171" s="161" t="s">
        <v>408</v>
      </c>
      <c r="B171" s="162" t="s">
        <v>409</v>
      </c>
      <c r="C171" s="162" t="s">
        <v>856</v>
      </c>
      <c r="D171" s="161" t="s">
        <v>751</v>
      </c>
      <c r="E171" s="161" t="s">
        <v>752</v>
      </c>
      <c r="F171" s="165">
        <v>3695</v>
      </c>
      <c r="G171" s="164">
        <v>1000</v>
      </c>
      <c r="H171" s="161" t="s">
        <v>753</v>
      </c>
      <c r="I171" s="162" t="s">
        <v>986</v>
      </c>
      <c r="J171" s="162" t="s">
        <v>987</v>
      </c>
      <c r="K171" s="162" t="s">
        <v>987</v>
      </c>
    </row>
    <row r="172" spans="1:11">
      <c r="A172" s="161" t="s">
        <v>410</v>
      </c>
      <c r="B172" s="162" t="s">
        <v>411</v>
      </c>
      <c r="C172" s="162" t="s">
        <v>856</v>
      </c>
      <c r="D172" s="161" t="s">
        <v>751</v>
      </c>
      <c r="E172" s="161" t="s">
        <v>752</v>
      </c>
      <c r="F172" s="165">
        <v>1455</v>
      </c>
      <c r="G172" s="164">
        <v>1000</v>
      </c>
      <c r="H172" s="161" t="s">
        <v>753</v>
      </c>
      <c r="I172" s="162" t="s">
        <v>986</v>
      </c>
      <c r="J172" s="162" t="s">
        <v>987</v>
      </c>
      <c r="K172" s="162" t="s">
        <v>987</v>
      </c>
    </row>
    <row r="173" spans="1:11">
      <c r="A173" s="161" t="s">
        <v>412</v>
      </c>
      <c r="B173" s="162" t="s">
        <v>413</v>
      </c>
      <c r="C173" s="162" t="s">
        <v>856</v>
      </c>
      <c r="D173" s="161" t="s">
        <v>751</v>
      </c>
      <c r="E173" s="161" t="s">
        <v>752</v>
      </c>
      <c r="F173" s="165">
        <v>1455</v>
      </c>
      <c r="G173" s="164">
        <v>1000</v>
      </c>
      <c r="H173" s="161" t="s">
        <v>753</v>
      </c>
      <c r="I173" s="162" t="s">
        <v>986</v>
      </c>
      <c r="J173" s="162" t="s">
        <v>987</v>
      </c>
      <c r="K173" s="162" t="s">
        <v>987</v>
      </c>
    </row>
    <row r="174" spans="1:11">
      <c r="A174" s="161" t="s">
        <v>414</v>
      </c>
      <c r="B174" s="162" t="s">
        <v>415</v>
      </c>
      <c r="C174" s="162" t="s">
        <v>856</v>
      </c>
      <c r="D174" s="161" t="s">
        <v>751</v>
      </c>
      <c r="E174" s="161" t="s">
        <v>752</v>
      </c>
      <c r="F174" s="165">
        <v>1445</v>
      </c>
      <c r="G174" s="164">
        <v>1000</v>
      </c>
      <c r="H174" s="161" t="s">
        <v>753</v>
      </c>
      <c r="I174" s="162" t="s">
        <v>986</v>
      </c>
      <c r="J174" s="162" t="s">
        <v>987</v>
      </c>
      <c r="K174" s="162" t="s">
        <v>987</v>
      </c>
    </row>
    <row r="175" spans="1:11">
      <c r="A175" s="161" t="s">
        <v>416</v>
      </c>
      <c r="B175" s="162" t="s">
        <v>417</v>
      </c>
      <c r="C175" s="162" t="s">
        <v>28</v>
      </c>
      <c r="D175" s="161" t="s">
        <v>751</v>
      </c>
      <c r="E175" s="161" t="s">
        <v>752</v>
      </c>
      <c r="F175" s="165">
        <v>1525</v>
      </c>
      <c r="G175" s="164">
        <v>1000</v>
      </c>
      <c r="H175" s="161" t="s">
        <v>753</v>
      </c>
      <c r="I175" s="162" t="s">
        <v>986</v>
      </c>
      <c r="J175" s="162" t="s">
        <v>987</v>
      </c>
      <c r="K175" s="162" t="s">
        <v>987</v>
      </c>
    </row>
    <row r="176" spans="1:11">
      <c r="A176" s="161" t="s">
        <v>418</v>
      </c>
      <c r="B176" s="162" t="s">
        <v>419</v>
      </c>
      <c r="C176" s="162" t="s">
        <v>856</v>
      </c>
      <c r="D176" s="161" t="s">
        <v>751</v>
      </c>
      <c r="E176" s="161" t="s">
        <v>752</v>
      </c>
      <c r="F176" s="165">
        <v>1027.22</v>
      </c>
      <c r="G176" s="164">
        <v>1000</v>
      </c>
      <c r="H176" s="161" t="s">
        <v>753</v>
      </c>
      <c r="I176" s="162" t="s">
        <v>986</v>
      </c>
      <c r="J176" s="162" t="s">
        <v>987</v>
      </c>
      <c r="K176" s="162" t="s">
        <v>987</v>
      </c>
    </row>
    <row r="177" spans="1:11">
      <c r="A177" s="161" t="s">
        <v>420</v>
      </c>
      <c r="B177" s="162" t="s">
        <v>421</v>
      </c>
      <c r="C177" s="162" t="s">
        <v>856</v>
      </c>
      <c r="D177" s="161" t="s">
        <v>751</v>
      </c>
      <c r="E177" s="161" t="s">
        <v>752</v>
      </c>
      <c r="F177" s="165">
        <v>1855</v>
      </c>
      <c r="G177" s="164">
        <v>1000</v>
      </c>
      <c r="H177" s="161" t="s">
        <v>753</v>
      </c>
      <c r="I177" s="162" t="s">
        <v>986</v>
      </c>
      <c r="J177" s="162" t="s">
        <v>987</v>
      </c>
      <c r="K177" s="162" t="s">
        <v>987</v>
      </c>
    </row>
    <row r="178" spans="1:11">
      <c r="A178" s="161" t="s">
        <v>422</v>
      </c>
      <c r="B178" s="162" t="s">
        <v>423</v>
      </c>
      <c r="C178" s="162" t="s">
        <v>424</v>
      </c>
      <c r="D178" s="161" t="s">
        <v>751</v>
      </c>
      <c r="E178" s="161" t="s">
        <v>752</v>
      </c>
      <c r="F178" s="165">
        <v>4350</v>
      </c>
      <c r="G178" s="164">
        <v>1</v>
      </c>
      <c r="H178" s="161" t="s">
        <v>752</v>
      </c>
      <c r="I178" s="162" t="s">
        <v>986</v>
      </c>
      <c r="J178" s="162" t="s">
        <v>840</v>
      </c>
      <c r="K178" s="162" t="s">
        <v>840</v>
      </c>
    </row>
    <row r="179" spans="1:11">
      <c r="A179" s="161" t="s">
        <v>425</v>
      </c>
      <c r="B179" s="162" t="s">
        <v>426</v>
      </c>
      <c r="C179" s="162" t="s">
        <v>424</v>
      </c>
      <c r="D179" s="161" t="s">
        <v>751</v>
      </c>
      <c r="E179" s="161" t="s">
        <v>752</v>
      </c>
      <c r="F179" s="165">
        <v>4350</v>
      </c>
      <c r="G179" s="164">
        <v>1</v>
      </c>
      <c r="H179" s="161" t="s">
        <v>752</v>
      </c>
      <c r="I179" s="162" t="s">
        <v>986</v>
      </c>
      <c r="J179" s="162" t="s">
        <v>840</v>
      </c>
      <c r="K179" s="162" t="s">
        <v>840</v>
      </c>
    </row>
    <row r="180" spans="1:11">
      <c r="A180" s="161" t="s">
        <v>427</v>
      </c>
      <c r="B180" s="162" t="s">
        <v>428</v>
      </c>
      <c r="C180" s="162" t="s">
        <v>424</v>
      </c>
      <c r="D180" s="161" t="s">
        <v>751</v>
      </c>
      <c r="E180" s="161" t="s">
        <v>752</v>
      </c>
      <c r="F180" s="165">
        <v>1500</v>
      </c>
      <c r="G180" s="164">
        <v>1000</v>
      </c>
      <c r="H180" s="161" t="s">
        <v>753</v>
      </c>
      <c r="I180" s="162" t="s">
        <v>986</v>
      </c>
      <c r="J180" s="162" t="s">
        <v>987</v>
      </c>
      <c r="K180" s="162" t="s">
        <v>987</v>
      </c>
    </row>
    <row r="181" spans="1:11">
      <c r="A181" s="161" t="s">
        <v>429</v>
      </c>
      <c r="B181" s="162" t="s">
        <v>430</v>
      </c>
      <c r="C181" s="162" t="s">
        <v>424</v>
      </c>
      <c r="D181" s="161" t="s">
        <v>751</v>
      </c>
      <c r="E181" s="161" t="s">
        <v>752</v>
      </c>
      <c r="F181" s="165">
        <v>1400</v>
      </c>
      <c r="G181" s="164">
        <v>1000</v>
      </c>
      <c r="H181" s="161" t="s">
        <v>753</v>
      </c>
      <c r="I181" s="162" t="s">
        <v>986</v>
      </c>
      <c r="J181" s="162" t="s">
        <v>987</v>
      </c>
      <c r="K181" s="162" t="s">
        <v>987</v>
      </c>
    </row>
    <row r="182" spans="1:11">
      <c r="A182" s="161" t="s">
        <v>431</v>
      </c>
      <c r="B182" s="162" t="s">
        <v>432</v>
      </c>
      <c r="C182" s="162" t="s">
        <v>424</v>
      </c>
      <c r="D182" s="161" t="s">
        <v>751</v>
      </c>
      <c r="E182" s="161" t="s">
        <v>752</v>
      </c>
      <c r="F182" s="165">
        <v>1000</v>
      </c>
      <c r="G182" s="164">
        <v>1000</v>
      </c>
      <c r="H182" s="161" t="s">
        <v>753</v>
      </c>
      <c r="I182" s="162" t="s">
        <v>986</v>
      </c>
      <c r="J182" s="162" t="s">
        <v>987</v>
      </c>
      <c r="K182" s="162" t="s">
        <v>987</v>
      </c>
    </row>
    <row r="183" spans="1:11">
      <c r="A183" s="161" t="s">
        <v>433</v>
      </c>
      <c r="B183" s="162" t="s">
        <v>434</v>
      </c>
      <c r="C183" s="162" t="s">
        <v>424</v>
      </c>
      <c r="D183" s="161" t="s">
        <v>751</v>
      </c>
      <c r="E183" s="161" t="s">
        <v>752</v>
      </c>
      <c r="F183" s="165">
        <v>950</v>
      </c>
      <c r="G183" s="164">
        <v>1000</v>
      </c>
      <c r="H183" s="161" t="s">
        <v>753</v>
      </c>
      <c r="I183" s="162" t="s">
        <v>986</v>
      </c>
      <c r="J183" s="162" t="s">
        <v>987</v>
      </c>
      <c r="K183" s="162" t="s">
        <v>987</v>
      </c>
    </row>
    <row r="184" spans="1:11">
      <c r="A184" s="161" t="s">
        <v>435</v>
      </c>
      <c r="B184" s="162" t="s">
        <v>436</v>
      </c>
      <c r="C184" s="162" t="s">
        <v>424</v>
      </c>
      <c r="D184" s="161" t="s">
        <v>751</v>
      </c>
      <c r="E184" s="161" t="s">
        <v>752</v>
      </c>
      <c r="F184" s="165">
        <v>1270</v>
      </c>
      <c r="G184" s="164">
        <v>1000</v>
      </c>
      <c r="H184" s="161" t="s">
        <v>753</v>
      </c>
      <c r="I184" s="162" t="s">
        <v>986</v>
      </c>
      <c r="J184" s="162" t="s">
        <v>987</v>
      </c>
      <c r="K184" s="162" t="s">
        <v>987</v>
      </c>
    </row>
    <row r="185" spans="1:11">
      <c r="A185" s="161" t="s">
        <v>437</v>
      </c>
      <c r="B185" s="162" t="s">
        <v>438</v>
      </c>
      <c r="C185" s="162" t="s">
        <v>424</v>
      </c>
      <c r="D185" s="161" t="s">
        <v>751</v>
      </c>
      <c r="E185" s="161" t="s">
        <v>752</v>
      </c>
      <c r="F185" s="165">
        <v>550</v>
      </c>
      <c r="G185" s="164">
        <v>1000</v>
      </c>
      <c r="H185" s="161" t="s">
        <v>753</v>
      </c>
      <c r="I185" s="162" t="s">
        <v>986</v>
      </c>
      <c r="J185" s="162" t="s">
        <v>987</v>
      </c>
      <c r="K185" s="162" t="s">
        <v>987</v>
      </c>
    </row>
    <row r="186" spans="1:11">
      <c r="A186" s="161" t="s">
        <v>439</v>
      </c>
      <c r="B186" s="162" t="s">
        <v>440</v>
      </c>
      <c r="C186" s="162" t="s">
        <v>424</v>
      </c>
      <c r="D186" s="161" t="s">
        <v>751</v>
      </c>
      <c r="E186" s="161" t="s">
        <v>752</v>
      </c>
      <c r="F186" s="165">
        <v>550</v>
      </c>
      <c r="G186" s="164">
        <v>1000</v>
      </c>
      <c r="H186" s="161" t="s">
        <v>753</v>
      </c>
      <c r="I186" s="162" t="s">
        <v>986</v>
      </c>
      <c r="J186" s="162" t="s">
        <v>987</v>
      </c>
      <c r="K186" s="162" t="s">
        <v>987</v>
      </c>
    </row>
    <row r="187" spans="1:11">
      <c r="A187" s="161" t="s">
        <v>441</v>
      </c>
      <c r="B187" s="162" t="s">
        <v>442</v>
      </c>
      <c r="C187" s="162" t="s">
        <v>424</v>
      </c>
      <c r="D187" s="161" t="s">
        <v>751</v>
      </c>
      <c r="E187" s="161" t="s">
        <v>752</v>
      </c>
      <c r="F187" s="165">
        <v>720</v>
      </c>
      <c r="G187" s="164">
        <v>1000</v>
      </c>
      <c r="H187" s="161" t="s">
        <v>753</v>
      </c>
      <c r="I187" s="162" t="s">
        <v>986</v>
      </c>
      <c r="J187" s="162" t="s">
        <v>987</v>
      </c>
      <c r="K187" s="162" t="s">
        <v>987</v>
      </c>
    </row>
    <row r="188" spans="1:11">
      <c r="A188" s="161" t="s">
        <v>443</v>
      </c>
      <c r="B188" s="162" t="s">
        <v>444</v>
      </c>
      <c r="C188" s="162" t="s">
        <v>424</v>
      </c>
      <c r="D188" s="161" t="s">
        <v>751</v>
      </c>
      <c r="E188" s="161" t="s">
        <v>752</v>
      </c>
      <c r="F188" s="165">
        <v>720</v>
      </c>
      <c r="G188" s="164">
        <v>1000</v>
      </c>
      <c r="H188" s="161" t="s">
        <v>753</v>
      </c>
      <c r="I188" s="162" t="s">
        <v>986</v>
      </c>
      <c r="J188" s="162" t="s">
        <v>987</v>
      </c>
      <c r="K188" s="162" t="s">
        <v>987</v>
      </c>
    </row>
    <row r="189" spans="1:11">
      <c r="A189" s="161" t="s">
        <v>445</v>
      </c>
      <c r="B189" s="162" t="s">
        <v>446</v>
      </c>
      <c r="C189" s="162" t="s">
        <v>856</v>
      </c>
      <c r="D189" s="161" t="s">
        <v>751</v>
      </c>
      <c r="E189" s="161" t="s">
        <v>752</v>
      </c>
      <c r="F189" s="165">
        <v>1470</v>
      </c>
      <c r="G189" s="164">
        <v>1000</v>
      </c>
      <c r="H189" s="161" t="s">
        <v>753</v>
      </c>
      <c r="I189" s="162" t="s">
        <v>986</v>
      </c>
      <c r="J189" s="162" t="s">
        <v>987</v>
      </c>
      <c r="K189" s="162" t="s">
        <v>987</v>
      </c>
    </row>
    <row r="190" spans="1:11">
      <c r="A190" s="161" t="s">
        <v>447</v>
      </c>
      <c r="B190" s="162" t="s">
        <v>448</v>
      </c>
      <c r="C190" s="162" t="s">
        <v>424</v>
      </c>
      <c r="D190" s="161" t="s">
        <v>751</v>
      </c>
      <c r="E190" s="161" t="s">
        <v>752</v>
      </c>
      <c r="F190" s="165">
        <v>1500</v>
      </c>
      <c r="G190" s="164">
        <v>1000</v>
      </c>
      <c r="H190" s="161" t="s">
        <v>753</v>
      </c>
      <c r="I190" s="162" t="s">
        <v>986</v>
      </c>
      <c r="J190" s="162" t="s">
        <v>987</v>
      </c>
      <c r="K190" s="162" t="s">
        <v>987</v>
      </c>
    </row>
    <row r="191" spans="1:11">
      <c r="A191" s="161" t="s">
        <v>449</v>
      </c>
      <c r="B191" s="162" t="s">
        <v>450</v>
      </c>
      <c r="C191" s="162" t="s">
        <v>424</v>
      </c>
      <c r="D191" s="161" t="s">
        <v>751</v>
      </c>
      <c r="E191" s="161" t="s">
        <v>752</v>
      </c>
      <c r="F191" s="165">
        <v>1500</v>
      </c>
      <c r="G191" s="164">
        <v>1000</v>
      </c>
      <c r="H191" s="161" t="s">
        <v>753</v>
      </c>
      <c r="I191" s="162" t="s">
        <v>986</v>
      </c>
      <c r="J191" s="162" t="s">
        <v>987</v>
      </c>
      <c r="K191" s="162" t="s">
        <v>987</v>
      </c>
    </row>
    <row r="192" spans="1:11">
      <c r="A192" s="161" t="s">
        <v>451</v>
      </c>
      <c r="B192" s="162" t="s">
        <v>452</v>
      </c>
      <c r="C192" s="162" t="s">
        <v>424</v>
      </c>
      <c r="D192" s="161" t="s">
        <v>751</v>
      </c>
      <c r="E192" s="161" t="s">
        <v>752</v>
      </c>
      <c r="F192" s="165">
        <v>1200</v>
      </c>
      <c r="G192" s="164">
        <v>1</v>
      </c>
      <c r="H192" s="161" t="s">
        <v>752</v>
      </c>
      <c r="I192" s="162" t="s">
        <v>986</v>
      </c>
      <c r="J192" s="162" t="s">
        <v>840</v>
      </c>
      <c r="K192" s="162" t="s">
        <v>840</v>
      </c>
    </row>
    <row r="193" spans="1:11">
      <c r="A193" s="161" t="s">
        <v>1338</v>
      </c>
      <c r="B193" s="162" t="s">
        <v>1339</v>
      </c>
      <c r="C193" s="162" t="s">
        <v>424</v>
      </c>
      <c r="D193" s="161" t="s">
        <v>751</v>
      </c>
      <c r="E193" s="161" t="s">
        <v>752</v>
      </c>
      <c r="F193" s="165">
        <v>1100</v>
      </c>
      <c r="G193" s="164">
        <v>1000</v>
      </c>
      <c r="H193" s="161" t="s">
        <v>753</v>
      </c>
      <c r="I193" s="162" t="s">
        <v>986</v>
      </c>
      <c r="J193" s="162" t="s">
        <v>987</v>
      </c>
      <c r="K193" s="162" t="s">
        <v>987</v>
      </c>
    </row>
    <row r="194" spans="1:11">
      <c r="A194" s="161" t="s">
        <v>1340</v>
      </c>
      <c r="B194" s="162" t="s">
        <v>1341</v>
      </c>
      <c r="C194" s="162" t="s">
        <v>424</v>
      </c>
      <c r="D194" s="161" t="s">
        <v>751</v>
      </c>
      <c r="E194" s="161" t="s">
        <v>752</v>
      </c>
      <c r="F194" s="165">
        <v>530</v>
      </c>
      <c r="G194" s="164">
        <v>1000</v>
      </c>
      <c r="H194" s="161" t="s">
        <v>753</v>
      </c>
      <c r="I194" s="162" t="s">
        <v>986</v>
      </c>
      <c r="J194" s="162" t="s">
        <v>987</v>
      </c>
      <c r="K194" s="162" t="s">
        <v>987</v>
      </c>
    </row>
    <row r="195" spans="1:11">
      <c r="A195" s="161" t="s">
        <v>1342</v>
      </c>
      <c r="B195" s="162" t="s">
        <v>1343</v>
      </c>
      <c r="C195" s="162" t="s">
        <v>424</v>
      </c>
      <c r="D195" s="161" t="s">
        <v>751</v>
      </c>
      <c r="E195" s="161" t="s">
        <v>752</v>
      </c>
      <c r="F195" s="165">
        <v>1430</v>
      </c>
      <c r="G195" s="164">
        <v>1000</v>
      </c>
      <c r="H195" s="161" t="s">
        <v>753</v>
      </c>
      <c r="I195" s="162" t="s">
        <v>986</v>
      </c>
      <c r="J195" s="162" t="s">
        <v>987</v>
      </c>
      <c r="K195" s="162" t="s">
        <v>987</v>
      </c>
    </row>
    <row r="196" spans="1:11">
      <c r="A196" s="161" t="s">
        <v>1344</v>
      </c>
      <c r="B196" s="162" t="s">
        <v>1345</v>
      </c>
      <c r="C196" s="162" t="s">
        <v>856</v>
      </c>
      <c r="D196" s="161" t="s">
        <v>751</v>
      </c>
      <c r="E196" s="161" t="s">
        <v>752</v>
      </c>
      <c r="F196" s="165">
        <v>810</v>
      </c>
      <c r="G196" s="164">
        <v>1000</v>
      </c>
      <c r="H196" s="161" t="s">
        <v>753</v>
      </c>
      <c r="I196" s="162" t="s">
        <v>986</v>
      </c>
      <c r="J196" s="162" t="s">
        <v>987</v>
      </c>
      <c r="K196" s="162" t="s">
        <v>987</v>
      </c>
    </row>
    <row r="197" spans="1:11">
      <c r="A197" s="161" t="s">
        <v>1346</v>
      </c>
      <c r="B197" s="162" t="s">
        <v>1347</v>
      </c>
      <c r="C197" s="162" t="s">
        <v>424</v>
      </c>
      <c r="D197" s="161" t="s">
        <v>751</v>
      </c>
      <c r="E197" s="161" t="s">
        <v>752</v>
      </c>
      <c r="F197" s="165">
        <v>660</v>
      </c>
      <c r="G197" s="164">
        <v>1000</v>
      </c>
      <c r="H197" s="161" t="s">
        <v>753</v>
      </c>
      <c r="I197" s="162" t="s">
        <v>986</v>
      </c>
      <c r="J197" s="162" t="s">
        <v>987</v>
      </c>
      <c r="K197" s="162" t="s">
        <v>987</v>
      </c>
    </row>
    <row r="198" spans="1:11">
      <c r="A198" s="161" t="s">
        <v>1348</v>
      </c>
      <c r="B198" s="162" t="s">
        <v>1349</v>
      </c>
      <c r="C198" s="162" t="s">
        <v>424</v>
      </c>
      <c r="D198" s="161" t="s">
        <v>751</v>
      </c>
      <c r="E198" s="161" t="s">
        <v>752</v>
      </c>
      <c r="F198" s="165">
        <v>970</v>
      </c>
      <c r="G198" s="164">
        <v>1000</v>
      </c>
      <c r="H198" s="161" t="s">
        <v>753</v>
      </c>
      <c r="I198" s="162" t="s">
        <v>986</v>
      </c>
      <c r="J198" s="162" t="s">
        <v>987</v>
      </c>
      <c r="K198" s="162" t="s">
        <v>987</v>
      </c>
    </row>
    <row r="199" spans="1:11">
      <c r="A199" s="161" t="s">
        <v>1350</v>
      </c>
      <c r="B199" s="162" t="s">
        <v>1351</v>
      </c>
      <c r="C199" s="162" t="s">
        <v>424</v>
      </c>
      <c r="D199" s="161" t="s">
        <v>751</v>
      </c>
      <c r="E199" s="161" t="s">
        <v>752</v>
      </c>
      <c r="F199" s="165">
        <v>1050</v>
      </c>
      <c r="G199" s="164">
        <v>1000</v>
      </c>
      <c r="H199" s="161" t="s">
        <v>753</v>
      </c>
      <c r="I199" s="162" t="s">
        <v>986</v>
      </c>
      <c r="J199" s="162" t="s">
        <v>987</v>
      </c>
      <c r="K199" s="162" t="s">
        <v>987</v>
      </c>
    </row>
    <row r="200" spans="1:11">
      <c r="A200" s="161" t="s">
        <v>1352</v>
      </c>
      <c r="B200" s="162" t="s">
        <v>1353</v>
      </c>
      <c r="C200" s="162" t="s">
        <v>424</v>
      </c>
      <c r="D200" s="161" t="s">
        <v>751</v>
      </c>
      <c r="E200" s="161" t="s">
        <v>752</v>
      </c>
      <c r="F200" s="165">
        <v>1400</v>
      </c>
      <c r="G200" s="164">
        <v>1000</v>
      </c>
      <c r="H200" s="161" t="s">
        <v>753</v>
      </c>
      <c r="I200" s="162" t="s">
        <v>986</v>
      </c>
      <c r="J200" s="162" t="s">
        <v>987</v>
      </c>
      <c r="K200" s="162" t="s">
        <v>987</v>
      </c>
    </row>
    <row r="201" spans="1:11">
      <c r="A201" s="161" t="s">
        <v>1354</v>
      </c>
      <c r="B201" s="162" t="s">
        <v>1355</v>
      </c>
      <c r="C201" s="162" t="s">
        <v>424</v>
      </c>
      <c r="D201" s="161" t="s">
        <v>751</v>
      </c>
      <c r="E201" s="161" t="s">
        <v>752</v>
      </c>
      <c r="F201" s="165">
        <v>1400</v>
      </c>
      <c r="G201" s="164">
        <v>1000</v>
      </c>
      <c r="H201" s="161" t="s">
        <v>753</v>
      </c>
      <c r="I201" s="162" t="s">
        <v>986</v>
      </c>
      <c r="J201" s="162" t="s">
        <v>987</v>
      </c>
      <c r="K201" s="162" t="s">
        <v>987</v>
      </c>
    </row>
    <row r="202" spans="1:11">
      <c r="A202" s="161" t="s">
        <v>1356</v>
      </c>
      <c r="B202" s="162" t="s">
        <v>1357</v>
      </c>
      <c r="C202" s="162" t="s">
        <v>424</v>
      </c>
      <c r="D202" s="161" t="s">
        <v>751</v>
      </c>
      <c r="E202" s="161" t="s">
        <v>752</v>
      </c>
      <c r="F202" s="165">
        <v>595</v>
      </c>
      <c r="G202" s="164">
        <v>1000</v>
      </c>
      <c r="H202" s="161" t="s">
        <v>753</v>
      </c>
      <c r="I202" s="162" t="s">
        <v>986</v>
      </c>
      <c r="J202" s="162" t="s">
        <v>987</v>
      </c>
      <c r="K202" s="162" t="s">
        <v>987</v>
      </c>
    </row>
    <row r="203" spans="1:11">
      <c r="A203" s="161" t="s">
        <v>1358</v>
      </c>
      <c r="B203" s="162" t="s">
        <v>1359</v>
      </c>
      <c r="C203" s="162" t="s">
        <v>424</v>
      </c>
      <c r="D203" s="161" t="s">
        <v>751</v>
      </c>
      <c r="E203" s="161" t="s">
        <v>752</v>
      </c>
      <c r="F203" s="165">
        <v>530</v>
      </c>
      <c r="G203" s="164">
        <v>1000</v>
      </c>
      <c r="H203" s="161" t="s">
        <v>753</v>
      </c>
      <c r="I203" s="162" t="s">
        <v>986</v>
      </c>
      <c r="J203" s="162" t="s">
        <v>987</v>
      </c>
      <c r="K203" s="162" t="s">
        <v>987</v>
      </c>
    </row>
    <row r="204" spans="1:11">
      <c r="A204" s="161" t="s">
        <v>1360</v>
      </c>
      <c r="B204" s="162" t="s">
        <v>1361</v>
      </c>
      <c r="C204" s="162" t="s">
        <v>424</v>
      </c>
      <c r="D204" s="161" t="s">
        <v>751</v>
      </c>
      <c r="E204" s="161" t="s">
        <v>752</v>
      </c>
      <c r="F204" s="165">
        <v>1200</v>
      </c>
      <c r="G204" s="164">
        <v>1000</v>
      </c>
      <c r="H204" s="161" t="s">
        <v>753</v>
      </c>
      <c r="I204" s="162" t="s">
        <v>986</v>
      </c>
      <c r="J204" s="162" t="s">
        <v>987</v>
      </c>
      <c r="K204" s="162" t="s">
        <v>987</v>
      </c>
    </row>
    <row r="205" spans="1:11">
      <c r="A205" s="161" t="s">
        <v>1362</v>
      </c>
      <c r="B205" s="162" t="s">
        <v>1363</v>
      </c>
      <c r="C205" s="162" t="s">
        <v>424</v>
      </c>
      <c r="D205" s="161" t="s">
        <v>751</v>
      </c>
      <c r="E205" s="161" t="s">
        <v>752</v>
      </c>
      <c r="F205" s="165">
        <v>1175</v>
      </c>
      <c r="G205" s="164">
        <v>1000</v>
      </c>
      <c r="H205" s="161" t="s">
        <v>753</v>
      </c>
      <c r="I205" s="162" t="s">
        <v>986</v>
      </c>
      <c r="J205" s="162" t="s">
        <v>987</v>
      </c>
      <c r="K205" s="162" t="s">
        <v>987</v>
      </c>
    </row>
    <row r="206" spans="1:11">
      <c r="A206" s="161" t="s">
        <v>1364</v>
      </c>
      <c r="B206" s="162" t="s">
        <v>1365</v>
      </c>
      <c r="C206" s="162" t="s">
        <v>856</v>
      </c>
      <c r="D206" s="161" t="s">
        <v>751</v>
      </c>
      <c r="E206" s="161" t="s">
        <v>752</v>
      </c>
      <c r="F206" s="165">
        <v>1445</v>
      </c>
      <c r="G206" s="164">
        <v>1000</v>
      </c>
      <c r="H206" s="161" t="s">
        <v>753</v>
      </c>
      <c r="I206" s="162" t="s">
        <v>986</v>
      </c>
      <c r="J206" s="162" t="s">
        <v>987</v>
      </c>
      <c r="K206" s="162" t="s">
        <v>987</v>
      </c>
    </row>
    <row r="207" spans="1:11">
      <c r="A207" s="161" t="s">
        <v>1366</v>
      </c>
      <c r="B207" s="162" t="s">
        <v>1367</v>
      </c>
      <c r="C207" s="162" t="s">
        <v>28</v>
      </c>
      <c r="D207" s="161" t="s">
        <v>751</v>
      </c>
      <c r="E207" s="161" t="s">
        <v>752</v>
      </c>
      <c r="F207" s="165">
        <v>3050</v>
      </c>
      <c r="G207" s="164">
        <v>1000</v>
      </c>
      <c r="H207" s="161" t="s">
        <v>753</v>
      </c>
      <c r="I207" s="162" t="s">
        <v>986</v>
      </c>
      <c r="J207" s="162" t="s">
        <v>987</v>
      </c>
      <c r="K207" s="162" t="s">
        <v>987</v>
      </c>
    </row>
  </sheetData>
  <autoFilter ref="A1:K1" xr:uid="{00000000-0009-0000-0000-000005000000}"/>
  <phoneticPr fontId="2"/>
  <pageMargins left="0.75" right="0.75" top="1" bottom="1" header="0.51200000000000001" footer="0.5120000000000000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1">
    <pageSetUpPr fitToPage="1"/>
  </sheetPr>
  <dimension ref="A1:L265"/>
  <sheetViews>
    <sheetView topLeftCell="A19" zoomScaleNormal="100" zoomScaleSheetLayoutView="100" workbookViewId="0">
      <selection activeCell="F121" sqref="F121"/>
    </sheetView>
  </sheetViews>
  <sheetFormatPr defaultRowHeight="13.5"/>
  <cols>
    <col min="1" max="1" width="1.875" style="2" customWidth="1"/>
    <col min="2" max="2" width="2.25" style="2" customWidth="1"/>
    <col min="3" max="4" width="10.25" style="2" customWidth="1"/>
    <col min="5" max="5" width="9.875" style="2" customWidth="1"/>
    <col min="6" max="6" width="10.5" style="2" bestFit="1" customWidth="1"/>
    <col min="7" max="7" width="9.75" style="2" bestFit="1" customWidth="1"/>
    <col min="8" max="8" width="9.75" style="2" customWidth="1"/>
    <col min="9" max="9" width="9.125" style="2" customWidth="1"/>
    <col min="10" max="10" width="9.25" bestFit="1" customWidth="1"/>
    <col min="11" max="11" width="9.25" customWidth="1"/>
    <col min="12" max="12" width="9.125" bestFit="1" customWidth="1"/>
    <col min="13" max="13" width="1.625" customWidth="1"/>
  </cols>
  <sheetData>
    <row r="1" spans="1:10" ht="17.25">
      <c r="A1" s="1" t="s">
        <v>68</v>
      </c>
      <c r="B1" s="1"/>
    </row>
    <row r="2" spans="1:10" ht="17.25">
      <c r="B2" s="1" t="s">
        <v>69</v>
      </c>
      <c r="J2" s="2"/>
    </row>
    <row r="3" spans="1:10">
      <c r="C3" s="1303" t="s">
        <v>70</v>
      </c>
      <c r="D3" s="1304"/>
      <c r="E3" s="3" t="s">
        <v>71</v>
      </c>
      <c r="F3" s="3" t="s">
        <v>72</v>
      </c>
      <c r="G3" s="3" t="s">
        <v>73</v>
      </c>
      <c r="H3" s="3" t="s">
        <v>74</v>
      </c>
      <c r="I3" s="3" t="s">
        <v>75</v>
      </c>
    </row>
    <row r="4" spans="1:10">
      <c r="C4" s="4" t="s">
        <v>76</v>
      </c>
      <c r="D4" s="5"/>
      <c r="E4" s="6" t="s">
        <v>77</v>
      </c>
      <c r="F4" s="7">
        <v>1.21</v>
      </c>
      <c r="G4" s="7">
        <v>2225.9</v>
      </c>
      <c r="H4" s="7">
        <v>6900</v>
      </c>
      <c r="I4" s="8" t="s">
        <v>78</v>
      </c>
    </row>
    <row r="5" spans="1:10">
      <c r="C5" s="4" t="s">
        <v>79</v>
      </c>
      <c r="D5" s="5"/>
      <c r="E5" s="6" t="s">
        <v>80</v>
      </c>
      <c r="F5" s="7">
        <v>1.21</v>
      </c>
      <c r="G5" s="7">
        <v>2225.9</v>
      </c>
      <c r="H5" s="7">
        <v>890.1</v>
      </c>
      <c r="I5" s="8" t="s">
        <v>78</v>
      </c>
      <c r="J5" s="9"/>
    </row>
    <row r="6" spans="1:10">
      <c r="C6" s="4" t="s">
        <v>81</v>
      </c>
      <c r="D6" s="5"/>
      <c r="E6" s="6" t="s">
        <v>82</v>
      </c>
      <c r="F6" s="7">
        <v>1.21</v>
      </c>
      <c r="G6" s="7">
        <v>2225.9</v>
      </c>
      <c r="H6" s="7">
        <v>0</v>
      </c>
      <c r="I6" s="8" t="s">
        <v>78</v>
      </c>
      <c r="J6" s="9" t="s">
        <v>83</v>
      </c>
    </row>
    <row r="7" spans="1:10">
      <c r="C7" s="4" t="s">
        <v>84</v>
      </c>
      <c r="D7" s="5"/>
      <c r="E7" s="6" t="s">
        <v>85</v>
      </c>
      <c r="F7" s="7">
        <v>1.28</v>
      </c>
      <c r="G7" s="7">
        <v>2191.5</v>
      </c>
      <c r="H7" s="7">
        <v>2924.9</v>
      </c>
      <c r="I7" s="8" t="s">
        <v>86</v>
      </c>
      <c r="J7" s="9"/>
    </row>
    <row r="8" spans="1:10">
      <c r="C8" s="4" t="s">
        <v>87</v>
      </c>
      <c r="D8" s="5"/>
      <c r="E8" s="6" t="s">
        <v>88</v>
      </c>
      <c r="F8" s="7">
        <v>1.28</v>
      </c>
      <c r="G8" s="7">
        <v>2191.5</v>
      </c>
      <c r="H8" s="7">
        <v>856.1</v>
      </c>
      <c r="I8" s="8" t="s">
        <v>86</v>
      </c>
      <c r="J8" s="9"/>
    </row>
    <row r="9" spans="1:10">
      <c r="C9" s="4" t="s">
        <v>89</v>
      </c>
      <c r="D9" s="5"/>
      <c r="E9" s="6" t="s">
        <v>90</v>
      </c>
      <c r="F9" s="7">
        <v>1.28</v>
      </c>
      <c r="G9" s="7">
        <v>2191.5</v>
      </c>
      <c r="H9" s="7">
        <v>0</v>
      </c>
      <c r="I9" s="8" t="s">
        <v>86</v>
      </c>
      <c r="J9" s="9" t="s">
        <v>83</v>
      </c>
    </row>
    <row r="10" spans="1:10">
      <c r="C10" s="4" t="s">
        <v>91</v>
      </c>
      <c r="D10" s="5"/>
      <c r="E10" s="6" t="s">
        <v>92</v>
      </c>
      <c r="F10" s="7">
        <v>1.18</v>
      </c>
      <c r="G10" s="7">
        <v>2169.1999999999998</v>
      </c>
      <c r="H10" s="7">
        <v>1128.5</v>
      </c>
      <c r="I10" s="8" t="s">
        <v>93</v>
      </c>
      <c r="J10" s="9"/>
    </row>
    <row r="11" spans="1:10">
      <c r="C11" s="4" t="s">
        <v>94</v>
      </c>
      <c r="D11" s="5"/>
      <c r="E11" s="6" t="s">
        <v>95</v>
      </c>
      <c r="F11" s="7">
        <v>1.18</v>
      </c>
      <c r="G11" s="7">
        <v>2169.1999999999998</v>
      </c>
      <c r="H11" s="7">
        <v>0</v>
      </c>
      <c r="I11" s="8" t="s">
        <v>93</v>
      </c>
      <c r="J11" s="9" t="s">
        <v>83</v>
      </c>
    </row>
    <row r="12" spans="1:10">
      <c r="C12" s="4" t="s">
        <v>96</v>
      </c>
      <c r="D12" s="5"/>
      <c r="E12" s="6" t="s">
        <v>97</v>
      </c>
      <c r="F12" s="7">
        <v>1.7</v>
      </c>
      <c r="G12" s="7">
        <v>2228.9</v>
      </c>
      <c r="H12" s="7">
        <v>1083.7</v>
      </c>
      <c r="I12" s="8" t="s">
        <v>98</v>
      </c>
      <c r="J12" s="9"/>
    </row>
    <row r="13" spans="1:10">
      <c r="C13" s="4" t="s">
        <v>99</v>
      </c>
      <c r="D13" s="5"/>
      <c r="E13" s="6" t="s">
        <v>100</v>
      </c>
      <c r="F13" s="7">
        <v>1.7</v>
      </c>
      <c r="G13" s="7">
        <v>2228.9</v>
      </c>
      <c r="H13" s="7">
        <v>1083.7</v>
      </c>
      <c r="I13" s="8" t="s">
        <v>98</v>
      </c>
      <c r="J13" s="9"/>
    </row>
    <row r="14" spans="1:10">
      <c r="C14" s="4" t="s">
        <v>101</v>
      </c>
      <c r="D14" s="5"/>
      <c r="E14" s="6" t="s">
        <v>102</v>
      </c>
      <c r="F14" s="7">
        <v>1.7</v>
      </c>
      <c r="G14" s="7">
        <v>2228.9</v>
      </c>
      <c r="H14" s="7">
        <v>0</v>
      </c>
      <c r="I14" s="8" t="s">
        <v>98</v>
      </c>
      <c r="J14" s="9" t="s">
        <v>83</v>
      </c>
    </row>
    <row r="15" spans="1:10">
      <c r="C15" s="4" t="s">
        <v>103</v>
      </c>
      <c r="D15" s="5"/>
      <c r="E15" s="6" t="s">
        <v>104</v>
      </c>
      <c r="F15" s="7">
        <v>1.18</v>
      </c>
      <c r="G15" s="7">
        <v>2901.5</v>
      </c>
      <c r="H15" s="7">
        <v>2076.6999999999998</v>
      </c>
      <c r="I15" s="8" t="s">
        <v>105</v>
      </c>
      <c r="J15" s="9"/>
    </row>
    <row r="16" spans="1:10">
      <c r="C16" s="4" t="s">
        <v>106</v>
      </c>
      <c r="D16" s="5"/>
      <c r="E16" s="6" t="s">
        <v>107</v>
      </c>
      <c r="F16" s="7">
        <v>1.18</v>
      </c>
      <c r="G16" s="7">
        <v>2901.5</v>
      </c>
      <c r="H16" s="7">
        <v>0</v>
      </c>
      <c r="I16" s="8" t="s">
        <v>105</v>
      </c>
      <c r="J16" s="9" t="s">
        <v>83</v>
      </c>
    </row>
    <row r="17" spans="3:10">
      <c r="C17" s="4" t="s">
        <v>108</v>
      </c>
      <c r="D17" s="5"/>
      <c r="E17" s="6" t="s">
        <v>109</v>
      </c>
      <c r="F17" s="7">
        <v>1.22</v>
      </c>
      <c r="G17" s="7">
        <v>2726.7</v>
      </c>
      <c r="H17" s="7">
        <v>1268.5</v>
      </c>
      <c r="I17" s="8" t="s">
        <v>110</v>
      </c>
      <c r="J17" s="9"/>
    </row>
    <row r="18" spans="3:10">
      <c r="C18" s="4" t="s">
        <v>111</v>
      </c>
      <c r="D18" s="5"/>
      <c r="E18" s="6" t="s">
        <v>112</v>
      </c>
      <c r="F18" s="7">
        <v>1.22</v>
      </c>
      <c r="G18" s="7">
        <v>2726.7</v>
      </c>
      <c r="H18" s="7">
        <v>1450.2</v>
      </c>
      <c r="I18" s="8" t="s">
        <v>110</v>
      </c>
      <c r="J18" s="9"/>
    </row>
    <row r="19" spans="3:10">
      <c r="C19" s="4" t="s">
        <v>115</v>
      </c>
      <c r="D19" s="5"/>
      <c r="E19" s="6" t="s">
        <v>116</v>
      </c>
      <c r="F19" s="7">
        <v>1.1299999999999999</v>
      </c>
      <c r="G19" s="7">
        <v>2469.6999999999998</v>
      </c>
      <c r="H19" s="7">
        <v>5253.5</v>
      </c>
      <c r="I19" s="8" t="s">
        <v>117</v>
      </c>
      <c r="J19" s="9"/>
    </row>
    <row r="20" spans="3:10">
      <c r="C20" s="4" t="s">
        <v>118</v>
      </c>
      <c r="D20" s="5"/>
      <c r="E20" s="6" t="s">
        <v>119</v>
      </c>
      <c r="F20" s="7">
        <v>1.1299999999999999</v>
      </c>
      <c r="G20" s="7">
        <v>2469.6999999999998</v>
      </c>
      <c r="H20" s="7">
        <v>3855.9</v>
      </c>
      <c r="I20" s="8" t="s">
        <v>117</v>
      </c>
      <c r="J20" s="9"/>
    </row>
    <row r="21" spans="3:10">
      <c r="C21" s="4" t="s">
        <v>120</v>
      </c>
      <c r="D21" s="5"/>
      <c r="E21" s="6" t="s">
        <v>121</v>
      </c>
      <c r="F21" s="7">
        <v>1.1299999999999999</v>
      </c>
      <c r="G21" s="7">
        <v>2469.6999999999998</v>
      </c>
      <c r="H21" s="7">
        <v>1850</v>
      </c>
      <c r="I21" s="8" t="s">
        <v>117</v>
      </c>
      <c r="J21" s="9"/>
    </row>
    <row r="22" spans="3:10">
      <c r="C22" s="4" t="s">
        <v>122</v>
      </c>
      <c r="D22" s="5"/>
      <c r="E22" s="6" t="s">
        <v>123</v>
      </c>
      <c r="F22" s="7">
        <v>1.1299999999999999</v>
      </c>
      <c r="G22" s="7">
        <v>1908.5</v>
      </c>
      <c r="H22" s="7">
        <v>2360.6</v>
      </c>
      <c r="I22" s="8" t="s">
        <v>124</v>
      </c>
      <c r="J22" s="9"/>
    </row>
    <row r="23" spans="3:10">
      <c r="C23" s="4" t="s">
        <v>125</v>
      </c>
      <c r="D23" s="5"/>
      <c r="E23" s="6" t="s">
        <v>126</v>
      </c>
      <c r="F23" s="7">
        <v>1.1299999999999999</v>
      </c>
      <c r="G23" s="7">
        <v>1908.5</v>
      </c>
      <c r="H23" s="7">
        <v>362.6</v>
      </c>
      <c r="I23" s="8" t="s">
        <v>124</v>
      </c>
      <c r="J23" s="9"/>
    </row>
    <row r="24" spans="3:10">
      <c r="C24" s="4" t="s">
        <v>127</v>
      </c>
      <c r="D24" s="5"/>
      <c r="E24" s="6" t="s">
        <v>128</v>
      </c>
      <c r="F24" s="7">
        <v>1.1299999999999999</v>
      </c>
      <c r="G24" s="7">
        <v>1908.5</v>
      </c>
      <c r="H24" s="7">
        <v>0</v>
      </c>
      <c r="I24" s="8" t="s">
        <v>124</v>
      </c>
      <c r="J24" s="9" t="s">
        <v>83</v>
      </c>
    </row>
    <row r="25" spans="3:10">
      <c r="C25" s="4" t="s">
        <v>129</v>
      </c>
      <c r="D25" s="5"/>
      <c r="E25" s="6" t="s">
        <v>130</v>
      </c>
      <c r="F25" s="7">
        <v>1.1399999999999999</v>
      </c>
      <c r="G25" s="7">
        <v>2397.9</v>
      </c>
      <c r="H25" s="7">
        <v>921.9</v>
      </c>
      <c r="I25" s="8" t="s">
        <v>131</v>
      </c>
      <c r="J25" s="9"/>
    </row>
    <row r="26" spans="3:10">
      <c r="C26" s="4" t="s">
        <v>132</v>
      </c>
      <c r="D26" s="5"/>
      <c r="E26" s="6" t="s">
        <v>133</v>
      </c>
      <c r="F26" s="7">
        <v>1.1399999999999999</v>
      </c>
      <c r="G26" s="7">
        <v>2397.9</v>
      </c>
      <c r="H26" s="7">
        <v>1549</v>
      </c>
      <c r="I26" s="8" t="s">
        <v>131</v>
      </c>
      <c r="J26" s="9"/>
    </row>
    <row r="27" spans="3:10">
      <c r="C27" s="4" t="s">
        <v>134</v>
      </c>
      <c r="D27" s="5"/>
      <c r="E27" s="6" t="s">
        <v>135</v>
      </c>
      <c r="F27" s="7">
        <v>1.1399999999999999</v>
      </c>
      <c r="G27" s="7">
        <v>2397.9</v>
      </c>
      <c r="H27" s="7">
        <v>296.8</v>
      </c>
      <c r="I27" s="8" t="s">
        <v>131</v>
      </c>
      <c r="J27" s="9"/>
    </row>
    <row r="28" spans="3:10">
      <c r="C28" s="4" t="s">
        <v>136</v>
      </c>
      <c r="D28" s="5"/>
      <c r="E28" s="6" t="s">
        <v>137</v>
      </c>
      <c r="F28" s="7">
        <v>1.1399999999999999</v>
      </c>
      <c r="G28" s="7">
        <v>2397.9</v>
      </c>
      <c r="H28" s="7">
        <v>0</v>
      </c>
      <c r="I28" s="8" t="s">
        <v>131</v>
      </c>
      <c r="J28" s="9" t="s">
        <v>83</v>
      </c>
    </row>
    <row r="29" spans="3:10">
      <c r="C29" s="4" t="s">
        <v>138</v>
      </c>
      <c r="D29" s="5"/>
      <c r="E29" s="6" t="s">
        <v>139</v>
      </c>
      <c r="F29" s="7">
        <v>1.17</v>
      </c>
      <c r="G29" s="7">
        <v>1934.4</v>
      </c>
      <c r="H29" s="7">
        <v>1211.2</v>
      </c>
      <c r="I29" s="8" t="s">
        <v>140</v>
      </c>
      <c r="J29" s="9"/>
    </row>
    <row r="30" spans="3:10">
      <c r="C30" s="4" t="s">
        <v>141</v>
      </c>
      <c r="D30" s="5"/>
      <c r="E30" s="6" t="s">
        <v>142</v>
      </c>
      <c r="F30" s="7">
        <v>1</v>
      </c>
      <c r="G30" s="7">
        <v>0</v>
      </c>
      <c r="H30" s="7">
        <v>1793.3</v>
      </c>
      <c r="I30" s="10" t="s">
        <v>143</v>
      </c>
    </row>
    <row r="31" spans="3:10">
      <c r="C31" s="4" t="s">
        <v>144</v>
      </c>
      <c r="D31" s="5"/>
      <c r="E31" s="6" t="s">
        <v>145</v>
      </c>
      <c r="F31" s="7">
        <v>1</v>
      </c>
      <c r="G31" s="7">
        <v>0</v>
      </c>
      <c r="H31" s="7">
        <v>1636.6</v>
      </c>
      <c r="I31" s="10" t="s">
        <v>146</v>
      </c>
      <c r="J31" s="9" t="s">
        <v>147</v>
      </c>
    </row>
    <row r="32" spans="3:10">
      <c r="C32" s="11" t="s">
        <v>148</v>
      </c>
      <c r="D32" s="12"/>
      <c r="E32" s="13" t="s">
        <v>149</v>
      </c>
      <c r="F32" s="14">
        <v>1</v>
      </c>
      <c r="G32" s="14">
        <v>0</v>
      </c>
      <c r="H32" s="14">
        <v>2662.2</v>
      </c>
      <c r="I32" s="15" t="s">
        <v>150</v>
      </c>
      <c r="J32" s="9" t="s">
        <v>151</v>
      </c>
    </row>
    <row r="33" spans="2:11" ht="6.75" customHeight="1">
      <c r="C33" s="16"/>
      <c r="D33" s="16"/>
    </row>
    <row r="34" spans="2:11" ht="17.25">
      <c r="B34" s="1" t="s">
        <v>344</v>
      </c>
    </row>
    <row r="35" spans="2:11" ht="9.75" customHeight="1">
      <c r="C35" s="1"/>
      <c r="D35" s="1"/>
    </row>
    <row r="36" spans="2:11">
      <c r="C36" s="17" t="s">
        <v>152</v>
      </c>
      <c r="D36" s="17"/>
    </row>
    <row r="37" spans="2:11" s="18" customFormat="1">
      <c r="C37" s="19"/>
      <c r="D37" s="19"/>
      <c r="E37" s="20" t="s">
        <v>153</v>
      </c>
      <c r="F37" s="20" t="s">
        <v>154</v>
      </c>
      <c r="G37" s="20" t="s">
        <v>155</v>
      </c>
      <c r="H37" s="20" t="s">
        <v>156</v>
      </c>
      <c r="I37" s="20" t="s">
        <v>831</v>
      </c>
      <c r="J37" s="20" t="s">
        <v>832</v>
      </c>
      <c r="K37" s="20" t="s">
        <v>833</v>
      </c>
    </row>
    <row r="38" spans="2:11" s="18" customFormat="1" ht="14.25">
      <c r="C38" s="1305" t="s">
        <v>345</v>
      </c>
      <c r="D38" s="1306"/>
      <c r="E38" s="21">
        <v>0.12048982287232098</v>
      </c>
      <c r="F38" s="21">
        <v>0.11182968230510132</v>
      </c>
      <c r="G38" s="21">
        <v>0.14694502293313305</v>
      </c>
      <c r="H38" s="21">
        <v>0.1174012673881893</v>
      </c>
      <c r="I38" s="21">
        <v>0.12043096627391624</v>
      </c>
      <c r="J38" s="21">
        <v>7.4429750286077873E-2</v>
      </c>
      <c r="K38" s="21">
        <v>0.16410438616547263</v>
      </c>
    </row>
    <row r="39" spans="2:11" s="18" customFormat="1" ht="14.25">
      <c r="C39" s="1305" t="s">
        <v>346</v>
      </c>
      <c r="D39" s="1306"/>
      <c r="E39" s="21">
        <v>9.11565343753626E-2</v>
      </c>
      <c r="F39" s="21">
        <v>0.108644802660396</v>
      </c>
      <c r="G39" s="21">
        <v>0.150142591778095</v>
      </c>
      <c r="H39" s="21">
        <v>9.5504871095251645E-2</v>
      </c>
      <c r="I39" s="21">
        <v>8.3369917061363027E-2</v>
      </c>
      <c r="J39" s="21">
        <v>6.598526173192458E-2</v>
      </c>
      <c r="K39" s="21">
        <v>0.14690258776850909</v>
      </c>
    </row>
    <row r="40" spans="2:11" s="18" customFormat="1" ht="14.25">
      <c r="C40" s="1305" t="s">
        <v>347</v>
      </c>
      <c r="D40" s="1306"/>
      <c r="E40" s="21">
        <v>2.8491942738469401E-3</v>
      </c>
      <c r="F40" s="21">
        <v>2.8491942738469393E-3</v>
      </c>
      <c r="G40" s="21">
        <v>2.8491942738469393E-3</v>
      </c>
      <c r="H40" s="21">
        <v>2.8491942738469393E-3</v>
      </c>
      <c r="I40" s="21">
        <v>2.8491942738469393E-3</v>
      </c>
      <c r="J40" s="21">
        <v>2.8491942738469393E-3</v>
      </c>
      <c r="K40" s="21">
        <v>2.8491942738469393E-3</v>
      </c>
    </row>
    <row r="41" spans="2:11" s="18" customFormat="1">
      <c r="C41" s="19"/>
      <c r="D41" s="19"/>
      <c r="E41" s="22">
        <f t="shared" ref="E41:K41" si="0">SUM(E38:E40)</f>
        <v>0.21449555152153052</v>
      </c>
      <c r="F41" s="22">
        <f t="shared" si="0"/>
        <v>0.22332367923934426</v>
      </c>
      <c r="G41" s="22">
        <f t="shared" si="0"/>
        <v>0.29993680898507497</v>
      </c>
      <c r="H41" s="22">
        <f t="shared" si="0"/>
        <v>0.21575533275728789</v>
      </c>
      <c r="I41" s="22">
        <f t="shared" si="0"/>
        <v>0.20665007760912621</v>
      </c>
      <c r="J41" s="22">
        <f t="shared" si="0"/>
        <v>0.14326420629184938</v>
      </c>
      <c r="K41" s="22">
        <f t="shared" si="0"/>
        <v>0.31385616820782863</v>
      </c>
    </row>
    <row r="42" spans="2:11">
      <c r="E42" t="s">
        <v>157</v>
      </c>
      <c r="I42" s="2" t="s">
        <v>158</v>
      </c>
      <c r="K42" s="23"/>
    </row>
    <row r="43" spans="2:11">
      <c r="C43" s="24" t="s">
        <v>159</v>
      </c>
      <c r="D43" s="24"/>
      <c r="E43"/>
      <c r="K43" s="23"/>
    </row>
    <row r="44" spans="2:11" ht="8.25" customHeight="1">
      <c r="C44" s="25"/>
      <c r="D44" s="25"/>
      <c r="E44" s="26"/>
    </row>
    <row r="45" spans="2:11" ht="14.25">
      <c r="C45" s="1305" t="s">
        <v>160</v>
      </c>
      <c r="D45" s="1306"/>
      <c r="E45" s="2" t="s">
        <v>161</v>
      </c>
      <c r="I45" s="27"/>
    </row>
    <row r="46" spans="2:11">
      <c r="C46"/>
      <c r="D46"/>
      <c r="E46" s="1348" t="s">
        <v>162</v>
      </c>
      <c r="F46" s="1349"/>
      <c r="G46" s="1350"/>
      <c r="H46" s="1347" t="s">
        <v>163</v>
      </c>
      <c r="I46" s="1347"/>
      <c r="J46" s="1347"/>
    </row>
    <row r="47" spans="2:11">
      <c r="C47" s="29" t="s">
        <v>164</v>
      </c>
      <c r="D47" s="29"/>
      <c r="E47" s="28" t="s">
        <v>165</v>
      </c>
      <c r="F47" s="28" t="s">
        <v>963</v>
      </c>
      <c r="G47" s="28" t="s">
        <v>166</v>
      </c>
      <c r="H47" s="28" t="s">
        <v>165</v>
      </c>
      <c r="I47" s="28" t="s">
        <v>963</v>
      </c>
      <c r="J47" s="28" t="s">
        <v>166</v>
      </c>
    </row>
    <row r="48" spans="2:11">
      <c r="C48" s="30" t="s">
        <v>167</v>
      </c>
      <c r="D48" s="31"/>
      <c r="E48" s="32">
        <v>0</v>
      </c>
      <c r="F48" s="33">
        <v>2.0389906641063119E-2</v>
      </c>
      <c r="G48" s="34">
        <v>2.0389906641063119E-2</v>
      </c>
      <c r="H48" s="32">
        <v>0</v>
      </c>
      <c r="I48" s="33">
        <v>1.1717697268890392E-2</v>
      </c>
      <c r="J48" s="34">
        <v>1.1717697268890392E-2</v>
      </c>
    </row>
    <row r="49" spans="3:10">
      <c r="C49" s="30" t="s">
        <v>953</v>
      </c>
      <c r="D49" s="31"/>
      <c r="E49" s="32">
        <v>1.847526182580024E-2</v>
      </c>
      <c r="F49" s="33">
        <v>2.0389906641063119E-2</v>
      </c>
      <c r="G49" s="34">
        <v>3.8865168466863359E-2</v>
      </c>
      <c r="H49" s="32">
        <v>1.847526182580024E-2</v>
      </c>
      <c r="I49" s="33">
        <v>1.1717697268890392E-2</v>
      </c>
      <c r="J49" s="34">
        <v>3.0192959094690632E-2</v>
      </c>
    </row>
    <row r="50" spans="3:10">
      <c r="C50" s="30" t="s">
        <v>954</v>
      </c>
      <c r="D50" s="31"/>
      <c r="E50" s="32">
        <v>7.2241623343083511E-3</v>
      </c>
      <c r="F50" s="33">
        <v>2.0389906641063101E-2</v>
      </c>
      <c r="G50" s="34">
        <v>2.7614068975371452E-2</v>
      </c>
      <c r="H50" s="32">
        <v>7.2241623343083511E-3</v>
      </c>
      <c r="I50" s="33">
        <v>1.1717697268890392E-2</v>
      </c>
      <c r="J50" s="34">
        <v>1.8941859603198743E-2</v>
      </c>
    </row>
    <row r="51" spans="3:10">
      <c r="C51" s="30" t="s">
        <v>955</v>
      </c>
      <c r="D51" s="31"/>
      <c r="E51" s="32">
        <v>1.3556088824767562E-2</v>
      </c>
      <c r="F51" s="33">
        <v>2.0389906641063101E-2</v>
      </c>
      <c r="G51" s="34">
        <v>3.3945995465830665E-2</v>
      </c>
      <c r="H51" s="32">
        <v>1.3556088824767562E-2</v>
      </c>
      <c r="I51" s="33">
        <v>1.1717697268890392E-2</v>
      </c>
      <c r="J51" s="34">
        <v>2.5273786093657956E-2</v>
      </c>
    </row>
    <row r="52" spans="3:10">
      <c r="C52" s="30" t="s">
        <v>956</v>
      </c>
      <c r="D52" s="31"/>
      <c r="E52" s="32">
        <v>1.3725746443130241E-2</v>
      </c>
      <c r="F52" s="33">
        <v>2.0389906641063101E-2</v>
      </c>
      <c r="G52" s="34">
        <v>3.4115653084193343E-2</v>
      </c>
      <c r="H52" s="32">
        <v>1.3725746443130241E-2</v>
      </c>
      <c r="I52" s="33">
        <v>1.1717697268890392E-2</v>
      </c>
      <c r="J52" s="34">
        <v>2.5443443712020633E-2</v>
      </c>
    </row>
    <row r="53" spans="3:10">
      <c r="C53" s="30" t="s">
        <v>957</v>
      </c>
      <c r="D53" s="31"/>
      <c r="E53" s="32">
        <v>1.1550722885777985E-2</v>
      </c>
      <c r="F53" s="33">
        <v>2.0389906641063101E-2</v>
      </c>
      <c r="G53" s="34">
        <v>3.1940629526841083E-2</v>
      </c>
      <c r="H53" s="32">
        <v>1.1550722885777985E-2</v>
      </c>
      <c r="I53" s="33">
        <v>1.1717697268890392E-2</v>
      </c>
      <c r="J53" s="34">
        <v>2.3268420154668377E-2</v>
      </c>
    </row>
    <row r="54" spans="3:10">
      <c r="C54" s="30" t="s">
        <v>958</v>
      </c>
      <c r="D54" s="31"/>
      <c r="E54" s="32">
        <v>1.244954496014958E-2</v>
      </c>
      <c r="F54" s="33">
        <v>2.0389906641063101E-2</v>
      </c>
      <c r="G54" s="34">
        <v>3.2839451601212682E-2</v>
      </c>
      <c r="H54" s="32">
        <v>1.244954496014958E-2</v>
      </c>
      <c r="I54" s="33">
        <v>1.1717697268890392E-2</v>
      </c>
      <c r="J54" s="34">
        <v>2.4167242229039973E-2</v>
      </c>
    </row>
    <row r="55" spans="3:10">
      <c r="C55" s="30" t="s">
        <v>959</v>
      </c>
      <c r="D55" s="31"/>
      <c r="E55" s="32">
        <v>1.6478369051489101E-2</v>
      </c>
      <c r="F55" s="33">
        <v>2.0389906641063101E-2</v>
      </c>
      <c r="G55" s="34">
        <v>3.6868275692552202E-2</v>
      </c>
      <c r="H55" s="32">
        <v>1.6478369051489101E-2</v>
      </c>
      <c r="I55" s="33">
        <v>1.1717697268890392E-2</v>
      </c>
      <c r="J55" s="34">
        <v>2.8196066320379493E-2</v>
      </c>
    </row>
    <row r="56" spans="3:10">
      <c r="C56" s="30" t="s">
        <v>960</v>
      </c>
      <c r="D56" s="31"/>
      <c r="E56" s="32">
        <v>3.969894957130074E-2</v>
      </c>
      <c r="F56" s="33">
        <v>2.0389906641063101E-2</v>
      </c>
      <c r="G56" s="34">
        <v>6.0088856212363845E-2</v>
      </c>
      <c r="H56" s="32">
        <v>3.969894957130074E-2</v>
      </c>
      <c r="I56" s="33">
        <v>1.1717697268890392E-2</v>
      </c>
      <c r="J56" s="34">
        <v>5.1416646840191135E-2</v>
      </c>
    </row>
    <row r="57" spans="3:10" hidden="1">
      <c r="C57" s="35"/>
      <c r="D57"/>
      <c r="E57" s="1348" t="s">
        <v>162</v>
      </c>
      <c r="F57" s="1349"/>
      <c r="G57" s="1350"/>
      <c r="H57" s="1347" t="s">
        <v>163</v>
      </c>
      <c r="I57" s="1347"/>
      <c r="J57" s="1347"/>
    </row>
    <row r="58" spans="3:10">
      <c r="C58" s="36" t="s">
        <v>168</v>
      </c>
      <c r="D58" s="36"/>
      <c r="E58" s="28" t="s">
        <v>165</v>
      </c>
      <c r="F58" s="28" t="s">
        <v>963</v>
      </c>
      <c r="G58" s="28" t="s">
        <v>166</v>
      </c>
      <c r="H58" s="28" t="s">
        <v>165</v>
      </c>
      <c r="I58" s="28" t="s">
        <v>963</v>
      </c>
      <c r="J58" s="28" t="s">
        <v>166</v>
      </c>
    </row>
    <row r="59" spans="3:10">
      <c r="C59" s="37" t="s">
        <v>169</v>
      </c>
      <c r="D59" s="38"/>
      <c r="E59" s="39">
        <v>3.4198459990655114E-2</v>
      </c>
      <c r="F59" s="40">
        <v>2.0389906641063119E-2</v>
      </c>
      <c r="G59" s="41">
        <v>5.4588366631718233E-2</v>
      </c>
      <c r="H59" s="39">
        <v>0</v>
      </c>
      <c r="I59" s="42">
        <v>1.1717697268890392E-2</v>
      </c>
      <c r="J59" s="43">
        <v>1.1717697268890392E-2</v>
      </c>
    </row>
    <row r="60" spans="3:10">
      <c r="C60" s="37" t="s">
        <v>170</v>
      </c>
      <c r="D60" s="38"/>
      <c r="E60" s="39">
        <v>3.868103288815225E-2</v>
      </c>
      <c r="F60" s="44">
        <v>2.0389906641063119E-2</v>
      </c>
      <c r="G60" s="34">
        <v>5.9070939529215369E-2</v>
      </c>
      <c r="H60" s="39">
        <v>0</v>
      </c>
      <c r="I60" s="33">
        <v>1.1717697268890392E-2</v>
      </c>
      <c r="J60" s="45">
        <v>1.1717697268890392E-2</v>
      </c>
    </row>
    <row r="61" spans="3:10">
      <c r="C61" s="37" t="s">
        <v>171</v>
      </c>
      <c r="D61" s="38"/>
      <c r="E61" s="39">
        <v>9.4639863189321799E-2</v>
      </c>
      <c r="F61" s="44">
        <v>2.0389906641063101E-2</v>
      </c>
      <c r="G61" s="34">
        <v>0.1150297698303849</v>
      </c>
      <c r="H61" s="39">
        <v>0</v>
      </c>
      <c r="I61" s="33">
        <v>1.1717697268890392E-2</v>
      </c>
      <c r="J61" s="45">
        <v>1.1717697268890392E-2</v>
      </c>
    </row>
    <row r="62" spans="3:10">
      <c r="C62" s="37" t="s">
        <v>172</v>
      </c>
      <c r="D62" s="38"/>
      <c r="E62" s="39">
        <v>4.2927899198314169E-2</v>
      </c>
      <c r="F62" s="44">
        <v>2.0389906641063101E-2</v>
      </c>
      <c r="G62" s="34">
        <v>6.3317805839377267E-2</v>
      </c>
      <c r="H62" s="39">
        <v>0</v>
      </c>
      <c r="I62" s="33">
        <v>1.1717697268890392E-2</v>
      </c>
      <c r="J62" s="45">
        <v>1.1717697268890392E-2</v>
      </c>
    </row>
    <row r="63" spans="3:10">
      <c r="C63" s="37" t="s">
        <v>173</v>
      </c>
      <c r="D63" s="38"/>
      <c r="E63" s="39">
        <v>5.0640744496606223E-2</v>
      </c>
      <c r="F63" s="44">
        <v>2.0389906641063101E-2</v>
      </c>
      <c r="G63" s="34">
        <v>7.1030651137669321E-2</v>
      </c>
      <c r="H63" s="39">
        <v>0</v>
      </c>
      <c r="I63" s="33">
        <v>1.1717697268890392E-2</v>
      </c>
      <c r="J63" s="45">
        <v>1.1717697268890392E-2</v>
      </c>
    </row>
    <row r="64" spans="3:10">
      <c r="C64" s="37" t="s">
        <v>174</v>
      </c>
      <c r="D64" s="38"/>
      <c r="E64" s="39">
        <v>4.0845552559918528E-2</v>
      </c>
      <c r="F64" s="44">
        <v>2.0389906641063101E-2</v>
      </c>
      <c r="G64" s="34">
        <v>6.1235459200981626E-2</v>
      </c>
      <c r="H64" s="39">
        <v>0</v>
      </c>
      <c r="I64" s="33">
        <v>1.1717697268890392E-2</v>
      </c>
      <c r="J64" s="45">
        <v>1.1717697268890392E-2</v>
      </c>
    </row>
    <row r="66" spans="1:9" ht="17.25">
      <c r="B66" s="46" t="s">
        <v>175</v>
      </c>
      <c r="C66" s="46"/>
      <c r="D66" s="46"/>
    </row>
    <row r="67" spans="1:9" ht="17.25">
      <c r="C67" s="27" t="s">
        <v>176</v>
      </c>
      <c r="D67" s="27"/>
      <c r="E67" s="46"/>
    </row>
    <row r="68" spans="1:9" ht="14.25">
      <c r="B68" s="18"/>
      <c r="C68" s="1305" t="s">
        <v>177</v>
      </c>
      <c r="D68" s="1306"/>
      <c r="E68" s="21">
        <v>2.5321235409748672E-3</v>
      </c>
      <c r="F68" s="2" t="s">
        <v>178</v>
      </c>
      <c r="H68" s="24" t="s">
        <v>179</v>
      </c>
    </row>
    <row r="69" spans="1:9">
      <c r="C69" s="2" t="s">
        <v>180</v>
      </c>
    </row>
    <row r="71" spans="1:9" s="18" customFormat="1" ht="17.25">
      <c r="B71" s="46" t="s">
        <v>181</v>
      </c>
      <c r="C71" s="47"/>
      <c r="D71" s="47"/>
      <c r="E71" s="48"/>
    </row>
    <row r="72" spans="1:9">
      <c r="A72"/>
      <c r="B72" s="49" t="s">
        <v>348</v>
      </c>
      <c r="C72"/>
      <c r="D72"/>
      <c r="E72"/>
      <c r="F72"/>
      <c r="G72"/>
      <c r="H72"/>
      <c r="I72"/>
    </row>
    <row r="73" spans="1:9">
      <c r="A73"/>
      <c r="B73"/>
      <c r="C73"/>
      <c r="D73"/>
      <c r="E73"/>
      <c r="F73"/>
      <c r="G73"/>
      <c r="H73"/>
      <c r="I73"/>
    </row>
    <row r="74" spans="1:9">
      <c r="A74"/>
      <c r="C74" s="28" t="s">
        <v>182</v>
      </c>
      <c r="D74" s="50" t="s">
        <v>183</v>
      </c>
      <c r="E74"/>
      <c r="F74"/>
      <c r="G74"/>
      <c r="H74"/>
      <c r="I74"/>
    </row>
    <row r="75" spans="1:9">
      <c r="A75"/>
      <c r="C75" s="51" t="s">
        <v>184</v>
      </c>
      <c r="D75" s="52">
        <v>0</v>
      </c>
      <c r="E75"/>
      <c r="F75"/>
      <c r="G75"/>
      <c r="H75"/>
      <c r="I75"/>
    </row>
    <row r="76" spans="1:9">
      <c r="A76"/>
      <c r="C76" s="51" t="s">
        <v>169</v>
      </c>
      <c r="D76" s="53">
        <v>1.4999999999999999E-2</v>
      </c>
      <c r="E76"/>
      <c r="F76"/>
      <c r="G76"/>
      <c r="H76"/>
      <c r="I76"/>
    </row>
    <row r="77" spans="1:9">
      <c r="A77"/>
      <c r="C77" s="51" t="s">
        <v>170</v>
      </c>
      <c r="D77" s="53">
        <v>1.4999999999999999E-2</v>
      </c>
      <c r="E77"/>
      <c r="F77"/>
      <c r="G77"/>
      <c r="H77"/>
      <c r="I77"/>
    </row>
    <row r="78" spans="1:9">
      <c r="A78"/>
      <c r="C78" s="51" t="s">
        <v>171</v>
      </c>
      <c r="D78" s="53">
        <v>1.4999999999999999E-2</v>
      </c>
      <c r="E78"/>
      <c r="F78"/>
      <c r="G78"/>
      <c r="H78"/>
      <c r="I78"/>
    </row>
    <row r="79" spans="1:9">
      <c r="A79"/>
      <c r="C79" s="51" t="s">
        <v>172</v>
      </c>
      <c r="D79" s="53">
        <v>1.4999999999999999E-2</v>
      </c>
      <c r="E79"/>
      <c r="F79"/>
      <c r="G79"/>
      <c r="H79"/>
      <c r="I79"/>
    </row>
    <row r="80" spans="1:9">
      <c r="A80"/>
      <c r="C80" s="51" t="s">
        <v>174</v>
      </c>
      <c r="D80" s="53">
        <v>1.4999999999999999E-2</v>
      </c>
      <c r="E80"/>
      <c r="F80"/>
      <c r="G80"/>
      <c r="H80"/>
      <c r="I80"/>
    </row>
    <row r="81" spans="1:9">
      <c r="A81"/>
      <c r="C81" s="51" t="s">
        <v>185</v>
      </c>
      <c r="D81" s="53">
        <v>0.02</v>
      </c>
      <c r="E81"/>
      <c r="F81"/>
      <c r="G81"/>
      <c r="H81"/>
      <c r="I81"/>
    </row>
    <row r="82" spans="1:9">
      <c r="A82"/>
      <c r="B82"/>
      <c r="C82" s="29" t="s">
        <v>186</v>
      </c>
      <c r="D82"/>
      <c r="E82"/>
      <c r="F82"/>
      <c r="G82"/>
      <c r="H82"/>
      <c r="I82"/>
    </row>
    <row r="83" spans="1:9">
      <c r="A83"/>
      <c r="B83" s="54" t="s">
        <v>349</v>
      </c>
      <c r="C83"/>
      <c r="D83"/>
      <c r="E83"/>
      <c r="F83"/>
      <c r="G83"/>
      <c r="H83"/>
      <c r="I83"/>
    </row>
    <row r="84" spans="1:9" s="18" customFormat="1">
      <c r="C84" s="55" t="s">
        <v>187</v>
      </c>
      <c r="D84" s="56"/>
      <c r="E84" s="57"/>
      <c r="F84" s="58"/>
      <c r="G84" s="58"/>
      <c r="H84" s="59"/>
    </row>
    <row r="85" spans="1:9" s="18" customFormat="1"/>
    <row r="86" spans="1:9" ht="17.25">
      <c r="B86" s="1" t="s">
        <v>188</v>
      </c>
      <c r="F86" s="60">
        <v>400</v>
      </c>
      <c r="G86" s="61" t="s">
        <v>189</v>
      </c>
    </row>
    <row r="88" spans="1:9" ht="17.25">
      <c r="B88" s="1" t="s">
        <v>190</v>
      </c>
    </row>
    <row r="89" spans="1:9">
      <c r="C89" s="62" t="s">
        <v>191</v>
      </c>
      <c r="D89" s="63"/>
      <c r="E89" s="64" t="s">
        <v>192</v>
      </c>
      <c r="F89" s="65">
        <v>95</v>
      </c>
      <c r="G89" s="63" t="s">
        <v>193</v>
      </c>
    </row>
    <row r="90" spans="1:9">
      <c r="C90" s="66" t="s">
        <v>194</v>
      </c>
      <c r="D90" s="67"/>
      <c r="E90" s="68" t="s">
        <v>195</v>
      </c>
      <c r="F90" s="65">
        <v>118</v>
      </c>
      <c r="G90" s="67" t="s">
        <v>193</v>
      </c>
    </row>
    <row r="91" spans="1:9">
      <c r="C91" s="66" t="s">
        <v>196</v>
      </c>
      <c r="D91" s="67"/>
      <c r="E91" s="68" t="s">
        <v>197</v>
      </c>
      <c r="F91" s="65">
        <v>138</v>
      </c>
      <c r="G91" s="67" t="s">
        <v>193</v>
      </c>
    </row>
    <row r="92" spans="1:9">
      <c r="C92" s="66" t="s">
        <v>198</v>
      </c>
      <c r="D92" s="67"/>
      <c r="E92" s="68" t="s">
        <v>199</v>
      </c>
      <c r="F92" s="65">
        <v>12.3</v>
      </c>
      <c r="G92" s="67" t="s">
        <v>193</v>
      </c>
    </row>
    <row r="93" spans="1:9">
      <c r="C93" s="66" t="s">
        <v>200</v>
      </c>
      <c r="D93" s="67"/>
      <c r="E93" s="68" t="s">
        <v>201</v>
      </c>
      <c r="F93" s="65">
        <v>62.1</v>
      </c>
      <c r="G93" s="67" t="s">
        <v>193</v>
      </c>
    </row>
    <row r="94" spans="1:9">
      <c r="C94" s="66" t="s">
        <v>202</v>
      </c>
      <c r="D94" s="67"/>
      <c r="E94" s="68" t="s">
        <v>203</v>
      </c>
      <c r="F94" s="65">
        <v>13.9</v>
      </c>
      <c r="G94" s="67" t="s">
        <v>193</v>
      </c>
    </row>
    <row r="95" spans="1:9">
      <c r="C95" s="66" t="s">
        <v>204</v>
      </c>
      <c r="D95" s="67"/>
      <c r="E95" s="68" t="s">
        <v>205</v>
      </c>
      <c r="F95" s="65">
        <v>2.7</v>
      </c>
      <c r="G95" s="67" t="s">
        <v>193</v>
      </c>
    </row>
    <row r="96" spans="1:9">
      <c r="C96" s="66" t="s">
        <v>206</v>
      </c>
      <c r="D96" s="67"/>
      <c r="E96" s="68" t="s">
        <v>207</v>
      </c>
      <c r="F96" s="65">
        <v>2</v>
      </c>
      <c r="G96" s="67" t="s">
        <v>193</v>
      </c>
    </row>
    <row r="97" spans="2:12">
      <c r="C97" s="66" t="s">
        <v>208</v>
      </c>
      <c r="D97" s="67"/>
      <c r="E97" s="68" t="s">
        <v>209</v>
      </c>
      <c r="F97" s="69">
        <v>8.0000000000000002E-3</v>
      </c>
      <c r="G97" s="67" t="s">
        <v>193</v>
      </c>
    </row>
    <row r="98" spans="2:12">
      <c r="C98" s="70" t="s">
        <v>210</v>
      </c>
      <c r="D98" s="71"/>
      <c r="E98" s="68" t="s">
        <v>211</v>
      </c>
      <c r="F98" s="65">
        <v>2.9</v>
      </c>
      <c r="G98" s="67" t="s">
        <v>193</v>
      </c>
    </row>
    <row r="99" spans="2:12">
      <c r="C99" s="70" t="s">
        <v>212</v>
      </c>
      <c r="D99" s="71"/>
      <c r="E99" s="68" t="s">
        <v>213</v>
      </c>
      <c r="F99" s="69">
        <v>6.5000000000000002E-2</v>
      </c>
      <c r="G99" s="67" t="s">
        <v>193</v>
      </c>
    </row>
    <row r="100" spans="2:12">
      <c r="C100" s="70" t="s">
        <v>214</v>
      </c>
      <c r="D100" s="71"/>
      <c r="E100" s="68" t="s">
        <v>215</v>
      </c>
      <c r="F100" s="65">
        <v>40.200000000000003</v>
      </c>
      <c r="G100" s="67" t="s">
        <v>193</v>
      </c>
    </row>
    <row r="101" spans="2:12">
      <c r="C101" s="70" t="s">
        <v>216</v>
      </c>
      <c r="D101" s="71"/>
      <c r="E101" s="68" t="s">
        <v>217</v>
      </c>
      <c r="F101" s="65">
        <v>76.8</v>
      </c>
      <c r="G101" s="67" t="s">
        <v>193</v>
      </c>
    </row>
    <row r="102" spans="2:12">
      <c r="C102" s="70" t="s">
        <v>218</v>
      </c>
      <c r="D102" s="71"/>
      <c r="E102" s="68" t="s">
        <v>219</v>
      </c>
      <c r="F102" s="65">
        <v>4.8</v>
      </c>
      <c r="G102" s="67" t="s">
        <v>193</v>
      </c>
    </row>
    <row r="103" spans="2:12">
      <c r="C103" s="70" t="s">
        <v>220</v>
      </c>
      <c r="D103" s="71"/>
      <c r="E103" s="68" t="s">
        <v>221</v>
      </c>
      <c r="F103" s="65">
        <v>2</v>
      </c>
      <c r="G103" s="67" t="s">
        <v>193</v>
      </c>
    </row>
    <row r="104" spans="2:12">
      <c r="C104" s="70" t="s">
        <v>222</v>
      </c>
      <c r="D104" s="71"/>
      <c r="E104" s="68" t="s">
        <v>223</v>
      </c>
      <c r="F104" s="65">
        <v>26.3</v>
      </c>
      <c r="G104" s="67" t="s">
        <v>193</v>
      </c>
    </row>
    <row r="107" spans="2:12" ht="17.25">
      <c r="B107" s="1" t="s">
        <v>224</v>
      </c>
      <c r="F107" s="2" t="s">
        <v>225</v>
      </c>
    </row>
    <row r="108" spans="2:12">
      <c r="J108" s="1347" t="s">
        <v>226</v>
      </c>
      <c r="K108" s="1347"/>
      <c r="L108" s="1347"/>
    </row>
    <row r="109" spans="2:12">
      <c r="C109" s="1303" t="s">
        <v>227</v>
      </c>
      <c r="D109" s="1304"/>
      <c r="E109" s="1303" t="s">
        <v>228</v>
      </c>
      <c r="F109" s="1304"/>
      <c r="G109" s="3" t="s">
        <v>73</v>
      </c>
      <c r="H109" s="3" t="s">
        <v>74</v>
      </c>
      <c r="I109" s="72" t="s">
        <v>229</v>
      </c>
      <c r="J109" s="73" t="s">
        <v>73</v>
      </c>
      <c r="K109" s="73" t="s">
        <v>74</v>
      </c>
      <c r="L109" s="73" t="s">
        <v>229</v>
      </c>
    </row>
    <row r="110" spans="2:12">
      <c r="C110" s="74" t="s">
        <v>230</v>
      </c>
      <c r="D110" s="75"/>
      <c r="E110" s="4" t="s">
        <v>231</v>
      </c>
      <c r="F110" s="76"/>
      <c r="G110" s="7">
        <v>3.28</v>
      </c>
      <c r="H110" s="7">
        <v>17.37</v>
      </c>
      <c r="I110" s="6" t="s">
        <v>232</v>
      </c>
      <c r="J110" s="77">
        <f t="shared" ref="J110:J120" si="1">G110*$F$89</f>
        <v>311.59999999999997</v>
      </c>
      <c r="K110" s="77">
        <f t="shared" ref="K110:K120" si="2">H110*$F$89</f>
        <v>1650.15</v>
      </c>
      <c r="L110" s="51" t="s">
        <v>233</v>
      </c>
    </row>
    <row r="111" spans="2:12">
      <c r="C111" s="78"/>
      <c r="D111" s="79"/>
      <c r="E111" s="4" t="s">
        <v>234</v>
      </c>
      <c r="F111" s="76"/>
      <c r="G111" s="7">
        <v>2.0699999999999998</v>
      </c>
      <c r="H111" s="7">
        <v>17.11</v>
      </c>
      <c r="I111" s="6" t="s">
        <v>232</v>
      </c>
      <c r="J111" s="77">
        <f t="shared" si="1"/>
        <v>196.64999999999998</v>
      </c>
      <c r="K111" s="77">
        <f t="shared" si="2"/>
        <v>1625.45</v>
      </c>
      <c r="L111" s="51" t="s">
        <v>233</v>
      </c>
    </row>
    <row r="112" spans="2:12">
      <c r="C112" s="78"/>
      <c r="D112" s="79"/>
      <c r="E112" s="4" t="s">
        <v>235</v>
      </c>
      <c r="F112" s="76"/>
      <c r="G112" s="7">
        <v>3.23</v>
      </c>
      <c r="H112" s="7">
        <v>10.27</v>
      </c>
      <c r="I112" s="6" t="s">
        <v>232</v>
      </c>
      <c r="J112" s="77">
        <f t="shared" si="1"/>
        <v>306.85000000000002</v>
      </c>
      <c r="K112" s="77">
        <f t="shared" si="2"/>
        <v>975.65</v>
      </c>
      <c r="L112" s="51" t="s">
        <v>233</v>
      </c>
    </row>
    <row r="113" spans="3:12">
      <c r="C113" s="78"/>
      <c r="D113" s="79"/>
      <c r="E113" s="4" t="s">
        <v>236</v>
      </c>
      <c r="F113" s="76"/>
      <c r="G113" s="7">
        <v>4.16</v>
      </c>
      <c r="H113" s="7">
        <v>10.37</v>
      </c>
      <c r="I113" s="6" t="s">
        <v>237</v>
      </c>
      <c r="J113" s="77">
        <f t="shared" si="1"/>
        <v>395.2</v>
      </c>
      <c r="K113" s="77">
        <f t="shared" si="2"/>
        <v>985.15</v>
      </c>
      <c r="L113" s="51" t="s">
        <v>238</v>
      </c>
    </row>
    <row r="114" spans="3:12">
      <c r="C114" s="78"/>
      <c r="D114" s="79"/>
      <c r="E114" s="4" t="s">
        <v>239</v>
      </c>
      <c r="F114" s="76"/>
      <c r="G114" s="7">
        <v>3.39</v>
      </c>
      <c r="H114" s="7">
        <v>2.31</v>
      </c>
      <c r="I114" s="6" t="s">
        <v>237</v>
      </c>
      <c r="J114" s="77">
        <f t="shared" si="1"/>
        <v>322.05</v>
      </c>
      <c r="K114" s="77">
        <f t="shared" si="2"/>
        <v>219.45000000000002</v>
      </c>
      <c r="L114" s="51" t="s">
        <v>238</v>
      </c>
    </row>
    <row r="115" spans="3:12">
      <c r="C115" s="78"/>
      <c r="D115" s="79"/>
      <c r="E115" s="4" t="s">
        <v>240</v>
      </c>
      <c r="F115" s="76"/>
      <c r="G115" s="7">
        <v>5.25</v>
      </c>
      <c r="H115" s="7">
        <v>31.4</v>
      </c>
      <c r="I115" s="6" t="s">
        <v>237</v>
      </c>
      <c r="J115" s="77">
        <f t="shared" si="1"/>
        <v>498.75</v>
      </c>
      <c r="K115" s="77">
        <f t="shared" si="2"/>
        <v>2983</v>
      </c>
      <c r="L115" s="51" t="s">
        <v>238</v>
      </c>
    </row>
    <row r="116" spans="3:12">
      <c r="C116" s="78"/>
      <c r="D116" s="79"/>
      <c r="E116" s="4" t="s">
        <v>241</v>
      </c>
      <c r="F116" s="76"/>
      <c r="G116" s="7">
        <v>4.1100000000000003</v>
      </c>
      <c r="H116" s="7">
        <v>5.38</v>
      </c>
      <c r="I116" s="6" t="s">
        <v>715</v>
      </c>
      <c r="J116" s="77">
        <f t="shared" si="1"/>
        <v>390.45000000000005</v>
      </c>
      <c r="K116" s="77">
        <f t="shared" si="2"/>
        <v>511.09999999999997</v>
      </c>
      <c r="L116" s="51" t="s">
        <v>716</v>
      </c>
    </row>
    <row r="117" spans="3:12">
      <c r="C117" s="78"/>
      <c r="D117" s="79"/>
      <c r="E117" s="4" t="s">
        <v>717</v>
      </c>
      <c r="F117" s="76"/>
      <c r="G117" s="7">
        <v>5.26</v>
      </c>
      <c r="H117" s="7">
        <v>6.51</v>
      </c>
      <c r="I117" s="6" t="s">
        <v>715</v>
      </c>
      <c r="J117" s="77">
        <f t="shared" si="1"/>
        <v>499.7</v>
      </c>
      <c r="K117" s="77">
        <f t="shared" si="2"/>
        <v>618.44999999999993</v>
      </c>
      <c r="L117" s="51" t="s">
        <v>716</v>
      </c>
    </row>
    <row r="118" spans="3:12">
      <c r="C118" s="78"/>
      <c r="D118" s="79"/>
      <c r="E118" s="4" t="s">
        <v>242</v>
      </c>
      <c r="F118" s="76"/>
      <c r="G118" s="7">
        <v>3.2</v>
      </c>
      <c r="H118" s="7">
        <v>3.76</v>
      </c>
      <c r="I118" s="6" t="s">
        <v>237</v>
      </c>
      <c r="J118" s="77">
        <f t="shared" si="1"/>
        <v>304</v>
      </c>
      <c r="K118" s="77">
        <f t="shared" si="2"/>
        <v>357.2</v>
      </c>
      <c r="L118" s="51" t="s">
        <v>238</v>
      </c>
    </row>
    <row r="119" spans="3:12">
      <c r="C119" s="78"/>
      <c r="D119" s="79"/>
      <c r="E119" s="80" t="s">
        <v>243</v>
      </c>
      <c r="F119" s="76"/>
      <c r="G119" s="7">
        <v>3.78</v>
      </c>
      <c r="H119" s="7">
        <v>0.88</v>
      </c>
      <c r="I119" s="6" t="s">
        <v>244</v>
      </c>
      <c r="J119" s="77">
        <f t="shared" si="1"/>
        <v>359.09999999999997</v>
      </c>
      <c r="K119" s="77">
        <f t="shared" si="2"/>
        <v>83.6</v>
      </c>
      <c r="L119" s="51" t="s">
        <v>245</v>
      </c>
    </row>
    <row r="120" spans="3:12">
      <c r="C120" s="81"/>
      <c r="D120" s="82"/>
      <c r="E120" s="4" t="s">
        <v>246</v>
      </c>
      <c r="F120" s="76"/>
      <c r="G120" s="7">
        <v>2.52</v>
      </c>
      <c r="H120" s="7">
        <v>0.13</v>
      </c>
      <c r="I120" s="6" t="s">
        <v>244</v>
      </c>
      <c r="J120" s="77">
        <f t="shared" si="1"/>
        <v>239.4</v>
      </c>
      <c r="K120" s="77">
        <f t="shared" si="2"/>
        <v>12.35</v>
      </c>
      <c r="L120" s="51" t="s">
        <v>245</v>
      </c>
    </row>
    <row r="121" spans="3:12">
      <c r="C121" s="74" t="s">
        <v>247</v>
      </c>
      <c r="D121" s="75"/>
      <c r="E121" s="4" t="s">
        <v>248</v>
      </c>
      <c r="F121" s="76"/>
      <c r="G121" s="7">
        <v>120</v>
      </c>
      <c r="H121" s="7">
        <v>38</v>
      </c>
      <c r="I121" s="6" t="s">
        <v>249</v>
      </c>
      <c r="J121" s="77">
        <f>G121*$F$102</f>
        <v>576</v>
      </c>
      <c r="K121" s="77">
        <f>H121*$F$102</f>
        <v>182.4</v>
      </c>
      <c r="L121" s="51" t="s">
        <v>238</v>
      </c>
    </row>
    <row r="122" spans="3:12">
      <c r="C122" s="81"/>
      <c r="D122" s="82"/>
      <c r="E122" s="4" t="s">
        <v>250</v>
      </c>
      <c r="F122" s="76"/>
      <c r="G122" s="7">
        <v>120</v>
      </c>
      <c r="H122" s="7">
        <v>38</v>
      </c>
      <c r="I122" s="6" t="s">
        <v>249</v>
      </c>
      <c r="J122" s="77">
        <f>G122*$F$102</f>
        <v>576</v>
      </c>
      <c r="K122" s="77">
        <f>H122*$F$102</f>
        <v>182.4</v>
      </c>
      <c r="L122" s="51" t="s">
        <v>238</v>
      </c>
    </row>
    <row r="123" spans="3:12">
      <c r="C123" s="74" t="s">
        <v>172</v>
      </c>
      <c r="D123" s="75"/>
      <c r="E123" s="4" t="s">
        <v>248</v>
      </c>
      <c r="F123" s="76"/>
      <c r="G123" s="7">
        <v>35.29</v>
      </c>
      <c r="H123" s="7">
        <v>148.68</v>
      </c>
      <c r="I123" s="6" t="s">
        <v>251</v>
      </c>
      <c r="J123" s="77">
        <f t="shared" ref="J123:K127" si="3">G123*$F$95</f>
        <v>95.283000000000001</v>
      </c>
      <c r="K123" s="77">
        <f t="shared" si="3"/>
        <v>401.43600000000004</v>
      </c>
      <c r="L123" s="51" t="s">
        <v>238</v>
      </c>
    </row>
    <row r="124" spans="3:12">
      <c r="C124" s="78"/>
      <c r="D124" s="79"/>
      <c r="E124" s="4" t="s">
        <v>252</v>
      </c>
      <c r="F124" s="76"/>
      <c r="G124" s="7">
        <v>46.1</v>
      </c>
      <c r="H124" s="7">
        <v>53.71</v>
      </c>
      <c r="I124" s="6" t="s">
        <v>251</v>
      </c>
      <c r="J124" s="77">
        <f t="shared" si="3"/>
        <v>124.47000000000001</v>
      </c>
      <c r="K124" s="77">
        <f t="shared" si="3"/>
        <v>145.01700000000002</v>
      </c>
      <c r="L124" s="51" t="s">
        <v>238</v>
      </c>
    </row>
    <row r="125" spans="3:12">
      <c r="C125" s="78"/>
      <c r="D125" s="79"/>
      <c r="E125" s="4" t="s">
        <v>253</v>
      </c>
      <c r="F125" s="76"/>
      <c r="G125" s="7">
        <v>35.090000000000003</v>
      </c>
      <c r="H125" s="7">
        <v>132.28</v>
      </c>
      <c r="I125" s="6" t="s">
        <v>254</v>
      </c>
      <c r="J125" s="77">
        <f t="shared" si="3"/>
        <v>94.743000000000009</v>
      </c>
      <c r="K125" s="77">
        <f t="shared" si="3"/>
        <v>357.15600000000001</v>
      </c>
      <c r="L125" s="51" t="s">
        <v>255</v>
      </c>
    </row>
    <row r="126" spans="3:12">
      <c r="C126" s="78"/>
      <c r="D126" s="79"/>
      <c r="E126" s="4" t="s">
        <v>256</v>
      </c>
      <c r="F126" s="76"/>
      <c r="G126" s="7">
        <v>34.9</v>
      </c>
      <c r="H126" s="7">
        <v>90.44</v>
      </c>
      <c r="I126" s="6" t="s">
        <v>257</v>
      </c>
      <c r="J126" s="77">
        <f t="shared" si="3"/>
        <v>94.23</v>
      </c>
      <c r="K126" s="77">
        <f t="shared" si="3"/>
        <v>244.18800000000002</v>
      </c>
      <c r="L126" s="51" t="s">
        <v>258</v>
      </c>
    </row>
    <row r="127" spans="3:12">
      <c r="C127" s="81"/>
      <c r="D127" s="82"/>
      <c r="E127" s="4" t="s">
        <v>259</v>
      </c>
      <c r="F127" s="76"/>
      <c r="G127" s="7">
        <v>34.9</v>
      </c>
      <c r="H127" s="7">
        <v>68.900000000000006</v>
      </c>
      <c r="I127" s="6" t="s">
        <v>251</v>
      </c>
      <c r="J127" s="77">
        <f t="shared" si="3"/>
        <v>94.23</v>
      </c>
      <c r="K127" s="77">
        <f t="shared" si="3"/>
        <v>186.03000000000003</v>
      </c>
      <c r="L127" s="51" t="s">
        <v>238</v>
      </c>
    </row>
    <row r="128" spans="3:12">
      <c r="C128" s="74" t="s">
        <v>169</v>
      </c>
      <c r="D128" s="75"/>
      <c r="E128" s="4" t="s">
        <v>248</v>
      </c>
      <c r="F128" s="76"/>
      <c r="G128" s="7">
        <v>143.76</v>
      </c>
      <c r="H128" s="7">
        <v>622.91</v>
      </c>
      <c r="I128" s="6" t="s">
        <v>238</v>
      </c>
      <c r="J128" s="77">
        <f t="shared" ref="J128:K130" si="4">G128</f>
        <v>143.76</v>
      </c>
      <c r="K128" s="77">
        <f t="shared" si="4"/>
        <v>622.91</v>
      </c>
      <c r="L128" s="51" t="s">
        <v>238</v>
      </c>
    </row>
    <row r="129" spans="3:12">
      <c r="C129" s="78"/>
      <c r="D129" s="79"/>
      <c r="E129" s="4" t="s">
        <v>260</v>
      </c>
      <c r="F129" s="76"/>
      <c r="G129" s="7">
        <v>207.18</v>
      </c>
      <c r="H129" s="7">
        <v>185.51</v>
      </c>
      <c r="I129" s="6" t="s">
        <v>238</v>
      </c>
      <c r="J129" s="77">
        <f t="shared" si="4"/>
        <v>207.18</v>
      </c>
      <c r="K129" s="77">
        <f t="shared" si="4"/>
        <v>185.51</v>
      </c>
      <c r="L129" s="51" t="s">
        <v>238</v>
      </c>
    </row>
    <row r="130" spans="3:12">
      <c r="C130" s="81"/>
      <c r="D130" s="82"/>
      <c r="E130" s="4" t="s">
        <v>250</v>
      </c>
      <c r="F130" s="76"/>
      <c r="G130" s="7">
        <v>226.09</v>
      </c>
      <c r="H130" s="7">
        <v>53.68</v>
      </c>
      <c r="I130" s="6" t="s">
        <v>238</v>
      </c>
      <c r="J130" s="77">
        <f t="shared" si="4"/>
        <v>226.09</v>
      </c>
      <c r="K130" s="77">
        <f t="shared" si="4"/>
        <v>53.68</v>
      </c>
      <c r="L130" s="51" t="s">
        <v>238</v>
      </c>
    </row>
    <row r="131" spans="3:12">
      <c r="C131" s="83" t="s">
        <v>171</v>
      </c>
      <c r="D131" s="84"/>
      <c r="E131" s="11" t="s">
        <v>236</v>
      </c>
      <c r="F131" s="85"/>
      <c r="G131" s="86">
        <v>7.5</v>
      </c>
      <c r="H131" s="87">
        <v>47.4</v>
      </c>
      <c r="I131" s="13" t="s">
        <v>261</v>
      </c>
      <c r="J131" s="77">
        <f>G131*$F$94</f>
        <v>104.25</v>
      </c>
      <c r="K131" s="77">
        <f>H131</f>
        <v>47.4</v>
      </c>
      <c r="L131" s="51" t="s">
        <v>238</v>
      </c>
    </row>
    <row r="132" spans="3:12">
      <c r="C132" s="81"/>
      <c r="D132" s="82"/>
      <c r="E132" s="4" t="s">
        <v>250</v>
      </c>
      <c r="F132" s="76"/>
      <c r="G132" s="86">
        <v>7.5</v>
      </c>
      <c r="H132" s="88">
        <v>47.4</v>
      </c>
      <c r="I132" s="13" t="s">
        <v>261</v>
      </c>
      <c r="J132" s="77">
        <f>G132*$F$94</f>
        <v>104.25</v>
      </c>
      <c r="K132" s="77">
        <f>H132</f>
        <v>47.4</v>
      </c>
      <c r="L132" s="51" t="s">
        <v>238</v>
      </c>
    </row>
    <row r="133" spans="3:12">
      <c r="C133" s="4" t="s">
        <v>174</v>
      </c>
      <c r="D133" s="89"/>
      <c r="E133" s="4"/>
      <c r="F133" s="76"/>
      <c r="G133" s="7">
        <v>21.6</v>
      </c>
      <c r="H133" s="7">
        <v>46.8</v>
      </c>
      <c r="I133" s="6" t="s">
        <v>718</v>
      </c>
      <c r="J133" s="77">
        <f>G133*$F$94</f>
        <v>300.24</v>
      </c>
      <c r="K133" s="77">
        <f>H133*$F$94</f>
        <v>650.52</v>
      </c>
      <c r="L133" s="51" t="s">
        <v>716</v>
      </c>
    </row>
    <row r="135" spans="3:12" ht="17.25">
      <c r="C135" s="1344" t="s">
        <v>262</v>
      </c>
      <c r="D135" s="1344"/>
      <c r="E135" s="90" t="s">
        <v>263</v>
      </c>
    </row>
    <row r="136" spans="3:12">
      <c r="C136" s="19"/>
      <c r="D136" s="19"/>
      <c r="E136" s="91" t="s">
        <v>264</v>
      </c>
      <c r="F136" s="92" t="s">
        <v>265</v>
      </c>
      <c r="G136" s="92" t="s">
        <v>963</v>
      </c>
      <c r="H136" s="91" t="s">
        <v>266</v>
      </c>
      <c r="I136" s="1351" t="s">
        <v>735</v>
      </c>
      <c r="J136" s="1351"/>
    </row>
    <row r="137" spans="3:12">
      <c r="C137" s="1342" t="s">
        <v>719</v>
      </c>
      <c r="D137" s="1343"/>
      <c r="E137" s="21">
        <v>0.13400000000000001</v>
      </c>
      <c r="F137" s="21">
        <v>0.10199999999999999</v>
      </c>
      <c r="G137" s="93" t="s">
        <v>720</v>
      </c>
      <c r="H137" s="21">
        <v>2.1999999999999999E-2</v>
      </c>
      <c r="I137" s="94" t="s">
        <v>1251</v>
      </c>
      <c r="J137" s="95"/>
    </row>
    <row r="138" spans="3:12">
      <c r="C138" s="1342" t="s">
        <v>267</v>
      </c>
      <c r="D138" s="1343"/>
      <c r="E138" s="21">
        <v>0.111</v>
      </c>
      <c r="F138" s="21">
        <v>8.4000000000000005E-2</v>
      </c>
      <c r="G138" s="21">
        <v>6.9000000000000006E-2</v>
      </c>
      <c r="H138" s="21">
        <v>0</v>
      </c>
      <c r="I138" s="94"/>
      <c r="J138" s="95"/>
    </row>
    <row r="139" spans="3:12">
      <c r="C139" s="1342" t="s">
        <v>268</v>
      </c>
      <c r="D139" s="1343"/>
      <c r="E139" s="21">
        <v>0.20499999999999999</v>
      </c>
      <c r="F139" s="21">
        <v>0.10630000000000001</v>
      </c>
      <c r="G139" s="21">
        <v>8.8400000000000006E-2</v>
      </c>
      <c r="H139" s="96"/>
      <c r="I139" s="94"/>
      <c r="J139" s="95"/>
    </row>
    <row r="140" spans="3:12">
      <c r="C140" s="1342" t="s">
        <v>269</v>
      </c>
      <c r="D140" s="1343"/>
      <c r="E140" s="21">
        <v>0.127</v>
      </c>
      <c r="F140" s="21">
        <v>3.9E-2</v>
      </c>
      <c r="G140" s="96"/>
      <c r="H140" s="21">
        <v>4.5999999999999999E-2</v>
      </c>
      <c r="I140" s="94"/>
      <c r="J140" s="95"/>
    </row>
    <row r="141" spans="3:12">
      <c r="C141" s="1342" t="s">
        <v>270</v>
      </c>
      <c r="D141" s="1343"/>
      <c r="E141" s="21">
        <v>9.1999999999999998E-2</v>
      </c>
      <c r="F141" s="21">
        <v>5.7000000000000002E-2</v>
      </c>
      <c r="G141" s="21">
        <v>3.5000000000000003E-2</v>
      </c>
      <c r="H141" s="21">
        <v>7.0000000000000001E-3</v>
      </c>
      <c r="I141" s="94" t="s">
        <v>721</v>
      </c>
      <c r="J141" s="95"/>
    </row>
    <row r="142" spans="3:12">
      <c r="C142" s="1342" t="s">
        <v>174</v>
      </c>
      <c r="D142" s="1343"/>
      <c r="E142" s="21">
        <v>0.09</v>
      </c>
      <c r="F142" s="21">
        <v>0.05</v>
      </c>
      <c r="G142" s="21">
        <v>1.3299999999999999E-2</v>
      </c>
      <c r="H142" s="21">
        <v>1.3299999999999999E-2</v>
      </c>
      <c r="I142" s="94"/>
      <c r="J142" s="95"/>
    </row>
    <row r="143" spans="3:12">
      <c r="H143" s="2" t="s">
        <v>271</v>
      </c>
    </row>
    <row r="144" spans="3:12">
      <c r="H144" s="2" t="s">
        <v>272</v>
      </c>
    </row>
    <row r="145" spans="1:12">
      <c r="E145" s="2" t="s">
        <v>273</v>
      </c>
    </row>
    <row r="146" spans="1:12">
      <c r="J146" s="97"/>
    </row>
    <row r="147" spans="1:12" ht="17.25">
      <c r="C147" s="1342" t="s">
        <v>274</v>
      </c>
      <c r="D147" s="1343"/>
      <c r="E147" s="90" t="s">
        <v>275</v>
      </c>
    </row>
    <row r="148" spans="1:12">
      <c r="E148" s="92" t="s">
        <v>276</v>
      </c>
      <c r="F148" s="92" t="s">
        <v>277</v>
      </c>
      <c r="G148" s="92" t="s">
        <v>278</v>
      </c>
      <c r="H148" s="92" t="s">
        <v>1370</v>
      </c>
      <c r="I148" s="92" t="s">
        <v>1374</v>
      </c>
      <c r="J148" s="92" t="s">
        <v>1375</v>
      </c>
      <c r="K148" s="20" t="s">
        <v>279</v>
      </c>
      <c r="L148" s="92" t="s">
        <v>280</v>
      </c>
    </row>
    <row r="149" spans="1:12">
      <c r="C149" s="1342" t="s">
        <v>281</v>
      </c>
      <c r="D149" s="1343"/>
      <c r="E149" s="21">
        <v>0</v>
      </c>
      <c r="F149" s="21">
        <v>0</v>
      </c>
      <c r="G149" s="21">
        <v>0</v>
      </c>
      <c r="H149" s="21">
        <v>0</v>
      </c>
      <c r="I149" s="21">
        <v>0</v>
      </c>
      <c r="J149" s="21">
        <v>0</v>
      </c>
      <c r="K149" s="98">
        <v>80</v>
      </c>
      <c r="L149" s="21"/>
    </row>
    <row r="150" spans="1:12">
      <c r="C150" s="1342" t="s">
        <v>282</v>
      </c>
      <c r="D150" s="1343"/>
      <c r="E150" s="21">
        <v>6.5000000000000002E-2</v>
      </c>
      <c r="F150" s="21">
        <v>4.8000000000000001E-2</v>
      </c>
      <c r="G150" s="21">
        <v>3.6999999999999998E-2</v>
      </c>
      <c r="H150" s="21">
        <v>3.6999999999999998E-2</v>
      </c>
      <c r="I150" s="21">
        <v>1.7000000000000001E-2</v>
      </c>
      <c r="J150" s="21">
        <v>1.7000000000000001E-2</v>
      </c>
      <c r="K150" s="21">
        <v>0.01</v>
      </c>
      <c r="L150" s="21"/>
    </row>
    <row r="151" spans="1:12">
      <c r="C151" s="1342" t="s">
        <v>283</v>
      </c>
      <c r="D151" s="1343"/>
      <c r="E151" s="21">
        <v>0.05</v>
      </c>
      <c r="F151" s="21">
        <v>0.1</v>
      </c>
      <c r="G151" s="21">
        <v>0</v>
      </c>
      <c r="H151" s="21">
        <v>0.1</v>
      </c>
      <c r="I151" s="21">
        <v>0.05</v>
      </c>
      <c r="J151" s="21">
        <v>0.05</v>
      </c>
      <c r="K151" s="99">
        <v>5000</v>
      </c>
      <c r="L151" s="21"/>
    </row>
    <row r="152" spans="1:12">
      <c r="C152" s="1342" t="s">
        <v>284</v>
      </c>
      <c r="D152" s="1343"/>
      <c r="E152" s="21">
        <v>0.01</v>
      </c>
      <c r="F152" s="21">
        <v>0.01</v>
      </c>
      <c r="G152" s="21">
        <v>0.01</v>
      </c>
      <c r="H152" s="21">
        <v>0.01</v>
      </c>
      <c r="I152" s="21">
        <v>0.1</v>
      </c>
      <c r="J152" s="21">
        <v>0.1</v>
      </c>
      <c r="K152" s="21"/>
      <c r="L152" s="21"/>
    </row>
    <row r="153" spans="1:12" ht="40.5" customHeight="1">
      <c r="C153" s="1342" t="s">
        <v>285</v>
      </c>
      <c r="D153" s="1343"/>
      <c r="E153" s="21">
        <v>7.5999999999999998E-2</v>
      </c>
      <c r="F153" s="100"/>
      <c r="G153" s="21">
        <v>0.1</v>
      </c>
      <c r="H153" s="101" t="s">
        <v>286</v>
      </c>
      <c r="I153" s="100" t="s">
        <v>287</v>
      </c>
      <c r="J153" s="21">
        <v>0</v>
      </c>
      <c r="K153" s="102">
        <v>15000</v>
      </c>
      <c r="L153" s="21">
        <v>0.17</v>
      </c>
    </row>
    <row r="154" spans="1:12" ht="14.25" thickBot="1">
      <c r="C154" s="1342" t="s">
        <v>174</v>
      </c>
      <c r="D154" s="1343"/>
      <c r="E154" s="103">
        <v>0</v>
      </c>
      <c r="F154" s="103">
        <v>0</v>
      </c>
      <c r="G154" s="103">
        <v>0.08</v>
      </c>
      <c r="H154" s="103">
        <v>0</v>
      </c>
      <c r="I154" s="21">
        <v>0</v>
      </c>
      <c r="J154" s="21">
        <v>0</v>
      </c>
      <c r="K154" s="104" t="s">
        <v>722</v>
      </c>
      <c r="L154" s="21">
        <v>0.17</v>
      </c>
    </row>
    <row r="155" spans="1:12" ht="14.25" thickTop="1">
      <c r="C155" s="1345" t="s">
        <v>723</v>
      </c>
      <c r="D155" s="1346"/>
      <c r="E155" s="105" t="s">
        <v>724</v>
      </c>
      <c r="F155" s="105" t="s">
        <v>288</v>
      </c>
      <c r="G155" s="105" t="s">
        <v>289</v>
      </c>
      <c r="H155" s="105" t="s">
        <v>290</v>
      </c>
      <c r="I155" s="106" t="s">
        <v>291</v>
      </c>
    </row>
    <row r="156" spans="1:12">
      <c r="C156" s="107"/>
      <c r="D156" s="108"/>
      <c r="E156" s="21">
        <v>2.5999999999999999E-2</v>
      </c>
      <c r="F156" s="21">
        <v>5.21E-2</v>
      </c>
      <c r="G156" s="21">
        <v>2.9100000000000001E-2</v>
      </c>
      <c r="H156" s="21">
        <v>3.5000000000000003E-2</v>
      </c>
      <c r="I156" s="21">
        <v>0</v>
      </c>
      <c r="J156" s="109"/>
      <c r="L156" s="48"/>
    </row>
    <row r="157" spans="1:12">
      <c r="C157" s="110"/>
      <c r="D157" s="110"/>
      <c r="E157" s="111"/>
      <c r="F157" s="48"/>
      <c r="G157" s="111"/>
      <c r="H157" s="48"/>
      <c r="I157" s="111"/>
      <c r="J157" s="112" t="s">
        <v>725</v>
      </c>
      <c r="K157" s="111"/>
      <c r="L157" s="48"/>
    </row>
    <row r="158" spans="1:12">
      <c r="C158" s="110"/>
      <c r="D158" s="110"/>
      <c r="E158" s="111"/>
      <c r="F158" s="48"/>
      <c r="G158" s="111"/>
      <c r="H158" s="48"/>
      <c r="I158" s="111"/>
      <c r="J158" s="48"/>
      <c r="K158" s="111"/>
      <c r="L158" s="48"/>
    </row>
    <row r="159" spans="1:12" ht="17.25">
      <c r="A159" s="1" t="s">
        <v>292</v>
      </c>
      <c r="B159" s="113"/>
      <c r="C159" s="114"/>
      <c r="D159" s="114"/>
      <c r="E159" s="115"/>
      <c r="F159" s="114"/>
      <c r="G159" s="115"/>
      <c r="H159" s="114"/>
      <c r="I159" s="115"/>
      <c r="J159" s="114"/>
      <c r="K159" s="115"/>
      <c r="L159" s="116"/>
    </row>
    <row r="161" spans="2:11">
      <c r="C161" s="72" t="s">
        <v>70</v>
      </c>
      <c r="D161" s="1316" t="s">
        <v>293</v>
      </c>
      <c r="E161" s="1316"/>
      <c r="F161" s="50" t="s">
        <v>294</v>
      </c>
      <c r="G161" s="50" t="s">
        <v>295</v>
      </c>
      <c r="H161" s="50" t="s">
        <v>296</v>
      </c>
      <c r="I161" s="97"/>
      <c r="J161" s="117"/>
      <c r="K161" s="117"/>
    </row>
    <row r="162" spans="2:11">
      <c r="C162" s="1317" t="s">
        <v>78</v>
      </c>
      <c r="D162" s="1293" t="s">
        <v>72</v>
      </c>
      <c r="E162" s="1293"/>
      <c r="F162" s="118">
        <v>1.1000000000000001</v>
      </c>
      <c r="G162" s="119">
        <v>1.1100000000000001</v>
      </c>
      <c r="H162" s="120">
        <v>1.21</v>
      </c>
      <c r="I162" s="121"/>
      <c r="J162" s="121"/>
      <c r="K162" s="117"/>
    </row>
    <row r="163" spans="2:11">
      <c r="B163" s="97"/>
      <c r="C163" s="1317"/>
      <c r="D163" s="1293" t="s">
        <v>73</v>
      </c>
      <c r="E163" s="1293"/>
      <c r="F163" s="118">
        <v>2191</v>
      </c>
      <c r="G163" s="119">
        <v>2420.1</v>
      </c>
      <c r="H163" s="120">
        <v>2225.9</v>
      </c>
      <c r="I163" s="121"/>
      <c r="J163" s="121"/>
      <c r="K163" s="117"/>
    </row>
    <row r="164" spans="2:11">
      <c r="B164" s="121"/>
      <c r="C164" s="1317"/>
      <c r="D164" s="122" t="s">
        <v>297</v>
      </c>
      <c r="E164" s="123" t="s">
        <v>298</v>
      </c>
      <c r="F164" s="118">
        <v>3435.6</v>
      </c>
      <c r="G164" s="119">
        <v>6530.9</v>
      </c>
      <c r="H164" s="120">
        <v>6900</v>
      </c>
      <c r="I164" s="97"/>
      <c r="J164" s="117"/>
      <c r="K164" s="117"/>
    </row>
    <row r="165" spans="2:11">
      <c r="B165" s="121"/>
      <c r="C165" s="1317"/>
      <c r="D165" s="122"/>
      <c r="E165" s="10" t="s">
        <v>299</v>
      </c>
      <c r="F165" s="118">
        <v>854.2</v>
      </c>
      <c r="G165" s="119">
        <v>1224.9000000000001</v>
      </c>
      <c r="H165" s="120">
        <v>890.1</v>
      </c>
      <c r="I165" s="124"/>
      <c r="J165" s="117"/>
      <c r="K165" s="117"/>
    </row>
    <row r="166" spans="2:11">
      <c r="B166" s="121"/>
      <c r="C166" s="1317"/>
      <c r="D166" s="122"/>
      <c r="E166" s="125" t="s">
        <v>300</v>
      </c>
      <c r="F166" s="126"/>
      <c r="G166" s="119">
        <v>0</v>
      </c>
      <c r="H166" s="120">
        <v>0</v>
      </c>
      <c r="I166" s="124"/>
      <c r="J166" s="117"/>
      <c r="K166" s="117"/>
    </row>
    <row r="167" spans="2:11">
      <c r="B167" s="121"/>
      <c r="C167" s="1338" t="s">
        <v>301</v>
      </c>
      <c r="D167" s="1293" t="s">
        <v>72</v>
      </c>
      <c r="E167" s="1293"/>
      <c r="F167" s="118">
        <v>1.1200000000000001</v>
      </c>
      <c r="G167" s="119">
        <v>1.1000000000000001</v>
      </c>
      <c r="H167" s="120">
        <v>1.28</v>
      </c>
      <c r="I167" s="124"/>
      <c r="J167" s="117"/>
      <c r="K167" s="117"/>
    </row>
    <row r="168" spans="2:11">
      <c r="B168" s="121"/>
      <c r="C168" s="1338"/>
      <c r="D168" s="1293" t="s">
        <v>73</v>
      </c>
      <c r="E168" s="1293"/>
      <c r="F168" s="118">
        <v>2254</v>
      </c>
      <c r="G168" s="119">
        <v>2108.3000000000002</v>
      </c>
      <c r="H168" s="120">
        <v>2191.5</v>
      </c>
      <c r="I168" s="124"/>
      <c r="J168" s="117"/>
      <c r="K168" s="117"/>
    </row>
    <row r="169" spans="2:11">
      <c r="B169" s="121"/>
      <c r="C169" s="1338"/>
      <c r="D169" s="122" t="s">
        <v>297</v>
      </c>
      <c r="E169" s="123" t="s">
        <v>302</v>
      </c>
      <c r="F169" s="118">
        <v>4530.3</v>
      </c>
      <c r="G169" s="119">
        <v>3029.4</v>
      </c>
      <c r="H169" s="120">
        <v>2924.9</v>
      </c>
      <c r="I169" s="97"/>
      <c r="J169" s="117"/>
      <c r="K169" s="117"/>
    </row>
    <row r="170" spans="2:11">
      <c r="B170" s="121"/>
      <c r="C170" s="1338"/>
      <c r="D170" s="122"/>
      <c r="E170" s="125" t="s">
        <v>303</v>
      </c>
      <c r="F170" s="118">
        <v>2288.1999999999998</v>
      </c>
      <c r="G170" s="119">
        <v>1227.0999999999999</v>
      </c>
      <c r="H170" s="120">
        <v>856.1</v>
      </c>
      <c r="I170" s="97"/>
      <c r="J170" s="117"/>
      <c r="K170" s="117"/>
    </row>
    <row r="171" spans="2:11">
      <c r="B171" s="121"/>
      <c r="C171" s="1338"/>
      <c r="D171" s="122"/>
      <c r="E171" s="125" t="s">
        <v>304</v>
      </c>
      <c r="F171" s="126"/>
      <c r="G171" s="127"/>
      <c r="H171" s="120">
        <v>0</v>
      </c>
      <c r="I171" s="124"/>
      <c r="J171" s="117"/>
      <c r="K171" s="117"/>
    </row>
    <row r="172" spans="2:11">
      <c r="B172" s="121"/>
      <c r="C172" s="1338" t="s">
        <v>305</v>
      </c>
      <c r="D172" s="1293" t="s">
        <v>72</v>
      </c>
      <c r="E172" s="1293"/>
      <c r="F172" s="118">
        <v>1.0900000000000001</v>
      </c>
      <c r="G172" s="119">
        <v>1.1000000000000001</v>
      </c>
      <c r="H172" s="120">
        <v>1.18</v>
      </c>
      <c r="I172" s="124"/>
      <c r="J172" s="124"/>
      <c r="K172" s="117"/>
    </row>
    <row r="173" spans="2:11">
      <c r="B173" s="121"/>
      <c r="C173" s="1338"/>
      <c r="D173" s="1293" t="s">
        <v>73</v>
      </c>
      <c r="E173" s="1293"/>
      <c r="F173" s="118">
        <v>2027.3</v>
      </c>
      <c r="G173" s="119">
        <v>1872.3</v>
      </c>
      <c r="H173" s="120">
        <v>2169.1999999999998</v>
      </c>
      <c r="I173" s="124"/>
      <c r="J173" s="124"/>
      <c r="K173" s="117"/>
    </row>
    <row r="174" spans="2:11">
      <c r="B174" s="121"/>
      <c r="C174" s="1338"/>
      <c r="D174" s="122" t="s">
        <v>297</v>
      </c>
      <c r="E174" s="123" t="s">
        <v>306</v>
      </c>
      <c r="F174" s="118">
        <v>882.7</v>
      </c>
      <c r="G174" s="119">
        <v>2638.3</v>
      </c>
      <c r="H174" s="120">
        <v>1128.5</v>
      </c>
      <c r="I174" s="97"/>
      <c r="J174" s="117"/>
      <c r="K174" s="117"/>
    </row>
    <row r="175" spans="2:11">
      <c r="B175" s="121"/>
      <c r="C175" s="1338"/>
      <c r="D175" s="122"/>
      <c r="E175" s="125" t="s">
        <v>307</v>
      </c>
      <c r="F175" s="126"/>
      <c r="G175" s="119">
        <v>0</v>
      </c>
      <c r="H175" s="120">
        <v>0</v>
      </c>
      <c r="I175" s="124"/>
      <c r="J175" s="117"/>
      <c r="K175" s="117"/>
    </row>
    <row r="176" spans="2:11">
      <c r="B176" s="121"/>
      <c r="C176" s="1338" t="s">
        <v>308</v>
      </c>
      <c r="D176" s="1293" t="s">
        <v>72</v>
      </c>
      <c r="E176" s="1293"/>
      <c r="F176" s="118">
        <v>1.2</v>
      </c>
      <c r="G176" s="119">
        <v>1.27</v>
      </c>
      <c r="H176" s="120">
        <v>1.7</v>
      </c>
      <c r="I176" s="124"/>
      <c r="J176" s="124"/>
      <c r="K176" s="117"/>
    </row>
    <row r="177" spans="2:11">
      <c r="B177" s="121"/>
      <c r="C177" s="1338"/>
      <c r="D177" s="1293" t="s">
        <v>73</v>
      </c>
      <c r="E177" s="1293"/>
      <c r="F177" s="118">
        <v>2145.6999999999998</v>
      </c>
      <c r="G177" s="119">
        <v>2047</v>
      </c>
      <c r="H177" s="120">
        <v>2228.9</v>
      </c>
      <c r="I177" s="124"/>
      <c r="J177" s="124"/>
      <c r="K177" s="117"/>
    </row>
    <row r="178" spans="2:11">
      <c r="B178" s="121"/>
      <c r="C178" s="1338"/>
      <c r="D178" s="122" t="s">
        <v>297</v>
      </c>
      <c r="E178" s="123" t="s">
        <v>309</v>
      </c>
      <c r="F178" s="118">
        <v>4896.1000000000004</v>
      </c>
      <c r="G178" s="119">
        <v>7431.6</v>
      </c>
      <c r="H178" s="120">
        <v>1083.7</v>
      </c>
      <c r="I178" s="97"/>
      <c r="J178" s="117"/>
      <c r="K178" s="117"/>
    </row>
    <row r="179" spans="2:11">
      <c r="B179" s="121"/>
      <c r="C179" s="1338"/>
      <c r="D179" s="122"/>
      <c r="E179" s="10" t="s">
        <v>310</v>
      </c>
      <c r="F179" s="118">
        <v>1736.5</v>
      </c>
      <c r="G179" s="119">
        <v>1726.8</v>
      </c>
      <c r="H179" s="120">
        <v>1083.7</v>
      </c>
      <c r="I179" s="124"/>
      <c r="J179" s="117"/>
      <c r="K179" s="117"/>
    </row>
    <row r="180" spans="2:11">
      <c r="B180" s="121"/>
      <c r="C180" s="1338"/>
      <c r="D180" s="122"/>
      <c r="E180" s="125" t="s">
        <v>311</v>
      </c>
      <c r="F180" s="126"/>
      <c r="G180" s="119">
        <v>0</v>
      </c>
      <c r="H180" s="120">
        <v>0</v>
      </c>
      <c r="I180" s="124"/>
      <c r="J180" s="117"/>
      <c r="K180" s="117"/>
    </row>
    <row r="181" spans="2:11">
      <c r="B181" s="121"/>
      <c r="C181" s="1338" t="s">
        <v>312</v>
      </c>
      <c r="D181" s="1293" t="s">
        <v>72</v>
      </c>
      <c r="E181" s="1293"/>
      <c r="F181" s="118">
        <v>1.1299999999999999</v>
      </c>
      <c r="G181" s="119">
        <v>1.1299999999999999</v>
      </c>
      <c r="H181" s="120">
        <v>1.18</v>
      </c>
      <c r="I181" s="124"/>
      <c r="J181" s="124"/>
      <c r="K181" s="117"/>
    </row>
    <row r="182" spans="2:11">
      <c r="B182" s="121"/>
      <c r="C182" s="1338"/>
      <c r="D182" s="1293" t="s">
        <v>73</v>
      </c>
      <c r="E182" s="1293"/>
      <c r="F182" s="118">
        <v>2704.3</v>
      </c>
      <c r="G182" s="119">
        <v>2841.5</v>
      </c>
      <c r="H182" s="120">
        <v>2901.5</v>
      </c>
      <c r="I182" s="124"/>
      <c r="J182" s="124"/>
      <c r="K182" s="117"/>
    </row>
    <row r="183" spans="2:11">
      <c r="B183" s="121"/>
      <c r="C183" s="1338"/>
      <c r="D183" s="122" t="s">
        <v>297</v>
      </c>
      <c r="E183" s="123" t="s">
        <v>313</v>
      </c>
      <c r="F183" s="118">
        <v>1589</v>
      </c>
      <c r="G183" s="119">
        <v>1890.5</v>
      </c>
      <c r="H183" s="120">
        <v>2076.6999999999998</v>
      </c>
      <c r="I183" s="97"/>
      <c r="J183" s="117"/>
      <c r="K183" s="117"/>
    </row>
    <row r="184" spans="2:11">
      <c r="B184" s="121"/>
      <c r="C184" s="1338"/>
      <c r="D184" s="122"/>
      <c r="E184" s="125" t="s">
        <v>314</v>
      </c>
      <c r="F184" s="126"/>
      <c r="G184" s="119">
        <v>0</v>
      </c>
      <c r="H184" s="120">
        <v>0</v>
      </c>
      <c r="I184" s="124"/>
      <c r="J184" s="117"/>
      <c r="K184" s="117"/>
    </row>
    <row r="185" spans="2:11">
      <c r="B185" s="121"/>
      <c r="C185" s="1338" t="s">
        <v>315</v>
      </c>
      <c r="D185" s="1293" t="s">
        <v>72</v>
      </c>
      <c r="E185" s="1293"/>
      <c r="F185" s="118">
        <v>1.1599999999999999</v>
      </c>
      <c r="G185" s="119">
        <v>1.1599999999999999</v>
      </c>
      <c r="H185" s="120">
        <v>1.22</v>
      </c>
      <c r="I185" s="124"/>
      <c r="J185" s="124"/>
      <c r="K185" s="117"/>
    </row>
    <row r="186" spans="2:11">
      <c r="B186" s="121"/>
      <c r="C186" s="1338"/>
      <c r="D186" s="1293" t="s">
        <v>73</v>
      </c>
      <c r="E186" s="1293"/>
      <c r="F186" s="118">
        <v>2741.5</v>
      </c>
      <c r="G186" s="119">
        <v>2720.3</v>
      </c>
      <c r="H186" s="120">
        <v>2726.7</v>
      </c>
      <c r="I186" s="124"/>
      <c r="J186" s="124"/>
      <c r="K186" s="117"/>
    </row>
    <row r="187" spans="2:11">
      <c r="B187" s="121"/>
      <c r="C187" s="1338"/>
      <c r="D187" s="122" t="s">
        <v>297</v>
      </c>
      <c r="E187" s="123" t="s">
        <v>316</v>
      </c>
      <c r="F187" s="118">
        <v>780.2</v>
      </c>
      <c r="G187" s="119">
        <v>906</v>
      </c>
      <c r="H187" s="120">
        <v>1268.5</v>
      </c>
      <c r="I187" s="97"/>
      <c r="J187" s="117"/>
      <c r="K187" s="117"/>
    </row>
    <row r="188" spans="2:11">
      <c r="B188" s="121"/>
      <c r="C188" s="1338"/>
      <c r="D188" s="122"/>
      <c r="E188" s="125" t="s">
        <v>317</v>
      </c>
      <c r="F188" s="118">
        <v>845.9</v>
      </c>
      <c r="G188" s="119">
        <v>1161.5</v>
      </c>
      <c r="H188" s="120">
        <v>1450.2</v>
      </c>
      <c r="I188" s="124"/>
      <c r="J188" s="117"/>
      <c r="K188" s="117"/>
    </row>
    <row r="189" spans="2:11">
      <c r="B189" s="121"/>
      <c r="C189" s="1338" t="s">
        <v>318</v>
      </c>
      <c r="D189" s="1293" t="s">
        <v>72</v>
      </c>
      <c r="E189" s="1293"/>
      <c r="F189" s="118">
        <v>1.1499999999999999</v>
      </c>
      <c r="G189" s="119">
        <v>1.1399999999999999</v>
      </c>
      <c r="H189" s="120">
        <v>1.1299999999999999</v>
      </c>
      <c r="I189" s="124"/>
      <c r="J189" s="124"/>
      <c r="K189" s="117"/>
    </row>
    <row r="190" spans="2:11">
      <c r="B190" s="121"/>
      <c r="C190" s="1338"/>
      <c r="D190" s="1293" t="s">
        <v>73</v>
      </c>
      <c r="E190" s="1293"/>
      <c r="F190" s="118">
        <v>2667.8</v>
      </c>
      <c r="G190" s="119">
        <v>2594.6999999999998</v>
      </c>
      <c r="H190" s="120">
        <v>2469.6999999999998</v>
      </c>
      <c r="I190" s="124"/>
      <c r="J190" s="124"/>
      <c r="K190" s="117"/>
    </row>
    <row r="191" spans="2:11">
      <c r="B191" s="121"/>
      <c r="C191" s="1338"/>
      <c r="D191" s="122" t="s">
        <v>297</v>
      </c>
      <c r="E191" s="123" t="s">
        <v>319</v>
      </c>
      <c r="F191" s="118">
        <v>18295.8</v>
      </c>
      <c r="G191" s="119">
        <v>11059.8</v>
      </c>
      <c r="H191" s="120">
        <v>5253.5</v>
      </c>
      <c r="I191" s="97"/>
      <c r="J191" s="117"/>
      <c r="K191" s="117"/>
    </row>
    <row r="192" spans="2:11">
      <c r="B192" s="121"/>
      <c r="C192" s="1338"/>
      <c r="D192" s="122"/>
      <c r="E192" s="10" t="s">
        <v>320</v>
      </c>
      <c r="F192" s="118">
        <v>2524.6</v>
      </c>
      <c r="G192" s="119">
        <v>3812.4</v>
      </c>
      <c r="H192" s="120">
        <v>3855.9</v>
      </c>
      <c r="I192" s="124"/>
      <c r="J192" s="117"/>
      <c r="K192" s="117"/>
    </row>
    <row r="193" spans="2:11">
      <c r="B193" s="121"/>
      <c r="C193" s="1338"/>
      <c r="D193" s="122"/>
      <c r="E193" s="125" t="s">
        <v>321</v>
      </c>
      <c r="F193" s="118">
        <v>1316.2</v>
      </c>
      <c r="G193" s="119">
        <v>1475.6</v>
      </c>
      <c r="H193" s="120">
        <v>1850</v>
      </c>
      <c r="I193" s="124"/>
      <c r="J193" s="117"/>
      <c r="K193" s="117"/>
    </row>
    <row r="194" spans="2:11">
      <c r="B194" s="121"/>
      <c r="C194" s="1338" t="s">
        <v>322</v>
      </c>
      <c r="D194" s="1293" t="s">
        <v>72</v>
      </c>
      <c r="E194" s="1293"/>
      <c r="F194" s="118">
        <v>1.1499999999999999</v>
      </c>
      <c r="G194" s="119">
        <v>1.1100000000000001</v>
      </c>
      <c r="H194" s="120">
        <v>1.1299999999999999</v>
      </c>
      <c r="I194" s="124"/>
      <c r="J194" s="124"/>
      <c r="K194" s="117"/>
    </row>
    <row r="195" spans="2:11">
      <c r="B195" s="121"/>
      <c r="C195" s="1338"/>
      <c r="D195" s="1293" t="s">
        <v>73</v>
      </c>
      <c r="E195" s="1293"/>
      <c r="F195" s="118">
        <v>2151.6999999999998</v>
      </c>
      <c r="G195" s="119">
        <v>2138.5</v>
      </c>
      <c r="H195" s="120">
        <v>1908.5</v>
      </c>
      <c r="I195" s="124"/>
      <c r="J195" s="124"/>
      <c r="K195" s="117"/>
    </row>
    <row r="196" spans="2:11">
      <c r="B196" s="121"/>
      <c r="C196" s="1338"/>
      <c r="D196" s="122" t="s">
        <v>297</v>
      </c>
      <c r="E196" s="123" t="s">
        <v>323</v>
      </c>
      <c r="F196" s="118">
        <v>1133.5999999999999</v>
      </c>
      <c r="G196" s="119">
        <v>1907.9</v>
      </c>
      <c r="H196" s="120">
        <v>2360.6</v>
      </c>
      <c r="I196" s="97"/>
      <c r="J196" s="117"/>
      <c r="K196" s="117"/>
    </row>
    <row r="197" spans="2:11">
      <c r="B197" s="121"/>
      <c r="C197" s="1338"/>
      <c r="D197" s="122"/>
      <c r="E197" s="10" t="s">
        <v>324</v>
      </c>
      <c r="F197" s="118">
        <v>718.8</v>
      </c>
      <c r="G197" s="119">
        <v>491.9</v>
      </c>
      <c r="H197" s="120">
        <v>362.6</v>
      </c>
      <c r="I197" s="124"/>
      <c r="J197" s="117"/>
      <c r="K197" s="117"/>
    </row>
    <row r="198" spans="2:11">
      <c r="B198" s="121"/>
      <c r="C198" s="1338"/>
      <c r="D198" s="122"/>
      <c r="E198" s="125" t="s">
        <v>325</v>
      </c>
      <c r="F198" s="126"/>
      <c r="G198" s="119">
        <v>0</v>
      </c>
      <c r="H198" s="120">
        <v>0</v>
      </c>
      <c r="I198" s="124"/>
      <c r="J198" s="117"/>
      <c r="K198" s="117"/>
    </row>
    <row r="199" spans="2:11">
      <c r="B199" s="121"/>
      <c r="C199" s="1338" t="s">
        <v>326</v>
      </c>
      <c r="D199" s="1293" t="s">
        <v>72</v>
      </c>
      <c r="E199" s="1293"/>
      <c r="F199" s="118">
        <v>1.1200000000000001</v>
      </c>
      <c r="G199" s="119">
        <v>1.1299999999999999</v>
      </c>
      <c r="H199" s="120">
        <v>1.1399999999999999</v>
      </c>
      <c r="I199" s="124"/>
      <c r="J199" s="124"/>
      <c r="K199" s="117"/>
    </row>
    <row r="200" spans="2:11">
      <c r="B200" s="121"/>
      <c r="C200" s="1338"/>
      <c r="D200" s="1293" t="s">
        <v>73</v>
      </c>
      <c r="E200" s="1293"/>
      <c r="F200" s="118">
        <v>2242.6</v>
      </c>
      <c r="G200" s="119">
        <v>2123.9</v>
      </c>
      <c r="H200" s="120">
        <v>2397.9</v>
      </c>
      <c r="I200" s="124"/>
      <c r="J200" s="124"/>
      <c r="K200" s="117"/>
    </row>
    <row r="201" spans="2:11">
      <c r="B201" s="121"/>
      <c r="C201" s="1338"/>
      <c r="D201" s="122" t="s">
        <v>297</v>
      </c>
      <c r="E201" s="123" t="s">
        <v>327</v>
      </c>
      <c r="F201" s="118">
        <v>899.8</v>
      </c>
      <c r="G201" s="119">
        <v>916</v>
      </c>
      <c r="H201" s="120">
        <v>921.9</v>
      </c>
      <c r="I201" s="97"/>
      <c r="J201" s="117"/>
      <c r="K201" s="117"/>
    </row>
    <row r="202" spans="2:11">
      <c r="B202" s="121"/>
      <c r="C202" s="1338"/>
      <c r="D202" s="122"/>
      <c r="E202" s="10" t="s">
        <v>328</v>
      </c>
      <c r="F202" s="118">
        <v>2484.9</v>
      </c>
      <c r="G202" s="119">
        <v>1317.6</v>
      </c>
      <c r="H202" s="120">
        <v>1549</v>
      </c>
      <c r="I202" s="124"/>
      <c r="J202" s="117"/>
      <c r="K202" s="117"/>
    </row>
    <row r="203" spans="2:11">
      <c r="B203" s="121"/>
      <c r="C203" s="1338"/>
      <c r="D203" s="122"/>
      <c r="E203" s="10" t="s">
        <v>329</v>
      </c>
      <c r="F203" s="118">
        <v>695.2</v>
      </c>
      <c r="G203" s="119">
        <v>576.9</v>
      </c>
      <c r="H203" s="120">
        <v>296.8</v>
      </c>
      <c r="I203" s="124"/>
      <c r="J203" s="117"/>
      <c r="K203" s="117"/>
    </row>
    <row r="204" spans="2:11">
      <c r="B204" s="121"/>
      <c r="C204" s="1338"/>
      <c r="D204" s="122"/>
      <c r="E204" s="125" t="s">
        <v>330</v>
      </c>
      <c r="F204" s="126"/>
      <c r="G204" s="119">
        <v>0</v>
      </c>
      <c r="H204" s="120">
        <v>0</v>
      </c>
      <c r="I204" s="124"/>
      <c r="J204" s="117"/>
      <c r="K204" s="117"/>
    </row>
    <row r="205" spans="2:11">
      <c r="B205" s="121"/>
      <c r="C205" s="1338" t="s">
        <v>331</v>
      </c>
      <c r="D205" s="1293" t="s">
        <v>72</v>
      </c>
      <c r="E205" s="1293"/>
      <c r="F205" s="118">
        <v>1.0900000000000001</v>
      </c>
      <c r="G205" s="119">
        <v>1.1000000000000001</v>
      </c>
      <c r="H205" s="120">
        <v>1.17</v>
      </c>
      <c r="I205" s="124"/>
      <c r="J205" s="124"/>
      <c r="K205" s="117"/>
    </row>
    <row r="206" spans="2:11">
      <c r="B206" s="121"/>
      <c r="C206" s="1338"/>
      <c r="D206" s="1293" t="s">
        <v>73</v>
      </c>
      <c r="E206" s="1293"/>
      <c r="F206" s="118">
        <v>1959.3</v>
      </c>
      <c r="G206" s="119">
        <v>1842.5</v>
      </c>
      <c r="H206" s="120">
        <v>1934.4</v>
      </c>
      <c r="I206" s="124"/>
      <c r="J206" s="124"/>
      <c r="K206" s="117"/>
    </row>
    <row r="207" spans="2:11">
      <c r="B207" s="121"/>
      <c r="C207" s="1338"/>
      <c r="D207" s="128" t="s">
        <v>297</v>
      </c>
      <c r="E207" s="10" t="s">
        <v>332</v>
      </c>
      <c r="F207" s="118">
        <v>1246.2</v>
      </c>
      <c r="G207" s="119">
        <v>1371.7</v>
      </c>
      <c r="H207" s="120">
        <v>1211.2</v>
      </c>
      <c r="I207" s="97"/>
      <c r="J207" s="117"/>
      <c r="K207" s="117"/>
    </row>
    <row r="208" spans="2:11">
      <c r="B208" s="121"/>
      <c r="C208" s="129" t="s">
        <v>333</v>
      </c>
      <c r="D208" s="1293" t="s">
        <v>297</v>
      </c>
      <c r="E208" s="1293"/>
      <c r="F208" s="118">
        <v>1906.6</v>
      </c>
      <c r="G208" s="119">
        <v>2376.8000000000002</v>
      </c>
      <c r="H208" s="120">
        <v>1793.3</v>
      </c>
      <c r="I208" s="124"/>
      <c r="J208" s="117"/>
      <c r="K208" s="117"/>
    </row>
    <row r="209" spans="1:11">
      <c r="B209" s="121"/>
      <c r="C209" s="129" t="s">
        <v>334</v>
      </c>
      <c r="D209" s="1293" t="s">
        <v>297</v>
      </c>
      <c r="E209" s="1293"/>
      <c r="F209" s="118">
        <v>1218</v>
      </c>
      <c r="G209" s="119">
        <v>1493.4</v>
      </c>
      <c r="H209" s="120">
        <v>1636.6</v>
      </c>
      <c r="I209" s="124"/>
      <c r="J209" s="117"/>
      <c r="K209" s="117"/>
    </row>
    <row r="210" spans="1:11">
      <c r="B210" s="121"/>
      <c r="C210" s="129" t="s">
        <v>148</v>
      </c>
      <c r="D210" s="1293" t="s">
        <v>297</v>
      </c>
      <c r="E210" s="1293"/>
      <c r="F210" s="118">
        <v>2006.4</v>
      </c>
      <c r="G210" s="130">
        <v>2629.1</v>
      </c>
      <c r="H210" s="14">
        <v>2622.2</v>
      </c>
      <c r="I210" s="131"/>
      <c r="J210" s="117"/>
      <c r="K210" s="117"/>
    </row>
    <row r="211" spans="1:11">
      <c r="A211" s="132"/>
    </row>
    <row r="212" spans="1:11">
      <c r="A212" s="132"/>
      <c r="E212" s="50" t="s">
        <v>294</v>
      </c>
      <c r="F212" s="50" t="s">
        <v>295</v>
      </c>
      <c r="G212" s="50" t="s">
        <v>296</v>
      </c>
    </row>
    <row r="213" spans="1:11" ht="14.25">
      <c r="A213" s="132"/>
      <c r="C213" s="1340" t="s">
        <v>963</v>
      </c>
      <c r="D213" s="12" t="s">
        <v>162</v>
      </c>
      <c r="E213" s="133">
        <v>2.19451921932074E-2</v>
      </c>
      <c r="F213" s="134">
        <v>2.0389906641063101E-2</v>
      </c>
      <c r="G213" s="45">
        <v>2.0389906641063101E-2</v>
      </c>
      <c r="K213" s="132"/>
    </row>
    <row r="214" spans="1:11">
      <c r="A214" s="132"/>
      <c r="C214" s="1340"/>
      <c r="D214" s="12" t="s">
        <v>163</v>
      </c>
      <c r="E214" s="135"/>
      <c r="F214" s="134">
        <v>1.1717697268890392E-2</v>
      </c>
      <c r="G214" s="45">
        <v>1.1717697268890392E-2</v>
      </c>
    </row>
    <row r="215" spans="1:11" ht="14.25">
      <c r="A215" s="132"/>
      <c r="C215" s="1341" t="s">
        <v>952</v>
      </c>
      <c r="D215" s="1341"/>
      <c r="E215" s="136">
        <v>1.5067442716211099E-2</v>
      </c>
      <c r="F215" s="137">
        <v>2.8491942738469393E-3</v>
      </c>
      <c r="G215" s="21">
        <v>2.8491942738469393E-3</v>
      </c>
    </row>
    <row r="216" spans="1:11">
      <c r="A216" s="132"/>
      <c r="C216" s="1341" t="s">
        <v>335</v>
      </c>
      <c r="D216" s="1341"/>
      <c r="E216" s="135"/>
      <c r="F216" s="137">
        <v>2.5000000000000001E-3</v>
      </c>
      <c r="G216" s="21">
        <v>2.5000000000000001E-3</v>
      </c>
    </row>
    <row r="217" spans="1:11">
      <c r="A217" s="132"/>
      <c r="C217" s="138"/>
      <c r="D217" s="138"/>
      <c r="E217" s="132"/>
      <c r="F217" s="48"/>
    </row>
    <row r="218" spans="1:11">
      <c r="A218" s="132"/>
      <c r="C218" s="138"/>
      <c r="D218" s="138"/>
      <c r="E218" s="132"/>
      <c r="F218" s="48"/>
    </row>
    <row r="219" spans="1:11" ht="17.25">
      <c r="A219" s="132"/>
      <c r="B219" s="1" t="s">
        <v>165</v>
      </c>
    </row>
    <row r="220" spans="1:11">
      <c r="C220" s="29"/>
      <c r="D220" s="29"/>
      <c r="E220" s="50" t="s">
        <v>294</v>
      </c>
      <c r="F220" s="50" t="s">
        <v>295</v>
      </c>
      <c r="G220" s="50" t="s">
        <v>296</v>
      </c>
    </row>
    <row r="221" spans="1:11">
      <c r="B221" s="1339" t="s">
        <v>164</v>
      </c>
      <c r="C221" s="30" t="s">
        <v>167</v>
      </c>
      <c r="D221" s="31"/>
      <c r="E221" s="32">
        <v>0</v>
      </c>
      <c r="F221" s="39">
        <v>0</v>
      </c>
      <c r="G221" s="139">
        <v>0</v>
      </c>
    </row>
    <row r="222" spans="1:11">
      <c r="B222" s="1339"/>
      <c r="C222" s="30" t="s">
        <v>953</v>
      </c>
      <c r="D222" s="31"/>
      <c r="E222" s="32">
        <v>0.04</v>
      </c>
      <c r="F222" s="39">
        <v>1.847526182580024E-2</v>
      </c>
      <c r="G222" s="139">
        <v>1.847526182580024E-2</v>
      </c>
    </row>
    <row r="223" spans="1:11">
      <c r="B223" s="1339"/>
      <c r="C223" s="30" t="s">
        <v>954</v>
      </c>
      <c r="D223" s="31"/>
      <c r="E223" s="32">
        <v>0.04</v>
      </c>
      <c r="F223" s="39">
        <v>7.2241623343083511E-3</v>
      </c>
      <c r="G223" s="139">
        <v>7.2241623343083511E-3</v>
      </c>
    </row>
    <row r="224" spans="1:11">
      <c r="B224" s="1339"/>
      <c r="C224" s="30" t="s">
        <v>955</v>
      </c>
      <c r="D224" s="31"/>
      <c r="E224" s="32">
        <v>0.04</v>
      </c>
      <c r="F224" s="39">
        <v>1.3556088824767562E-2</v>
      </c>
      <c r="G224" s="139">
        <v>1.3556088824767562E-2</v>
      </c>
    </row>
    <row r="225" spans="2:8">
      <c r="B225" s="1339"/>
      <c r="C225" s="30" t="s">
        <v>956</v>
      </c>
      <c r="D225" s="31"/>
      <c r="E225" s="32">
        <v>0.03</v>
      </c>
      <c r="F225" s="39">
        <v>1.3725746443130241E-2</v>
      </c>
      <c r="G225" s="139">
        <v>1.3725746443130241E-2</v>
      </c>
    </row>
    <row r="226" spans="2:8">
      <c r="B226" s="1339"/>
      <c r="C226" s="30" t="s">
        <v>957</v>
      </c>
      <c r="D226" s="31"/>
      <c r="E226" s="32">
        <v>1.7000000000000001E-2</v>
      </c>
      <c r="F226" s="39">
        <v>1.1550722885777985E-2</v>
      </c>
      <c r="G226" s="139">
        <v>1.1550722885777985E-2</v>
      </c>
    </row>
    <row r="227" spans="2:8">
      <c r="B227" s="1339"/>
      <c r="C227" s="30" t="s">
        <v>958</v>
      </c>
      <c r="D227" s="31"/>
      <c r="E227" s="32">
        <v>0.01</v>
      </c>
      <c r="F227" s="39">
        <v>1.244954496014958E-2</v>
      </c>
      <c r="G227" s="139">
        <v>1.244954496014958E-2</v>
      </c>
    </row>
    <row r="228" spans="2:8">
      <c r="B228" s="1339"/>
      <c r="C228" s="30" t="s">
        <v>959</v>
      </c>
      <c r="D228" s="31"/>
      <c r="E228" s="32">
        <v>0.02</v>
      </c>
      <c r="F228" s="39">
        <v>1.6478369051489101E-2</v>
      </c>
      <c r="G228" s="139">
        <v>1.6478369051489101E-2</v>
      </c>
    </row>
    <row r="229" spans="2:8">
      <c r="B229" s="1339"/>
      <c r="C229" s="30" t="s">
        <v>960</v>
      </c>
      <c r="D229" s="31"/>
      <c r="E229" s="32">
        <v>0.03</v>
      </c>
      <c r="F229" s="39">
        <v>3.969894957130074E-2</v>
      </c>
      <c r="G229" s="139">
        <v>3.969894957130074E-2</v>
      </c>
    </row>
    <row r="230" spans="2:8">
      <c r="B230" s="1339" t="s">
        <v>168</v>
      </c>
      <c r="C230" s="37" t="s">
        <v>726</v>
      </c>
      <c r="D230" s="38"/>
      <c r="E230" s="32">
        <v>0.03</v>
      </c>
      <c r="F230" s="39">
        <v>3.4198459990655114E-2</v>
      </c>
      <c r="G230" s="139">
        <v>3.4198459990655114E-2</v>
      </c>
    </row>
    <row r="231" spans="2:8">
      <c r="B231" s="1339"/>
      <c r="C231" s="37" t="s">
        <v>723</v>
      </c>
      <c r="D231" s="38"/>
      <c r="E231" s="32">
        <v>0.05</v>
      </c>
      <c r="F231" s="39">
        <v>3.868103288815225E-2</v>
      </c>
      <c r="G231" s="139">
        <v>3.868103288815225E-2</v>
      </c>
    </row>
    <row r="232" spans="2:8">
      <c r="B232" s="1339"/>
      <c r="C232" s="37" t="s">
        <v>727</v>
      </c>
      <c r="D232" s="38"/>
      <c r="E232" s="32">
        <v>0.05</v>
      </c>
      <c r="F232" s="39">
        <v>9.4639863189321799E-2</v>
      </c>
      <c r="G232" s="139">
        <v>9.4639863189321799E-2</v>
      </c>
    </row>
    <row r="233" spans="2:8">
      <c r="B233" s="1339"/>
      <c r="C233" s="37" t="s">
        <v>728</v>
      </c>
      <c r="D233" s="38"/>
      <c r="E233" s="32">
        <v>0.05</v>
      </c>
      <c r="F233" s="39">
        <v>4.2927899198314169E-2</v>
      </c>
      <c r="G233" s="139">
        <v>4.2927899198314169E-2</v>
      </c>
    </row>
    <row r="234" spans="2:8">
      <c r="B234" s="1339"/>
      <c r="C234" s="37" t="s">
        <v>729</v>
      </c>
      <c r="D234" s="38"/>
      <c r="E234" s="32">
        <v>0.09</v>
      </c>
      <c r="F234" s="39">
        <v>5.0640744496606223E-2</v>
      </c>
      <c r="G234" s="139">
        <v>5.0640744496606223E-2</v>
      </c>
    </row>
    <row r="235" spans="2:8">
      <c r="B235" s="1339"/>
      <c r="C235" s="37" t="s">
        <v>174</v>
      </c>
      <c r="D235" s="38"/>
      <c r="E235" s="32">
        <v>0.05</v>
      </c>
      <c r="F235" s="39">
        <v>4.0845552559918528E-2</v>
      </c>
      <c r="G235" s="139">
        <v>4.0845552559918528E-2</v>
      </c>
    </row>
    <row r="236" spans="2:8">
      <c r="C236" s="140"/>
      <c r="D236" s="140"/>
      <c r="E236" s="141" t="s">
        <v>336</v>
      </c>
    </row>
    <row r="237" spans="2:8">
      <c r="C237" s="140"/>
      <c r="D237" s="140"/>
      <c r="E237" s="141"/>
    </row>
    <row r="238" spans="2:8" ht="18.75">
      <c r="B238" s="142" t="s">
        <v>337</v>
      </c>
    </row>
    <row r="240" spans="2:8">
      <c r="E240" s="50" t="s">
        <v>294</v>
      </c>
      <c r="F240" s="143" t="s">
        <v>295</v>
      </c>
      <c r="G240" s="50" t="s">
        <v>296</v>
      </c>
      <c r="H240" s="138"/>
    </row>
    <row r="241" spans="2:8" ht="14.25">
      <c r="C241" s="1312" t="s">
        <v>730</v>
      </c>
      <c r="D241" s="144" t="s">
        <v>731</v>
      </c>
      <c r="E241" s="136">
        <v>9.2743652622699804E-2</v>
      </c>
      <c r="F241" s="145">
        <v>0.12048982287232098</v>
      </c>
      <c r="G241" s="146">
        <v>0.12048982287232098</v>
      </c>
    </row>
    <row r="242" spans="2:8" ht="14.25">
      <c r="C242" s="1313"/>
      <c r="D242" s="144" t="s">
        <v>732</v>
      </c>
      <c r="E242" s="136">
        <v>8.6477217439152904E-2</v>
      </c>
      <c r="F242" s="145">
        <v>9.11565343753626E-2</v>
      </c>
      <c r="G242" s="146">
        <v>9.11565343753626E-2</v>
      </c>
    </row>
    <row r="243" spans="2:8" ht="14.25">
      <c r="C243" s="1312" t="s">
        <v>154</v>
      </c>
      <c r="D243" s="144" t="s">
        <v>731</v>
      </c>
      <c r="E243" s="136">
        <v>0.10102172580758299</v>
      </c>
      <c r="F243" s="145">
        <v>0.11182968230510132</v>
      </c>
      <c r="G243" s="146">
        <v>0.11182968230510132</v>
      </c>
    </row>
    <row r="244" spans="2:8" ht="14.25">
      <c r="C244" s="1313"/>
      <c r="D244" s="144" t="s">
        <v>732</v>
      </c>
      <c r="E244" s="136">
        <v>8.12725648910292E-2</v>
      </c>
      <c r="F244" s="145">
        <v>0.108644802660396</v>
      </c>
      <c r="G244" s="146">
        <v>0.108644802660396</v>
      </c>
    </row>
    <row r="245" spans="2:8" ht="14.25">
      <c r="C245" s="1312" t="s">
        <v>733</v>
      </c>
      <c r="D245" s="144" t="s">
        <v>731</v>
      </c>
      <c r="E245" s="133">
        <v>0.133154128787867</v>
      </c>
      <c r="F245" s="145">
        <v>0.14694502293313305</v>
      </c>
      <c r="G245" s="146">
        <v>0.14694502293313305</v>
      </c>
      <c r="H245" s="147"/>
    </row>
    <row r="246" spans="2:8" ht="14.25">
      <c r="C246" s="1313"/>
      <c r="D246" s="144" t="s">
        <v>732</v>
      </c>
      <c r="E246" s="133">
        <v>0.12807805942460701</v>
      </c>
      <c r="F246" s="145">
        <v>0.150142591778095</v>
      </c>
      <c r="G246" s="146">
        <v>0.150142591778095</v>
      </c>
      <c r="H246" s="147"/>
    </row>
    <row r="247" spans="2:8" ht="14.25">
      <c r="C247" s="1312" t="s">
        <v>734</v>
      </c>
      <c r="D247" s="144" t="s">
        <v>731</v>
      </c>
      <c r="E247" s="148">
        <v>0.10568031787539001</v>
      </c>
      <c r="F247" s="145">
        <v>0.1174012673881893</v>
      </c>
      <c r="G247" s="146">
        <v>0.1174012673881893</v>
      </c>
      <c r="H247" s="147"/>
    </row>
    <row r="248" spans="2:8" ht="14.25">
      <c r="C248" s="1313"/>
      <c r="D248" s="144" t="s">
        <v>732</v>
      </c>
      <c r="E248" s="133">
        <v>8.6179314861277903E-2</v>
      </c>
      <c r="F248" s="145">
        <v>9.5504871095251645E-2</v>
      </c>
      <c r="G248" s="146">
        <v>9.5504871095251645E-2</v>
      </c>
      <c r="H248" s="147"/>
    </row>
    <row r="249" spans="2:8" ht="14.25">
      <c r="C249" s="1312" t="s">
        <v>831</v>
      </c>
      <c r="D249" s="144" t="s">
        <v>731</v>
      </c>
      <c r="E249" s="136">
        <v>0.14595109715919799</v>
      </c>
      <c r="F249" s="145">
        <v>0.12043096627391624</v>
      </c>
      <c r="G249" s="146">
        <v>0.12043096627391624</v>
      </c>
      <c r="H249" s="147"/>
    </row>
    <row r="250" spans="2:8" ht="14.25">
      <c r="C250" s="1313"/>
      <c r="D250" s="144" t="s">
        <v>732</v>
      </c>
      <c r="E250" s="136">
        <v>7.9995567870295894E-2</v>
      </c>
      <c r="F250" s="145">
        <v>8.3369917061363027E-2</v>
      </c>
      <c r="G250" s="146">
        <v>8.3369917061363027E-2</v>
      </c>
      <c r="H250" s="147"/>
    </row>
    <row r="251" spans="2:8" ht="14.25">
      <c r="C251" s="1312" t="s">
        <v>832</v>
      </c>
      <c r="D251" s="144" t="s">
        <v>731</v>
      </c>
      <c r="E251" s="136">
        <v>7.4430518750950803E-2</v>
      </c>
      <c r="F251" s="145">
        <v>7.4429750286077873E-2</v>
      </c>
      <c r="G251" s="146">
        <v>7.4429750286077873E-2</v>
      </c>
      <c r="H251" s="147"/>
    </row>
    <row r="252" spans="2:8" ht="14.25">
      <c r="C252" s="1313"/>
      <c r="D252" s="144" t="s">
        <v>732</v>
      </c>
      <c r="E252" s="136">
        <v>6.0854926902666598E-2</v>
      </c>
      <c r="F252" s="145">
        <v>6.598526173192458E-2</v>
      </c>
      <c r="G252" s="146">
        <v>6.598526173192458E-2</v>
      </c>
      <c r="H252" s="147"/>
    </row>
    <row r="253" spans="2:8" ht="14.25">
      <c r="C253" s="1312" t="s">
        <v>833</v>
      </c>
      <c r="D253" s="144" t="s">
        <v>731</v>
      </c>
      <c r="E253" s="136">
        <v>0.15848076122590199</v>
      </c>
      <c r="F253" s="145">
        <v>0.16410438616547263</v>
      </c>
      <c r="G253" s="146">
        <v>0.16410438616547263</v>
      </c>
      <c r="H253" s="147"/>
    </row>
    <row r="254" spans="2:8" ht="14.25">
      <c r="C254" s="1313"/>
      <c r="D254" s="144" t="s">
        <v>732</v>
      </c>
      <c r="E254" s="136">
        <v>8.9681587090582299E-2</v>
      </c>
      <c r="F254" s="145">
        <v>0.14690258776850909</v>
      </c>
      <c r="G254" s="146">
        <v>0.14690258776850909</v>
      </c>
      <c r="H254" s="147"/>
    </row>
    <row r="256" spans="2:8" ht="18.75">
      <c r="B256" s="142" t="s">
        <v>338</v>
      </c>
    </row>
    <row r="258" spans="1:8">
      <c r="E258" s="50" t="s">
        <v>294</v>
      </c>
      <c r="F258" s="143" t="s">
        <v>295</v>
      </c>
      <c r="G258" s="50" t="s">
        <v>296</v>
      </c>
      <c r="H258" s="138"/>
    </row>
    <row r="259" spans="1:8">
      <c r="A259" s="132"/>
      <c r="C259" s="149" t="s">
        <v>339</v>
      </c>
      <c r="D259" s="150" t="s">
        <v>184</v>
      </c>
      <c r="E259" s="135"/>
      <c r="F259" s="137">
        <v>0</v>
      </c>
      <c r="G259" s="21">
        <v>0</v>
      </c>
    </row>
    <row r="260" spans="1:8">
      <c r="A260" s="132"/>
      <c r="C260" s="151"/>
      <c r="D260" s="150" t="s">
        <v>169</v>
      </c>
      <c r="E260" s="135"/>
      <c r="F260" s="137">
        <v>5.3100000000000001E-2</v>
      </c>
      <c r="G260" s="21">
        <v>1.4999999999999999E-2</v>
      </c>
    </row>
    <row r="261" spans="1:8">
      <c r="A261" s="132"/>
      <c r="C261" s="152" t="s">
        <v>340</v>
      </c>
      <c r="D261" s="150" t="s">
        <v>341</v>
      </c>
      <c r="E261" s="135"/>
      <c r="F261" s="137">
        <v>5.3100000000000001E-2</v>
      </c>
      <c r="G261" s="21">
        <v>1.4999999999999999E-2</v>
      </c>
    </row>
    <row r="262" spans="1:8">
      <c r="A262" s="132"/>
      <c r="C262" s="151"/>
      <c r="D262" s="150" t="s">
        <v>342</v>
      </c>
      <c r="E262" s="135"/>
      <c r="F262" s="137">
        <v>5.3100000000000001E-2</v>
      </c>
      <c r="G262" s="21">
        <v>1.4999999999999999E-2</v>
      </c>
    </row>
    <row r="263" spans="1:8">
      <c r="A263" s="132"/>
      <c r="C263" s="151"/>
      <c r="D263" s="150" t="s">
        <v>1368</v>
      </c>
      <c r="E263" s="135"/>
      <c r="F263" s="137">
        <v>5.3100000000000001E-2</v>
      </c>
      <c r="G263" s="21">
        <v>1.4999999999999999E-2</v>
      </c>
    </row>
    <row r="264" spans="1:8">
      <c r="A264" s="132"/>
      <c r="C264" s="151"/>
      <c r="D264" s="150" t="s">
        <v>174</v>
      </c>
      <c r="E264" s="135"/>
      <c r="F264" s="137">
        <v>5.3100000000000001E-2</v>
      </c>
      <c r="G264" s="21">
        <v>1.4999999999999999E-2</v>
      </c>
    </row>
    <row r="265" spans="1:8">
      <c r="A265" s="132"/>
      <c r="C265" s="153"/>
      <c r="D265" s="150" t="s">
        <v>343</v>
      </c>
      <c r="E265" s="135"/>
      <c r="F265" s="137">
        <v>5.3100000000000001E-2</v>
      </c>
      <c r="G265" s="21">
        <v>0.02</v>
      </c>
    </row>
  </sheetData>
  <mergeCells count="75">
    <mergeCell ref="H46:J46"/>
    <mergeCell ref="E57:G57"/>
    <mergeCell ref="H57:J57"/>
    <mergeCell ref="E109:F109"/>
    <mergeCell ref="C151:D151"/>
    <mergeCell ref="C141:D141"/>
    <mergeCell ref="C142:D142"/>
    <mergeCell ref="C149:D149"/>
    <mergeCell ref="I136:J136"/>
    <mergeCell ref="J108:L108"/>
    <mergeCell ref="E46:G46"/>
    <mergeCell ref="C139:D139"/>
    <mergeCell ref="C140:D140"/>
    <mergeCell ref="C253:C254"/>
    <mergeCell ref="C241:C242"/>
    <mergeCell ref="C243:C244"/>
    <mergeCell ref="C245:C246"/>
    <mergeCell ref="C247:C248"/>
    <mergeCell ref="C249:C250"/>
    <mergeCell ref="C251:C252"/>
    <mergeCell ref="C45:D45"/>
    <mergeCell ref="C150:D150"/>
    <mergeCell ref="D176:E176"/>
    <mergeCell ref="D172:E172"/>
    <mergeCell ref="D173:E173"/>
    <mergeCell ref="C138:D138"/>
    <mergeCell ref="D161:E161"/>
    <mergeCell ref="C153:D153"/>
    <mergeCell ref="C155:D155"/>
    <mergeCell ref="C154:D154"/>
    <mergeCell ref="C3:D3"/>
    <mergeCell ref="C38:D38"/>
    <mergeCell ref="C39:D39"/>
    <mergeCell ref="C40:D40"/>
    <mergeCell ref="C189:C193"/>
    <mergeCell ref="C152:D152"/>
    <mergeCell ref="D168:E168"/>
    <mergeCell ref="D182:E182"/>
    <mergeCell ref="D177:E177"/>
    <mergeCell ref="C68:D68"/>
    <mergeCell ref="C109:D109"/>
    <mergeCell ref="C135:D135"/>
    <mergeCell ref="C176:C180"/>
    <mergeCell ref="C172:C175"/>
    <mergeCell ref="C147:D147"/>
    <mergeCell ref="C137:D137"/>
    <mergeCell ref="C194:C198"/>
    <mergeCell ref="C162:C166"/>
    <mergeCell ref="C167:C171"/>
    <mergeCell ref="D162:E162"/>
    <mergeCell ref="D163:E163"/>
    <mergeCell ref="D167:E167"/>
    <mergeCell ref="C181:C184"/>
    <mergeCell ref="D181:E181"/>
    <mergeCell ref="D189:E189"/>
    <mergeCell ref="D190:E190"/>
    <mergeCell ref="D195:E195"/>
    <mergeCell ref="D194:E194"/>
    <mergeCell ref="D186:E186"/>
    <mergeCell ref="C185:C188"/>
    <mergeCell ref="D185:E185"/>
    <mergeCell ref="B230:B235"/>
    <mergeCell ref="C213:C214"/>
    <mergeCell ref="C216:D216"/>
    <mergeCell ref="C215:D215"/>
    <mergeCell ref="D210:E210"/>
    <mergeCell ref="C199:C204"/>
    <mergeCell ref="C205:C207"/>
    <mergeCell ref="D208:E208"/>
    <mergeCell ref="D209:E209"/>
    <mergeCell ref="B221:B229"/>
    <mergeCell ref="D199:E199"/>
    <mergeCell ref="D200:E200"/>
    <mergeCell ref="D205:E205"/>
    <mergeCell ref="D206:E206"/>
  </mergeCells>
  <phoneticPr fontId="2"/>
  <pageMargins left="0.16" right="0.16" top="0.18" bottom="0.19" header="0.16" footer="0.16"/>
  <pageSetup paperSize="9" fitToHeight="0" orientation="portrait" cellComments="asDisplayed" r:id="rId1"/>
  <headerFooter alignWithMargins="0"/>
  <rowBreaks count="4" manualBreakCount="4">
    <brk id="65" max="12" man="1"/>
    <brk id="106" max="12" man="1"/>
    <brk id="158" max="12" man="1"/>
    <brk id="217" max="12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">
    <pageSetUpPr fitToPage="1"/>
  </sheetPr>
  <dimension ref="A1:CP198"/>
  <sheetViews>
    <sheetView showGridLines="0" tabSelected="1" topLeftCell="A4" zoomScale="120" zoomScaleNormal="120" zoomScaleSheetLayoutView="90" workbookViewId="0">
      <selection activeCell="H21" sqref="H21"/>
    </sheetView>
  </sheetViews>
  <sheetFormatPr defaultColWidth="6.875" defaultRowHeight="11.25" customHeight="1"/>
  <cols>
    <col min="1" max="1" width="1.375" style="488" customWidth="1"/>
    <col min="2" max="13" width="6.75" style="488" customWidth="1"/>
    <col min="14" max="14" width="6.75" style="487" customWidth="1"/>
    <col min="15" max="15" width="6.75" style="488" customWidth="1"/>
    <col min="16" max="17" width="6.75" style="834" customWidth="1"/>
    <col min="18" max="25" width="6.75" style="497" customWidth="1"/>
    <col min="26" max="26" width="6.75" style="601" customWidth="1"/>
    <col min="27" max="27" width="6.75" style="600" customWidth="1"/>
    <col min="28" max="36" width="6.75" style="488" customWidth="1"/>
    <col min="37" max="37" width="1.75" style="488" customWidth="1"/>
    <col min="38" max="44" width="7.375" style="488" customWidth="1"/>
    <col min="45" max="45" width="7.625" style="488" bestFit="1" customWidth="1"/>
    <col min="46" max="63" width="7" style="488" bestFit="1" customWidth="1"/>
    <col min="64" max="64" width="6.875" style="488"/>
    <col min="65" max="65" width="7" style="488" bestFit="1" customWidth="1"/>
    <col min="66" max="67" width="7.5" style="488" bestFit="1" customWidth="1"/>
    <col min="68" max="69" width="7" style="488" bestFit="1" customWidth="1"/>
    <col min="70" max="71" width="7.625" style="488" bestFit="1" customWidth="1"/>
    <col min="72" max="78" width="7" style="488" bestFit="1" customWidth="1"/>
    <col min="79" max="79" width="6.875" style="488"/>
    <col min="80" max="87" width="7" style="488" bestFit="1" customWidth="1"/>
    <col min="88" max="16384" width="6.875" style="488"/>
  </cols>
  <sheetData>
    <row r="1" spans="2:89" ht="15" customHeight="1" thickBot="1">
      <c r="B1" s="1451" t="s">
        <v>1386</v>
      </c>
      <c r="C1" s="1451"/>
      <c r="D1" s="1451"/>
      <c r="E1" s="1451"/>
      <c r="F1" s="1451"/>
      <c r="G1" s="1451"/>
      <c r="H1" s="490"/>
      <c r="I1" s="490"/>
      <c r="J1" s="1094"/>
      <c r="K1" s="1094"/>
      <c r="L1" s="1094"/>
      <c r="M1" s="487"/>
      <c r="N1" s="834"/>
      <c r="P1" s="488"/>
      <c r="Q1" s="488"/>
      <c r="R1" s="834"/>
      <c r="U1" s="488"/>
      <c r="V1" s="488"/>
      <c r="W1" s="488"/>
      <c r="X1" s="488"/>
      <c r="Y1" s="488"/>
      <c r="Z1" s="488"/>
      <c r="AA1" s="488"/>
      <c r="AL1" s="758"/>
      <c r="AM1" s="758"/>
      <c r="AN1" s="758"/>
      <c r="AO1" s="758"/>
      <c r="AP1" s="758"/>
      <c r="AQ1" s="758"/>
      <c r="AR1" s="758"/>
      <c r="AS1" s="758"/>
      <c r="AT1" s="758"/>
      <c r="AU1" s="758"/>
      <c r="AV1" s="758"/>
      <c r="AW1" s="490" t="s">
        <v>1496</v>
      </c>
      <c r="BA1" s="1095" t="s">
        <v>1679</v>
      </c>
      <c r="BF1" s="1095" t="s">
        <v>1680</v>
      </c>
      <c r="BJ1" s="491" t="s">
        <v>1497</v>
      </c>
      <c r="BK1" s="492"/>
      <c r="BL1" s="493"/>
      <c r="BM1" s="493"/>
      <c r="BN1" s="853"/>
      <c r="BO1" s="493"/>
      <c r="BP1" s="491" t="s">
        <v>1498</v>
      </c>
      <c r="BQ1" s="587"/>
      <c r="BR1" s="587"/>
      <c r="BS1" s="587"/>
    </row>
    <row r="2" spans="2:89" ht="15" customHeight="1">
      <c r="B2" s="1452"/>
      <c r="C2" s="1452"/>
      <c r="D2" s="1452"/>
      <c r="E2" s="1452"/>
      <c r="F2" s="1452"/>
      <c r="G2" s="1452"/>
      <c r="J2" s="494"/>
      <c r="K2" s="494"/>
      <c r="L2" s="494"/>
      <c r="U2" s="599" t="s">
        <v>1387</v>
      </c>
      <c r="V2" s="488"/>
      <c r="W2" s="488"/>
      <c r="X2" s="488"/>
      <c r="Y2" s="488"/>
      <c r="Z2" s="489"/>
      <c r="AA2" s="760"/>
      <c r="AB2" s="1096"/>
      <c r="AC2" s="1096"/>
      <c r="AD2" s="1096"/>
      <c r="AE2" s="601"/>
      <c r="AF2" s="631"/>
      <c r="AG2" s="1542"/>
      <c r="AH2" s="1542"/>
      <c r="AI2" s="631"/>
      <c r="AL2" s="945"/>
      <c r="AM2" s="945"/>
      <c r="AN2" s="945"/>
      <c r="AO2" s="945"/>
      <c r="AP2" s="945"/>
      <c r="AQ2" s="874"/>
      <c r="AR2" s="946"/>
      <c r="AS2" s="945"/>
      <c r="AT2" s="945"/>
      <c r="AU2" s="945"/>
      <c r="AV2" s="945"/>
      <c r="AW2" s="1518"/>
      <c r="AX2" s="1514" t="s">
        <v>1501</v>
      </c>
      <c r="AY2" s="1516" t="s">
        <v>1502</v>
      </c>
      <c r="AZ2" s="1520" t="s">
        <v>1503</v>
      </c>
      <c r="BA2" s="498"/>
      <c r="BB2" s="1514" t="s">
        <v>1501</v>
      </c>
      <c r="BC2" s="1516" t="s">
        <v>1502</v>
      </c>
      <c r="BD2" s="1520" t="s">
        <v>1503</v>
      </c>
      <c r="BE2" s="1512"/>
      <c r="BF2" s="1508" t="s">
        <v>1504</v>
      </c>
      <c r="BG2" s="1500" t="s">
        <v>1505</v>
      </c>
      <c r="BH2" s="1500" t="s">
        <v>1506</v>
      </c>
      <c r="BI2" s="1502"/>
      <c r="BJ2" s="1506" t="s">
        <v>1507</v>
      </c>
      <c r="BK2" s="1504" t="s">
        <v>1508</v>
      </c>
      <c r="BL2" s="1511"/>
      <c r="BM2" s="1506" t="s">
        <v>1507</v>
      </c>
      <c r="BN2" s="1504" t="s">
        <v>1508</v>
      </c>
      <c r="BO2" s="1505"/>
      <c r="BQ2" s="853"/>
      <c r="BR2" s="853"/>
      <c r="BS2" s="499" t="s">
        <v>1509</v>
      </c>
      <c r="BT2" s="499" t="s">
        <v>1510</v>
      </c>
      <c r="BU2" s="499" t="s">
        <v>1511</v>
      </c>
      <c r="BV2" s="500" t="s">
        <v>1512</v>
      </c>
      <c r="BW2" s="490"/>
    </row>
    <row r="3" spans="2:89" ht="15" customHeight="1">
      <c r="B3" s="501" t="s">
        <v>767</v>
      </c>
      <c r="C3" s="502"/>
      <c r="D3" s="502"/>
      <c r="E3" s="1487"/>
      <c r="F3" s="1488"/>
      <c r="G3" s="1489"/>
      <c r="J3" s="503"/>
      <c r="K3" s="503"/>
      <c r="L3" s="503"/>
      <c r="N3" s="503"/>
      <c r="P3" s="504"/>
      <c r="Q3" s="504"/>
      <c r="R3" s="494"/>
      <c r="S3" s="494"/>
      <c r="T3" s="494"/>
      <c r="U3" s="800" t="s">
        <v>1593</v>
      </c>
      <c r="V3" s="843" t="s">
        <v>1589</v>
      </c>
      <c r="W3" s="840"/>
      <c r="X3" s="840"/>
      <c r="Y3" s="840"/>
      <c r="Z3" s="844"/>
      <c r="AA3" s="847" t="s">
        <v>1604</v>
      </c>
      <c r="AB3" s="847" t="s">
        <v>777</v>
      </c>
      <c r="AC3" s="847"/>
      <c r="AD3" s="847"/>
      <c r="AE3" s="847" t="s">
        <v>1610</v>
      </c>
      <c r="AF3" s="847" t="s">
        <v>1499</v>
      </c>
      <c r="AG3" s="847" t="s">
        <v>1500</v>
      </c>
      <c r="AH3" s="1540" t="s">
        <v>1585</v>
      </c>
      <c r="AI3" s="1540" t="s">
        <v>1681</v>
      </c>
      <c r="AJ3" s="849" t="s">
        <v>1609</v>
      </c>
      <c r="AK3" s="489"/>
      <c r="AL3" s="945"/>
      <c r="AM3" s="945"/>
      <c r="AN3" s="948"/>
      <c r="AO3" s="949"/>
      <c r="AP3" s="949"/>
      <c r="AQ3" s="874"/>
      <c r="AR3" s="949"/>
      <c r="AS3" s="949"/>
      <c r="AT3" s="948"/>
      <c r="AU3" s="923"/>
      <c r="AV3" s="923"/>
      <c r="AW3" s="1519"/>
      <c r="AX3" s="1515"/>
      <c r="AY3" s="1517"/>
      <c r="AZ3" s="1521"/>
      <c r="BA3" s="505"/>
      <c r="BB3" s="1515"/>
      <c r="BC3" s="1517"/>
      <c r="BD3" s="1521"/>
      <c r="BE3" s="1513"/>
      <c r="BF3" s="1509"/>
      <c r="BG3" s="1501"/>
      <c r="BH3" s="1501"/>
      <c r="BI3" s="1503"/>
      <c r="BJ3" s="1507"/>
      <c r="BK3" s="506" t="s">
        <v>1513</v>
      </c>
      <c r="BL3" s="507" t="s">
        <v>1514</v>
      </c>
      <c r="BM3" s="1507"/>
      <c r="BN3" s="506" t="s">
        <v>1513</v>
      </c>
      <c r="BO3" s="508" t="s">
        <v>1514</v>
      </c>
      <c r="BP3" s="509" t="s">
        <v>1515</v>
      </c>
      <c r="BQ3" s="510"/>
      <c r="BR3" s="511"/>
      <c r="BS3" s="512">
        <v>7.4999999999999997E-3</v>
      </c>
      <c r="BT3" s="512">
        <v>7.7000000000000002E-3</v>
      </c>
      <c r="BU3" s="512">
        <v>7.4999999999999997E-3</v>
      </c>
      <c r="BV3" s="513">
        <v>2.2700000000000001E-2</v>
      </c>
      <c r="BW3" s="490">
        <v>1</v>
      </c>
    </row>
    <row r="4" spans="2:89" ht="15" customHeight="1">
      <c r="B4" s="514" t="s">
        <v>1612</v>
      </c>
      <c r="C4" s="515"/>
      <c r="D4" s="515"/>
      <c r="E4" s="1466">
        <v>2.2000000000000002</v>
      </c>
      <c r="F4" s="1467"/>
      <c r="G4" s="1468"/>
      <c r="L4" s="1111" t="s">
        <v>1616</v>
      </c>
      <c r="M4" s="1112"/>
      <c r="N4" s="1113"/>
      <c r="O4" s="495" t="s">
        <v>771</v>
      </c>
      <c r="P4" s="495" t="s">
        <v>772</v>
      </c>
      <c r="Q4" s="867" t="s">
        <v>1380</v>
      </c>
      <c r="R4" s="496"/>
      <c r="S4" s="503"/>
      <c r="T4" s="517"/>
      <c r="U4" s="801"/>
      <c r="V4" s="845"/>
      <c r="W4" s="846"/>
      <c r="X4" s="846"/>
      <c r="Y4" s="846"/>
      <c r="Z4" s="842"/>
      <c r="AA4" s="848"/>
      <c r="AB4" s="848"/>
      <c r="AC4" s="848"/>
      <c r="AD4" s="848"/>
      <c r="AE4" s="848"/>
      <c r="AF4" s="848"/>
      <c r="AG4" s="848"/>
      <c r="AH4" s="1541"/>
      <c r="AI4" s="1541"/>
      <c r="AJ4" s="850"/>
      <c r="AK4" s="520"/>
      <c r="AL4" s="945"/>
      <c r="AM4" s="945"/>
      <c r="AN4" s="948"/>
      <c r="AO4" s="949"/>
      <c r="AP4" s="949"/>
      <c r="AQ4" s="874"/>
      <c r="AR4" s="949"/>
      <c r="AS4" s="949"/>
      <c r="AT4" s="948"/>
      <c r="AU4" s="923"/>
      <c r="AV4" s="923"/>
      <c r="AW4" s="941" t="s">
        <v>1516</v>
      </c>
      <c r="AX4" s="521">
        <v>4.2000000000000003E-2</v>
      </c>
      <c r="AY4" s="522">
        <v>6.3899999999999998E-2</v>
      </c>
      <c r="AZ4" s="523">
        <v>0</v>
      </c>
      <c r="BA4" s="524"/>
      <c r="BB4" s="525">
        <v>2.4400000000000002E-2</v>
      </c>
      <c r="BC4" s="525">
        <v>8.2299999999999998E-2</v>
      </c>
      <c r="BD4" s="523">
        <v>0</v>
      </c>
      <c r="BE4" s="526" t="s">
        <v>713</v>
      </c>
      <c r="BF4" s="527">
        <v>0.13800000000000001</v>
      </c>
      <c r="BG4" s="528">
        <v>0.128</v>
      </c>
      <c r="BH4" s="528">
        <v>1.6E-2</v>
      </c>
      <c r="BI4" s="522" t="s">
        <v>1517</v>
      </c>
      <c r="BJ4" s="529" t="s">
        <v>1518</v>
      </c>
      <c r="BK4" s="528">
        <v>0</v>
      </c>
      <c r="BL4" s="530"/>
      <c r="BM4" s="531" t="s">
        <v>1519</v>
      </c>
      <c r="BN4" s="528">
        <v>4.5400000000000003E-2</v>
      </c>
      <c r="BO4" s="532" t="s">
        <v>1277</v>
      </c>
      <c r="BP4" s="509" t="s">
        <v>1520</v>
      </c>
      <c r="BQ4" s="510"/>
      <c r="BR4" s="511"/>
      <c r="BS4" s="512">
        <v>0</v>
      </c>
      <c r="BT4" s="512">
        <v>7.7000000000000002E-3</v>
      </c>
      <c r="BU4" s="512">
        <v>7.4999999999999997E-3</v>
      </c>
      <c r="BV4" s="513">
        <v>1.5299999999999999E-2</v>
      </c>
      <c r="BW4" s="490">
        <v>2</v>
      </c>
      <c r="CG4" s="1097"/>
    </row>
    <row r="5" spans="2:89" ht="15" customHeight="1">
      <c r="B5" s="514" t="s">
        <v>1611</v>
      </c>
      <c r="C5" s="587"/>
      <c r="E5" s="1466">
        <v>105</v>
      </c>
      <c r="F5" s="1467"/>
      <c r="G5" s="1468"/>
      <c r="H5" s="516" t="s">
        <v>1383</v>
      </c>
      <c r="L5" s="824" t="s">
        <v>1384</v>
      </c>
      <c r="M5" s="859"/>
      <c r="N5" s="825"/>
      <c r="O5" s="533"/>
      <c r="P5" s="533"/>
      <c r="Q5" s="533"/>
      <c r="R5" s="534"/>
      <c r="S5" s="503"/>
      <c r="T5" s="517"/>
      <c r="U5" s="518" t="s">
        <v>1</v>
      </c>
      <c r="V5" s="761" t="s">
        <v>1605</v>
      </c>
      <c r="W5" s="761"/>
      <c r="X5" s="761"/>
      <c r="Y5" s="761"/>
      <c r="Z5" s="762"/>
      <c r="AA5" s="1258"/>
      <c r="AB5" s="1259"/>
      <c r="AC5" s="1259"/>
      <c r="AD5" s="1259"/>
      <c r="AE5" s="1260"/>
      <c r="AF5" s="1261"/>
      <c r="AG5" s="1261"/>
      <c r="AH5" s="769">
        <f>MTMH!E15</f>
        <v>297.65682297992913</v>
      </c>
      <c r="AI5" s="519">
        <f>MTMH!E16</f>
        <v>543.66751070794862</v>
      </c>
      <c r="AJ5" s="841"/>
      <c r="AK5" s="520"/>
      <c r="AL5" s="945"/>
      <c r="AM5" s="945"/>
      <c r="AN5" s="948"/>
      <c r="AO5" s="949"/>
      <c r="AP5" s="949"/>
      <c r="AQ5" s="874"/>
      <c r="AR5" s="949"/>
      <c r="AS5" s="949"/>
      <c r="AT5" s="948"/>
      <c r="AU5" s="923"/>
      <c r="AV5" s="923"/>
      <c r="AW5" s="942" t="s">
        <v>828</v>
      </c>
      <c r="AX5" s="536">
        <v>0.13689999999999999</v>
      </c>
      <c r="AY5" s="537">
        <v>0.12429999999999999</v>
      </c>
      <c r="AZ5" s="538">
        <v>0</v>
      </c>
      <c r="BA5" s="539"/>
      <c r="BB5" s="540">
        <v>4.7699999999999999E-2</v>
      </c>
      <c r="BC5" s="540">
        <v>7.3200000000000001E-2</v>
      </c>
      <c r="BD5" s="538">
        <v>0</v>
      </c>
      <c r="BE5" s="541" t="s">
        <v>836</v>
      </c>
      <c r="BF5" s="542">
        <v>0.128</v>
      </c>
      <c r="BG5" s="543">
        <v>8.2000000000000003E-2</v>
      </c>
      <c r="BH5" s="543">
        <v>6.5000000000000002E-2</v>
      </c>
      <c r="BI5" s="537" t="s">
        <v>1517</v>
      </c>
      <c r="BJ5" s="544" t="s">
        <v>1521</v>
      </c>
      <c r="BK5" s="543">
        <v>7.0000000000000001E-3</v>
      </c>
      <c r="BL5" s="545"/>
      <c r="BM5" s="546" t="s">
        <v>834</v>
      </c>
      <c r="BN5" s="547" t="s">
        <v>1522</v>
      </c>
      <c r="BO5" s="548">
        <v>0</v>
      </c>
      <c r="BP5" s="1098" t="s">
        <v>1682</v>
      </c>
      <c r="BQ5" s="510"/>
      <c r="BR5" s="510"/>
      <c r="BS5" s="512">
        <v>0</v>
      </c>
      <c r="BT5" s="512">
        <v>0</v>
      </c>
      <c r="BU5" s="512">
        <v>7.4999999999999997E-3</v>
      </c>
      <c r="BV5" s="513">
        <f>SUM(BS5:BU5)</f>
        <v>7.4999999999999997E-3</v>
      </c>
      <c r="BW5" s="490">
        <v>3</v>
      </c>
      <c r="CG5" s="1097" t="s">
        <v>778</v>
      </c>
    </row>
    <row r="6" spans="2:89" ht="15" customHeight="1">
      <c r="B6" s="797" t="s">
        <v>1591</v>
      </c>
      <c r="C6" s="1025"/>
      <c r="D6" s="798"/>
      <c r="E6" s="1453">
        <v>0.02</v>
      </c>
      <c r="F6" s="1454"/>
      <c r="G6" s="1455"/>
      <c r="H6" s="488" t="s">
        <v>1381</v>
      </c>
      <c r="L6" s="824" t="s">
        <v>776</v>
      </c>
      <c r="M6" s="859"/>
      <c r="N6" s="825"/>
      <c r="O6" s="533">
        <f>'Resin Recycle'!I5</f>
        <v>304.5</v>
      </c>
      <c r="P6" s="533"/>
      <c r="Q6" s="533"/>
      <c r="R6" s="534"/>
      <c r="S6" s="503"/>
      <c r="T6" s="494"/>
      <c r="U6" s="535" t="s">
        <v>2</v>
      </c>
      <c r="V6" s="763" t="s">
        <v>1606</v>
      </c>
      <c r="W6" s="763"/>
      <c r="X6" s="763"/>
      <c r="Y6" s="763"/>
      <c r="Z6" s="764"/>
      <c r="AA6" s="1262"/>
      <c r="AB6" s="1263"/>
      <c r="AC6" s="1263"/>
      <c r="AD6" s="1263"/>
      <c r="AE6" s="1264"/>
      <c r="AF6" s="1265"/>
      <c r="AG6" s="1265"/>
      <c r="AH6" s="769">
        <f>AH5*2</f>
        <v>595.31364595985826</v>
      </c>
      <c r="AI6" s="770">
        <f>MTMH!E17</f>
        <v>681.9207549323736</v>
      </c>
      <c r="AJ6" s="855"/>
      <c r="AK6" s="549"/>
      <c r="AL6" s="1099"/>
      <c r="AM6" s="1099"/>
      <c r="AN6" s="948"/>
      <c r="AO6" s="950"/>
      <c r="AP6" s="950"/>
      <c r="AQ6" s="874"/>
      <c r="AR6" s="951"/>
      <c r="AS6" s="951"/>
      <c r="AT6" s="948"/>
      <c r="AU6" s="923"/>
      <c r="AV6" s="923"/>
      <c r="AW6" s="942" t="s">
        <v>1523</v>
      </c>
      <c r="AX6" s="536">
        <v>0.13439999999999999</v>
      </c>
      <c r="AY6" s="537">
        <v>0.10249999999999999</v>
      </c>
      <c r="AZ6" s="538">
        <v>0</v>
      </c>
      <c r="BA6" s="539"/>
      <c r="BB6" s="540">
        <v>0.1045467823169665</v>
      </c>
      <c r="BC6" s="540">
        <v>0.13971240193416068</v>
      </c>
      <c r="BD6" s="538">
        <v>0</v>
      </c>
      <c r="BE6" s="541" t="s">
        <v>835</v>
      </c>
      <c r="BF6" s="542">
        <v>6.9000000000000006E-2</v>
      </c>
      <c r="BG6" s="543">
        <v>7.6600000000000001E-2</v>
      </c>
      <c r="BH6" s="543">
        <v>5.8000000000000003E-2</v>
      </c>
      <c r="BI6" s="537" t="s">
        <v>1517</v>
      </c>
      <c r="BJ6" s="544" t="s">
        <v>1524</v>
      </c>
      <c r="BK6" s="543">
        <v>7.3000000000000001E-3</v>
      </c>
      <c r="BL6" s="545"/>
      <c r="BM6" s="546" t="s">
        <v>961</v>
      </c>
      <c r="BN6" s="547" t="s">
        <v>1522</v>
      </c>
      <c r="BO6" s="548">
        <v>0</v>
      </c>
      <c r="CG6" s="1097" t="s">
        <v>779</v>
      </c>
    </row>
    <row r="7" spans="2:89" ht="15" customHeight="1">
      <c r="B7" s="797" t="s">
        <v>1613</v>
      </c>
      <c r="C7" s="1025"/>
      <c r="D7" s="798"/>
      <c r="E7" s="1497">
        <v>24</v>
      </c>
      <c r="F7" s="1498"/>
      <c r="G7" s="1499"/>
      <c r="H7" s="488" t="s">
        <v>1382</v>
      </c>
      <c r="L7" s="824" t="s">
        <v>773</v>
      </c>
      <c r="M7" s="859"/>
      <c r="N7" s="825"/>
      <c r="O7" s="550">
        <f>'Resin Recycle'!I7</f>
        <v>207.9</v>
      </c>
      <c r="P7" s="551"/>
      <c r="Q7" s="533"/>
      <c r="R7" s="534"/>
      <c r="S7" s="503"/>
      <c r="T7" s="494"/>
      <c r="U7" s="535" t="s">
        <v>3</v>
      </c>
      <c r="V7" s="763" t="s">
        <v>1607</v>
      </c>
      <c r="W7" s="763"/>
      <c r="X7" s="763"/>
      <c r="Y7" s="763"/>
      <c r="Z7" s="764"/>
      <c r="AA7" s="1262"/>
      <c r="AB7" s="1263"/>
      <c r="AC7" s="1263"/>
      <c r="AD7" s="1263"/>
      <c r="AE7" s="1264"/>
      <c r="AF7" s="1265"/>
      <c r="AG7" s="1265"/>
      <c r="AH7" s="771"/>
      <c r="AI7" s="772"/>
      <c r="AJ7" s="773"/>
      <c r="AK7" s="549"/>
      <c r="AL7" s="1099"/>
      <c r="AM7" s="1099"/>
      <c r="AN7" s="948"/>
      <c r="AO7" s="950"/>
      <c r="AP7" s="950"/>
      <c r="AQ7" s="874"/>
      <c r="AR7" s="951"/>
      <c r="AS7" s="951"/>
      <c r="AT7" s="948"/>
      <c r="AU7" s="923"/>
      <c r="AV7" s="923"/>
      <c r="AW7" s="942" t="s">
        <v>1525</v>
      </c>
      <c r="AX7" s="536">
        <v>7.0999999999999994E-2</v>
      </c>
      <c r="AY7" s="537">
        <v>6.6900000000000001E-2</v>
      </c>
      <c r="AZ7" s="538">
        <v>0</v>
      </c>
      <c r="BA7" s="539"/>
      <c r="BB7" s="540">
        <v>3.3300000000000003E-2</v>
      </c>
      <c r="BC7" s="540">
        <v>8.2199999999999995E-2</v>
      </c>
      <c r="BD7" s="538">
        <v>0</v>
      </c>
      <c r="BE7" s="541" t="s">
        <v>834</v>
      </c>
      <c r="BF7" s="542">
        <v>0.17</v>
      </c>
      <c r="BG7" s="543">
        <v>3.7999999999999999E-2</v>
      </c>
      <c r="BH7" s="543">
        <v>2.9000000000000001E-2</v>
      </c>
      <c r="BI7" s="537" t="s">
        <v>1517</v>
      </c>
      <c r="BJ7" s="552" t="s">
        <v>1526</v>
      </c>
      <c r="BK7" s="543">
        <v>1.4500000000000001E-2</v>
      </c>
      <c r="BL7" s="545"/>
      <c r="BM7" s="546" t="s">
        <v>962</v>
      </c>
      <c r="BN7" s="547" t="s">
        <v>1522</v>
      </c>
      <c r="BO7" s="548">
        <v>0</v>
      </c>
    </row>
    <row r="8" spans="2:89" ht="15" customHeight="1">
      <c r="B8" s="799" t="s">
        <v>1614</v>
      </c>
      <c r="C8" s="798"/>
      <c r="D8" s="798"/>
      <c r="E8" s="1355" t="s">
        <v>712</v>
      </c>
      <c r="F8" s="1356"/>
      <c r="G8" s="1357"/>
      <c r="H8" s="488" t="s">
        <v>1382</v>
      </c>
      <c r="L8" s="824" t="s">
        <v>774</v>
      </c>
      <c r="M8" s="859"/>
      <c r="N8" s="825"/>
      <c r="O8" s="553">
        <f>'Resin Recycle'!F8</f>
        <v>345.5</v>
      </c>
      <c r="P8" s="533"/>
      <c r="Q8" s="533"/>
      <c r="R8" s="534"/>
      <c r="S8" s="503"/>
      <c r="T8" s="494"/>
      <c r="U8" s="535" t="s">
        <v>1276</v>
      </c>
      <c r="V8" s="765" t="s">
        <v>1608</v>
      </c>
      <c r="W8" s="765"/>
      <c r="X8" s="765"/>
      <c r="Y8" s="765"/>
      <c r="Z8" s="766"/>
      <c r="AA8" s="1262"/>
      <c r="AB8" s="1263"/>
      <c r="AC8" s="1263"/>
      <c r="AD8" s="1263"/>
      <c r="AE8" s="1264"/>
      <c r="AF8" s="1266"/>
      <c r="AG8" s="1266"/>
      <c r="AH8" s="774"/>
      <c r="AI8" s="774"/>
      <c r="AJ8" s="773"/>
      <c r="AK8" s="549"/>
      <c r="AL8" s="1099"/>
      <c r="AM8" s="1099"/>
      <c r="AN8" s="948"/>
      <c r="AO8" s="950"/>
      <c r="AP8" s="950"/>
      <c r="AQ8" s="874"/>
      <c r="AR8" s="951"/>
      <c r="AS8" s="951"/>
      <c r="AT8" s="948"/>
      <c r="AU8" s="923"/>
      <c r="AV8" s="923"/>
      <c r="AW8" s="942"/>
      <c r="AX8" s="536"/>
      <c r="AY8" s="537"/>
      <c r="AZ8" s="538"/>
      <c r="BA8" s="539"/>
      <c r="BB8" s="540"/>
      <c r="BC8" s="540"/>
      <c r="BD8" s="538"/>
      <c r="BE8" s="541" t="s">
        <v>962</v>
      </c>
      <c r="BF8" s="542">
        <v>9.1999999999999998E-2</v>
      </c>
      <c r="BG8" s="543">
        <v>5.7000000000000002E-2</v>
      </c>
      <c r="BH8" s="543">
        <v>4.2000000000000003E-2</v>
      </c>
      <c r="BI8" s="537" t="s">
        <v>1517</v>
      </c>
      <c r="BJ8" s="552" t="s">
        <v>1527</v>
      </c>
      <c r="BK8" s="543">
        <v>1.4500000000000001E-2</v>
      </c>
      <c r="BL8" s="545"/>
      <c r="BM8" s="546" t="s">
        <v>835</v>
      </c>
      <c r="BN8" s="547" t="s">
        <v>1522</v>
      </c>
      <c r="BO8" s="548">
        <v>0</v>
      </c>
    </row>
    <row r="9" spans="2:89" ht="15" customHeight="1">
      <c r="B9" s="799" t="s">
        <v>1615</v>
      </c>
      <c r="C9" s="798"/>
      <c r="D9" s="798"/>
      <c r="E9" s="1355" t="s">
        <v>712</v>
      </c>
      <c r="F9" s="1356"/>
      <c r="G9" s="1357"/>
      <c r="H9" s="488" t="s">
        <v>1382</v>
      </c>
      <c r="L9" s="829" t="s">
        <v>775</v>
      </c>
      <c r="M9" s="860"/>
      <c r="N9" s="830"/>
      <c r="O9" s="554">
        <f>'Resin Recycle'!I10</f>
        <v>417.9</v>
      </c>
      <c r="P9" s="555"/>
      <c r="Q9" s="555"/>
      <c r="R9" s="534"/>
      <c r="S9" s="487"/>
      <c r="T9" s="494"/>
      <c r="U9" s="535" t="s">
        <v>4</v>
      </c>
      <c r="V9" s="765"/>
      <c r="W9" s="765"/>
      <c r="X9" s="765"/>
      <c r="Y9" s="765"/>
      <c r="Z9" s="766"/>
      <c r="AA9" s="1262"/>
      <c r="AB9" s="1263"/>
      <c r="AC9" s="1263"/>
      <c r="AD9" s="1263"/>
      <c r="AE9" s="1264"/>
      <c r="AF9" s="1266"/>
      <c r="AG9" s="1266"/>
      <c r="AH9" s="774"/>
      <c r="AI9" s="774"/>
      <c r="AJ9" s="773"/>
      <c r="AK9" s="549"/>
      <c r="AL9" s="1099"/>
      <c r="AM9" s="1099"/>
      <c r="AN9" s="948"/>
      <c r="AO9" s="950"/>
      <c r="AP9" s="950"/>
      <c r="AQ9" s="874"/>
      <c r="AR9" s="951"/>
      <c r="AS9" s="951"/>
      <c r="AT9" s="948"/>
      <c r="AU9" s="923"/>
      <c r="AV9" s="923"/>
      <c r="AW9" s="942" t="s">
        <v>1528</v>
      </c>
      <c r="AX9" s="536">
        <v>4.0399999999999998E-2</v>
      </c>
      <c r="AY9" s="537">
        <v>6.9699999999999998E-2</v>
      </c>
      <c r="AZ9" s="556">
        <v>0</v>
      </c>
      <c r="BA9" s="557"/>
      <c r="BB9" s="540">
        <v>1.9800000000000002E-2</v>
      </c>
      <c r="BC9" s="540">
        <v>7.4800000000000005E-2</v>
      </c>
      <c r="BD9" s="538">
        <v>0</v>
      </c>
      <c r="BE9" s="558" t="s">
        <v>1529</v>
      </c>
      <c r="BF9" s="542">
        <v>0.1</v>
      </c>
      <c r="BG9" s="543">
        <v>7.0000000000000007E-2</v>
      </c>
      <c r="BH9" s="543">
        <v>0.02</v>
      </c>
      <c r="BI9" s="537" t="s">
        <v>1517</v>
      </c>
      <c r="BJ9" s="552" t="s">
        <v>1530</v>
      </c>
      <c r="BK9" s="543">
        <v>9.7999999999999997E-3</v>
      </c>
      <c r="BL9" s="545"/>
      <c r="BM9" s="546" t="s">
        <v>836</v>
      </c>
      <c r="BN9" s="547" t="s">
        <v>1522</v>
      </c>
      <c r="BO9" s="548">
        <v>0</v>
      </c>
    </row>
    <row r="10" spans="2:89" ht="15" customHeight="1" thickBot="1">
      <c r="B10" s="514" t="s">
        <v>1590</v>
      </c>
      <c r="C10" s="515"/>
      <c r="D10" s="515"/>
      <c r="E10" s="1358">
        <v>24</v>
      </c>
      <c r="F10" s="1359"/>
      <c r="G10" s="1360"/>
      <c r="H10" s="488" t="s">
        <v>1379</v>
      </c>
      <c r="L10" s="827" t="s">
        <v>932</v>
      </c>
      <c r="M10" s="861"/>
      <c r="N10" s="828"/>
      <c r="O10" s="559">
        <f>'Resin Recycle'!F23</f>
        <v>736.5</v>
      </c>
      <c r="P10" s="555"/>
      <c r="Q10" s="555"/>
      <c r="R10" s="533"/>
      <c r="S10" s="487"/>
      <c r="T10" s="494"/>
      <c r="U10" s="535" t="s">
        <v>5</v>
      </c>
      <c r="V10" s="765"/>
      <c r="W10" s="765"/>
      <c r="X10" s="765"/>
      <c r="Y10" s="765"/>
      <c r="Z10" s="766"/>
      <c r="AA10" s="1262"/>
      <c r="AB10" s="1263"/>
      <c r="AC10" s="1263"/>
      <c r="AD10" s="1263"/>
      <c r="AE10" s="1264"/>
      <c r="AF10" s="1266"/>
      <c r="AG10" s="1266"/>
      <c r="AH10" s="774"/>
      <c r="AI10" s="774"/>
      <c r="AJ10" s="773"/>
      <c r="AK10" s="549"/>
      <c r="AL10" s="1099"/>
      <c r="AM10" s="1099"/>
      <c r="AN10" s="948"/>
      <c r="AO10" s="950"/>
      <c r="AP10" s="950"/>
      <c r="AQ10" s="874"/>
      <c r="AR10" s="951"/>
      <c r="AS10" s="951"/>
      <c r="AT10" s="948"/>
      <c r="AU10" s="923"/>
      <c r="AV10" s="923"/>
      <c r="AW10" s="943"/>
      <c r="AX10" s="561"/>
      <c r="AY10" s="562"/>
      <c r="AZ10" s="563"/>
      <c r="BA10" s="564"/>
      <c r="BB10" s="565">
        <v>4.7199999999999999E-2</v>
      </c>
      <c r="BC10" s="565">
        <v>0</v>
      </c>
      <c r="BD10" s="566">
        <v>0</v>
      </c>
      <c r="BE10" s="567" t="s">
        <v>714</v>
      </c>
      <c r="BF10" s="568">
        <v>0.17349999999999999</v>
      </c>
      <c r="BG10" s="569">
        <v>7.7600000000000002E-2</v>
      </c>
      <c r="BH10" s="570"/>
      <c r="BI10" s="571" t="s">
        <v>1531</v>
      </c>
      <c r="BJ10" s="552" t="s">
        <v>1532</v>
      </c>
      <c r="BK10" s="543">
        <v>1.6899999999999998E-2</v>
      </c>
      <c r="BL10" s="545"/>
      <c r="BM10" s="546" t="s">
        <v>1529</v>
      </c>
      <c r="BN10" s="547" t="s">
        <v>1522</v>
      </c>
      <c r="BO10" s="548">
        <v>0</v>
      </c>
    </row>
    <row r="11" spans="2:89" ht="15" customHeight="1">
      <c r="B11" s="572" t="s">
        <v>1663</v>
      </c>
      <c r="C11" s="573"/>
      <c r="D11" s="573"/>
      <c r="E11" s="1361">
        <v>0.95</v>
      </c>
      <c r="F11" s="1362"/>
      <c r="G11" s="1363"/>
      <c r="H11" s="487" t="s">
        <v>1379</v>
      </c>
      <c r="L11" s="831" t="s">
        <v>931</v>
      </c>
      <c r="M11" s="862"/>
      <c r="N11" s="832"/>
      <c r="O11" s="574">
        <f>'Resin Recycle'!F24</f>
        <v>776.9</v>
      </c>
      <c r="P11" s="533"/>
      <c r="Q11" s="533"/>
      <c r="R11" s="534"/>
      <c r="S11" s="488"/>
      <c r="T11" s="834"/>
      <c r="U11" s="560" t="s">
        <v>6</v>
      </c>
      <c r="V11" s="767"/>
      <c r="W11" s="767"/>
      <c r="X11" s="767"/>
      <c r="Y11" s="767"/>
      <c r="Z11" s="768"/>
      <c r="AA11" s="1267"/>
      <c r="AB11" s="1268"/>
      <c r="AC11" s="1268"/>
      <c r="AD11" s="1268"/>
      <c r="AE11" s="1269"/>
      <c r="AF11" s="1270"/>
      <c r="AG11" s="1270"/>
      <c r="AH11" s="775"/>
      <c r="AI11" s="775"/>
      <c r="AJ11" s="776"/>
      <c r="AK11" s="549"/>
      <c r="AL11" s="874"/>
      <c r="AM11" s="874"/>
      <c r="AN11" s="952"/>
      <c r="AO11" s="952"/>
      <c r="AP11" s="952"/>
      <c r="AQ11" s="874"/>
      <c r="AR11" s="952"/>
      <c r="AS11" s="952"/>
      <c r="AT11" s="952"/>
      <c r="AU11" s="953"/>
      <c r="AV11" s="923"/>
      <c r="AW11" s="579" t="s">
        <v>1533</v>
      </c>
      <c r="AX11" s="580">
        <v>2.8E-3</v>
      </c>
      <c r="BE11" s="581" t="s">
        <v>1534</v>
      </c>
      <c r="BJ11" s="582" t="s">
        <v>1535</v>
      </c>
      <c r="BK11" s="583">
        <v>1.6899999999999998E-2</v>
      </c>
      <c r="BL11" s="584"/>
      <c r="BM11" s="585"/>
      <c r="BN11" s="586" t="s">
        <v>1536</v>
      </c>
    </row>
    <row r="12" spans="2:89" ht="15" customHeight="1">
      <c r="B12" s="758"/>
      <c r="C12" s="758"/>
      <c r="D12" s="758"/>
      <c r="E12" s="759"/>
      <c r="F12" s="759"/>
      <c r="G12" s="759"/>
      <c r="H12" s="487"/>
      <c r="I12" s="487"/>
      <c r="J12" s="487"/>
      <c r="K12" s="487"/>
      <c r="L12" s="487"/>
      <c r="M12" s="1100"/>
      <c r="N12" s="1100"/>
      <c r="O12" s="588"/>
      <c r="P12" s="589"/>
      <c r="Q12" s="589"/>
      <c r="R12" s="590"/>
      <c r="S12" s="488"/>
      <c r="T12" s="834"/>
      <c r="U12" s="591"/>
      <c r="V12" s="592"/>
      <c r="W12" s="592"/>
      <c r="X12" s="592"/>
      <c r="Y12" s="592"/>
      <c r="Z12" s="593"/>
      <c r="AA12" s="594"/>
      <c r="AB12" s="595"/>
      <c r="AC12" s="595"/>
      <c r="AD12" s="595"/>
      <c r="AE12" s="575"/>
      <c r="AF12" s="575"/>
      <c r="AG12" s="549"/>
      <c r="AH12" s="549"/>
      <c r="AI12" s="549"/>
      <c r="AJ12" s="549"/>
      <c r="AK12" s="549"/>
      <c r="AL12" s="596"/>
      <c r="AM12" s="596"/>
      <c r="AN12" s="576"/>
      <c r="AO12" s="576"/>
      <c r="AP12" s="576"/>
      <c r="AQ12" s="596"/>
      <c r="AR12" s="576"/>
      <c r="AS12" s="576"/>
      <c r="AT12" s="576"/>
      <c r="AU12" s="577"/>
      <c r="AV12" s="578"/>
      <c r="AW12" s="579"/>
      <c r="AX12" s="580"/>
      <c r="BE12" s="581"/>
      <c r="BJ12" s="597"/>
      <c r="BK12" s="598"/>
      <c r="BL12" s="492"/>
      <c r="BM12" s="587"/>
      <c r="BN12" s="586"/>
    </row>
    <row r="13" spans="2:89" ht="15" customHeight="1" thickBot="1">
      <c r="B13" s="599" t="s">
        <v>1592</v>
      </c>
      <c r="C13" s="599"/>
      <c r="E13" s="494"/>
      <c r="F13" s="494"/>
      <c r="G13" s="494"/>
      <c r="H13" s="494"/>
      <c r="I13" s="494"/>
      <c r="J13" s="494"/>
      <c r="K13" s="494"/>
      <c r="L13" s="494"/>
      <c r="M13" s="494"/>
      <c r="N13" s="494"/>
      <c r="O13" s="494"/>
      <c r="P13" s="487"/>
      <c r="Q13" s="488"/>
      <c r="R13" s="488"/>
      <c r="S13" s="579"/>
      <c r="T13" s="834"/>
      <c r="V13" s="627"/>
      <c r="W13" s="627"/>
      <c r="X13" s="627"/>
      <c r="Y13" s="627"/>
      <c r="Z13" s="627"/>
      <c r="AA13" s="966"/>
      <c r="AB13" s="587"/>
      <c r="AC13" s="1170"/>
      <c r="AD13" s="587"/>
      <c r="AE13" s="549"/>
      <c r="AF13" s="587"/>
      <c r="AG13" s="587"/>
      <c r="AH13" s="587"/>
      <c r="AI13" s="587"/>
      <c r="AJ13" s="587"/>
      <c r="AK13" s="587"/>
      <c r="AT13" s="896"/>
      <c r="AU13" s="758"/>
      <c r="AV13" s="758"/>
      <c r="AW13" s="758"/>
      <c r="AX13" s="758"/>
      <c r="AY13" s="758"/>
      <c r="AZ13" s="758"/>
      <c r="BA13" s="758"/>
      <c r="BB13" s="758"/>
      <c r="BC13" s="758"/>
      <c r="BD13" s="897"/>
      <c r="BE13" s="758"/>
      <c r="BF13" s="758"/>
      <c r="BG13" s="758"/>
      <c r="BH13" s="758"/>
      <c r="BI13" s="758"/>
      <c r="BJ13" s="868"/>
      <c r="BK13" s="869"/>
      <c r="BL13" s="869"/>
      <c r="BM13" s="869"/>
      <c r="BN13" s="870"/>
      <c r="BO13" s="869"/>
      <c r="BP13" s="869"/>
      <c r="BQ13" s="869"/>
      <c r="BR13" s="869"/>
      <c r="BS13" s="869"/>
      <c r="BT13" s="869"/>
      <c r="BU13" s="869"/>
      <c r="BV13" s="869"/>
      <c r="BW13" s="869"/>
      <c r="BX13" s="869"/>
      <c r="BY13" s="869"/>
      <c r="BZ13" s="869"/>
    </row>
    <row r="14" spans="2:89" ht="15" customHeight="1" thickBot="1">
      <c r="B14" s="1459" t="s">
        <v>768</v>
      </c>
      <c r="C14" s="1461" t="s">
        <v>1593</v>
      </c>
      <c r="D14" s="1035"/>
      <c r="E14" s="1043" t="s">
        <v>1589</v>
      </c>
      <c r="F14" s="1026"/>
      <c r="G14" s="1044"/>
      <c r="H14" s="1040" t="s">
        <v>1588</v>
      </c>
      <c r="I14" s="1040" t="s">
        <v>1670</v>
      </c>
      <c r="J14" s="1068" t="s">
        <v>1664</v>
      </c>
      <c r="K14" s="1174" t="s">
        <v>769</v>
      </c>
      <c r="L14" s="1066"/>
      <c r="M14" s="1115" t="s">
        <v>1595</v>
      </c>
      <c r="N14" s="1074"/>
      <c r="O14" s="1075"/>
      <c r="P14" s="1490" t="s">
        <v>1598</v>
      </c>
      <c r="Q14" s="1490"/>
      <c r="R14" s="1491"/>
      <c r="S14" s="1494" t="s">
        <v>1600</v>
      </c>
      <c r="T14" s="1456" t="s">
        <v>1706</v>
      </c>
      <c r="U14" s="1457"/>
      <c r="V14" s="1458"/>
      <c r="W14" s="852"/>
      <c r="X14" s="1530" t="s">
        <v>1707</v>
      </c>
      <c r="Y14" s="1458"/>
      <c r="Z14" s="1216" t="s">
        <v>1616</v>
      </c>
      <c r="AA14" s="1209" t="s">
        <v>1687</v>
      </c>
      <c r="AB14" s="1209" t="s">
        <v>1687</v>
      </c>
      <c r="AC14" s="1114" t="s">
        <v>1690</v>
      </c>
      <c r="AD14" s="1114"/>
      <c r="AE14" s="1531" t="s">
        <v>1597</v>
      </c>
      <c r="AF14" s="1534" t="s">
        <v>1587</v>
      </c>
      <c r="AG14" s="1144" t="s">
        <v>1586</v>
      </c>
      <c r="AH14" s="1145"/>
      <c r="AI14" s="1146"/>
      <c r="AJ14" s="1537"/>
      <c r="AK14" s="1048"/>
      <c r="AL14" s="1279" t="s">
        <v>1671</v>
      </c>
      <c r="AM14" s="1119"/>
      <c r="AN14" s="1122" t="s">
        <v>1584</v>
      </c>
      <c r="AO14" s="1123"/>
      <c r="AP14" s="1124"/>
      <c r="AQ14" s="1063" t="s">
        <v>1695</v>
      </c>
      <c r="AR14" s="1022"/>
      <c r="AS14" s="895"/>
      <c r="AT14" s="1386"/>
      <c r="AU14" s="1386"/>
      <c r="AV14" s="1386"/>
      <c r="AW14" s="1386"/>
      <c r="AX14" s="1386"/>
      <c r="AY14" s="1386"/>
      <c r="AZ14" s="1386"/>
      <c r="BA14" s="1386"/>
      <c r="BB14" s="1386"/>
      <c r="BC14" s="1384"/>
      <c r="BD14" s="1385"/>
      <c r="BE14" s="874"/>
      <c r="BF14" s="898"/>
      <c r="BG14" s="898"/>
      <c r="BH14" s="898"/>
      <c r="BI14" s="758"/>
      <c r="BJ14" s="1526"/>
      <c r="BK14" s="1354"/>
      <c r="BL14" s="1354"/>
      <c r="BM14" s="1354"/>
      <c r="BN14" s="1354"/>
      <c r="BO14" s="1354"/>
      <c r="BP14" s="1354"/>
      <c r="BQ14" s="1354"/>
      <c r="BR14" s="1354"/>
      <c r="BS14" s="1354"/>
      <c r="BT14" s="1354"/>
      <c r="BU14" s="1354"/>
      <c r="BV14" s="1354"/>
      <c r="BW14" s="1354"/>
      <c r="BX14" s="1354"/>
      <c r="BY14" s="1354"/>
      <c r="BZ14" s="1354"/>
      <c r="CA14" s="758"/>
      <c r="CB14" s="758"/>
      <c r="CC14" s="758"/>
      <c r="CD14" s="758"/>
      <c r="CE14" s="758"/>
      <c r="CF14" s="758"/>
      <c r="CG14" s="758"/>
      <c r="CH14" s="758"/>
      <c r="CI14" s="758"/>
      <c r="CJ14" s="758"/>
      <c r="CK14" s="758"/>
    </row>
    <row r="15" spans="2:89" s="602" customFormat="1" ht="15" customHeight="1">
      <c r="B15" s="1460"/>
      <c r="C15" s="1462"/>
      <c r="D15" s="1051"/>
      <c r="E15" s="1045"/>
      <c r="F15" s="1027"/>
      <c r="G15" s="854"/>
      <c r="H15" s="1041" t="s">
        <v>1666</v>
      </c>
      <c r="I15" s="1073" t="s">
        <v>1668</v>
      </c>
      <c r="J15" s="1069" t="s">
        <v>1665</v>
      </c>
      <c r="K15" s="1175"/>
      <c r="L15" s="1067"/>
      <c r="M15" s="1469" t="s">
        <v>1661</v>
      </c>
      <c r="N15" s="1464" t="s">
        <v>1596</v>
      </c>
      <c r="O15" s="1485" t="s">
        <v>1594</v>
      </c>
      <c r="P15" s="1492"/>
      <c r="Q15" s="1492"/>
      <c r="R15" s="1493"/>
      <c r="S15" s="1495"/>
      <c r="T15" s="1189" t="s">
        <v>1678</v>
      </c>
      <c r="U15" s="1190" t="s">
        <v>1677</v>
      </c>
      <c r="V15" s="856" t="s">
        <v>1683</v>
      </c>
      <c r="W15" s="856"/>
      <c r="X15" s="856" t="s">
        <v>1709</v>
      </c>
      <c r="Y15" s="856" t="s">
        <v>1704</v>
      </c>
      <c r="Z15" s="1217" t="s">
        <v>1686</v>
      </c>
      <c r="AA15" s="1210" t="s">
        <v>1688</v>
      </c>
      <c r="AB15" s="1210" t="s">
        <v>1686</v>
      </c>
      <c r="AC15" s="1166" t="s">
        <v>1686</v>
      </c>
      <c r="AD15" s="1166"/>
      <c r="AE15" s="1532"/>
      <c r="AF15" s="1535"/>
      <c r="AG15" s="1142" t="s">
        <v>1700</v>
      </c>
      <c r="AH15" s="1143"/>
      <c r="AI15" s="1153" t="s">
        <v>770</v>
      </c>
      <c r="AJ15" s="1538"/>
      <c r="AK15" s="854"/>
      <c r="AL15" s="1280"/>
      <c r="AM15" s="1120"/>
      <c r="AN15" s="1271" t="s">
        <v>1691</v>
      </c>
      <c r="AO15" s="1272" t="s">
        <v>1692</v>
      </c>
      <c r="AP15" s="1127" t="s">
        <v>1694</v>
      </c>
      <c r="AQ15" s="1285" t="s">
        <v>1696</v>
      </c>
      <c r="AR15" s="1292" t="s">
        <v>1720</v>
      </c>
      <c r="AS15" s="895"/>
      <c r="AT15" s="1386"/>
      <c r="AU15" s="1386"/>
      <c r="AV15" s="1386"/>
      <c r="AW15" s="1386"/>
      <c r="AX15" s="1386"/>
      <c r="AY15" s="899"/>
      <c r="AZ15" s="899"/>
      <c r="BA15" s="899"/>
      <c r="BB15" s="1386"/>
      <c r="BC15" s="1384"/>
      <c r="BD15" s="1385"/>
      <c r="BE15" s="900"/>
      <c r="BF15" s="892"/>
      <c r="BG15" s="892"/>
      <c r="BH15" s="892"/>
      <c r="BI15" s="892"/>
      <c r="BJ15" s="1526"/>
      <c r="BK15" s="1354"/>
      <c r="BL15" s="1354"/>
      <c r="BM15" s="1354"/>
      <c r="BN15" s="1354"/>
      <c r="BO15" s="1354"/>
      <c r="BP15" s="1354"/>
      <c r="BQ15" s="1354"/>
      <c r="BR15" s="1354"/>
      <c r="BS15" s="1354"/>
      <c r="BT15" s="1354"/>
      <c r="BU15" s="1406"/>
      <c r="BV15" s="1406"/>
      <c r="BW15" s="1406"/>
      <c r="BX15" s="1406"/>
      <c r="BY15" s="1406"/>
      <c r="BZ15" s="1406"/>
      <c r="CA15" s="892"/>
      <c r="CB15" s="1354"/>
      <c r="CC15" s="1354"/>
      <c r="CD15" s="1354"/>
      <c r="CE15" s="1354"/>
      <c r="CF15" s="1354"/>
      <c r="CG15" s="1354"/>
      <c r="CH15" s="893"/>
      <c r="CI15" s="874"/>
      <c r="CJ15" s="758"/>
      <c r="CK15" s="758"/>
    </row>
    <row r="16" spans="2:89" s="602" customFormat="1" ht="15" customHeight="1">
      <c r="B16" s="1460"/>
      <c r="C16" s="1463"/>
      <c r="D16" s="1051"/>
      <c r="E16" s="1045"/>
      <c r="F16" s="1027"/>
      <c r="G16" s="854"/>
      <c r="H16" s="1041"/>
      <c r="I16" s="1073"/>
      <c r="J16" s="1069"/>
      <c r="K16" s="1175"/>
      <c r="L16" s="1067"/>
      <c r="M16" s="1470"/>
      <c r="N16" s="1465"/>
      <c r="O16" s="1486"/>
      <c r="P16" s="1181"/>
      <c r="Q16" s="1181"/>
      <c r="R16" s="1182"/>
      <c r="S16" s="1496"/>
      <c r="T16" s="1191"/>
      <c r="U16" s="1192"/>
      <c r="V16" s="851" t="s">
        <v>1684</v>
      </c>
      <c r="W16" s="851"/>
      <c r="X16" s="851" t="s">
        <v>1710</v>
      </c>
      <c r="Y16" s="851" t="s">
        <v>1684</v>
      </c>
      <c r="Z16" s="1218"/>
      <c r="AA16" s="1210"/>
      <c r="AB16" s="1212"/>
      <c r="AC16" s="1167"/>
      <c r="AD16" s="1167"/>
      <c r="AE16" s="1532"/>
      <c r="AF16" s="1535"/>
      <c r="AG16" s="1141" t="s">
        <v>1701</v>
      </c>
      <c r="AH16" s="1084"/>
      <c r="AI16" s="1154"/>
      <c r="AJ16" s="1538"/>
      <c r="AK16" s="854"/>
      <c r="AL16" s="1281"/>
      <c r="AM16" s="1120"/>
      <c r="AN16" s="1271" t="s">
        <v>1690</v>
      </c>
      <c r="AO16" s="1272" t="s">
        <v>1693</v>
      </c>
      <c r="AP16" s="1125"/>
      <c r="AQ16" s="1286" t="s">
        <v>1697</v>
      </c>
      <c r="AR16" s="1085"/>
      <c r="AS16" s="895"/>
      <c r="AT16" s="1386"/>
      <c r="AU16" s="1386"/>
      <c r="AV16" s="899"/>
      <c r="AW16" s="899"/>
      <c r="AX16" s="899"/>
      <c r="AY16" s="899"/>
      <c r="AZ16" s="899"/>
      <c r="BA16" s="899"/>
      <c r="BB16" s="1386"/>
      <c r="BC16" s="1086"/>
      <c r="BD16" s="1385"/>
      <c r="BE16" s="900"/>
      <c r="BF16" s="892"/>
      <c r="BG16" s="892"/>
      <c r="BH16" s="892"/>
      <c r="BI16" s="892"/>
      <c r="BJ16" s="1526"/>
      <c r="BK16" s="1354"/>
      <c r="BL16" s="1354"/>
      <c r="BM16" s="1354"/>
      <c r="BN16" s="874"/>
      <c r="BO16" s="874"/>
      <c r="BP16" s="1354"/>
      <c r="BQ16" s="1354"/>
      <c r="BR16" s="874"/>
      <c r="BS16" s="874"/>
      <c r="BT16" s="1354"/>
      <c r="BU16" s="1406"/>
      <c r="BV16" s="1406"/>
      <c r="BW16" s="1406"/>
      <c r="BX16" s="1406"/>
      <c r="BY16" s="1406"/>
      <c r="BZ16" s="1406"/>
      <c r="CA16" s="892"/>
      <c r="CB16" s="1354"/>
      <c r="CC16" s="1354"/>
      <c r="CD16" s="1354"/>
      <c r="CE16" s="874"/>
      <c r="CF16" s="874"/>
      <c r="CG16" s="874"/>
      <c r="CH16" s="893"/>
      <c r="CI16" s="874"/>
      <c r="CJ16" s="758"/>
      <c r="CK16" s="758"/>
    </row>
    <row r="17" spans="2:94" s="602" customFormat="1" ht="15" customHeight="1">
      <c r="B17" s="1460"/>
      <c r="C17" s="1463"/>
      <c r="D17" s="1052"/>
      <c r="E17" s="1046"/>
      <c r="F17" s="1031"/>
      <c r="G17" s="1047"/>
      <c r="H17" s="1036" t="s">
        <v>1662</v>
      </c>
      <c r="I17" s="1036" t="s">
        <v>1669</v>
      </c>
      <c r="J17" s="1047"/>
      <c r="K17" s="1176" t="s">
        <v>1667</v>
      </c>
      <c r="L17" s="1036"/>
      <c r="M17" s="1471"/>
      <c r="N17" s="1465"/>
      <c r="O17" s="1486"/>
      <c r="P17" s="1182" t="s">
        <v>1369</v>
      </c>
      <c r="Q17" s="1510" t="s">
        <v>1599</v>
      </c>
      <c r="R17" s="1510"/>
      <c r="S17" s="1496"/>
      <c r="T17" s="1193" t="s">
        <v>1673</v>
      </c>
      <c r="U17" s="1194" t="s">
        <v>1676</v>
      </c>
      <c r="V17" s="851" t="s">
        <v>1676</v>
      </c>
      <c r="W17" s="851"/>
      <c r="X17" s="851" t="s">
        <v>1674</v>
      </c>
      <c r="Y17" s="851" t="s">
        <v>1673</v>
      </c>
      <c r="Z17" s="1219" t="s">
        <v>1685</v>
      </c>
      <c r="AA17" s="1210" t="s">
        <v>1689</v>
      </c>
      <c r="AB17" s="1210" t="s">
        <v>1685</v>
      </c>
      <c r="AC17" s="1166" t="s">
        <v>1685</v>
      </c>
      <c r="AD17" s="1166" t="s">
        <v>1708</v>
      </c>
      <c r="AE17" s="1533"/>
      <c r="AF17" s="1536"/>
      <c r="AG17" s="1201" t="s">
        <v>1449</v>
      </c>
      <c r="AH17" s="1202" t="s">
        <v>1378</v>
      </c>
      <c r="AI17" s="1154" t="s">
        <v>1537</v>
      </c>
      <c r="AJ17" s="1539"/>
      <c r="AK17" s="1160"/>
      <c r="AL17" s="1282" t="s">
        <v>1675</v>
      </c>
      <c r="AM17" s="1121" t="s">
        <v>1672</v>
      </c>
      <c r="AN17" s="1273" t="s">
        <v>1672</v>
      </c>
      <c r="AO17" s="1274" t="s">
        <v>1672</v>
      </c>
      <c r="AP17" s="1126" t="s">
        <v>1675</v>
      </c>
      <c r="AQ17" s="1287" t="s">
        <v>1698</v>
      </c>
      <c r="AR17" s="1023"/>
      <c r="AS17" s="895"/>
      <c r="AT17" s="1386"/>
      <c r="AU17" s="1386"/>
      <c r="AV17" s="899"/>
      <c r="AW17" s="899"/>
      <c r="AX17" s="899"/>
      <c r="AY17" s="899"/>
      <c r="AZ17" s="899"/>
      <c r="BA17" s="901"/>
      <c r="BB17" s="1386"/>
      <c r="BC17" s="902"/>
      <c r="BD17" s="1385"/>
      <c r="BE17" s="900"/>
      <c r="BF17" s="903"/>
      <c r="BG17" s="903"/>
      <c r="BH17" s="903"/>
      <c r="BI17" s="892"/>
      <c r="BJ17" s="1526"/>
      <c r="BK17" s="1354"/>
      <c r="BL17" s="1354"/>
      <c r="BM17" s="1354"/>
      <c r="BN17" s="874"/>
      <c r="BO17" s="874"/>
      <c r="BP17" s="1354"/>
      <c r="BQ17" s="1354"/>
      <c r="BR17" s="874"/>
      <c r="BS17" s="874"/>
      <c r="BT17" s="1354"/>
      <c r="BU17" s="1406"/>
      <c r="BV17" s="1406"/>
      <c r="BW17" s="1406"/>
      <c r="BX17" s="1406"/>
      <c r="BY17" s="1406"/>
      <c r="BZ17" s="1406"/>
      <c r="CA17" s="892"/>
      <c r="CB17" s="1354"/>
      <c r="CC17" s="1354"/>
      <c r="CD17" s="1354"/>
      <c r="CE17" s="874"/>
      <c r="CF17" s="874"/>
      <c r="CG17" s="874"/>
      <c r="CH17" s="893"/>
      <c r="CI17" s="874"/>
      <c r="CJ17" s="758"/>
      <c r="CK17" s="758"/>
    </row>
    <row r="18" spans="2:94" s="587" customFormat="1" ht="15" customHeight="1">
      <c r="B18" s="826">
        <v>1</v>
      </c>
      <c r="C18" s="1055" t="s">
        <v>1464</v>
      </c>
      <c r="D18" s="1058" t="s">
        <v>1705</v>
      </c>
      <c r="E18" s="1059" t="s">
        <v>1468</v>
      </c>
      <c r="F18" s="1060"/>
      <c r="G18" s="1022"/>
      <c r="H18" s="1061"/>
      <c r="I18" s="1062"/>
      <c r="J18" s="1024"/>
      <c r="K18" s="1177">
        <v>20000</v>
      </c>
      <c r="L18" s="1067"/>
      <c r="M18" s="1553">
        <f t="shared" ref="M18:M23" si="0">AM18*S18/K18</f>
        <v>1.2578616352201259E-3</v>
      </c>
      <c r="N18" s="1552">
        <f>(AN18+AO18)*S18/K18</f>
        <v>1.8E-3</v>
      </c>
      <c r="O18" s="1179">
        <v>2.0000000000000001E-4</v>
      </c>
      <c r="P18" s="1183" t="s">
        <v>1601</v>
      </c>
      <c r="Q18" s="1364" t="s">
        <v>1602</v>
      </c>
      <c r="R18" s="1365"/>
      <c r="S18" s="1185">
        <v>2</v>
      </c>
      <c r="T18" s="1195">
        <v>31.6</v>
      </c>
      <c r="U18" s="1196">
        <v>16.3</v>
      </c>
      <c r="V18" s="1107">
        <f>T18*S18+U18</f>
        <v>79.5</v>
      </c>
      <c r="W18" s="1171"/>
      <c r="X18" s="1093">
        <f>ROUNDUP((K18/(1-O18)+AN18+AO18)/S18,0)</f>
        <v>10012</v>
      </c>
      <c r="Y18" s="1107">
        <f>(X18*V18+AL18)/K18</f>
        <v>39.847700000000003</v>
      </c>
      <c r="Z18" s="1220">
        <v>437.8</v>
      </c>
      <c r="AA18" s="1554">
        <v>0</v>
      </c>
      <c r="AB18" s="1213">
        <f>'Resin Recycle'!$O$48</f>
        <v>57.114983196687561</v>
      </c>
      <c r="AC18" s="1168">
        <f>IF(AA18=0,'Resin Recycle'!$F$40,0)</f>
        <v>17.600000000000001</v>
      </c>
      <c r="AD18" s="1222">
        <f>(Y18-T18)*AC18/1000</f>
        <v>0.14515952000000004</v>
      </c>
      <c r="AE18" s="1092">
        <f>Y18*(1-AA18)*Z18/1000+Y18*AA18*AB18/1000+AD18</f>
        <v>17.590482580000003</v>
      </c>
      <c r="AF18" s="756">
        <v>30</v>
      </c>
      <c r="AG18" s="1203">
        <f>AH$5</f>
        <v>297.65682297992913</v>
      </c>
      <c r="AH18" s="1204">
        <f>AI$5</f>
        <v>543.66751070794862</v>
      </c>
      <c r="AI18" s="1155">
        <f>ROUNDUP(AF18/S18*(AH18+AG18)/(1-N18-O18)/3600,2)</f>
        <v>3.5199999999999996</v>
      </c>
      <c r="AJ18" s="1256"/>
      <c r="AK18" s="1048"/>
      <c r="AL18" s="1283">
        <v>1000</v>
      </c>
      <c r="AM18" s="1291">
        <f t="shared" ref="AM18:AM23" si="1">AL18/V18</f>
        <v>12.578616352201259</v>
      </c>
      <c r="AN18" s="1275">
        <v>15</v>
      </c>
      <c r="AO18" s="1276">
        <v>3</v>
      </c>
      <c r="AP18" s="1290">
        <f>(AN18+AO18)*V18</f>
        <v>1431</v>
      </c>
      <c r="AQ18" s="1288">
        <v>30</v>
      </c>
      <c r="AR18" s="604">
        <f t="shared" ref="AR18:AR23" si="2">IF(C18&lt;1," ",(K18*AF18/S18)/(AQ18*60+K18*AF18/S18))</f>
        <v>0.99403578528827041</v>
      </c>
      <c r="AS18" s="895"/>
      <c r="AT18" s="904"/>
      <c r="AU18" s="904"/>
      <c r="AV18" s="905"/>
      <c r="AW18" s="905"/>
      <c r="AX18" s="905"/>
      <c r="AY18" s="906"/>
      <c r="AZ18" s="907"/>
      <c r="BA18" s="908"/>
      <c r="BB18" s="908"/>
      <c r="BC18" s="909"/>
      <c r="BD18" s="874"/>
      <c r="BE18" s="874"/>
      <c r="BF18" s="910"/>
      <c r="BG18" s="910"/>
      <c r="BH18" s="910"/>
      <c r="BI18" s="758"/>
      <c r="BJ18" s="758"/>
      <c r="BK18" s="1401"/>
      <c r="BL18" s="1401"/>
      <c r="BM18" s="875"/>
      <c r="BN18" s="875"/>
      <c r="BO18" s="875"/>
      <c r="BP18" s="874"/>
      <c r="BQ18" s="875"/>
      <c r="BR18" s="875"/>
      <c r="BS18" s="875"/>
      <c r="BT18" s="876"/>
      <c r="BU18" s="876"/>
      <c r="BV18" s="876"/>
      <c r="BW18" s="876"/>
      <c r="BX18" s="876"/>
      <c r="BY18" s="876"/>
      <c r="BZ18" s="877"/>
      <c r="CA18" s="758"/>
      <c r="CB18" s="874"/>
      <c r="CC18" s="1484"/>
      <c r="CD18" s="1484"/>
      <c r="CE18" s="758"/>
      <c r="CF18" s="758"/>
      <c r="CG18" s="758"/>
      <c r="CH18" s="758"/>
      <c r="CI18" s="890"/>
      <c r="CJ18" s="758"/>
      <c r="CK18" s="758"/>
    </row>
    <row r="19" spans="2:94" s="587" customFormat="1" ht="15" customHeight="1">
      <c r="B19" s="606">
        <v>2</v>
      </c>
      <c r="C19" s="788" t="s">
        <v>1464</v>
      </c>
      <c r="D19" s="1056" t="s">
        <v>1467</v>
      </c>
      <c r="E19" s="1057" t="s">
        <v>1461</v>
      </c>
      <c r="F19" s="1064"/>
      <c r="G19" s="1065"/>
      <c r="H19" s="1038"/>
      <c r="I19" s="1128"/>
      <c r="J19" s="1129"/>
      <c r="K19" s="1178">
        <v>20000</v>
      </c>
      <c r="L19" s="1131"/>
      <c r="M19" s="1130">
        <f t="shared" si="0"/>
        <v>1.2578616352201259E-3</v>
      </c>
      <c r="N19" s="871">
        <f t="shared" ref="N18:N23" si="3">(AN19+AO19)*S19/K19</f>
        <v>1.8E-3</v>
      </c>
      <c r="O19" s="1180">
        <v>2.0000000000000001E-4</v>
      </c>
      <c r="P19" s="1184" t="s">
        <v>1252</v>
      </c>
      <c r="Q19" s="1366" t="s">
        <v>1465</v>
      </c>
      <c r="R19" s="1367"/>
      <c r="S19" s="1186">
        <v>2</v>
      </c>
      <c r="T19" s="1197">
        <v>31.6</v>
      </c>
      <c r="U19" s="1198">
        <v>16.3</v>
      </c>
      <c r="V19" s="1109">
        <f t="shared" ref="V19:V23" si="4">T19*S19+U19</f>
        <v>79.5</v>
      </c>
      <c r="W19" s="1172"/>
      <c r="X19" s="1087">
        <f>ROUNDUP((K19/(1-O19)+AN19+AO19)/S19,0)</f>
        <v>10012</v>
      </c>
      <c r="Y19" s="1109">
        <f>(X19*V19+AL19)/K19</f>
        <v>39.847700000000003</v>
      </c>
      <c r="Z19" s="1221">
        <v>437.8</v>
      </c>
      <c r="AA19" s="1211">
        <v>0</v>
      </c>
      <c r="AB19" s="1214">
        <f>'Resin Recycle'!$O$48</f>
        <v>57.114983196687561</v>
      </c>
      <c r="AC19" s="1169">
        <f>IF(AA19=0,'Resin Recycle'!$F$40,0)</f>
        <v>17.600000000000001</v>
      </c>
      <c r="AD19" s="1223">
        <f t="shared" ref="AD19:AD23" si="5">(Y19-T19)*AC19/1000</f>
        <v>0.14515952000000004</v>
      </c>
      <c r="AE19" s="1133">
        <f t="shared" ref="AE19:AE23" si="6">Y19*(1-AA19)*Z19/1000+Y19*AA19*AB19/1000+AD19</f>
        <v>17.590482580000003</v>
      </c>
      <c r="AF19" s="757">
        <v>30</v>
      </c>
      <c r="AG19" s="1205">
        <f t="shared" ref="AG19:AH22" si="7">AH$5</f>
        <v>297.65682297992913</v>
      </c>
      <c r="AH19" s="1206">
        <f t="shared" si="7"/>
        <v>543.66751070794862</v>
      </c>
      <c r="AI19" s="1156">
        <f t="shared" ref="AI19:AI23" si="8">ROUNDUP(AF19/S19*(AH19+AG19)/(1-N19-O19)/3600,2)</f>
        <v>3.5199999999999996</v>
      </c>
      <c r="AJ19" s="1257"/>
      <c r="AK19" s="1048"/>
      <c r="AL19" s="1284">
        <v>1000</v>
      </c>
      <c r="AM19" s="1255">
        <f t="shared" si="1"/>
        <v>12.578616352201259</v>
      </c>
      <c r="AN19" s="1277">
        <v>15</v>
      </c>
      <c r="AO19" s="1278">
        <v>3</v>
      </c>
      <c r="AP19" s="1129">
        <f t="shared" ref="AP19:AP23" si="9">(AN19+AO19)*V19</f>
        <v>1431</v>
      </c>
      <c r="AQ19" s="1289">
        <v>30</v>
      </c>
      <c r="AR19" s="607">
        <f t="shared" si="2"/>
        <v>0.99403578528827041</v>
      </c>
      <c r="AS19" s="895"/>
      <c r="AT19" s="904"/>
      <c r="AU19" s="904"/>
      <c r="AV19" s="905"/>
      <c r="AW19" s="905"/>
      <c r="AX19" s="905"/>
      <c r="AY19" s="906"/>
      <c r="AZ19" s="907"/>
      <c r="BA19" s="908"/>
      <c r="BB19" s="908"/>
      <c r="BC19" s="909"/>
      <c r="BD19" s="874"/>
      <c r="BE19" s="874"/>
      <c r="BF19" s="910"/>
      <c r="BG19" s="910"/>
      <c r="BH19" s="910"/>
      <c r="BI19" s="758"/>
      <c r="BJ19" s="758"/>
      <c r="BK19" s="1401"/>
      <c r="BL19" s="1401"/>
      <c r="BM19" s="875"/>
      <c r="BN19" s="875"/>
      <c r="BO19" s="875"/>
      <c r="BP19" s="874"/>
      <c r="BQ19" s="878"/>
      <c r="BR19" s="875"/>
      <c r="BS19" s="875"/>
      <c r="BT19" s="876"/>
      <c r="BU19" s="876"/>
      <c r="BV19" s="876"/>
      <c r="BW19" s="876"/>
      <c r="BX19" s="876"/>
      <c r="BY19" s="876"/>
      <c r="BZ19" s="876"/>
      <c r="CA19" s="758"/>
      <c r="CB19" s="874"/>
      <c r="CC19" s="1484"/>
      <c r="CD19" s="1484"/>
      <c r="CE19" s="758"/>
      <c r="CF19" s="758"/>
      <c r="CG19" s="758"/>
      <c r="CH19" s="758"/>
      <c r="CI19" s="890"/>
      <c r="CJ19" s="758"/>
      <c r="CK19" s="758"/>
    </row>
    <row r="20" spans="2:94" s="587" customFormat="1" ht="15" customHeight="1">
      <c r="B20" s="608">
        <v>3</v>
      </c>
      <c r="C20" s="788" t="s">
        <v>1464</v>
      </c>
      <c r="D20" s="1056" t="s">
        <v>1467</v>
      </c>
      <c r="E20" s="1057" t="s">
        <v>1462</v>
      </c>
      <c r="F20" s="1064"/>
      <c r="G20" s="1065"/>
      <c r="H20" s="1038"/>
      <c r="I20" s="1128"/>
      <c r="J20" s="1129"/>
      <c r="K20" s="1178">
        <v>20000</v>
      </c>
      <c r="L20" s="1131"/>
      <c r="M20" s="1130">
        <f t="shared" si="0"/>
        <v>1.2578616352201259E-3</v>
      </c>
      <c r="N20" s="871">
        <f t="shared" si="3"/>
        <v>1.8E-3</v>
      </c>
      <c r="O20" s="1180">
        <v>2.0000000000000001E-4</v>
      </c>
      <c r="P20" s="1184" t="s">
        <v>1471</v>
      </c>
      <c r="Q20" s="1366" t="s">
        <v>1472</v>
      </c>
      <c r="R20" s="1367"/>
      <c r="S20" s="1187">
        <v>2</v>
      </c>
      <c r="T20" s="1199">
        <v>31.6</v>
      </c>
      <c r="U20" s="1200">
        <v>16.3</v>
      </c>
      <c r="V20" s="1109">
        <f t="shared" si="4"/>
        <v>79.5</v>
      </c>
      <c r="W20" s="1172"/>
      <c r="X20" s="1087">
        <f t="shared" ref="X20:X23" si="10">ROUNDUP((K20/(1-O20)+AN20+AO20)/S20,0)</f>
        <v>10012</v>
      </c>
      <c r="Y20" s="1109">
        <f t="shared" ref="Y20:Y23" si="11">(X20*V20+AL20)/K20</f>
        <v>39.847700000000003</v>
      </c>
      <c r="Z20" s="1221">
        <v>437.8</v>
      </c>
      <c r="AA20" s="1211">
        <v>0</v>
      </c>
      <c r="AB20" s="1215">
        <f>'Resin Recycle'!$O$48</f>
        <v>57.114983196687561</v>
      </c>
      <c r="AC20" s="1169">
        <f>IF(AA20=0,'Resin Recycle'!$F$40,0)</f>
        <v>17.600000000000001</v>
      </c>
      <c r="AD20" s="1223">
        <f t="shared" si="5"/>
        <v>0.14515952000000004</v>
      </c>
      <c r="AE20" s="1134">
        <f t="shared" si="6"/>
        <v>17.590482580000003</v>
      </c>
      <c r="AF20" s="757">
        <v>29</v>
      </c>
      <c r="AG20" s="1207">
        <f t="shared" si="7"/>
        <v>297.65682297992913</v>
      </c>
      <c r="AH20" s="1208">
        <f t="shared" si="7"/>
        <v>543.66751070794862</v>
      </c>
      <c r="AI20" s="1157">
        <f t="shared" si="8"/>
        <v>3.4</v>
      </c>
      <c r="AJ20" s="934"/>
      <c r="AK20" s="1048"/>
      <c r="AL20" s="1284">
        <v>1000</v>
      </c>
      <c r="AM20" s="1255">
        <f t="shared" si="1"/>
        <v>12.578616352201259</v>
      </c>
      <c r="AN20" s="1277">
        <v>15</v>
      </c>
      <c r="AO20" s="1278">
        <v>3</v>
      </c>
      <c r="AP20" s="1129">
        <f t="shared" si="9"/>
        <v>1431</v>
      </c>
      <c r="AQ20" s="1289">
        <v>30</v>
      </c>
      <c r="AR20" s="607">
        <f t="shared" si="2"/>
        <v>0.99383139136394794</v>
      </c>
      <c r="AS20" s="895"/>
      <c r="AT20" s="904"/>
      <c r="AU20" s="904"/>
      <c r="AV20" s="905"/>
      <c r="AW20" s="905"/>
      <c r="AX20" s="905"/>
      <c r="AY20" s="906"/>
      <c r="AZ20" s="907"/>
      <c r="BA20" s="908"/>
      <c r="BB20" s="908"/>
      <c r="BC20" s="909"/>
      <c r="BD20" s="874"/>
      <c r="BE20" s="874"/>
      <c r="BF20" s="910"/>
      <c r="BG20" s="910"/>
      <c r="BH20" s="910"/>
      <c r="BI20" s="758"/>
      <c r="BJ20" s="758"/>
      <c r="BK20" s="1401"/>
      <c r="BL20" s="1401"/>
      <c r="BM20" s="875"/>
      <c r="BN20" s="875"/>
      <c r="BO20" s="875"/>
      <c r="BP20" s="874"/>
      <c r="BQ20" s="875"/>
      <c r="BR20" s="879"/>
      <c r="BS20" s="875"/>
      <c r="BT20" s="876"/>
      <c r="BU20" s="876"/>
      <c r="BV20" s="876"/>
      <c r="BW20" s="876"/>
      <c r="BX20" s="876"/>
      <c r="BY20" s="876"/>
      <c r="BZ20" s="879"/>
      <c r="CA20" s="758"/>
      <c r="CB20" s="874"/>
      <c r="CC20" s="1484"/>
      <c r="CD20" s="1484"/>
      <c r="CE20" s="758"/>
      <c r="CF20" s="758"/>
      <c r="CG20" s="758"/>
      <c r="CH20" s="758"/>
      <c r="CI20" s="890"/>
      <c r="CJ20" s="758"/>
      <c r="CK20" s="758"/>
      <c r="CL20" s="488"/>
      <c r="CM20" s="488"/>
      <c r="CN20" s="488"/>
    </row>
    <row r="21" spans="2:94" s="587" customFormat="1" ht="15" customHeight="1">
      <c r="B21" s="608">
        <v>4</v>
      </c>
      <c r="C21" s="788" t="s">
        <v>1464</v>
      </c>
      <c r="D21" s="1056" t="s">
        <v>1467</v>
      </c>
      <c r="E21" s="1057" t="s">
        <v>1463</v>
      </c>
      <c r="F21" s="1064"/>
      <c r="G21" s="1065"/>
      <c r="H21" s="1038"/>
      <c r="I21" s="1128"/>
      <c r="J21" s="1129"/>
      <c r="K21" s="1178">
        <v>20000</v>
      </c>
      <c r="L21" s="1131"/>
      <c r="M21" s="1130">
        <f t="shared" si="0"/>
        <v>1.2578616352201259E-3</v>
      </c>
      <c r="N21" s="871">
        <f t="shared" si="3"/>
        <v>1.8E-3</v>
      </c>
      <c r="O21" s="1180">
        <v>2.0000000000000001E-4</v>
      </c>
      <c r="P21" s="1184" t="s">
        <v>1471</v>
      </c>
      <c r="Q21" s="1366" t="s">
        <v>1472</v>
      </c>
      <c r="R21" s="1367"/>
      <c r="S21" s="1187">
        <v>2</v>
      </c>
      <c r="T21" s="1199">
        <v>31.6</v>
      </c>
      <c r="U21" s="1200">
        <v>16.3</v>
      </c>
      <c r="V21" s="1109">
        <f t="shared" si="4"/>
        <v>79.5</v>
      </c>
      <c r="W21" s="1172"/>
      <c r="X21" s="1087">
        <f t="shared" si="10"/>
        <v>10012</v>
      </c>
      <c r="Y21" s="1109">
        <f t="shared" si="11"/>
        <v>39.847700000000003</v>
      </c>
      <c r="Z21" s="1221">
        <v>437.8</v>
      </c>
      <c r="AA21" s="1211">
        <v>0.2</v>
      </c>
      <c r="AB21" s="1215">
        <f>'Resin Recycle'!$O$48</f>
        <v>57.114983196687561</v>
      </c>
      <c r="AC21" s="1169">
        <f>IF(AA21=0,'Resin Recycle'!$F$40,0)</f>
        <v>0</v>
      </c>
      <c r="AD21" s="1223">
        <f t="shared" si="5"/>
        <v>0</v>
      </c>
      <c r="AE21" s="1134">
        <f t="shared" si="6"/>
        <v>14.41143859118533</v>
      </c>
      <c r="AF21" s="757">
        <v>29</v>
      </c>
      <c r="AG21" s="1207">
        <f t="shared" si="7"/>
        <v>297.65682297992913</v>
      </c>
      <c r="AH21" s="1208">
        <f t="shared" si="7"/>
        <v>543.66751070794862</v>
      </c>
      <c r="AI21" s="1157">
        <f t="shared" si="8"/>
        <v>3.4</v>
      </c>
      <c r="AJ21" s="934"/>
      <c r="AK21" s="1048"/>
      <c r="AL21" s="1284">
        <v>1000</v>
      </c>
      <c r="AM21" s="1255">
        <f t="shared" si="1"/>
        <v>12.578616352201259</v>
      </c>
      <c r="AN21" s="1277">
        <v>15</v>
      </c>
      <c r="AO21" s="1278">
        <v>3</v>
      </c>
      <c r="AP21" s="1129">
        <f t="shared" si="9"/>
        <v>1431</v>
      </c>
      <c r="AQ21" s="1289">
        <v>30</v>
      </c>
      <c r="AR21" s="607">
        <f t="shared" si="2"/>
        <v>0.99383139136394794</v>
      </c>
      <c r="AS21" s="895"/>
      <c r="AT21" s="904"/>
      <c r="AU21" s="904"/>
      <c r="AV21" s="905"/>
      <c r="AW21" s="905"/>
      <c r="AX21" s="905"/>
      <c r="AY21" s="906"/>
      <c r="AZ21" s="907"/>
      <c r="BA21" s="908"/>
      <c r="BB21" s="908"/>
      <c r="BC21" s="909"/>
      <c r="BD21" s="874"/>
      <c r="BE21" s="874"/>
      <c r="BF21" s="910"/>
      <c r="BG21" s="910"/>
      <c r="BH21" s="910"/>
      <c r="BI21" s="758"/>
      <c r="BJ21" s="758"/>
      <c r="BK21" s="1401"/>
      <c r="BL21" s="1401"/>
      <c r="BM21" s="875"/>
      <c r="BN21" s="875"/>
      <c r="BO21" s="875"/>
      <c r="BP21" s="874"/>
      <c r="BQ21" s="875"/>
      <c r="BR21" s="880"/>
      <c r="BS21" s="880"/>
      <c r="BT21" s="876"/>
      <c r="BU21" s="876"/>
      <c r="BV21" s="876"/>
      <c r="BW21" s="876"/>
      <c r="BX21" s="876"/>
      <c r="BY21" s="876"/>
      <c r="BZ21" s="758"/>
      <c r="CA21" s="758"/>
      <c r="CB21" s="874"/>
      <c r="CC21" s="758"/>
      <c r="CD21" s="758"/>
      <c r="CE21" s="758"/>
      <c r="CF21" s="758"/>
      <c r="CG21" s="758"/>
      <c r="CH21" s="758"/>
      <c r="CI21" s="890"/>
      <c r="CJ21" s="891"/>
      <c r="CK21" s="891"/>
      <c r="CL21" s="488"/>
      <c r="CM21" s="489"/>
      <c r="CN21" s="489"/>
      <c r="CO21" s="489"/>
      <c r="CP21" s="489"/>
    </row>
    <row r="22" spans="2:94" s="587" customFormat="1" ht="15" customHeight="1">
      <c r="B22" s="605">
        <v>5</v>
      </c>
      <c r="C22" s="788" t="s">
        <v>1464</v>
      </c>
      <c r="D22" s="1056" t="s">
        <v>1467</v>
      </c>
      <c r="E22" s="1057" t="s">
        <v>1469</v>
      </c>
      <c r="F22" s="1064"/>
      <c r="G22" s="1065"/>
      <c r="H22" s="1038"/>
      <c r="I22" s="1128"/>
      <c r="J22" s="1129"/>
      <c r="K22" s="1178">
        <v>20000</v>
      </c>
      <c r="L22" s="1131"/>
      <c r="M22" s="1130">
        <f t="shared" si="0"/>
        <v>1.2578616352201259E-3</v>
      </c>
      <c r="N22" s="871">
        <f t="shared" si="3"/>
        <v>1.8E-3</v>
      </c>
      <c r="O22" s="1180">
        <v>2.0000000000000001E-4</v>
      </c>
      <c r="P22" s="1184" t="s">
        <v>1252</v>
      </c>
      <c r="Q22" s="1366" t="s">
        <v>1465</v>
      </c>
      <c r="R22" s="1367"/>
      <c r="S22" s="1188">
        <v>2</v>
      </c>
      <c r="T22" s="1197">
        <v>31.6</v>
      </c>
      <c r="U22" s="1200">
        <v>16.3</v>
      </c>
      <c r="V22" s="1109">
        <f t="shared" si="4"/>
        <v>79.5</v>
      </c>
      <c r="W22" s="1172"/>
      <c r="X22" s="1087">
        <f t="shared" si="10"/>
        <v>10012</v>
      </c>
      <c r="Y22" s="1109">
        <f t="shared" si="11"/>
        <v>39.847700000000003</v>
      </c>
      <c r="Z22" s="1221">
        <v>437.8</v>
      </c>
      <c r="AA22" s="1211">
        <v>0.2</v>
      </c>
      <c r="AB22" s="1215">
        <f>'Resin Recycle'!$O$48</f>
        <v>57.114983196687561</v>
      </c>
      <c r="AC22" s="1169">
        <f>IF(AA22=0,'Resin Recycle'!$F$40,0)</f>
        <v>0</v>
      </c>
      <c r="AD22" s="1223">
        <f t="shared" si="5"/>
        <v>0</v>
      </c>
      <c r="AE22" s="1134">
        <f t="shared" si="6"/>
        <v>14.41143859118533</v>
      </c>
      <c r="AF22" s="757">
        <v>28</v>
      </c>
      <c r="AG22" s="1207">
        <f t="shared" si="7"/>
        <v>297.65682297992913</v>
      </c>
      <c r="AH22" s="1208">
        <f t="shared" si="7"/>
        <v>543.66751070794862</v>
      </c>
      <c r="AI22" s="1157">
        <f t="shared" si="8"/>
        <v>3.28</v>
      </c>
      <c r="AJ22" s="934"/>
      <c r="AK22" s="1048"/>
      <c r="AL22" s="1284">
        <v>1000</v>
      </c>
      <c r="AM22" s="1255">
        <f t="shared" si="1"/>
        <v>12.578616352201259</v>
      </c>
      <c r="AN22" s="1277">
        <v>15</v>
      </c>
      <c r="AO22" s="1278">
        <v>3</v>
      </c>
      <c r="AP22" s="1129">
        <f t="shared" si="9"/>
        <v>1431</v>
      </c>
      <c r="AQ22" s="1289">
        <v>30</v>
      </c>
      <c r="AR22" s="607">
        <f t="shared" si="2"/>
        <v>0.99361249112845995</v>
      </c>
      <c r="AS22" s="895"/>
      <c r="AT22" s="904"/>
      <c r="AU22" s="904"/>
      <c r="AV22" s="905"/>
      <c r="AW22" s="905"/>
      <c r="AX22" s="905"/>
      <c r="AY22" s="906"/>
      <c r="AZ22" s="907"/>
      <c r="BA22" s="908"/>
      <c r="BB22" s="908"/>
      <c r="BC22" s="909"/>
      <c r="BD22" s="874"/>
      <c r="BE22" s="874"/>
      <c r="BF22" s="910"/>
      <c r="BG22" s="910"/>
      <c r="BH22" s="910"/>
      <c r="BI22" s="758"/>
      <c r="BJ22" s="758"/>
      <c r="BK22" s="1436"/>
      <c r="BL22" s="1436"/>
      <c r="BM22" s="875"/>
      <c r="BN22" s="875"/>
      <c r="BO22" s="875"/>
      <c r="BP22" s="874"/>
      <c r="BQ22" s="875"/>
      <c r="BR22" s="880"/>
      <c r="BS22" s="880"/>
      <c r="BT22" s="876"/>
      <c r="BU22" s="876"/>
      <c r="BV22" s="876"/>
      <c r="BW22" s="876"/>
      <c r="BX22" s="876"/>
      <c r="BY22" s="876"/>
      <c r="BZ22" s="758"/>
      <c r="CA22" s="758"/>
      <c r="CB22" s="874"/>
      <c r="CC22" s="758"/>
      <c r="CD22" s="758"/>
      <c r="CE22" s="758"/>
      <c r="CF22" s="758"/>
      <c r="CG22" s="758"/>
      <c r="CH22" s="758"/>
      <c r="CI22" s="890"/>
      <c r="CJ22" s="891"/>
      <c r="CK22" s="891"/>
      <c r="CL22" s="488"/>
      <c r="CM22" s="489"/>
      <c r="CN22" s="489"/>
      <c r="CO22" s="489"/>
      <c r="CP22" s="489"/>
    </row>
    <row r="23" spans="2:94" s="587" customFormat="1" ht="15" customHeight="1">
      <c r="B23" s="608">
        <v>6</v>
      </c>
      <c r="C23" s="788" t="s">
        <v>1464</v>
      </c>
      <c r="D23" s="1056" t="s">
        <v>1467</v>
      </c>
      <c r="E23" s="1057" t="s">
        <v>1470</v>
      </c>
      <c r="F23" s="1064"/>
      <c r="G23" s="1065"/>
      <c r="H23" s="1038"/>
      <c r="I23" s="1128"/>
      <c r="J23" s="1129"/>
      <c r="K23" s="1178">
        <v>20000</v>
      </c>
      <c r="L23" s="1131"/>
      <c r="M23" s="1130">
        <f t="shared" si="0"/>
        <v>1.2578616352201259E-3</v>
      </c>
      <c r="N23" s="871">
        <f t="shared" si="3"/>
        <v>1.8E-3</v>
      </c>
      <c r="O23" s="1180">
        <v>2.0000000000000001E-4</v>
      </c>
      <c r="P23" s="1184" t="s">
        <v>1252</v>
      </c>
      <c r="Q23" s="1366" t="s">
        <v>1465</v>
      </c>
      <c r="R23" s="1367"/>
      <c r="S23" s="1188">
        <v>2</v>
      </c>
      <c r="T23" s="1197">
        <v>31.6</v>
      </c>
      <c r="U23" s="1200">
        <v>16.3</v>
      </c>
      <c r="V23" s="1109">
        <f t="shared" si="4"/>
        <v>79.5</v>
      </c>
      <c r="W23" s="1172"/>
      <c r="X23" s="1087">
        <f t="shared" si="10"/>
        <v>10012</v>
      </c>
      <c r="Y23" s="1109">
        <f t="shared" si="11"/>
        <v>39.847700000000003</v>
      </c>
      <c r="Z23" s="1221">
        <v>437.8</v>
      </c>
      <c r="AA23" s="1211">
        <v>0.15</v>
      </c>
      <c r="AB23" s="1215">
        <f>'Resin Recycle'!$O$48</f>
        <v>57.114983196687561</v>
      </c>
      <c r="AC23" s="1169">
        <f>IF(AA23=0,'Resin Recycle'!$F$40,0)</f>
        <v>0</v>
      </c>
      <c r="AD23" s="1223">
        <f t="shared" si="5"/>
        <v>0</v>
      </c>
      <c r="AE23" s="1134">
        <f t="shared" si="6"/>
        <v>15.169909708389</v>
      </c>
      <c r="AF23" s="757">
        <v>28</v>
      </c>
      <c r="AG23" s="1207">
        <f>AH$5</f>
        <v>297.65682297992913</v>
      </c>
      <c r="AH23" s="1208">
        <f t="shared" ref="AH23" si="12">AI$5</f>
        <v>543.66751070794862</v>
      </c>
      <c r="AI23" s="1157">
        <f t="shared" si="8"/>
        <v>3.28</v>
      </c>
      <c r="AJ23" s="934"/>
      <c r="AK23" s="1048"/>
      <c r="AL23" s="1284">
        <v>1000</v>
      </c>
      <c r="AM23" s="1255">
        <f t="shared" si="1"/>
        <v>12.578616352201259</v>
      </c>
      <c r="AN23" s="1277">
        <v>15</v>
      </c>
      <c r="AO23" s="1278">
        <v>3</v>
      </c>
      <c r="AP23" s="1129">
        <f t="shared" si="9"/>
        <v>1431</v>
      </c>
      <c r="AQ23" s="1289">
        <v>30</v>
      </c>
      <c r="AR23" s="607">
        <f t="shared" si="2"/>
        <v>0.99361249112845995</v>
      </c>
      <c r="AS23" s="895"/>
      <c r="AT23" s="904"/>
      <c r="AU23" s="904"/>
      <c r="AV23" s="905"/>
      <c r="AW23" s="905"/>
      <c r="AX23" s="905"/>
      <c r="AY23" s="906"/>
      <c r="AZ23" s="907"/>
      <c r="BA23" s="908"/>
      <c r="BB23" s="908"/>
      <c r="BC23" s="909"/>
      <c r="BD23" s="874"/>
      <c r="BE23" s="874"/>
      <c r="BF23" s="910"/>
      <c r="BG23" s="910"/>
      <c r="BH23" s="910"/>
      <c r="BI23" s="758"/>
      <c r="BJ23" s="758"/>
      <c r="BK23" s="1436"/>
      <c r="BL23" s="1436"/>
      <c r="BM23" s="875"/>
      <c r="BN23" s="875"/>
      <c r="BO23" s="875"/>
      <c r="BP23" s="874"/>
      <c r="BQ23" s="875"/>
      <c r="BR23" s="880"/>
      <c r="BS23" s="880"/>
      <c r="BT23" s="876"/>
      <c r="BU23" s="876"/>
      <c r="BV23" s="876"/>
      <c r="BW23" s="876"/>
      <c r="BX23" s="876"/>
      <c r="BY23" s="876"/>
      <c r="BZ23" s="758"/>
      <c r="CB23" s="596"/>
      <c r="CI23" s="611"/>
      <c r="CJ23" s="612"/>
      <c r="CK23" s="612"/>
      <c r="CL23" s="488"/>
      <c r="CM23" s="489"/>
      <c r="CN23" s="489"/>
      <c r="CO23" s="489"/>
      <c r="CP23" s="489"/>
    </row>
    <row r="24" spans="2:94" s="587" customFormat="1" ht="15" customHeight="1">
      <c r="B24" s="1042">
        <v>7</v>
      </c>
      <c r="C24" s="788"/>
      <c r="D24" s="1056"/>
      <c r="E24" s="1057"/>
      <c r="F24" s="1064"/>
      <c r="G24" s="1065"/>
      <c r="H24" s="1038"/>
      <c r="I24" s="1128"/>
      <c r="J24" s="1129"/>
      <c r="K24" s="1132"/>
      <c r="L24" s="1131"/>
      <c r="M24" s="1130"/>
      <c r="N24" s="871"/>
      <c r="O24" s="911"/>
      <c r="P24" s="912"/>
      <c r="Q24" s="1352"/>
      <c r="R24" s="1353"/>
      <c r="S24" s="781"/>
      <c r="T24" s="1108"/>
      <c r="U24" s="1110"/>
      <c r="V24" s="1109"/>
      <c r="W24" s="1172"/>
      <c r="X24" s="1087"/>
      <c r="Y24" s="1109"/>
      <c r="Z24" s="784"/>
      <c r="AA24" s="785"/>
      <c r="AB24" s="1149"/>
      <c r="AC24" s="1169"/>
      <c r="AD24" s="1223"/>
      <c r="AE24" s="1253"/>
      <c r="AF24" s="787"/>
      <c r="AG24" s="932"/>
      <c r="AH24" s="933"/>
      <c r="AI24" s="1158"/>
      <c r="AJ24" s="934"/>
      <c r="AK24" s="1254"/>
      <c r="AL24" s="1136"/>
      <c r="AM24" s="1255"/>
      <c r="AN24" s="1106"/>
      <c r="AO24" s="1129"/>
      <c r="AP24" s="1129"/>
      <c r="AQ24" s="787"/>
      <c r="AR24" s="872"/>
      <c r="AS24" s="895"/>
      <c r="AT24" s="904"/>
      <c r="AU24" s="904"/>
      <c r="AV24" s="905"/>
      <c r="AW24" s="905"/>
      <c r="AX24" s="905"/>
      <c r="AY24" s="906"/>
      <c r="AZ24" s="907"/>
      <c r="BA24" s="908"/>
      <c r="BB24" s="908"/>
      <c r="BC24" s="909"/>
      <c r="BD24" s="874"/>
      <c r="BE24" s="874"/>
      <c r="BF24" s="910"/>
      <c r="BG24" s="910"/>
      <c r="BH24" s="910"/>
      <c r="BI24" s="758"/>
      <c r="BK24" s="881"/>
      <c r="BL24" s="881"/>
      <c r="BM24" s="882"/>
      <c r="BN24" s="882"/>
      <c r="BO24" s="882"/>
      <c r="BP24" s="596"/>
      <c r="BQ24" s="882"/>
      <c r="BR24" s="883"/>
      <c r="BS24" s="883"/>
      <c r="BT24" s="626"/>
      <c r="BU24" s="626"/>
      <c r="BV24" s="626"/>
      <c r="BW24" s="626"/>
      <c r="BX24" s="626"/>
      <c r="BY24" s="626"/>
      <c r="CB24" s="596"/>
      <c r="CI24" s="611"/>
      <c r="CJ24" s="612"/>
      <c r="CK24" s="612"/>
      <c r="CL24" s="488"/>
      <c r="CM24" s="489"/>
      <c r="CN24" s="489"/>
      <c r="CO24" s="489"/>
      <c r="CP24" s="489"/>
    </row>
    <row r="25" spans="2:94" s="587" customFormat="1" ht="15" customHeight="1">
      <c r="B25" s="1042">
        <v>8</v>
      </c>
      <c r="C25" s="1042"/>
      <c r="D25" s="889"/>
      <c r="E25" s="1053"/>
      <c r="F25" s="1029"/>
      <c r="G25" s="1049"/>
      <c r="H25" s="1101"/>
      <c r="I25" s="1102"/>
      <c r="J25" s="1071"/>
      <c r="K25" s="1032"/>
      <c r="L25" s="1037"/>
      <c r="M25" s="1117"/>
      <c r="N25" s="778"/>
      <c r="O25" s="779"/>
      <c r="P25" s="780"/>
      <c r="Q25" s="1352"/>
      <c r="R25" s="1353"/>
      <c r="S25" s="781"/>
      <c r="T25" s="930"/>
      <c r="U25" s="782"/>
      <c r="V25" s="783"/>
      <c r="W25" s="783"/>
      <c r="X25" s="783"/>
      <c r="Y25" s="783"/>
      <c r="Z25" s="784"/>
      <c r="AA25" s="785"/>
      <c r="AB25" s="1149"/>
      <c r="AC25" s="1163"/>
      <c r="AD25" s="1163"/>
      <c r="AE25" s="786"/>
      <c r="AF25" s="931"/>
      <c r="AG25" s="932"/>
      <c r="AH25" s="933"/>
      <c r="AI25" s="1158"/>
      <c r="AJ25" s="934"/>
      <c r="AK25" s="1048"/>
      <c r="AL25" s="954"/>
      <c r="AM25" s="1076"/>
      <c r="AN25" s="955"/>
      <c r="AO25" s="956"/>
      <c r="AP25" s="956"/>
      <c r="AQ25" s="957"/>
      <c r="AR25" s="872"/>
      <c r="AS25" s="895"/>
      <c r="AT25" s="904"/>
      <c r="AU25" s="904"/>
      <c r="AV25" s="905"/>
      <c r="AW25" s="905"/>
      <c r="AX25" s="905"/>
      <c r="AY25" s="906"/>
      <c r="AZ25" s="907"/>
      <c r="BA25" s="908"/>
      <c r="BB25" s="908"/>
      <c r="BC25" s="909"/>
      <c r="BD25" s="874"/>
      <c r="BE25" s="874"/>
      <c r="BF25" s="910"/>
      <c r="BG25" s="910"/>
      <c r="BH25" s="910"/>
      <c r="BI25" s="758"/>
      <c r="BK25" s="881"/>
      <c r="BL25" s="881"/>
      <c r="BM25" s="882"/>
      <c r="BN25" s="882"/>
      <c r="BO25" s="882"/>
      <c r="BP25" s="596"/>
      <c r="BQ25" s="882"/>
      <c r="BR25" s="883"/>
      <c r="BS25" s="883"/>
      <c r="BT25" s="626"/>
      <c r="BU25" s="626"/>
      <c r="BV25" s="626"/>
      <c r="BW25" s="626"/>
      <c r="BX25" s="626"/>
      <c r="BY25" s="626"/>
      <c r="CB25" s="596"/>
      <c r="CI25" s="611"/>
      <c r="CJ25" s="612"/>
      <c r="CK25" s="612"/>
      <c r="CL25" s="488"/>
      <c r="CM25" s="489"/>
      <c r="CN25" s="489"/>
      <c r="CO25" s="489"/>
      <c r="CP25" s="489"/>
    </row>
    <row r="26" spans="2:94" s="587" customFormat="1" ht="15" customHeight="1">
      <c r="B26" s="1042">
        <v>9</v>
      </c>
      <c r="C26" s="1042"/>
      <c r="D26" s="889"/>
      <c r="E26" s="1053"/>
      <c r="F26" s="1029"/>
      <c r="G26" s="1049"/>
      <c r="H26" s="1101"/>
      <c r="I26" s="1101"/>
      <c r="J26" s="1070"/>
      <c r="K26" s="1033"/>
      <c r="L26" s="1038"/>
      <c r="M26" s="1117"/>
      <c r="N26" s="778"/>
      <c r="O26" s="779"/>
      <c r="P26" s="780"/>
      <c r="Q26" s="1352"/>
      <c r="R26" s="1353"/>
      <c r="S26" s="781"/>
      <c r="T26" s="1135"/>
      <c r="U26" s="1135"/>
      <c r="V26" s="1136"/>
      <c r="W26" s="1136"/>
      <c r="X26" s="1136"/>
      <c r="Y26" s="1136"/>
      <c r="Z26" s="1137"/>
      <c r="AA26" s="1138"/>
      <c r="AB26" s="1148"/>
      <c r="AC26" s="1164"/>
      <c r="AD26" s="1164"/>
      <c r="AE26" s="786"/>
      <c r="AF26" s="787"/>
      <c r="AG26" s="932"/>
      <c r="AH26" s="933"/>
      <c r="AI26" s="1158"/>
      <c r="AJ26" s="934"/>
      <c r="AK26" s="1048"/>
      <c r="AL26" s="954"/>
      <c r="AM26" s="1076"/>
      <c r="AN26" s="955"/>
      <c r="AO26" s="956"/>
      <c r="AP26" s="956"/>
      <c r="AQ26" s="957"/>
      <c r="AR26" s="872"/>
      <c r="AS26" s="895"/>
      <c r="AT26" s="904"/>
      <c r="AU26" s="904"/>
      <c r="AV26" s="905"/>
      <c r="AW26" s="905"/>
      <c r="AX26" s="905"/>
      <c r="AY26" s="906"/>
      <c r="AZ26" s="907"/>
      <c r="BA26" s="908"/>
      <c r="BB26" s="908"/>
      <c r="BC26" s="909"/>
      <c r="BD26" s="874"/>
      <c r="BE26" s="874"/>
      <c r="BF26" s="910"/>
      <c r="BG26" s="910"/>
      <c r="BH26" s="910"/>
      <c r="BI26" s="758"/>
      <c r="BK26" s="881"/>
      <c r="BL26" s="881"/>
      <c r="BM26" s="882"/>
      <c r="BN26" s="882"/>
      <c r="BO26" s="882"/>
      <c r="BP26" s="596"/>
      <c r="BQ26" s="882"/>
      <c r="BR26" s="883"/>
      <c r="BS26" s="883"/>
      <c r="BT26" s="626"/>
      <c r="BU26" s="626"/>
      <c r="BV26" s="626"/>
      <c r="BW26" s="626"/>
      <c r="BX26" s="626"/>
      <c r="BY26" s="626"/>
      <c r="CB26" s="596"/>
      <c r="CI26" s="611"/>
      <c r="CJ26" s="612"/>
      <c r="CK26" s="612"/>
      <c r="CL26" s="488"/>
      <c r="CM26" s="489"/>
      <c r="CN26" s="489"/>
      <c r="CO26" s="489"/>
      <c r="CP26" s="489"/>
    </row>
    <row r="27" spans="2:94" s="587" customFormat="1" ht="15" customHeight="1">
      <c r="B27" s="1042">
        <v>10</v>
      </c>
      <c r="C27" s="1042"/>
      <c r="D27" s="889"/>
      <c r="E27" s="1053"/>
      <c r="F27" s="1029"/>
      <c r="G27" s="1049"/>
      <c r="H27" s="1101"/>
      <c r="I27" s="1101"/>
      <c r="J27" s="1070"/>
      <c r="K27" s="1032"/>
      <c r="L27" s="1037"/>
      <c r="M27" s="1117"/>
      <c r="N27" s="778"/>
      <c r="O27" s="779"/>
      <c r="P27" s="780"/>
      <c r="Q27" s="1352"/>
      <c r="R27" s="1353"/>
      <c r="S27" s="781"/>
      <c r="T27" s="1135"/>
      <c r="U27" s="609"/>
      <c r="V27" s="1139"/>
      <c r="W27" s="1139"/>
      <c r="X27" s="1139"/>
      <c r="Y27" s="1139"/>
      <c r="Z27" s="609"/>
      <c r="AA27" s="1138"/>
      <c r="AB27" s="1148"/>
      <c r="AC27" s="1164"/>
      <c r="AD27" s="1164"/>
      <c r="AE27" s="786"/>
      <c r="AF27" s="787"/>
      <c r="AG27" s="932"/>
      <c r="AH27" s="933"/>
      <c r="AI27" s="1158"/>
      <c r="AJ27" s="934"/>
      <c r="AK27" s="1048"/>
      <c r="AL27" s="954"/>
      <c r="AM27" s="1076"/>
      <c r="AN27" s="955"/>
      <c r="AO27" s="956"/>
      <c r="AP27" s="956"/>
      <c r="AQ27" s="957"/>
      <c r="AR27" s="872"/>
      <c r="AS27" s="895"/>
      <c r="AT27" s="904"/>
      <c r="AU27" s="904"/>
      <c r="AV27" s="905"/>
      <c r="AW27" s="905"/>
      <c r="AX27" s="905"/>
      <c r="AY27" s="906"/>
      <c r="AZ27" s="907"/>
      <c r="BA27" s="908"/>
      <c r="BB27" s="908"/>
      <c r="BC27" s="909"/>
      <c r="BD27" s="874"/>
      <c r="BE27" s="874"/>
      <c r="BF27" s="910"/>
      <c r="BG27" s="910"/>
      <c r="BH27" s="910"/>
      <c r="BI27" s="758"/>
      <c r="BK27" s="881"/>
      <c r="BL27" s="881"/>
      <c r="BM27" s="882"/>
      <c r="BN27" s="882"/>
      <c r="BO27" s="882"/>
      <c r="BP27" s="596"/>
      <c r="BQ27" s="882"/>
      <c r="BR27" s="883"/>
      <c r="BS27" s="883"/>
      <c r="BT27" s="626"/>
      <c r="BU27" s="626"/>
      <c r="BV27" s="626"/>
      <c r="BW27" s="626"/>
      <c r="BX27" s="626"/>
      <c r="BY27" s="626"/>
      <c r="CB27" s="596"/>
      <c r="CI27" s="611"/>
      <c r="CJ27" s="612"/>
      <c r="CK27" s="612"/>
      <c r="CL27" s="488"/>
      <c r="CM27" s="489"/>
      <c r="CN27" s="489"/>
      <c r="CO27" s="489"/>
      <c r="CP27" s="489"/>
    </row>
    <row r="28" spans="2:94" s="587" customFormat="1" ht="15" customHeight="1">
      <c r="B28" s="788">
        <v>11</v>
      </c>
      <c r="C28" s="788"/>
      <c r="D28" s="889"/>
      <c r="E28" s="1053"/>
      <c r="F28" s="1029"/>
      <c r="G28" s="1049"/>
      <c r="H28" s="1101"/>
      <c r="I28" s="1101"/>
      <c r="J28" s="1070"/>
      <c r="K28" s="1033"/>
      <c r="L28" s="1038"/>
      <c r="M28" s="1117"/>
      <c r="N28" s="778"/>
      <c r="O28" s="779"/>
      <c r="P28" s="780"/>
      <c r="Q28" s="1352"/>
      <c r="R28" s="1353"/>
      <c r="S28" s="781"/>
      <c r="T28" s="1135"/>
      <c r="U28" s="1135"/>
      <c r="V28" s="1136"/>
      <c r="W28" s="1136"/>
      <c r="X28" s="1136"/>
      <c r="Y28" s="1136"/>
      <c r="Z28" s="1137"/>
      <c r="AA28" s="1138"/>
      <c r="AB28" s="1148"/>
      <c r="AC28" s="1164"/>
      <c r="AD28" s="1164"/>
      <c r="AE28" s="786"/>
      <c r="AF28" s="787"/>
      <c r="AG28" s="932"/>
      <c r="AH28" s="933"/>
      <c r="AI28" s="1158"/>
      <c r="AJ28" s="934"/>
      <c r="AK28" s="1048"/>
      <c r="AL28" s="954"/>
      <c r="AM28" s="1076"/>
      <c r="AN28" s="955"/>
      <c r="AO28" s="956"/>
      <c r="AP28" s="956"/>
      <c r="AQ28" s="957"/>
      <c r="AR28" s="872"/>
      <c r="AS28" s="895"/>
      <c r="AT28" s="904"/>
      <c r="AU28" s="904"/>
      <c r="AV28" s="905"/>
      <c r="AW28" s="905"/>
      <c r="AX28" s="905"/>
      <c r="AY28" s="906"/>
      <c r="AZ28" s="907"/>
      <c r="BA28" s="908"/>
      <c r="BB28" s="908"/>
      <c r="BC28" s="909"/>
      <c r="BD28" s="874"/>
      <c r="BE28" s="874"/>
      <c r="BF28" s="910"/>
      <c r="BG28" s="910"/>
      <c r="BH28" s="910"/>
      <c r="BI28" s="758"/>
      <c r="BK28" s="881"/>
      <c r="BL28" s="881"/>
      <c r="BM28" s="882"/>
      <c r="BN28" s="882"/>
      <c r="BO28" s="882"/>
      <c r="BP28" s="596"/>
      <c r="BQ28" s="882"/>
      <c r="BR28" s="883"/>
      <c r="BS28" s="883"/>
      <c r="BT28" s="626"/>
      <c r="BU28" s="626"/>
      <c r="BV28" s="626"/>
      <c r="BW28" s="626"/>
      <c r="BX28" s="626"/>
      <c r="BY28" s="626"/>
      <c r="CB28" s="596"/>
      <c r="CI28" s="611"/>
      <c r="CJ28" s="612"/>
      <c r="CK28" s="612"/>
      <c r="CL28" s="488"/>
      <c r="CM28" s="489"/>
      <c r="CN28" s="489"/>
      <c r="CO28" s="489"/>
      <c r="CP28" s="489"/>
    </row>
    <row r="29" spans="2:94" s="587" customFormat="1" ht="15" customHeight="1">
      <c r="B29" s="788">
        <v>12</v>
      </c>
      <c r="C29" s="788"/>
      <c r="D29" s="889"/>
      <c r="E29" s="1053"/>
      <c r="F29" s="1029"/>
      <c r="G29" s="1049"/>
      <c r="H29" s="1101"/>
      <c r="I29" s="1101"/>
      <c r="J29" s="1070"/>
      <c r="K29" s="1032"/>
      <c r="L29" s="1037"/>
      <c r="M29" s="1117"/>
      <c r="N29" s="778"/>
      <c r="O29" s="779"/>
      <c r="P29" s="780"/>
      <c r="Q29" s="1352"/>
      <c r="R29" s="1353"/>
      <c r="S29" s="781"/>
      <c r="T29" s="1135"/>
      <c r="U29" s="1135"/>
      <c r="V29" s="1136"/>
      <c r="W29" s="1136"/>
      <c r="X29" s="1136"/>
      <c r="Y29" s="1136"/>
      <c r="Z29" s="1137"/>
      <c r="AA29" s="1138"/>
      <c r="AB29" s="1148"/>
      <c r="AC29" s="1164"/>
      <c r="AD29" s="1164"/>
      <c r="AE29" s="786"/>
      <c r="AF29" s="787"/>
      <c r="AG29" s="932"/>
      <c r="AH29" s="933"/>
      <c r="AI29" s="1158"/>
      <c r="AJ29" s="934"/>
      <c r="AK29" s="1048"/>
      <c r="AL29" s="954"/>
      <c r="AM29" s="1076"/>
      <c r="AN29" s="955"/>
      <c r="AO29" s="956"/>
      <c r="AP29" s="956"/>
      <c r="AQ29" s="957"/>
      <c r="AR29" s="872"/>
      <c r="AS29" s="895"/>
      <c r="AT29" s="904"/>
      <c r="AU29" s="904"/>
      <c r="AV29" s="905"/>
      <c r="AW29" s="905"/>
      <c r="AX29" s="905"/>
      <c r="AY29" s="906"/>
      <c r="AZ29" s="907"/>
      <c r="BA29" s="908"/>
      <c r="BB29" s="908"/>
      <c r="BC29" s="909"/>
      <c r="BD29" s="874"/>
      <c r="BE29" s="874"/>
      <c r="BF29" s="910"/>
      <c r="BG29" s="910"/>
      <c r="BH29" s="910"/>
      <c r="BI29" s="758"/>
      <c r="BK29" s="881"/>
      <c r="BL29" s="881"/>
      <c r="BM29" s="882"/>
      <c r="BN29" s="882"/>
      <c r="BO29" s="882"/>
      <c r="BP29" s="596"/>
      <c r="BQ29" s="882"/>
      <c r="BR29" s="883"/>
      <c r="BS29" s="883"/>
      <c r="BT29" s="626"/>
      <c r="BU29" s="626"/>
      <c r="BV29" s="626"/>
      <c r="BW29" s="626"/>
      <c r="BX29" s="626"/>
      <c r="BY29" s="626"/>
      <c r="CB29" s="596"/>
      <c r="CI29" s="611"/>
      <c r="CJ29" s="612"/>
      <c r="CK29" s="612"/>
      <c r="CL29" s="488"/>
      <c r="CM29" s="489"/>
      <c r="CN29" s="489"/>
      <c r="CO29" s="489"/>
      <c r="CP29" s="489"/>
    </row>
    <row r="30" spans="2:94" s="587" customFormat="1" ht="15" customHeight="1">
      <c r="B30" s="788">
        <v>13</v>
      </c>
      <c r="C30" s="788"/>
      <c r="D30" s="889"/>
      <c r="E30" s="1053"/>
      <c r="F30" s="1029"/>
      <c r="G30" s="1049"/>
      <c r="H30" s="1101"/>
      <c r="I30" s="1101"/>
      <c r="J30" s="1070"/>
      <c r="K30" s="1033"/>
      <c r="L30" s="1038"/>
      <c r="M30" s="1117"/>
      <c r="N30" s="778"/>
      <c r="O30" s="779"/>
      <c r="P30" s="780"/>
      <c r="Q30" s="1352"/>
      <c r="R30" s="1353"/>
      <c r="S30" s="781"/>
      <c r="T30" s="1135"/>
      <c r="U30" s="1135"/>
      <c r="V30" s="1135"/>
      <c r="W30" s="1135"/>
      <c r="X30" s="1135"/>
      <c r="Y30" s="1135"/>
      <c r="Z30" s="1140"/>
      <c r="AA30" s="1106"/>
      <c r="AB30" s="1150"/>
      <c r="AC30" s="1136"/>
      <c r="AD30" s="1136"/>
      <c r="AE30" s="786"/>
      <c r="AF30" s="787"/>
      <c r="AG30" s="932"/>
      <c r="AH30" s="933"/>
      <c r="AI30" s="1158"/>
      <c r="AJ30" s="934"/>
      <c r="AK30" s="1048"/>
      <c r="AL30" s="954"/>
      <c r="AM30" s="1076"/>
      <c r="AN30" s="955"/>
      <c r="AO30" s="956"/>
      <c r="AP30" s="956"/>
      <c r="AQ30" s="957"/>
      <c r="AR30" s="872"/>
      <c r="AS30" s="895"/>
      <c r="AT30" s="904"/>
      <c r="AU30" s="904"/>
      <c r="AV30" s="905"/>
      <c r="AW30" s="905"/>
      <c r="AX30" s="905"/>
      <c r="AY30" s="906"/>
      <c r="AZ30" s="907"/>
      <c r="BA30" s="908"/>
      <c r="BB30" s="908"/>
      <c r="BC30" s="909"/>
      <c r="BD30" s="874"/>
      <c r="BE30" s="874"/>
      <c r="BF30" s="910"/>
      <c r="BG30" s="910"/>
      <c r="BH30" s="910"/>
      <c r="BI30" s="758"/>
      <c r="BK30" s="881"/>
      <c r="BL30" s="881"/>
      <c r="BM30" s="882"/>
      <c r="BN30" s="882"/>
      <c r="BO30" s="882"/>
      <c r="BP30" s="596"/>
      <c r="BQ30" s="882"/>
      <c r="BR30" s="883"/>
      <c r="BS30" s="883"/>
      <c r="BT30" s="626"/>
      <c r="BU30" s="626"/>
      <c r="BV30" s="626"/>
      <c r="BW30" s="626"/>
      <c r="BX30" s="626"/>
      <c r="BY30" s="626"/>
      <c r="CB30" s="596"/>
      <c r="CI30" s="611"/>
      <c r="CJ30" s="612"/>
      <c r="CK30" s="612"/>
      <c r="CL30" s="488"/>
      <c r="CM30" s="489"/>
      <c r="CN30" s="489"/>
      <c r="CO30" s="489"/>
      <c r="CP30" s="489"/>
    </row>
    <row r="31" spans="2:94" s="587" customFormat="1" ht="15" customHeight="1">
      <c r="B31" s="788">
        <v>14</v>
      </c>
      <c r="C31" s="788"/>
      <c r="D31" s="889"/>
      <c r="E31" s="1053"/>
      <c r="F31" s="1029"/>
      <c r="G31" s="1049"/>
      <c r="H31" s="1101"/>
      <c r="I31" s="1101"/>
      <c r="J31" s="1070"/>
      <c r="K31" s="1033"/>
      <c r="L31" s="1038"/>
      <c r="M31" s="1116"/>
      <c r="N31" s="871"/>
      <c r="O31" s="911"/>
      <c r="P31" s="912"/>
      <c r="Q31" s="1352"/>
      <c r="R31" s="1353"/>
      <c r="S31" s="913"/>
      <c r="T31" s="789"/>
      <c r="U31" s="783"/>
      <c r="V31" s="783"/>
      <c r="W31" s="783"/>
      <c r="X31" s="783"/>
      <c r="Y31" s="783"/>
      <c r="Z31" s="914"/>
      <c r="AA31" s="785"/>
      <c r="AB31" s="1148"/>
      <c r="AC31" s="1164"/>
      <c r="AD31" s="1164"/>
      <c r="AE31" s="786"/>
      <c r="AF31" s="787"/>
      <c r="AG31" s="932"/>
      <c r="AH31" s="933"/>
      <c r="AI31" s="1158"/>
      <c r="AJ31" s="934"/>
      <c r="AK31" s="1048"/>
      <c r="AL31" s="954"/>
      <c r="AM31" s="1076"/>
      <c r="AN31" s="955"/>
      <c r="AO31" s="956"/>
      <c r="AP31" s="956"/>
      <c r="AQ31" s="957"/>
      <c r="AR31" s="872"/>
      <c r="AS31" s="895"/>
      <c r="AT31" s="904"/>
      <c r="AU31" s="904"/>
      <c r="AV31" s="905"/>
      <c r="AW31" s="905"/>
      <c r="AX31" s="905"/>
      <c r="AY31" s="906"/>
      <c r="AZ31" s="907"/>
      <c r="BA31" s="908"/>
      <c r="BB31" s="908"/>
      <c r="BC31" s="909"/>
      <c r="BD31" s="874"/>
      <c r="BE31" s="874"/>
      <c r="BF31" s="910"/>
      <c r="BG31" s="910"/>
      <c r="BH31" s="910"/>
      <c r="BI31" s="758"/>
      <c r="BK31" s="881"/>
      <c r="BL31" s="881"/>
      <c r="BM31" s="882"/>
      <c r="BN31" s="882"/>
      <c r="BO31" s="882"/>
      <c r="BP31" s="596"/>
      <c r="BQ31" s="882"/>
      <c r="BR31" s="883"/>
      <c r="BS31" s="883"/>
      <c r="BT31" s="626"/>
      <c r="BU31" s="626"/>
      <c r="BV31" s="626"/>
      <c r="BW31" s="626"/>
      <c r="BX31" s="626"/>
      <c r="BY31" s="626"/>
      <c r="CB31" s="596"/>
      <c r="CI31" s="611"/>
      <c r="CJ31" s="612"/>
      <c r="CK31" s="612"/>
      <c r="CL31" s="488"/>
      <c r="CM31" s="489"/>
      <c r="CN31" s="489"/>
      <c r="CO31" s="489"/>
      <c r="CP31" s="489"/>
    </row>
    <row r="32" spans="2:94" s="587" customFormat="1" ht="15" customHeight="1" thickBot="1">
      <c r="B32" s="858">
        <v>15</v>
      </c>
      <c r="C32" s="858"/>
      <c r="D32" s="888"/>
      <c r="E32" s="1054"/>
      <c r="F32" s="1030"/>
      <c r="G32" s="1050"/>
      <c r="H32" s="1103"/>
      <c r="I32" s="1103"/>
      <c r="J32" s="1072"/>
      <c r="K32" s="1034"/>
      <c r="L32" s="1039"/>
      <c r="M32" s="1118"/>
      <c r="N32" s="935"/>
      <c r="O32" s="936"/>
      <c r="P32" s="937"/>
      <c r="Q32" s="938"/>
      <c r="R32" s="939"/>
      <c r="S32" s="790"/>
      <c r="T32" s="791"/>
      <c r="U32" s="792"/>
      <c r="V32" s="792"/>
      <c r="W32" s="792"/>
      <c r="X32" s="792"/>
      <c r="Y32" s="792"/>
      <c r="Z32" s="793"/>
      <c r="AA32" s="794"/>
      <c r="AB32" s="1151"/>
      <c r="AC32" s="1165"/>
      <c r="AD32" s="1165"/>
      <c r="AE32" s="795"/>
      <c r="AF32" s="796"/>
      <c r="AG32" s="940"/>
      <c r="AH32" s="1152"/>
      <c r="AI32" s="1159"/>
      <c r="AJ32" s="1161"/>
      <c r="AK32" s="1048"/>
      <c r="AL32" s="962"/>
      <c r="AM32" s="1077"/>
      <c r="AN32" s="963"/>
      <c r="AO32" s="964"/>
      <c r="AP32" s="964"/>
      <c r="AQ32" s="965"/>
      <c r="AR32" s="936"/>
      <c r="AS32" s="895"/>
      <c r="AT32" s="904"/>
      <c r="AU32" s="904"/>
      <c r="AV32" s="905"/>
      <c r="AW32" s="905"/>
      <c r="AX32" s="905"/>
      <c r="AY32" s="906"/>
      <c r="AZ32" s="907"/>
      <c r="BA32" s="908"/>
      <c r="BB32" s="908"/>
      <c r="BC32" s="909"/>
      <c r="BD32" s="874"/>
      <c r="BE32" s="874"/>
      <c r="BF32" s="910"/>
      <c r="BG32" s="910"/>
      <c r="BH32" s="910"/>
      <c r="BI32" s="758"/>
      <c r="BK32" s="881"/>
      <c r="BL32" s="881"/>
      <c r="BM32" s="882"/>
      <c r="BN32" s="882"/>
      <c r="BO32" s="882"/>
      <c r="BP32" s="596"/>
      <c r="BQ32" s="882"/>
      <c r="BR32" s="883"/>
      <c r="BS32" s="883"/>
      <c r="BT32" s="626"/>
      <c r="BU32" s="626"/>
      <c r="BV32" s="626"/>
      <c r="BW32" s="626"/>
      <c r="BX32" s="626"/>
      <c r="BY32" s="626"/>
      <c r="CB32" s="596"/>
      <c r="CI32" s="611"/>
      <c r="CJ32" s="612"/>
      <c r="CK32" s="612"/>
      <c r="CL32" s="488"/>
      <c r="CM32" s="489"/>
      <c r="CN32" s="489"/>
      <c r="CO32" s="489"/>
      <c r="CP32" s="489"/>
    </row>
    <row r="33" spans="1:94" s="587" customFormat="1" ht="15" customHeight="1">
      <c r="A33" s="758"/>
      <c r="B33" s="874"/>
      <c r="C33" s="874"/>
      <c r="D33" s="874"/>
      <c r="E33" s="915"/>
      <c r="F33" s="915"/>
      <c r="G33" s="916"/>
      <c r="H33" s="916"/>
      <c r="I33" s="916"/>
      <c r="J33" s="917"/>
      <c r="K33" s="917"/>
      <c r="L33" s="917"/>
      <c r="M33" s="918"/>
      <c r="N33" s="876"/>
      <c r="O33" s="876"/>
      <c r="P33" s="919"/>
      <c r="Q33" s="920"/>
      <c r="R33" s="921"/>
      <c r="S33" s="922"/>
      <c r="T33" s="923"/>
      <c r="U33" s="923"/>
      <c r="V33" s="923"/>
      <c r="W33" s="923"/>
      <c r="X33" s="923"/>
      <c r="Y33" s="923"/>
      <c r="Z33" s="924"/>
      <c r="AA33" s="925"/>
      <c r="AB33" s="926"/>
      <c r="AC33" s="926"/>
      <c r="AD33" s="926"/>
      <c r="AE33" s="927"/>
      <c r="AF33" s="926"/>
      <c r="AG33" s="928"/>
      <c r="AH33" s="928"/>
      <c r="AI33" s="923"/>
      <c r="AJ33" s="929"/>
      <c r="AK33" s="758"/>
      <c r="AL33" s="958"/>
      <c r="AM33" s="958"/>
      <c r="AN33" s="959"/>
      <c r="AO33" s="959"/>
      <c r="AP33" s="959"/>
      <c r="AQ33" s="959" t="s">
        <v>1699</v>
      </c>
      <c r="AR33" s="876"/>
      <c r="AS33" s="960"/>
      <c r="AT33" s="904"/>
      <c r="AU33" s="904"/>
      <c r="AV33" s="905"/>
      <c r="AW33" s="905"/>
      <c r="AX33" s="905"/>
      <c r="AY33" s="906"/>
      <c r="AZ33" s="907"/>
      <c r="BA33" s="908"/>
      <c r="BB33" s="908"/>
      <c r="BC33" s="909"/>
      <c r="BD33" s="874"/>
      <c r="BE33" s="874"/>
      <c r="BF33" s="910"/>
      <c r="BG33" s="910"/>
      <c r="BH33" s="910"/>
      <c r="BI33" s="758"/>
      <c r="BK33" s="881"/>
      <c r="BL33" s="881"/>
      <c r="BM33" s="882"/>
      <c r="BN33" s="882"/>
      <c r="BO33" s="882"/>
      <c r="BP33" s="596"/>
      <c r="BQ33" s="882"/>
      <c r="BR33" s="883"/>
      <c r="BS33" s="883"/>
      <c r="BT33" s="626"/>
      <c r="BU33" s="626"/>
      <c r="BV33" s="626"/>
      <c r="BW33" s="626"/>
      <c r="BX33" s="626"/>
      <c r="BY33" s="626"/>
      <c r="CB33" s="596"/>
      <c r="CI33" s="611"/>
      <c r="CJ33" s="612"/>
      <c r="CK33" s="612"/>
      <c r="CL33" s="488"/>
      <c r="CM33" s="489"/>
      <c r="CN33" s="489"/>
      <c r="CO33" s="489"/>
      <c r="CP33" s="489"/>
    </row>
    <row r="34" spans="1:94" s="587" customFormat="1" ht="15" customHeight="1">
      <c r="A34" s="758"/>
      <c r="B34" s="599" t="s">
        <v>1603</v>
      </c>
      <c r="C34" s="599"/>
      <c r="D34" s="488"/>
      <c r="E34" s="487"/>
      <c r="F34" s="487"/>
      <c r="G34" s="629"/>
      <c r="H34" s="488"/>
      <c r="I34" s="488"/>
      <c r="J34" s="630"/>
      <c r="K34" s="947"/>
      <c r="L34" s="947"/>
      <c r="M34" s="876"/>
      <c r="N34" s="873"/>
      <c r="O34" s="873"/>
      <c r="P34" s="873"/>
      <c r="Q34" s="967"/>
      <c r="R34" s="873"/>
      <c r="S34" s="873"/>
      <c r="T34" s="967"/>
      <c r="U34" s="873"/>
      <c r="V34" s="925"/>
      <c r="W34" s="925"/>
      <c r="X34" s="925"/>
      <c r="Y34" s="925"/>
      <c r="Z34" s="924"/>
      <c r="AA34" s="925"/>
      <c r="AB34" s="926"/>
      <c r="AC34" s="926"/>
      <c r="AD34" s="926"/>
      <c r="AE34" s="927"/>
      <c r="AF34" s="926"/>
      <c r="AG34" s="928"/>
      <c r="AH34" s="928"/>
      <c r="AI34" s="923"/>
      <c r="AJ34" s="929"/>
      <c r="AK34" s="758"/>
      <c r="AL34" s="958"/>
      <c r="AM34" s="958"/>
      <c r="AN34" s="959"/>
      <c r="AO34" s="959"/>
      <c r="AP34" s="959"/>
      <c r="AQ34" s="959"/>
      <c r="AR34" s="876"/>
      <c r="AS34" s="960"/>
      <c r="AT34" s="904"/>
      <c r="AU34" s="904"/>
      <c r="AV34" s="905"/>
      <c r="AW34" s="905"/>
      <c r="AX34" s="905"/>
      <c r="AY34" s="906"/>
      <c r="AZ34" s="907"/>
      <c r="BA34" s="908"/>
      <c r="BB34" s="908"/>
      <c r="BC34" s="909"/>
      <c r="BD34" s="874"/>
      <c r="BE34" s="874"/>
      <c r="BF34" s="910"/>
      <c r="BG34" s="910"/>
      <c r="BH34" s="910"/>
      <c r="BI34" s="758"/>
      <c r="BK34" s="881"/>
      <c r="BL34" s="881"/>
      <c r="BM34" s="882"/>
      <c r="BN34" s="882"/>
      <c r="BO34" s="882"/>
      <c r="BP34" s="596"/>
      <c r="BQ34" s="882"/>
      <c r="BR34" s="883"/>
      <c r="BS34" s="883"/>
      <c r="BT34" s="626"/>
      <c r="BU34" s="626"/>
      <c r="BV34" s="626"/>
      <c r="BW34" s="626"/>
      <c r="BX34" s="626"/>
      <c r="BY34" s="626"/>
      <c r="CB34" s="596"/>
      <c r="CI34" s="611"/>
      <c r="CJ34" s="612"/>
      <c r="CK34" s="612"/>
      <c r="CL34" s="488"/>
      <c r="CM34" s="489"/>
      <c r="CN34" s="489"/>
      <c r="CO34" s="489"/>
      <c r="CP34" s="489"/>
    </row>
    <row r="35" spans="1:94" s="587" customFormat="1" ht="15" customHeight="1">
      <c r="A35" s="758"/>
      <c r="B35" s="1447" t="str">
        <f>B14</f>
        <v>QuotationNo.</v>
      </c>
      <c r="C35" s="837"/>
      <c r="D35" s="1227" t="s">
        <v>1717</v>
      </c>
      <c r="E35" s="1028"/>
      <c r="F35" s="1028"/>
      <c r="G35" s="864"/>
      <c r="H35" s="1437" t="s">
        <v>1718</v>
      </c>
      <c r="I35" s="1438"/>
      <c r="J35" s="1439"/>
      <c r="K35" s="873"/>
      <c r="L35" s="873"/>
      <c r="M35" s="873"/>
      <c r="N35" s="1354"/>
      <c r="O35" s="1354"/>
      <c r="P35" s="1354"/>
      <c r="Q35" s="1408"/>
      <c r="R35" s="1408"/>
      <c r="S35" s="1408"/>
      <c r="T35" s="873"/>
      <c r="U35" s="873"/>
      <c r="V35" s="873"/>
      <c r="W35" s="874"/>
      <c r="X35" s="874"/>
      <c r="Y35" s="874"/>
      <c r="Z35" s="924"/>
      <c r="AA35" s="925"/>
      <c r="AB35" s="926"/>
      <c r="AC35" s="926"/>
      <c r="AD35" s="926"/>
      <c r="AE35" s="927"/>
      <c r="AF35" s="926"/>
      <c r="AG35" s="928"/>
      <c r="AH35" s="928"/>
      <c r="AI35" s="923"/>
      <c r="AJ35" s="929"/>
      <c r="AK35" s="758"/>
      <c r="AL35" s="958"/>
      <c r="AM35" s="958"/>
      <c r="AN35" s="959"/>
      <c r="AO35" s="959"/>
      <c r="AP35" s="959"/>
      <c r="AQ35" s="959"/>
      <c r="AR35" s="876"/>
      <c r="AS35" s="960"/>
      <c r="AT35" s="904"/>
      <c r="AU35" s="904"/>
      <c r="AV35" s="905"/>
      <c r="AW35" s="905"/>
      <c r="AX35" s="905"/>
      <c r="AY35" s="906"/>
      <c r="AZ35" s="907"/>
      <c r="BA35" s="908"/>
      <c r="BB35" s="908"/>
      <c r="BC35" s="909"/>
      <c r="BD35" s="874"/>
      <c r="BE35" s="874"/>
      <c r="BF35" s="910"/>
      <c r="BG35" s="910"/>
      <c r="BH35" s="910"/>
      <c r="BI35" s="758"/>
      <c r="BK35" s="881"/>
      <c r="BL35" s="881"/>
      <c r="BM35" s="882"/>
      <c r="BN35" s="882"/>
      <c r="BO35" s="882"/>
      <c r="BP35" s="596"/>
      <c r="BQ35" s="882"/>
      <c r="BR35" s="883"/>
      <c r="BS35" s="883"/>
      <c r="BT35" s="626"/>
      <c r="BU35" s="626"/>
      <c r="BV35" s="626"/>
      <c r="BW35" s="626"/>
      <c r="BX35" s="626"/>
      <c r="BY35" s="626"/>
      <c r="CB35" s="596"/>
      <c r="CI35" s="611"/>
      <c r="CJ35" s="612"/>
      <c r="CK35" s="612"/>
      <c r="CL35" s="488"/>
      <c r="CM35" s="489"/>
      <c r="CN35" s="489"/>
      <c r="CO35" s="489"/>
      <c r="CP35" s="489"/>
    </row>
    <row r="36" spans="1:94" s="587" customFormat="1" ht="15" customHeight="1">
      <c r="B36" s="1448"/>
      <c r="C36" s="838"/>
      <c r="D36" s="1432" t="s">
        <v>1711</v>
      </c>
      <c r="E36" s="1245" t="s">
        <v>1716</v>
      </c>
      <c r="F36" s="1245" t="s">
        <v>1714</v>
      </c>
      <c r="G36" s="1229" t="s">
        <v>1716</v>
      </c>
      <c r="H36" s="1409" t="s">
        <v>1385</v>
      </c>
      <c r="I36" s="1441" t="s">
        <v>951</v>
      </c>
      <c r="J36" s="1444" t="s">
        <v>1719</v>
      </c>
      <c r="K36" s="893"/>
      <c r="L36" s="873"/>
      <c r="M36" s="873"/>
      <c r="N36" s="1440"/>
      <c r="O36" s="1450"/>
      <c r="P36" s="1527"/>
      <c r="Q36" s="1440"/>
      <c r="R36" s="1440"/>
      <c r="S36" s="1440"/>
      <c r="T36" s="873"/>
      <c r="U36" s="873"/>
      <c r="V36" s="873"/>
      <c r="W36" s="1234"/>
      <c r="X36" s="1234"/>
      <c r="Y36" s="1234"/>
      <c r="Z36" s="924"/>
      <c r="AA36" s="925"/>
      <c r="AB36" s="926"/>
      <c r="AC36" s="926"/>
      <c r="AD36" s="926"/>
      <c r="AE36" s="927"/>
      <c r="AF36" s="926"/>
      <c r="AG36" s="928"/>
      <c r="AH36" s="928"/>
      <c r="AI36" s="923"/>
      <c r="AJ36" s="929"/>
      <c r="AL36" s="958"/>
      <c r="AM36" s="958"/>
      <c r="AN36" s="959"/>
      <c r="AO36" s="959"/>
      <c r="AP36" s="959"/>
      <c r="AQ36" s="959"/>
      <c r="AR36" s="876"/>
      <c r="AS36" s="944"/>
      <c r="AT36" s="904"/>
      <c r="AU36" s="904"/>
      <c r="AV36" s="905"/>
      <c r="AW36" s="905"/>
      <c r="AX36" s="905"/>
      <c r="AY36" s="906"/>
      <c r="AZ36" s="907"/>
      <c r="BA36" s="908"/>
      <c r="BB36" s="908"/>
      <c r="BC36" s="909"/>
      <c r="BD36" s="874"/>
      <c r="BE36" s="874"/>
      <c r="BF36" s="910"/>
      <c r="BG36" s="910"/>
      <c r="BH36" s="910"/>
      <c r="BI36" s="758"/>
      <c r="BK36" s="881"/>
      <c r="BL36" s="881"/>
      <c r="BM36" s="882"/>
      <c r="BN36" s="882"/>
      <c r="BO36" s="882"/>
      <c r="BP36" s="596"/>
      <c r="BQ36" s="882"/>
      <c r="BR36" s="883"/>
      <c r="BS36" s="883"/>
      <c r="BT36" s="626"/>
      <c r="BU36" s="626"/>
      <c r="BV36" s="626"/>
      <c r="BW36" s="626"/>
      <c r="BX36" s="626"/>
      <c r="BY36" s="626"/>
      <c r="CB36" s="596"/>
      <c r="CI36" s="611"/>
      <c r="CJ36" s="612"/>
      <c r="CK36" s="612"/>
      <c r="CL36" s="488"/>
      <c r="CM36" s="489"/>
      <c r="CN36" s="489"/>
      <c r="CO36" s="489"/>
      <c r="CP36" s="489"/>
    </row>
    <row r="37" spans="1:94" s="587" customFormat="1" ht="15" customHeight="1">
      <c r="B37" s="1448"/>
      <c r="C37" s="866"/>
      <c r="D37" s="1433"/>
      <c r="E37" s="865"/>
      <c r="F37" s="865"/>
      <c r="G37" s="1229"/>
      <c r="H37" s="1410"/>
      <c r="I37" s="1442"/>
      <c r="J37" s="1445"/>
      <c r="K37" s="893"/>
      <c r="L37" s="873"/>
      <c r="M37" s="873"/>
      <c r="N37" s="1440"/>
      <c r="O37" s="1450"/>
      <c r="P37" s="1527"/>
      <c r="Q37" s="1440"/>
      <c r="R37" s="1440"/>
      <c r="S37" s="1440"/>
      <c r="T37" s="873"/>
      <c r="U37" s="873"/>
      <c r="V37" s="873"/>
      <c r="W37" s="1234"/>
      <c r="X37" s="1234"/>
      <c r="Y37" s="1234"/>
      <c r="Z37" s="924"/>
      <c r="AA37" s="925"/>
      <c r="AB37" s="926"/>
      <c r="AC37" s="926"/>
      <c r="AD37" s="926"/>
      <c r="AE37" s="927"/>
      <c r="AF37" s="926"/>
      <c r="AG37" s="928"/>
      <c r="AH37" s="928"/>
      <c r="AI37" s="923"/>
      <c r="AJ37" s="929"/>
      <c r="AL37" s="958"/>
      <c r="AM37" s="958"/>
      <c r="AN37" s="959"/>
      <c r="AO37" s="959"/>
      <c r="AP37" s="959"/>
      <c r="AQ37" s="959"/>
      <c r="AR37" s="876"/>
      <c r="AS37" s="944"/>
      <c r="AT37" s="904"/>
      <c r="AU37" s="904"/>
      <c r="AV37" s="905"/>
      <c r="AW37" s="905"/>
      <c r="AX37" s="905"/>
      <c r="AY37" s="906"/>
      <c r="AZ37" s="907"/>
      <c r="BA37" s="908"/>
      <c r="BB37" s="908"/>
      <c r="BC37" s="909"/>
      <c r="BD37" s="874"/>
      <c r="BE37" s="874"/>
      <c r="BF37" s="1021"/>
      <c r="BG37" s="1021"/>
      <c r="BH37" s="1021"/>
      <c r="BI37" s="873"/>
      <c r="BK37" s="884"/>
      <c r="BL37" s="884"/>
      <c r="BM37" s="882"/>
      <c r="BN37" s="882"/>
      <c r="BO37" s="882"/>
      <c r="BP37" s="596"/>
      <c r="BQ37" s="882"/>
      <c r="BR37" s="883"/>
      <c r="BS37" s="883"/>
      <c r="BT37" s="626"/>
      <c r="BU37" s="626"/>
      <c r="BV37" s="626"/>
      <c r="BW37" s="626"/>
      <c r="BX37" s="626"/>
      <c r="BY37" s="626"/>
      <c r="CB37" s="596"/>
      <c r="CI37" s="611"/>
      <c r="CJ37" s="612"/>
      <c r="CK37" s="612"/>
      <c r="CL37" s="488"/>
      <c r="CM37" s="489"/>
      <c r="CN37" s="489"/>
      <c r="CO37" s="489"/>
      <c r="CP37" s="489"/>
    </row>
    <row r="38" spans="1:94" s="587" customFormat="1" ht="15" customHeight="1">
      <c r="B38" s="1449"/>
      <c r="C38" s="839"/>
      <c r="D38" s="1434"/>
      <c r="E38" s="635" t="s">
        <v>1708</v>
      </c>
      <c r="F38" s="636" t="s">
        <v>1715</v>
      </c>
      <c r="G38" s="1230" t="s">
        <v>1708</v>
      </c>
      <c r="H38" s="1411"/>
      <c r="I38" s="1443"/>
      <c r="J38" s="1446"/>
      <c r="K38" s="919"/>
      <c r="L38" s="873"/>
      <c r="M38" s="873"/>
      <c r="N38" s="1440"/>
      <c r="O38" s="1450"/>
      <c r="P38" s="1527"/>
      <c r="Q38" s="1440"/>
      <c r="R38" s="1440"/>
      <c r="S38" s="1440"/>
      <c r="T38" s="873"/>
      <c r="U38" s="873"/>
      <c r="V38" s="873"/>
      <c r="W38" s="1234"/>
      <c r="X38" s="1234"/>
      <c r="Y38" s="1234"/>
      <c r="Z38" s="924"/>
      <c r="AA38" s="925"/>
      <c r="AB38" s="926"/>
      <c r="AC38" s="926"/>
      <c r="AD38" s="926"/>
      <c r="AE38" s="927"/>
      <c r="AF38" s="926"/>
      <c r="AG38" s="928"/>
      <c r="AH38" s="928"/>
      <c r="AI38" s="923"/>
      <c r="AJ38" s="929"/>
      <c r="AL38" s="958"/>
      <c r="AM38" s="958"/>
      <c r="AN38" s="959"/>
      <c r="AO38" s="959"/>
      <c r="AP38" s="959"/>
      <c r="AQ38" s="959"/>
      <c r="AR38" s="876"/>
      <c r="AS38" s="944"/>
      <c r="AT38" s="904"/>
      <c r="AU38" s="904"/>
      <c r="AV38" s="905"/>
      <c r="AW38" s="905"/>
      <c r="AX38" s="905"/>
      <c r="AY38" s="906"/>
      <c r="AZ38" s="907"/>
      <c r="BA38" s="908"/>
      <c r="BB38" s="908"/>
      <c r="BC38" s="909"/>
      <c r="BD38" s="874"/>
      <c r="BE38" s="874"/>
      <c r="BF38" s="910"/>
      <c r="BG38" s="910"/>
      <c r="BH38" s="910"/>
      <c r="BI38" s="758"/>
      <c r="BK38" s="881"/>
      <c r="BL38" s="881"/>
      <c r="BM38" s="882"/>
      <c r="BN38" s="882"/>
      <c r="BO38" s="882"/>
      <c r="BP38" s="596"/>
      <c r="BQ38" s="882"/>
      <c r="BR38" s="883"/>
      <c r="BS38" s="883"/>
      <c r="BT38" s="626"/>
      <c r="BU38" s="626"/>
      <c r="BV38" s="626"/>
      <c r="BW38" s="626"/>
      <c r="BX38" s="626"/>
      <c r="BY38" s="626"/>
      <c r="CB38" s="596"/>
      <c r="CI38" s="611"/>
      <c r="CJ38" s="612"/>
      <c r="CK38" s="612"/>
      <c r="CL38" s="488"/>
      <c r="CM38" s="489"/>
      <c r="CN38" s="489"/>
      <c r="CO38" s="489"/>
      <c r="CP38" s="489"/>
    </row>
    <row r="39" spans="1:94" s="587" customFormat="1" ht="15" customHeight="1">
      <c r="B39" s="826">
        <f t="shared" ref="B39:B53" si="13">B18</f>
        <v>1</v>
      </c>
      <c r="C39" s="826"/>
      <c r="D39" s="1224" t="s">
        <v>1712</v>
      </c>
      <c r="E39" s="1196">
        <v>1.7146735098576238</v>
      </c>
      <c r="F39" s="1226">
        <v>5.0000000000000001E-3</v>
      </c>
      <c r="G39" s="1250">
        <f>E39/(1-F39)</f>
        <v>1.7232899596559033</v>
      </c>
      <c r="H39" s="1242">
        <f>AE18</f>
        <v>17.590482580000003</v>
      </c>
      <c r="I39" s="1228">
        <f t="shared" ref="I39:I44" si="14">G39+AI18</f>
        <v>5.2432899596559031</v>
      </c>
      <c r="J39" s="1243">
        <f t="shared" ref="J39:J44" si="15">IF(C18&lt;1," ",H39+I39)</f>
        <v>22.833772539655907</v>
      </c>
      <c r="K39" s="968"/>
      <c r="L39" s="873"/>
      <c r="M39" s="873"/>
      <c r="N39" s="969"/>
      <c r="O39" s="923"/>
      <c r="P39" s="923"/>
      <c r="Q39" s="927"/>
      <c r="R39" s="927"/>
      <c r="S39" s="927"/>
      <c r="T39" s="873"/>
      <c r="U39" s="873"/>
      <c r="V39" s="873"/>
      <c r="W39" s="1009"/>
      <c r="X39" s="1009"/>
      <c r="Y39" s="1009"/>
      <c r="Z39" s="924"/>
      <c r="AA39" s="925"/>
      <c r="AB39" s="926"/>
      <c r="AC39" s="926"/>
      <c r="AD39" s="926"/>
      <c r="AE39" s="927"/>
      <c r="AF39" s="926"/>
      <c r="AG39" s="928"/>
      <c r="AH39" s="928"/>
      <c r="AI39" s="923"/>
      <c r="AJ39" s="929"/>
      <c r="AL39" s="958"/>
      <c r="AM39" s="958"/>
      <c r="AN39" s="959"/>
      <c r="AO39" s="959"/>
      <c r="AP39" s="959"/>
      <c r="AQ39" s="959"/>
      <c r="AR39" s="876"/>
      <c r="AS39" s="961"/>
      <c r="AT39" s="904"/>
      <c r="AU39" s="904"/>
      <c r="AV39" s="905"/>
      <c r="AW39" s="905"/>
      <c r="AX39" s="905"/>
      <c r="AY39" s="906"/>
      <c r="AZ39" s="907"/>
      <c r="BA39" s="908"/>
      <c r="BB39" s="908"/>
      <c r="BC39" s="909"/>
      <c r="BD39" s="874"/>
      <c r="BE39" s="874"/>
      <c r="BF39" s="910"/>
      <c r="BG39" s="910"/>
      <c r="BH39" s="910"/>
      <c r="BI39" s="758"/>
      <c r="BK39" s="881"/>
      <c r="BL39" s="881"/>
      <c r="BM39" s="882"/>
      <c r="BN39" s="882"/>
      <c r="BO39" s="882"/>
      <c r="BP39" s="596"/>
      <c r="BQ39" s="882"/>
      <c r="BR39" s="883"/>
      <c r="BS39" s="883"/>
      <c r="BT39" s="626"/>
      <c r="BU39" s="626"/>
      <c r="BV39" s="626"/>
      <c r="BW39" s="626"/>
      <c r="BX39" s="626"/>
      <c r="BY39" s="626"/>
    </row>
    <row r="40" spans="1:94" s="587" customFormat="1" ht="15" customHeight="1">
      <c r="B40" s="608">
        <f t="shared" si="13"/>
        <v>2</v>
      </c>
      <c r="C40" s="605"/>
      <c r="D40" s="1225" t="s">
        <v>1712</v>
      </c>
      <c r="E40" s="1249">
        <v>1.7381520781462341</v>
      </c>
      <c r="F40" s="1251">
        <v>5.0000000000000001E-3</v>
      </c>
      <c r="G40" s="1252">
        <f t="shared" ref="G40:G44" si="16">E40/(1-F40)</f>
        <v>1.7468865106997327</v>
      </c>
      <c r="H40" s="1014">
        <f t="shared" ref="H40:H44" si="17">AE19</f>
        <v>17.590482580000003</v>
      </c>
      <c r="I40" s="783">
        <f t="shared" si="14"/>
        <v>5.2668865106997327</v>
      </c>
      <c r="J40" s="1244">
        <f t="shared" si="15"/>
        <v>22.857369090699734</v>
      </c>
      <c r="K40" s="968"/>
      <c r="L40" s="968"/>
      <c r="M40" s="927"/>
      <c r="N40" s="969"/>
      <c r="O40" s="923"/>
      <c r="P40" s="923"/>
      <c r="Q40" s="927"/>
      <c r="R40" s="927"/>
      <c r="S40" s="927"/>
      <c r="T40" s="873"/>
      <c r="U40" s="873"/>
      <c r="V40" s="873"/>
      <c r="W40" s="1009"/>
      <c r="X40" s="1009"/>
      <c r="Y40" s="1009"/>
      <c r="Z40" s="924"/>
      <c r="AA40" s="925"/>
      <c r="AB40" s="926"/>
      <c r="AC40" s="926"/>
      <c r="AD40" s="926"/>
      <c r="AE40" s="927"/>
      <c r="AF40" s="926"/>
      <c r="AG40" s="928"/>
      <c r="AH40" s="928"/>
      <c r="AI40" s="923"/>
      <c r="AJ40" s="929"/>
      <c r="AL40" s="958"/>
      <c r="AM40" s="958"/>
      <c r="AN40" s="959"/>
      <c r="AO40" s="959"/>
      <c r="AP40" s="959"/>
      <c r="AQ40" s="959"/>
      <c r="AR40" s="876"/>
      <c r="AT40" s="904"/>
      <c r="AU40" s="904"/>
      <c r="AV40" s="905"/>
      <c r="AW40" s="905"/>
      <c r="AX40" s="905"/>
      <c r="AY40" s="906"/>
      <c r="AZ40" s="907"/>
      <c r="BA40" s="908"/>
      <c r="BB40" s="908"/>
      <c r="BC40" s="909"/>
      <c r="BD40" s="874"/>
      <c r="BE40" s="874"/>
      <c r="BF40" s="910"/>
      <c r="BG40" s="910"/>
      <c r="BH40" s="910"/>
      <c r="BI40" s="874"/>
      <c r="BK40" s="881"/>
      <c r="BL40" s="881"/>
      <c r="BM40" s="882"/>
      <c r="BN40" s="882"/>
      <c r="BO40" s="882"/>
      <c r="BP40" s="596"/>
      <c r="BQ40" s="882"/>
      <c r="BR40" s="883"/>
      <c r="BS40" s="883"/>
      <c r="BT40" s="626"/>
      <c r="BU40" s="626"/>
      <c r="BV40" s="626"/>
      <c r="BW40" s="626"/>
      <c r="BX40" s="626"/>
      <c r="BY40" s="626"/>
      <c r="CB40" s="488" t="s">
        <v>1538</v>
      </c>
      <c r="CC40" s="488"/>
      <c r="CD40" s="488"/>
    </row>
    <row r="41" spans="1:94" s="587" customFormat="1" ht="15" customHeight="1">
      <c r="B41" s="608">
        <f t="shared" si="13"/>
        <v>3</v>
      </c>
      <c r="C41" s="605"/>
      <c r="D41" s="1225" t="s">
        <v>1712</v>
      </c>
      <c r="E41" s="1249">
        <v>4.1306662835276446</v>
      </c>
      <c r="F41" s="1251">
        <v>5.0000000000000001E-3</v>
      </c>
      <c r="G41" s="1252">
        <f t="shared" si="16"/>
        <v>4.1514234005302963</v>
      </c>
      <c r="H41" s="1014">
        <f t="shared" si="17"/>
        <v>17.590482580000003</v>
      </c>
      <c r="I41" s="783">
        <f t="shared" si="14"/>
        <v>7.5514234005302967</v>
      </c>
      <c r="J41" s="1244">
        <f t="shared" si="15"/>
        <v>25.1419059805303</v>
      </c>
      <c r="K41" s="968"/>
      <c r="L41" s="968"/>
      <c r="M41" s="927"/>
      <c r="N41" s="969"/>
      <c r="O41" s="923"/>
      <c r="P41" s="923"/>
      <c r="Q41" s="927"/>
      <c r="R41" s="927"/>
      <c r="S41" s="927"/>
      <c r="T41" s="873"/>
      <c r="U41" s="873"/>
      <c r="V41" s="873"/>
      <c r="W41" s="1009"/>
      <c r="X41" s="1009"/>
      <c r="Y41" s="1009"/>
      <c r="Z41" s="924"/>
      <c r="AA41" s="925"/>
      <c r="AB41" s="926"/>
      <c r="AC41" s="926"/>
      <c r="AD41" s="926"/>
      <c r="AE41" s="927"/>
      <c r="AF41" s="926"/>
      <c r="AG41" s="928"/>
      <c r="AH41" s="928"/>
      <c r="AI41" s="923"/>
      <c r="AJ41" s="929"/>
      <c r="AL41" s="958"/>
      <c r="AM41" s="958"/>
      <c r="AN41" s="959"/>
      <c r="AO41" s="959"/>
      <c r="AP41" s="959"/>
      <c r="AQ41" s="959"/>
      <c r="AR41" s="876"/>
      <c r="AT41" s="904"/>
      <c r="AU41" s="904"/>
      <c r="AV41" s="905"/>
      <c r="AW41" s="905"/>
      <c r="AX41" s="905"/>
      <c r="AY41" s="906"/>
      <c r="AZ41" s="907"/>
      <c r="BA41" s="908"/>
      <c r="BB41" s="908"/>
      <c r="BC41" s="909"/>
      <c r="BD41" s="874"/>
      <c r="BE41" s="874"/>
      <c r="BF41" s="910"/>
      <c r="BG41" s="910"/>
      <c r="BH41" s="910"/>
      <c r="BI41" s="874"/>
      <c r="BK41" s="881"/>
      <c r="BL41" s="881"/>
      <c r="BM41" s="882"/>
      <c r="BN41" s="882"/>
      <c r="BO41" s="882"/>
      <c r="BP41" s="596"/>
      <c r="BQ41" s="882"/>
      <c r="BR41" s="883"/>
      <c r="BS41" s="883"/>
      <c r="BT41" s="626"/>
      <c r="BU41" s="626"/>
      <c r="BV41" s="626"/>
      <c r="BW41" s="626"/>
      <c r="BX41" s="626"/>
      <c r="BY41" s="626"/>
      <c r="CB41" s="613" t="s">
        <v>1539</v>
      </c>
      <c r="CC41" s="614" t="s">
        <v>1540</v>
      </c>
      <c r="CD41" s="615" t="s">
        <v>1541</v>
      </c>
    </row>
    <row r="42" spans="1:94" s="587" customFormat="1" ht="15" customHeight="1">
      <c r="B42" s="608">
        <f t="shared" si="13"/>
        <v>4</v>
      </c>
      <c r="C42" s="605"/>
      <c r="D42" s="1225" t="s">
        <v>1713</v>
      </c>
      <c r="E42" s="1249">
        <v>1.6522665134110577</v>
      </c>
      <c r="F42" s="1251">
        <v>5.0000000000000001E-3</v>
      </c>
      <c r="G42" s="1252">
        <f t="shared" si="16"/>
        <v>1.6605693602121183</v>
      </c>
      <c r="H42" s="1014">
        <f t="shared" si="17"/>
        <v>14.41143859118533</v>
      </c>
      <c r="I42" s="783">
        <f t="shared" si="14"/>
        <v>5.060569360212118</v>
      </c>
      <c r="J42" s="1244">
        <f t="shared" si="15"/>
        <v>19.472007951397448</v>
      </c>
      <c r="K42" s="968"/>
      <c r="L42" s="968"/>
      <c r="M42" s="927"/>
      <c r="N42" s="969"/>
      <c r="O42" s="923"/>
      <c r="P42" s="923"/>
      <c r="Q42" s="927"/>
      <c r="R42" s="927"/>
      <c r="S42" s="927"/>
      <c r="T42" s="873"/>
      <c r="U42" s="873"/>
      <c r="V42" s="873"/>
      <c r="W42" s="1009"/>
      <c r="X42" s="1009"/>
      <c r="Y42" s="1009"/>
      <c r="Z42" s="924"/>
      <c r="AA42" s="925"/>
      <c r="AB42" s="926"/>
      <c r="AC42" s="926"/>
      <c r="AD42" s="926"/>
      <c r="AE42" s="927"/>
      <c r="AF42" s="926"/>
      <c r="AG42" s="928"/>
      <c r="AH42" s="928"/>
      <c r="AI42" s="923"/>
      <c r="AJ42" s="929"/>
      <c r="AL42" s="958"/>
      <c r="AM42" s="958"/>
      <c r="AN42" s="959"/>
      <c r="AO42" s="959"/>
      <c r="AP42" s="959"/>
      <c r="AQ42" s="959"/>
      <c r="AR42" s="876"/>
      <c r="AT42" s="904"/>
      <c r="AU42" s="904"/>
      <c r="AV42" s="905"/>
      <c r="AW42" s="905"/>
      <c r="AX42" s="905"/>
      <c r="AY42" s="906"/>
      <c r="AZ42" s="907"/>
      <c r="BA42" s="908"/>
      <c r="BB42" s="908"/>
      <c r="BC42" s="909"/>
      <c r="BD42" s="874"/>
      <c r="BE42" s="874"/>
      <c r="BF42" s="910"/>
      <c r="BG42" s="910"/>
      <c r="BH42" s="910"/>
      <c r="BI42" s="874"/>
      <c r="BK42" s="1402"/>
      <c r="BL42" s="1402"/>
      <c r="BM42" s="882"/>
      <c r="BN42" s="882"/>
      <c r="BO42" s="882"/>
      <c r="BP42" s="596"/>
      <c r="BQ42" s="882"/>
      <c r="BR42" s="882"/>
      <c r="BS42" s="882"/>
      <c r="BT42" s="626"/>
      <c r="BU42" s="626"/>
      <c r="BV42" s="626"/>
      <c r="BW42" s="626"/>
      <c r="BX42" s="626"/>
      <c r="BY42" s="626"/>
      <c r="CB42" s="616">
        <v>642</v>
      </c>
      <c r="CC42" s="617">
        <v>100</v>
      </c>
      <c r="CD42" s="618">
        <f>CB42/CC42</f>
        <v>6.42</v>
      </c>
    </row>
    <row r="43" spans="1:94" s="587" customFormat="1" ht="15" customHeight="1">
      <c r="B43" s="608">
        <f t="shared" si="13"/>
        <v>5</v>
      </c>
      <c r="C43" s="605"/>
      <c r="D43" s="1225" t="s">
        <v>1713</v>
      </c>
      <c r="E43" s="1249">
        <v>7.8838623241621564</v>
      </c>
      <c r="F43" s="1251">
        <v>5.0000000000000001E-3</v>
      </c>
      <c r="G43" s="1252">
        <f t="shared" si="16"/>
        <v>7.9234797227760367</v>
      </c>
      <c r="H43" s="1014">
        <f t="shared" si="17"/>
        <v>14.41143859118533</v>
      </c>
      <c r="I43" s="783">
        <f t="shared" si="14"/>
        <v>11.203479722776036</v>
      </c>
      <c r="J43" s="1244">
        <f t="shared" si="15"/>
        <v>25.614918313961368</v>
      </c>
      <c r="K43" s="968"/>
      <c r="L43" s="968"/>
      <c r="M43" s="927"/>
      <c r="N43" s="969"/>
      <c r="O43" s="923"/>
      <c r="P43" s="923"/>
      <c r="Q43" s="927"/>
      <c r="R43" s="927"/>
      <c r="S43" s="927"/>
      <c r="T43" s="873"/>
      <c r="U43" s="873"/>
      <c r="V43" s="873"/>
      <c r="W43" s="1009"/>
      <c r="X43" s="1009"/>
      <c r="Y43" s="1009"/>
      <c r="Z43" s="924"/>
      <c r="AA43" s="925"/>
      <c r="AB43" s="926"/>
      <c r="AC43" s="926"/>
      <c r="AD43" s="926"/>
      <c r="AE43" s="927"/>
      <c r="AF43" s="926"/>
      <c r="AG43" s="928"/>
      <c r="AH43" s="928"/>
      <c r="AI43" s="923"/>
      <c r="AJ43" s="929"/>
      <c r="AL43" s="958"/>
      <c r="AM43" s="958"/>
      <c r="AN43" s="959"/>
      <c r="AO43" s="959"/>
      <c r="AP43" s="959"/>
      <c r="AQ43" s="959"/>
      <c r="AR43" s="876"/>
      <c r="AS43" s="619"/>
      <c r="AT43" s="904"/>
      <c r="AU43" s="904"/>
      <c r="AV43" s="905"/>
      <c r="AW43" s="905"/>
      <c r="AX43" s="905"/>
      <c r="AY43" s="906"/>
      <c r="AZ43" s="907"/>
      <c r="BA43" s="908"/>
      <c r="BB43" s="908"/>
      <c r="BC43" s="909"/>
      <c r="BD43" s="874"/>
      <c r="BE43" s="874"/>
      <c r="BF43" s="910"/>
      <c r="BG43" s="910"/>
      <c r="BH43" s="910"/>
      <c r="BI43" s="874"/>
      <c r="BK43" s="1402"/>
      <c r="BL43" s="1402"/>
      <c r="BM43" s="882"/>
      <c r="BN43" s="882"/>
      <c r="BO43" s="882"/>
      <c r="BP43" s="596"/>
      <c r="BQ43" s="882"/>
      <c r="BR43" s="885"/>
      <c r="BS43" s="885"/>
      <c r="BT43" s="626"/>
      <c r="BU43" s="626"/>
      <c r="BV43" s="626"/>
      <c r="BW43" s="626"/>
      <c r="BX43" s="626"/>
      <c r="BY43" s="626"/>
      <c r="CB43" s="620">
        <v>342</v>
      </c>
      <c r="CC43" s="621">
        <v>180</v>
      </c>
      <c r="CD43" s="622">
        <f>CB43/CC43</f>
        <v>1.9</v>
      </c>
    </row>
    <row r="44" spans="1:94" s="587" customFormat="1" ht="15" customHeight="1">
      <c r="B44" s="608">
        <f t="shared" si="13"/>
        <v>6</v>
      </c>
      <c r="C44" s="605"/>
      <c r="D44" s="1225" t="s">
        <v>1713</v>
      </c>
      <c r="E44" s="1249">
        <v>7.8838623241621564</v>
      </c>
      <c r="F44" s="1251">
        <v>5.0000000000000001E-3</v>
      </c>
      <c r="G44" s="1252">
        <f t="shared" si="16"/>
        <v>7.9234797227760367</v>
      </c>
      <c r="H44" s="1014">
        <f t="shared" si="17"/>
        <v>15.169909708389</v>
      </c>
      <c r="I44" s="783">
        <f t="shared" si="14"/>
        <v>11.203479722776036</v>
      </c>
      <c r="J44" s="1244">
        <f t="shared" si="15"/>
        <v>26.373389431165037</v>
      </c>
      <c r="K44" s="968"/>
      <c r="L44" s="968"/>
      <c r="M44" s="927"/>
      <c r="N44" s="969"/>
      <c r="O44" s="923"/>
      <c r="P44" s="923"/>
      <c r="Q44" s="927"/>
      <c r="R44" s="927"/>
      <c r="S44" s="927"/>
      <c r="T44" s="873"/>
      <c r="U44" s="873"/>
      <c r="V44" s="873"/>
      <c r="W44" s="1009"/>
      <c r="X44" s="1009"/>
      <c r="Y44" s="1009"/>
      <c r="Z44" s="924"/>
      <c r="AA44" s="925"/>
      <c r="AB44" s="926"/>
      <c r="AC44" s="926"/>
      <c r="AD44" s="926"/>
      <c r="AE44" s="927"/>
      <c r="AF44" s="926"/>
      <c r="AG44" s="928"/>
      <c r="AH44" s="928"/>
      <c r="AI44" s="923"/>
      <c r="AJ44" s="929"/>
      <c r="AL44" s="958"/>
      <c r="AM44" s="958"/>
      <c r="AN44" s="959"/>
      <c r="AO44" s="959"/>
      <c r="AP44" s="959"/>
      <c r="AQ44" s="959"/>
      <c r="AR44" s="876"/>
      <c r="AS44" s="619"/>
      <c r="AT44" s="904"/>
      <c r="AU44" s="904"/>
      <c r="AV44" s="905"/>
      <c r="AW44" s="905"/>
      <c r="AX44" s="905"/>
      <c r="AY44" s="906"/>
      <c r="AZ44" s="907"/>
      <c r="BA44" s="908"/>
      <c r="BB44" s="908"/>
      <c r="BC44" s="909"/>
      <c r="BD44" s="874"/>
      <c r="BE44" s="874"/>
      <c r="BF44" s="910"/>
      <c r="BG44" s="910"/>
      <c r="BH44" s="910"/>
      <c r="BI44" s="874"/>
      <c r="BK44" s="1402"/>
      <c r="BL44" s="1402"/>
      <c r="BM44" s="886"/>
      <c r="BN44" s="886"/>
      <c r="BO44" s="886"/>
      <c r="BP44" s="596"/>
      <c r="BQ44" s="886"/>
      <c r="BR44" s="886"/>
      <c r="BS44" s="886"/>
      <c r="BT44" s="626"/>
      <c r="BU44" s="626"/>
      <c r="BV44" s="626"/>
      <c r="BW44" s="626"/>
      <c r="BX44" s="887"/>
      <c r="BY44" s="626"/>
      <c r="BZ44" s="886"/>
      <c r="CB44" s="623">
        <v>204</v>
      </c>
      <c r="CC44" s="624">
        <v>25</v>
      </c>
      <c r="CD44" s="625">
        <f>CB44/CC44</f>
        <v>8.16</v>
      </c>
    </row>
    <row r="45" spans="1:94" s="587" customFormat="1" ht="15" customHeight="1">
      <c r="B45" s="788">
        <f t="shared" si="13"/>
        <v>7</v>
      </c>
      <c r="C45" s="777"/>
      <c r="D45" s="1012"/>
      <c r="E45" s="1246"/>
      <c r="F45" s="1246"/>
      <c r="G45" s="1231"/>
      <c r="H45" s="1236"/>
      <c r="I45" s="1013"/>
      <c r="J45" s="1237"/>
      <c r="K45" s="968"/>
      <c r="L45" s="968"/>
      <c r="M45" s="927"/>
      <c r="N45" s="969"/>
      <c r="O45" s="923"/>
      <c r="P45" s="923"/>
      <c r="Q45" s="927"/>
      <c r="R45" s="927"/>
      <c r="S45" s="927"/>
      <c r="T45" s="927"/>
      <c r="U45" s="923"/>
      <c r="V45" s="1009"/>
      <c r="W45" s="1009"/>
      <c r="X45" s="1009"/>
      <c r="Y45" s="1009"/>
      <c r="Z45" s="924"/>
      <c r="AA45" s="925"/>
      <c r="AB45" s="926"/>
      <c r="AC45" s="926"/>
      <c r="AD45" s="926"/>
      <c r="AE45" s="927"/>
      <c r="AF45" s="926"/>
      <c r="AG45" s="928"/>
      <c r="AH45" s="928"/>
      <c r="AI45" s="923"/>
      <c r="AJ45" s="929"/>
      <c r="AL45" s="958"/>
      <c r="AM45" s="958"/>
      <c r="AN45" s="959"/>
      <c r="AO45" s="959"/>
      <c r="AP45" s="959"/>
      <c r="AQ45" s="959"/>
      <c r="AR45" s="876"/>
      <c r="AS45" s="619"/>
      <c r="AT45" s="904"/>
      <c r="AU45" s="904"/>
      <c r="AV45" s="905"/>
      <c r="AW45" s="905"/>
      <c r="AX45" s="905"/>
      <c r="AY45" s="906"/>
      <c r="AZ45" s="907"/>
      <c r="BA45" s="908"/>
      <c r="BB45" s="908"/>
      <c r="BC45" s="909"/>
      <c r="BD45" s="874"/>
      <c r="BE45" s="874"/>
      <c r="BF45" s="910"/>
      <c r="BG45" s="910"/>
      <c r="BH45" s="910"/>
      <c r="BI45" s="874"/>
      <c r="BK45" s="1402"/>
      <c r="BL45" s="1402"/>
      <c r="BM45" s="886"/>
      <c r="BN45" s="886"/>
      <c r="BO45" s="886"/>
      <c r="BP45" s="596"/>
      <c r="BQ45" s="886"/>
      <c r="BR45" s="886"/>
      <c r="BS45" s="886"/>
      <c r="BT45" s="626"/>
      <c r="BU45" s="626"/>
      <c r="BV45" s="626"/>
      <c r="BW45" s="626"/>
      <c r="BX45" s="626"/>
      <c r="BY45" s="626"/>
    </row>
    <row r="46" spans="1:94" s="587" customFormat="1" ht="15" customHeight="1">
      <c r="B46" s="788">
        <f t="shared" si="13"/>
        <v>8</v>
      </c>
      <c r="C46" s="777"/>
      <c r="D46" s="1012"/>
      <c r="E46" s="1246"/>
      <c r="F46" s="1246"/>
      <c r="G46" s="1231"/>
      <c r="H46" s="1236"/>
      <c r="I46" s="1013"/>
      <c r="J46" s="1237"/>
      <c r="K46" s="968"/>
      <c r="L46" s="968"/>
      <c r="M46" s="927"/>
      <c r="N46" s="969"/>
      <c r="O46" s="923"/>
      <c r="P46" s="923"/>
      <c r="Q46" s="927"/>
      <c r="R46" s="927"/>
      <c r="S46" s="927"/>
      <c r="T46" s="927"/>
      <c r="U46" s="923"/>
      <c r="V46" s="1009"/>
      <c r="W46" s="1009"/>
      <c r="X46" s="1009"/>
      <c r="Y46" s="1009"/>
      <c r="Z46" s="924"/>
      <c r="AA46" s="925"/>
      <c r="AB46" s="926"/>
      <c r="AC46" s="926"/>
      <c r="AD46" s="926"/>
      <c r="AE46" s="927"/>
      <c r="AF46" s="926"/>
      <c r="AG46" s="928"/>
      <c r="AH46" s="928"/>
      <c r="AI46" s="923"/>
      <c r="AJ46" s="929"/>
      <c r="AL46" s="958"/>
      <c r="AM46" s="958"/>
      <c r="AN46" s="959"/>
      <c r="AO46" s="959"/>
      <c r="AP46" s="959"/>
      <c r="AQ46" s="959"/>
      <c r="AR46" s="876"/>
      <c r="AS46" s="619"/>
      <c r="AT46" s="904"/>
      <c r="AU46" s="904"/>
      <c r="AV46" s="905"/>
      <c r="AW46" s="905"/>
      <c r="AX46" s="905"/>
      <c r="AY46" s="906"/>
      <c r="AZ46" s="907"/>
      <c r="BA46" s="908"/>
      <c r="BB46" s="908"/>
      <c r="BC46" s="909"/>
      <c r="BD46" s="874"/>
      <c r="BE46" s="874"/>
      <c r="BF46" s="910"/>
      <c r="BG46" s="910"/>
      <c r="BH46" s="910"/>
      <c r="BI46" s="874"/>
      <c r="BK46" s="1402"/>
      <c r="BL46" s="1402"/>
      <c r="BM46" s="886"/>
      <c r="BN46" s="886"/>
      <c r="BO46" s="886"/>
      <c r="BP46" s="596"/>
      <c r="BQ46" s="886"/>
      <c r="BR46" s="886"/>
      <c r="BS46" s="886"/>
      <c r="BT46" s="626"/>
      <c r="BU46" s="626"/>
      <c r="BV46" s="626"/>
      <c r="BW46" s="626"/>
      <c r="BX46" s="626"/>
      <c r="BY46" s="626"/>
    </row>
    <row r="47" spans="1:94" s="587" customFormat="1" ht="15" customHeight="1">
      <c r="B47" s="788">
        <f t="shared" si="13"/>
        <v>9</v>
      </c>
      <c r="C47" s="777"/>
      <c r="D47" s="1012"/>
      <c r="E47" s="1246"/>
      <c r="F47" s="1246"/>
      <c r="G47" s="1231"/>
      <c r="H47" s="1236"/>
      <c r="I47" s="1013"/>
      <c r="J47" s="1237"/>
      <c r="K47" s="968"/>
      <c r="L47" s="968"/>
      <c r="M47" s="927"/>
      <c r="N47" s="969"/>
      <c r="O47" s="923"/>
      <c r="P47" s="923"/>
      <c r="Q47" s="927"/>
      <c r="R47" s="927"/>
      <c r="S47" s="927"/>
      <c r="T47" s="927"/>
      <c r="U47" s="923"/>
      <c r="V47" s="1009"/>
      <c r="W47" s="1009"/>
      <c r="X47" s="1009"/>
      <c r="Y47" s="1009"/>
      <c r="Z47" s="924"/>
      <c r="AA47" s="925"/>
      <c r="AB47" s="926"/>
      <c r="AC47" s="926"/>
      <c r="AD47" s="926"/>
      <c r="AE47" s="927"/>
      <c r="AF47" s="926"/>
      <c r="AG47" s="928"/>
      <c r="AH47" s="928"/>
      <c r="AI47" s="923"/>
      <c r="AJ47" s="929"/>
      <c r="AL47" s="958"/>
      <c r="AM47" s="958"/>
      <c r="AN47" s="959"/>
      <c r="AO47" s="959"/>
      <c r="AP47" s="959"/>
      <c r="AQ47" s="959"/>
      <c r="AR47" s="876"/>
      <c r="AS47" s="619"/>
      <c r="AT47" s="758"/>
      <c r="AU47" s="758"/>
      <c r="AV47" s="758"/>
      <c r="AW47" s="758"/>
      <c r="AX47" s="758"/>
      <c r="AY47" s="758"/>
      <c r="AZ47" s="758"/>
      <c r="BA47" s="758"/>
      <c r="BB47" s="758"/>
      <c r="BC47" s="758"/>
      <c r="BD47" s="758"/>
      <c r="BE47" s="758"/>
      <c r="BF47" s="758"/>
      <c r="BG47" s="758"/>
      <c r="BH47" s="758"/>
      <c r="BI47" s="758"/>
    </row>
    <row r="48" spans="1:94" s="587" customFormat="1" ht="15" customHeight="1">
      <c r="B48" s="788">
        <f t="shared" si="13"/>
        <v>10</v>
      </c>
      <c r="C48" s="777"/>
      <c r="D48" s="1012"/>
      <c r="E48" s="1246"/>
      <c r="F48" s="1246"/>
      <c r="G48" s="1231"/>
      <c r="H48" s="1236"/>
      <c r="I48" s="1013"/>
      <c r="J48" s="1237"/>
      <c r="K48" s="968"/>
      <c r="L48" s="968"/>
      <c r="M48" s="927"/>
      <c r="N48" s="969"/>
      <c r="O48" s="923"/>
      <c r="P48" s="923"/>
      <c r="Q48" s="927"/>
      <c r="R48" s="927"/>
      <c r="S48" s="927"/>
      <c r="T48" s="927"/>
      <c r="U48" s="923"/>
      <c r="V48" s="1009"/>
      <c r="W48" s="1009"/>
      <c r="X48" s="1009"/>
      <c r="Y48" s="1009"/>
      <c r="Z48" s="924"/>
      <c r="AA48" s="925"/>
      <c r="AB48" s="926"/>
      <c r="AC48" s="926"/>
      <c r="AD48" s="926"/>
      <c r="AE48" s="927"/>
      <c r="AF48" s="926"/>
      <c r="AG48" s="928"/>
      <c r="AH48" s="928"/>
      <c r="AI48" s="923"/>
      <c r="AJ48" s="929"/>
      <c r="AL48" s="958"/>
      <c r="AM48" s="958"/>
      <c r="AN48" s="959"/>
      <c r="AO48" s="959"/>
      <c r="AP48" s="959"/>
      <c r="AQ48" s="959"/>
      <c r="AR48" s="876"/>
      <c r="AS48" s="619"/>
      <c r="BJ48" s="488"/>
      <c r="BK48" s="488"/>
      <c r="BL48" s="488"/>
      <c r="BM48" s="488"/>
      <c r="BN48" s="488"/>
      <c r="BO48" s="488"/>
      <c r="BP48" s="488"/>
      <c r="BQ48" s="488"/>
      <c r="BR48" s="488"/>
      <c r="BS48" s="488"/>
      <c r="BT48" s="488"/>
      <c r="BU48" s="488"/>
      <c r="BV48" s="488"/>
      <c r="BW48" s="488"/>
      <c r="BX48" s="488"/>
      <c r="BY48" s="488"/>
      <c r="BZ48" s="488"/>
    </row>
    <row r="49" spans="1:78" s="587" customFormat="1" ht="15" customHeight="1">
      <c r="B49" s="788">
        <f t="shared" si="13"/>
        <v>11</v>
      </c>
      <c r="C49" s="777"/>
      <c r="D49" s="1012"/>
      <c r="E49" s="1246"/>
      <c r="F49" s="1246"/>
      <c r="G49" s="1231"/>
      <c r="H49" s="1236"/>
      <c r="I49" s="1013"/>
      <c r="J49" s="1237"/>
      <c r="K49" s="968"/>
      <c r="L49" s="968"/>
      <c r="M49" s="927"/>
      <c r="N49" s="969"/>
      <c r="O49" s="923"/>
      <c r="P49" s="923"/>
      <c r="Q49" s="927"/>
      <c r="R49" s="927"/>
      <c r="S49" s="927"/>
      <c r="T49" s="927"/>
      <c r="U49" s="923"/>
      <c r="V49" s="1009"/>
      <c r="W49" s="1009"/>
      <c r="X49" s="1009"/>
      <c r="Y49" s="1009"/>
      <c r="Z49" s="924"/>
      <c r="AA49" s="925"/>
      <c r="AB49" s="926"/>
      <c r="AC49" s="926"/>
      <c r="AD49" s="926"/>
      <c r="AE49" s="927"/>
      <c r="AF49" s="926"/>
      <c r="AG49" s="928"/>
      <c r="AH49" s="928"/>
      <c r="AI49" s="923"/>
      <c r="AJ49" s="929"/>
      <c r="AL49" s="958"/>
      <c r="AM49" s="958"/>
      <c r="AN49" s="959"/>
      <c r="AO49" s="959"/>
      <c r="AP49" s="959"/>
      <c r="AQ49" s="959"/>
      <c r="AR49" s="876"/>
      <c r="AS49" s="619"/>
      <c r="BJ49" s="488"/>
      <c r="BK49" s="488"/>
      <c r="BL49" s="488"/>
      <c r="BM49" s="488"/>
      <c r="BN49" s="488"/>
      <c r="BO49" s="488"/>
      <c r="BP49" s="488"/>
      <c r="BQ49" s="488"/>
      <c r="BR49" s="488"/>
      <c r="BS49" s="488"/>
      <c r="BT49" s="488"/>
      <c r="BU49" s="488"/>
      <c r="BV49" s="488"/>
      <c r="BW49" s="488"/>
      <c r="BX49" s="488"/>
      <c r="BY49" s="488"/>
      <c r="BZ49" s="488"/>
    </row>
    <row r="50" spans="1:78" s="587" customFormat="1" ht="15" customHeight="1">
      <c r="B50" s="788">
        <f t="shared" si="13"/>
        <v>12</v>
      </c>
      <c r="C50" s="777"/>
      <c r="D50" s="1012"/>
      <c r="E50" s="1246"/>
      <c r="F50" s="1246"/>
      <c r="G50" s="1231"/>
      <c r="H50" s="1236"/>
      <c r="I50" s="1013"/>
      <c r="J50" s="1237"/>
      <c r="K50" s="968"/>
      <c r="L50" s="968"/>
      <c r="M50" s="927"/>
      <c r="N50" s="969"/>
      <c r="O50" s="923"/>
      <c r="P50" s="923"/>
      <c r="Q50" s="927"/>
      <c r="R50" s="927"/>
      <c r="S50" s="927"/>
      <c r="T50" s="927"/>
      <c r="U50" s="923"/>
      <c r="V50" s="1009"/>
      <c r="W50" s="1009"/>
      <c r="X50" s="1009"/>
      <c r="Y50" s="1009"/>
      <c r="Z50" s="924"/>
      <c r="AA50" s="925"/>
      <c r="AB50" s="926"/>
      <c r="AC50" s="926"/>
      <c r="AD50" s="926"/>
      <c r="AE50" s="927"/>
      <c r="AF50" s="926"/>
      <c r="AG50" s="928"/>
      <c r="AH50" s="928"/>
      <c r="AI50" s="923"/>
      <c r="AJ50" s="929"/>
      <c r="AL50" s="958"/>
      <c r="AM50" s="958"/>
      <c r="AN50" s="959"/>
      <c r="AO50" s="959"/>
      <c r="AP50" s="959"/>
      <c r="AQ50" s="959"/>
      <c r="AR50" s="876"/>
      <c r="AS50" s="619"/>
      <c r="BJ50" s="488"/>
      <c r="BK50" s="488"/>
      <c r="BL50" s="488"/>
      <c r="BM50" s="488"/>
      <c r="BN50" s="488"/>
      <c r="BO50" s="488"/>
      <c r="BP50" s="488"/>
      <c r="BQ50" s="488"/>
      <c r="BR50" s="488"/>
      <c r="BS50" s="488"/>
      <c r="BT50" s="488"/>
      <c r="BU50" s="488"/>
      <c r="BV50" s="488"/>
      <c r="BW50" s="488"/>
      <c r="BX50" s="488"/>
      <c r="BY50" s="488"/>
      <c r="BZ50" s="488"/>
    </row>
    <row r="51" spans="1:78" s="587" customFormat="1" ht="15" customHeight="1">
      <c r="B51" s="788">
        <f t="shared" si="13"/>
        <v>13</v>
      </c>
      <c r="C51" s="788"/>
      <c r="D51" s="1015"/>
      <c r="E51" s="1247"/>
      <c r="F51" s="1247"/>
      <c r="G51" s="1232"/>
      <c r="H51" s="1238"/>
      <c r="I51" s="1016"/>
      <c r="J51" s="1239"/>
      <c r="K51" s="968"/>
      <c r="L51" s="968"/>
      <c r="M51" s="927"/>
      <c r="N51" s="969"/>
      <c r="O51" s="923"/>
      <c r="P51" s="923"/>
      <c r="Q51" s="927"/>
      <c r="R51" s="927"/>
      <c r="S51" s="927"/>
      <c r="T51" s="927"/>
      <c r="U51" s="923"/>
      <c r="V51" s="1009"/>
      <c r="W51" s="1009"/>
      <c r="X51" s="1009"/>
      <c r="Y51" s="1009"/>
      <c r="Z51" s="924"/>
      <c r="AA51" s="925"/>
      <c r="AB51" s="926"/>
      <c r="AC51" s="926"/>
      <c r="AD51" s="926"/>
      <c r="AE51" s="927"/>
      <c r="AF51" s="926"/>
      <c r="AG51" s="928"/>
      <c r="AH51" s="928"/>
      <c r="AI51" s="923"/>
      <c r="AJ51" s="929"/>
      <c r="AL51" s="958"/>
      <c r="AM51" s="958"/>
      <c r="AN51" s="959"/>
      <c r="AO51" s="959"/>
      <c r="AP51" s="959"/>
      <c r="AQ51" s="959"/>
      <c r="AR51" s="876"/>
      <c r="AS51" s="619"/>
      <c r="BJ51" s="488"/>
      <c r="BK51" s="488"/>
      <c r="BL51" s="488"/>
      <c r="BM51" s="488"/>
      <c r="BN51" s="488"/>
      <c r="BO51" s="488"/>
      <c r="BP51" s="488"/>
      <c r="BQ51" s="488"/>
      <c r="BR51" s="488"/>
      <c r="BS51" s="488"/>
      <c r="BT51" s="488"/>
      <c r="BU51" s="488"/>
      <c r="BV51" s="488"/>
      <c r="BW51" s="488"/>
      <c r="BX51" s="488"/>
      <c r="BY51" s="488"/>
      <c r="BZ51" s="488"/>
    </row>
    <row r="52" spans="1:78" s="587" customFormat="1" ht="15" customHeight="1">
      <c r="B52" s="788">
        <f t="shared" si="13"/>
        <v>14</v>
      </c>
      <c r="C52" s="788"/>
      <c r="D52" s="1015"/>
      <c r="E52" s="1247"/>
      <c r="F52" s="1247"/>
      <c r="G52" s="1232"/>
      <c r="H52" s="1238"/>
      <c r="I52" s="1016"/>
      <c r="J52" s="1239"/>
      <c r="K52" s="968"/>
      <c r="L52" s="968"/>
      <c r="M52" s="927"/>
      <c r="N52" s="969"/>
      <c r="O52" s="923"/>
      <c r="P52" s="923"/>
      <c r="Q52" s="927"/>
      <c r="R52" s="927"/>
      <c r="S52" s="927"/>
      <c r="T52" s="927"/>
      <c r="U52" s="923"/>
      <c r="V52" s="1009"/>
      <c r="W52" s="1009"/>
      <c r="X52" s="1009"/>
      <c r="Y52" s="1009"/>
      <c r="Z52" s="924"/>
      <c r="AA52" s="925"/>
      <c r="AB52" s="926"/>
      <c r="AC52" s="926"/>
      <c r="AD52" s="926"/>
      <c r="AE52" s="927"/>
      <c r="AF52" s="926"/>
      <c r="AG52" s="928"/>
      <c r="AH52" s="928"/>
      <c r="AI52" s="923"/>
      <c r="AJ52" s="929"/>
      <c r="AL52" s="958"/>
      <c r="AM52" s="958"/>
      <c r="AN52" s="959"/>
      <c r="AO52" s="959"/>
      <c r="AP52" s="959"/>
      <c r="AQ52" s="959"/>
      <c r="AR52" s="876"/>
      <c r="AS52" s="619"/>
      <c r="BJ52" s="488"/>
      <c r="BK52" s="488"/>
      <c r="BL52" s="488"/>
      <c r="BM52" s="488"/>
      <c r="BN52" s="488"/>
      <c r="BO52" s="488"/>
      <c r="BP52" s="488"/>
      <c r="BQ52" s="488"/>
      <c r="BR52" s="488"/>
      <c r="BS52" s="488"/>
      <c r="BT52" s="488"/>
      <c r="BU52" s="488"/>
      <c r="BV52" s="488"/>
      <c r="BW52" s="488"/>
      <c r="BX52" s="488"/>
      <c r="BY52" s="488"/>
      <c r="BZ52" s="488"/>
    </row>
    <row r="53" spans="1:78" s="587" customFormat="1" ht="15" customHeight="1">
      <c r="B53" s="894">
        <f t="shared" si="13"/>
        <v>15</v>
      </c>
      <c r="C53" s="894"/>
      <c r="D53" s="1017"/>
      <c r="E53" s="1248"/>
      <c r="F53" s="1248"/>
      <c r="G53" s="1233"/>
      <c r="H53" s="1240"/>
      <c r="I53" s="1018"/>
      <c r="J53" s="1241"/>
      <c r="K53" s="968"/>
      <c r="L53" s="968"/>
      <c r="M53" s="927"/>
      <c r="N53" s="969"/>
      <c r="O53" s="924"/>
      <c r="P53" s="923"/>
      <c r="Q53" s="927"/>
      <c r="R53" s="927"/>
      <c r="S53" s="1009"/>
      <c r="T53" s="927"/>
      <c r="U53" s="923"/>
      <c r="V53" s="1009"/>
      <c r="W53" s="1009"/>
      <c r="X53" s="1009"/>
      <c r="Y53" s="1009"/>
      <c r="Z53" s="924"/>
      <c r="AA53" s="925"/>
      <c r="AB53" s="926"/>
      <c r="AC53" s="926"/>
      <c r="AD53" s="926"/>
      <c r="AE53" s="927"/>
      <c r="AF53" s="926"/>
      <c r="AG53" s="928"/>
      <c r="AH53" s="928"/>
      <c r="AI53" s="923"/>
      <c r="AJ53" s="929"/>
      <c r="AK53" s="758"/>
      <c r="AL53" s="958"/>
      <c r="AM53" s="958"/>
      <c r="AN53" s="959"/>
      <c r="AO53" s="959"/>
      <c r="AP53" s="959"/>
      <c r="AQ53" s="959"/>
      <c r="AR53" s="876"/>
      <c r="AS53" s="619"/>
      <c r="BJ53" s="488"/>
      <c r="BK53" s="488"/>
      <c r="BL53" s="488"/>
      <c r="BM53" s="488"/>
      <c r="BN53" s="488"/>
      <c r="BO53" s="488"/>
      <c r="BP53" s="488"/>
      <c r="BQ53" s="488"/>
      <c r="BR53" s="488"/>
      <c r="BS53" s="488"/>
      <c r="BT53" s="488"/>
      <c r="BU53" s="488"/>
      <c r="BV53" s="488"/>
      <c r="BW53" s="488"/>
      <c r="BX53" s="488"/>
      <c r="BY53" s="488"/>
      <c r="BZ53" s="488"/>
    </row>
    <row r="54" spans="1:78" ht="15" customHeight="1">
      <c r="K54" s="873"/>
      <c r="L54" s="873"/>
      <c r="M54" s="873"/>
      <c r="N54" s="873"/>
      <c r="O54" s="873"/>
      <c r="P54" s="921"/>
      <c r="Q54" s="1235"/>
      <c r="R54" s="947"/>
      <c r="S54" s="876"/>
      <c r="T54" s="873"/>
      <c r="U54" s="873"/>
      <c r="V54" s="969"/>
      <c r="W54" s="969"/>
      <c r="X54" s="969"/>
      <c r="Y54" s="969"/>
      <c r="Z54" s="873"/>
      <c r="AA54" s="1020"/>
      <c r="AB54" s="1020"/>
      <c r="AC54" s="1020"/>
      <c r="AD54" s="1020"/>
      <c r="AE54" s="758"/>
      <c r="AF54" s="758"/>
      <c r="AG54" s="758"/>
      <c r="AH54" s="1408"/>
      <c r="AI54" s="1408"/>
      <c r="AJ54" s="1408"/>
      <c r="AK54" s="758"/>
      <c r="AQ54" s="631"/>
      <c r="AR54" s="632"/>
    </row>
    <row r="55" spans="1:78" ht="15" customHeight="1">
      <c r="Z55" s="967"/>
      <c r="AA55" s="1020"/>
      <c r="AB55" s="1020"/>
      <c r="AC55" s="1020"/>
      <c r="AD55" s="1020"/>
      <c r="AE55" s="967"/>
      <c r="AF55" s="758"/>
      <c r="AG55" s="758"/>
      <c r="AH55" s="1020"/>
      <c r="AI55" s="1020"/>
      <c r="AJ55" s="1020"/>
      <c r="AK55" s="758"/>
      <c r="AL55" s="1388"/>
      <c r="AM55" s="1388"/>
      <c r="AN55" s="1388"/>
      <c r="AO55" s="1388"/>
      <c r="AP55" s="1388"/>
      <c r="AQ55" s="1388"/>
      <c r="AR55" s="1388"/>
      <c r="AS55" s="1388"/>
      <c r="AT55" s="1388"/>
      <c r="AU55" s="1388"/>
      <c r="AV55" s="1389"/>
      <c r="AW55" s="1387" t="s">
        <v>933</v>
      </c>
      <c r="AX55" s="1388"/>
      <c r="AY55" s="1388"/>
      <c r="AZ55" s="1388"/>
      <c r="BA55" s="1388"/>
      <c r="BB55" s="1388"/>
      <c r="BC55" s="1388"/>
      <c r="BD55" s="1388"/>
      <c r="BE55" s="1388"/>
      <c r="BF55" s="1388"/>
      <c r="BG55" s="1388"/>
      <c r="BH55" s="1388"/>
      <c r="BI55" s="1388"/>
      <c r="BJ55" s="1389"/>
    </row>
    <row r="56" spans="1:78" ht="15" customHeight="1">
      <c r="Z56" s="1408"/>
      <c r="AA56" s="1408"/>
      <c r="AB56" s="1408"/>
      <c r="AC56" s="910"/>
      <c r="AD56" s="910"/>
      <c r="AE56" s="1436"/>
      <c r="AF56" s="1436"/>
      <c r="AG56" s="1436"/>
      <c r="AH56" s="1406"/>
      <c r="AI56" s="1406"/>
      <c r="AJ56" s="1407"/>
      <c r="AK56" s="1431"/>
      <c r="AL56" s="1417" t="s">
        <v>1542</v>
      </c>
      <c r="AM56" s="1078"/>
      <c r="AN56" s="1412" t="s">
        <v>1543</v>
      </c>
      <c r="AO56" s="1413"/>
      <c r="AP56" s="1413"/>
      <c r="AQ56" s="1413"/>
      <c r="AR56" s="1413"/>
      <c r="AS56" s="1413"/>
      <c r="AT56" s="1414"/>
      <c r="AU56" s="1375" t="s">
        <v>1544</v>
      </c>
      <c r="AV56" s="1377"/>
      <c r="AW56" s="1375" t="s">
        <v>934</v>
      </c>
      <c r="AX56" s="1376"/>
      <c r="AY56" s="1376"/>
      <c r="AZ56" s="1376"/>
      <c r="BA56" s="1376"/>
      <c r="BB56" s="1376"/>
      <c r="BC56" s="1376"/>
      <c r="BD56" s="1377"/>
      <c r="BE56" s="1378" t="s">
        <v>938</v>
      </c>
      <c r="BF56" s="1379"/>
      <c r="BG56" s="1379"/>
      <c r="BH56" s="1380"/>
      <c r="BI56" s="1378" t="s">
        <v>1545</v>
      </c>
      <c r="BJ56" s="1380"/>
    </row>
    <row r="57" spans="1:78" ht="15" customHeight="1">
      <c r="Z57" s="1440"/>
      <c r="AA57" s="893"/>
      <c r="AB57" s="893"/>
      <c r="AC57" s="893"/>
      <c r="AD57" s="893"/>
      <c r="AE57" s="893"/>
      <c r="AF57" s="893"/>
      <c r="AG57" s="921"/>
      <c r="AH57" s="893"/>
      <c r="AI57" s="893"/>
      <c r="AJ57" s="919"/>
      <c r="AK57" s="1431"/>
      <c r="AL57" s="1418"/>
      <c r="AM57" s="1079"/>
      <c r="AN57" s="1426" t="s">
        <v>1546</v>
      </c>
      <c r="AO57" s="1403" t="s">
        <v>1547</v>
      </c>
      <c r="AP57" s="1404"/>
      <c r="AQ57" s="1405"/>
      <c r="AR57" s="1424" t="s">
        <v>1548</v>
      </c>
      <c r="AS57" s="1420" t="s">
        <v>1549</v>
      </c>
      <c r="AT57" s="1415" t="s">
        <v>1550</v>
      </c>
      <c r="AU57" s="1399"/>
      <c r="AV57" s="1400"/>
      <c r="AW57" s="1390" t="s">
        <v>1551</v>
      </c>
      <c r="AX57" s="1381" t="s">
        <v>935</v>
      </c>
      <c r="AY57" s="1382"/>
      <c r="AZ57" s="1392" t="s">
        <v>936</v>
      </c>
      <c r="BA57" s="1393"/>
      <c r="BB57" s="1381" t="s">
        <v>937</v>
      </c>
      <c r="BC57" s="1382"/>
      <c r="BD57" s="1394" t="s">
        <v>1552</v>
      </c>
      <c r="BE57" s="1522" t="s">
        <v>1553</v>
      </c>
      <c r="BF57" s="1383" t="s">
        <v>1554</v>
      </c>
      <c r="BG57" s="1383"/>
      <c r="BH57" s="1524" t="s">
        <v>1552</v>
      </c>
      <c r="BI57" s="633" t="s">
        <v>941</v>
      </c>
      <c r="BJ57" s="634" t="s">
        <v>942</v>
      </c>
    </row>
    <row r="58" spans="1:78" ht="15" customHeight="1">
      <c r="Z58" s="1440"/>
      <c r="AA58" s="1020"/>
      <c r="AB58" s="1020"/>
      <c r="AC58" s="1020"/>
      <c r="AD58" s="1020"/>
      <c r="AE58" s="1020"/>
      <c r="AF58" s="1020"/>
      <c r="AG58" s="1020"/>
      <c r="AH58" s="1020"/>
      <c r="AI58" s="1020"/>
      <c r="AJ58" s="1020"/>
      <c r="AK58" s="1431"/>
      <c r="AL58" s="1419"/>
      <c r="AM58" s="1080"/>
      <c r="AN58" s="1427"/>
      <c r="AO58" s="857" t="s">
        <v>1555</v>
      </c>
      <c r="AP58" s="857"/>
      <c r="AQ58" s="637" t="s">
        <v>1556</v>
      </c>
      <c r="AR58" s="1425"/>
      <c r="AS58" s="1421"/>
      <c r="AT58" s="1416"/>
      <c r="AU58" s="638" t="s">
        <v>1555</v>
      </c>
      <c r="AV58" s="639" t="s">
        <v>1556</v>
      </c>
      <c r="AW58" s="1391"/>
      <c r="AX58" s="640" t="s">
        <v>1557</v>
      </c>
      <c r="AY58" s="641" t="s">
        <v>1558</v>
      </c>
      <c r="AZ58" s="642" t="s">
        <v>1557</v>
      </c>
      <c r="BA58" s="643" t="s">
        <v>1558</v>
      </c>
      <c r="BB58" s="640" t="s">
        <v>1557</v>
      </c>
      <c r="BC58" s="641" t="s">
        <v>1558</v>
      </c>
      <c r="BD58" s="1395"/>
      <c r="BE58" s="1523"/>
      <c r="BF58" s="644" t="s">
        <v>939</v>
      </c>
      <c r="BG58" s="644" t="s">
        <v>940</v>
      </c>
      <c r="BH58" s="1525"/>
      <c r="BI58" s="645" t="s">
        <v>1559</v>
      </c>
      <c r="BJ58" s="646" t="s">
        <v>1560</v>
      </c>
      <c r="BM58" s="488" t="s">
        <v>949</v>
      </c>
      <c r="BN58" s="488" t="s">
        <v>945</v>
      </c>
      <c r="BO58" s="488" t="s">
        <v>946</v>
      </c>
      <c r="BP58" s="488" t="s">
        <v>947</v>
      </c>
    </row>
    <row r="59" spans="1:78" ht="15" customHeight="1">
      <c r="A59" s="631"/>
      <c r="Z59" s="1010"/>
      <c r="AA59" s="923"/>
      <c r="AB59" s="923"/>
      <c r="AC59" s="923"/>
      <c r="AD59" s="923"/>
      <c r="AE59" s="923"/>
      <c r="AF59" s="923"/>
      <c r="AG59" s="923"/>
      <c r="AH59" s="923"/>
      <c r="AI59" s="923"/>
      <c r="AJ59" s="923"/>
      <c r="AK59" s="1019"/>
      <c r="AL59" s="648">
        <v>0.2</v>
      </c>
      <c r="AM59" s="1081"/>
      <c r="AN59" s="649">
        <v>3000</v>
      </c>
      <c r="AO59" s="650">
        <f>1.15*$E$5</f>
        <v>120.74999999999999</v>
      </c>
      <c r="AP59" s="650"/>
      <c r="AQ59" s="651">
        <f>AO59/AN59</f>
        <v>4.0249999999999994E-2</v>
      </c>
      <c r="AR59" s="652">
        <v>354</v>
      </c>
      <c r="AS59" s="652">
        <v>180</v>
      </c>
      <c r="AT59" s="603" t="e">
        <f>IF(#REF!="N"," ",AR59*AS59/3600)/AN59</f>
        <v>#REF!</v>
      </c>
      <c r="AU59" s="653">
        <v>0</v>
      </c>
      <c r="AV59" s="603">
        <v>0</v>
      </c>
      <c r="AW59" s="654">
        <v>70</v>
      </c>
      <c r="AX59" s="655">
        <v>5</v>
      </c>
      <c r="AY59" s="656">
        <v>0</v>
      </c>
      <c r="AZ59" s="657">
        <v>3</v>
      </c>
      <c r="BA59" s="658">
        <v>2</v>
      </c>
      <c r="BB59" s="659">
        <v>10</v>
      </c>
      <c r="BC59" s="656">
        <v>1</v>
      </c>
      <c r="BD59" s="660" t="e">
        <f>(AW59+AX59*AY59+AZ59*BA59+BB59*BC59)/Z59/AN59</f>
        <v>#DIV/0!</v>
      </c>
      <c r="BE59" s="661">
        <f>AH7</f>
        <v>0</v>
      </c>
      <c r="BF59" s="662">
        <v>900</v>
      </c>
      <c r="BG59" s="663">
        <v>71.41</v>
      </c>
      <c r="BH59" s="664" t="e">
        <f>IF(Z59&lt;1," ",BE59*(BF59+BG59/Z59)/3600)/AN59</f>
        <v>#VALUE!</v>
      </c>
      <c r="BI59" s="665" t="e">
        <f>BP59/BN59/BM59</f>
        <v>#REF!</v>
      </c>
      <c r="BJ59" s="666" t="e">
        <f>IF(Z59&lt;1," ",BI59/Z59)/AN59</f>
        <v>#VALUE!</v>
      </c>
      <c r="BL59" s="488" t="s">
        <v>943</v>
      </c>
      <c r="BM59" s="488">
        <v>24</v>
      </c>
      <c r="BN59" s="488">
        <v>24</v>
      </c>
      <c r="BP59" s="488" t="e">
        <f>(BN21*E5+#REF!*5450)*(1+BW21)</f>
        <v>#REF!</v>
      </c>
      <c r="BQ59" s="488" t="s">
        <v>950</v>
      </c>
    </row>
    <row r="60" spans="1:78" s="489" customFormat="1" ht="15" customHeight="1">
      <c r="A60" s="667"/>
      <c r="Z60" s="1010"/>
      <c r="AA60" s="923"/>
      <c r="AB60" s="923"/>
      <c r="AC60" s="923"/>
      <c r="AD60" s="923"/>
      <c r="AE60" s="923"/>
      <c r="AF60" s="923"/>
      <c r="AG60" s="923"/>
      <c r="AH60" s="923"/>
      <c r="AI60" s="923"/>
      <c r="AJ60" s="923"/>
      <c r="AK60" s="1019"/>
      <c r="AL60" s="648">
        <v>0.2</v>
      </c>
      <c r="AM60" s="1081"/>
      <c r="AN60" s="649">
        <v>3000</v>
      </c>
      <c r="AO60" s="650">
        <f>1.15*$E$5</f>
        <v>120.74999999999999</v>
      </c>
      <c r="AP60" s="650"/>
      <c r="AQ60" s="651">
        <f>AO60/AN60</f>
        <v>4.0249999999999994E-2</v>
      </c>
      <c r="AR60" s="652">
        <v>354</v>
      </c>
      <c r="AS60" s="652">
        <v>180</v>
      </c>
      <c r="AT60" s="603" t="e">
        <f>IF(#REF!="N"," ",AR60*AS60/3600)/AN60</f>
        <v>#REF!</v>
      </c>
      <c r="AU60" s="653">
        <v>0</v>
      </c>
      <c r="AV60" s="603">
        <v>0</v>
      </c>
      <c r="AW60" s="654">
        <v>70</v>
      </c>
      <c r="AX60" s="655">
        <v>5</v>
      </c>
      <c r="AY60" s="656">
        <v>0</v>
      </c>
      <c r="AZ60" s="657">
        <v>3</v>
      </c>
      <c r="BA60" s="658">
        <v>2</v>
      </c>
      <c r="BB60" s="659">
        <v>10</v>
      </c>
      <c r="BC60" s="656">
        <v>1</v>
      </c>
      <c r="BD60" s="660" t="e">
        <f>(AW60+AX60*AY60+AZ60*BA60+BB60*BC60)/Z60/AN60</f>
        <v>#DIV/0!</v>
      </c>
      <c r="BE60" s="661">
        <f>BE59</f>
        <v>0</v>
      </c>
      <c r="BF60" s="662">
        <v>900</v>
      </c>
      <c r="BG60" s="663">
        <v>71.41</v>
      </c>
      <c r="BH60" s="664" t="e">
        <f>IF(Z60&lt;1," ",BE60*(BF60+BG60/Z60)/3600)/AN60</f>
        <v>#VALUE!</v>
      </c>
      <c r="BI60" s="665" t="e">
        <f>BI59</f>
        <v>#REF!</v>
      </c>
      <c r="BJ60" s="666" t="e">
        <f>IF(Z60&lt;1," ",BI60/Z60)/AN60</f>
        <v>#VALUE!</v>
      </c>
      <c r="BL60" s="489" t="s">
        <v>944</v>
      </c>
    </row>
    <row r="61" spans="1:78" s="489" customFormat="1" ht="15" customHeight="1">
      <c r="A61" s="631"/>
      <c r="Z61" s="1010"/>
      <c r="AA61" s="923"/>
      <c r="AB61" s="923"/>
      <c r="AC61" s="923"/>
      <c r="AD61" s="923"/>
      <c r="AE61" s="923"/>
      <c r="AF61" s="923"/>
      <c r="AG61" s="923"/>
      <c r="AH61" s="923"/>
      <c r="AI61" s="923"/>
      <c r="AJ61" s="923"/>
      <c r="AK61" s="1019"/>
      <c r="AL61" s="648">
        <v>0.2</v>
      </c>
      <c r="AM61" s="1081"/>
      <c r="AN61" s="649">
        <v>3000</v>
      </c>
      <c r="AO61" s="650">
        <f>1.15*$E$5</f>
        <v>120.74999999999999</v>
      </c>
      <c r="AP61" s="650"/>
      <c r="AQ61" s="651">
        <f>AO61/AN61</f>
        <v>4.0249999999999994E-2</v>
      </c>
      <c r="AR61" s="652">
        <v>354</v>
      </c>
      <c r="AS61" s="652">
        <v>180</v>
      </c>
      <c r="AT61" s="603" t="e">
        <f>IF(#REF!="N"," ",AR61*AS61/3600)/AN61</f>
        <v>#REF!</v>
      </c>
      <c r="AU61" s="653">
        <v>0</v>
      </c>
      <c r="AV61" s="603">
        <v>0</v>
      </c>
      <c r="AW61" s="654">
        <v>70</v>
      </c>
      <c r="AX61" s="655">
        <v>5</v>
      </c>
      <c r="AY61" s="656">
        <v>0</v>
      </c>
      <c r="AZ61" s="657">
        <v>3</v>
      </c>
      <c r="BA61" s="658">
        <v>2</v>
      </c>
      <c r="BB61" s="659">
        <v>10</v>
      </c>
      <c r="BC61" s="656">
        <v>1</v>
      </c>
      <c r="BD61" s="660" t="e">
        <f>(AW61+AX61*AY61+AZ61*BA61+BB61*BC61)/Z61/AN61</f>
        <v>#DIV/0!</v>
      </c>
      <c r="BE61" s="661">
        <f>BE60</f>
        <v>0</v>
      </c>
      <c r="BF61" s="662">
        <v>900</v>
      </c>
      <c r="BG61" s="663">
        <v>71.41</v>
      </c>
      <c r="BH61" s="664" t="e">
        <f>IF(Z61&lt;1," ",BE61*(BF61+BG61/Z61)/3600)/AN61</f>
        <v>#VALUE!</v>
      </c>
      <c r="BI61" s="665" t="e">
        <f>BI60</f>
        <v>#REF!</v>
      </c>
      <c r="BJ61" s="666" t="e">
        <f>IF(Z61&lt;1," ",BI61/Z61)/AN61</f>
        <v>#VALUE!</v>
      </c>
    </row>
    <row r="62" spans="1:78" s="489" customFormat="1" ht="15" customHeight="1">
      <c r="A62" s="667"/>
      <c r="Z62" s="1010"/>
      <c r="AA62" s="923"/>
      <c r="AB62" s="923"/>
      <c r="AC62" s="923"/>
      <c r="AD62" s="923"/>
      <c r="AE62" s="923"/>
      <c r="AF62" s="923"/>
      <c r="AG62" s="923"/>
      <c r="AH62" s="923"/>
      <c r="AI62" s="923"/>
      <c r="AJ62" s="923"/>
      <c r="AK62" s="1019"/>
      <c r="AL62" s="648">
        <v>0.2</v>
      </c>
      <c r="AM62" s="1081"/>
      <c r="AN62" s="649"/>
      <c r="AO62" s="650"/>
      <c r="AP62" s="650"/>
      <c r="AQ62" s="651">
        <v>0</v>
      </c>
      <c r="AR62" s="652"/>
      <c r="AS62" s="652"/>
      <c r="AT62" s="603" t="e">
        <f>IF(#REF!="N"," ",AR62*AS62/3600)</f>
        <v>#REF!</v>
      </c>
      <c r="AU62" s="653"/>
      <c r="AV62" s="603">
        <v>0</v>
      </c>
      <c r="AW62" s="654"/>
      <c r="AX62" s="655"/>
      <c r="AY62" s="656"/>
      <c r="AZ62" s="657"/>
      <c r="BA62" s="658"/>
      <c r="BB62" s="659"/>
      <c r="BC62" s="656"/>
      <c r="BD62" s="660" t="e">
        <f>(AW62+AX62*AY62+AZ62*BA62+BB62*BC62)/Z62</f>
        <v>#DIV/0!</v>
      </c>
      <c r="BE62" s="661"/>
      <c r="BF62" s="662"/>
      <c r="BG62" s="663"/>
      <c r="BH62" s="664" t="str">
        <f>IF(Z62&lt;1," ",BE62*(BF62+BG62/Z62)/3600)</f>
        <v xml:space="preserve"> </v>
      </c>
      <c r="BI62" s="665"/>
      <c r="BJ62" s="666" t="str">
        <f>IF(Z62&lt;1," ",BI62/Z62)</f>
        <v xml:space="preserve"> </v>
      </c>
    </row>
    <row r="63" spans="1:78" s="489" customFormat="1" ht="15" customHeight="1">
      <c r="A63" s="631"/>
      <c r="Z63" s="1010"/>
      <c r="AA63" s="923"/>
      <c r="AB63" s="923"/>
      <c r="AC63" s="923"/>
      <c r="AD63" s="923"/>
      <c r="AE63" s="923"/>
      <c r="AF63" s="923"/>
      <c r="AG63" s="923"/>
      <c r="AH63" s="923"/>
      <c r="AI63" s="923"/>
      <c r="AJ63" s="923"/>
      <c r="AK63" s="1019"/>
      <c r="AL63" s="648">
        <v>0.2</v>
      </c>
      <c r="AM63" s="1081"/>
      <c r="AN63" s="649"/>
      <c r="AO63" s="650"/>
      <c r="AP63" s="650"/>
      <c r="AQ63" s="651">
        <v>0</v>
      </c>
      <c r="AR63" s="652"/>
      <c r="AS63" s="652"/>
      <c r="AT63" s="603" t="e">
        <f>IF(#REF!="N"," ",AR63*AS63/3600)</f>
        <v>#REF!</v>
      </c>
      <c r="AU63" s="653"/>
      <c r="AV63" s="603">
        <v>0</v>
      </c>
      <c r="AW63" s="654"/>
      <c r="AX63" s="655"/>
      <c r="AY63" s="656"/>
      <c r="AZ63" s="657"/>
      <c r="BA63" s="658"/>
      <c r="BB63" s="659"/>
      <c r="BC63" s="656"/>
      <c r="BD63" s="660" t="e">
        <f>(AW63+AX63*AY63+AZ63*BA63+BB63*BC63)/Z63</f>
        <v>#DIV/0!</v>
      </c>
      <c r="BE63" s="661"/>
      <c r="BF63" s="662"/>
      <c r="BG63" s="663"/>
      <c r="BH63" s="664" t="str">
        <f>IF(Z63&lt;1," ",BE63*(BF63+BG63/Z63)/3600)</f>
        <v xml:space="preserve"> </v>
      </c>
      <c r="BI63" s="665"/>
      <c r="BJ63" s="666" t="str">
        <f>IF(Z63&lt;1," ",BI63/Z63)</f>
        <v xml:space="preserve"> </v>
      </c>
    </row>
    <row r="64" spans="1:78" s="489" customFormat="1" ht="15" customHeight="1">
      <c r="A64" s="667"/>
      <c r="Z64" s="1010"/>
      <c r="AA64" s="923"/>
      <c r="AB64" s="923"/>
      <c r="AC64" s="923"/>
      <c r="AD64" s="923"/>
      <c r="AE64" s="923"/>
      <c r="AF64" s="923"/>
      <c r="AG64" s="923"/>
      <c r="AH64" s="923"/>
      <c r="AI64" s="923"/>
      <c r="AJ64" s="923"/>
      <c r="AK64" s="1019"/>
      <c r="AL64" s="648">
        <v>0.2</v>
      </c>
      <c r="AM64" s="1081"/>
      <c r="AN64" s="649"/>
      <c r="AO64" s="650"/>
      <c r="AP64" s="650"/>
      <c r="AQ64" s="651">
        <v>0</v>
      </c>
      <c r="AR64" s="652"/>
      <c r="AS64" s="652"/>
      <c r="AT64" s="603" t="e">
        <f>IF(#REF!="N"," ",AR64*AS64/3600)</f>
        <v>#REF!</v>
      </c>
      <c r="AU64" s="653"/>
      <c r="AV64" s="603">
        <v>0</v>
      </c>
      <c r="AW64" s="654"/>
      <c r="AX64" s="655"/>
      <c r="AY64" s="656"/>
      <c r="AZ64" s="657"/>
      <c r="BA64" s="658"/>
      <c r="BB64" s="659"/>
      <c r="BC64" s="656"/>
      <c r="BD64" s="660" t="e">
        <f>(AW64+AX64*AY64+AZ64*BA64+BB64*BC64)/Z64</f>
        <v>#DIV/0!</v>
      </c>
      <c r="BE64" s="661"/>
      <c r="BF64" s="662"/>
      <c r="BG64" s="663"/>
      <c r="BH64" s="664" t="str">
        <f>IF(Z64&lt;1," ",BE64*(BF64+BG64/Z64)/3600)</f>
        <v xml:space="preserve"> </v>
      </c>
      <c r="BI64" s="665"/>
      <c r="BJ64" s="666" t="str">
        <f>IF(Z64&lt;1," ",BI64/Z64)</f>
        <v xml:space="preserve"> </v>
      </c>
    </row>
    <row r="65" spans="1:62" s="489" customFormat="1" ht="15" customHeight="1">
      <c r="A65" s="631"/>
      <c r="Z65" s="1010"/>
      <c r="AA65" s="923"/>
      <c r="AB65" s="923"/>
      <c r="AC65" s="923"/>
      <c r="AD65" s="923"/>
      <c r="AE65" s="923"/>
      <c r="AF65" s="923"/>
      <c r="AG65" s="923"/>
      <c r="AH65" s="923"/>
      <c r="AI65" s="923"/>
      <c r="AJ65" s="923"/>
      <c r="AK65" s="1019"/>
      <c r="AL65" s="668"/>
      <c r="AM65" s="1082"/>
      <c r="AN65" s="669"/>
      <c r="AO65" s="670"/>
      <c r="AP65" s="670"/>
      <c r="AQ65" s="671"/>
      <c r="AR65" s="672"/>
      <c r="AS65" s="672"/>
      <c r="AT65" s="610"/>
      <c r="AU65" s="673"/>
      <c r="AV65" s="610"/>
      <c r="AW65" s="674"/>
      <c r="AX65" s="675"/>
      <c r="AY65" s="676"/>
      <c r="AZ65" s="677"/>
      <c r="BA65" s="678"/>
      <c r="BB65" s="679"/>
      <c r="BC65" s="676"/>
      <c r="BD65" s="680"/>
      <c r="BE65" s="681"/>
      <c r="BF65" s="682"/>
      <c r="BG65" s="683"/>
      <c r="BH65" s="684"/>
      <c r="BI65" s="685"/>
      <c r="BJ65" s="686"/>
    </row>
    <row r="66" spans="1:62" s="489" customFormat="1" ht="15" customHeight="1">
      <c r="A66" s="667"/>
      <c r="Z66" s="1010"/>
      <c r="AA66" s="923"/>
      <c r="AB66" s="923"/>
      <c r="AC66" s="923"/>
      <c r="AD66" s="923"/>
      <c r="AE66" s="923"/>
      <c r="AF66" s="923"/>
      <c r="AG66" s="923"/>
      <c r="AH66" s="923"/>
      <c r="AI66" s="923"/>
      <c r="AJ66" s="923"/>
      <c r="AK66" s="1019"/>
      <c r="AL66" s="668"/>
      <c r="AM66" s="1082"/>
      <c r="AN66" s="669"/>
      <c r="AO66" s="670"/>
      <c r="AP66" s="670"/>
      <c r="AQ66" s="671"/>
      <c r="AR66" s="672"/>
      <c r="AS66" s="672"/>
      <c r="AT66" s="610"/>
      <c r="AU66" s="673"/>
      <c r="AV66" s="610"/>
      <c r="AW66" s="674"/>
      <c r="AX66" s="675"/>
      <c r="AY66" s="676"/>
      <c r="AZ66" s="677"/>
      <c r="BA66" s="678"/>
      <c r="BB66" s="679"/>
      <c r="BC66" s="676"/>
      <c r="BD66" s="680"/>
      <c r="BE66" s="681"/>
      <c r="BF66" s="682"/>
      <c r="BG66" s="683"/>
      <c r="BH66" s="684"/>
      <c r="BI66" s="685"/>
      <c r="BJ66" s="686"/>
    </row>
    <row r="67" spans="1:62" s="489" customFormat="1" ht="15" customHeight="1">
      <c r="A67" s="667"/>
      <c r="Z67" s="1010"/>
      <c r="AA67" s="923"/>
      <c r="AB67" s="923"/>
      <c r="AC67" s="923"/>
      <c r="AD67" s="923"/>
      <c r="AE67" s="923"/>
      <c r="AF67" s="923"/>
      <c r="AG67" s="923"/>
      <c r="AH67" s="923"/>
      <c r="AI67" s="923"/>
      <c r="AJ67" s="923"/>
      <c r="AK67" s="1019"/>
      <c r="AL67" s="668"/>
      <c r="AM67" s="1082"/>
      <c r="AN67" s="669"/>
      <c r="AO67" s="670"/>
      <c r="AP67" s="670"/>
      <c r="AQ67" s="671"/>
      <c r="AR67" s="672"/>
      <c r="AS67" s="672"/>
      <c r="AT67" s="610"/>
      <c r="AU67" s="673"/>
      <c r="AV67" s="610"/>
      <c r="AW67" s="674"/>
      <c r="AX67" s="675"/>
      <c r="AY67" s="676"/>
      <c r="AZ67" s="677"/>
      <c r="BA67" s="678"/>
      <c r="BB67" s="679"/>
      <c r="BC67" s="676"/>
      <c r="BD67" s="680"/>
      <c r="BE67" s="681"/>
      <c r="BF67" s="682"/>
      <c r="BG67" s="683"/>
      <c r="BH67" s="684"/>
      <c r="BI67" s="685"/>
      <c r="BJ67" s="686"/>
    </row>
    <row r="68" spans="1:62" s="489" customFormat="1" ht="15" customHeight="1">
      <c r="A68" s="667"/>
      <c r="Z68" s="1010"/>
      <c r="AA68" s="923"/>
      <c r="AB68" s="923"/>
      <c r="AC68" s="923"/>
      <c r="AD68" s="923"/>
      <c r="AE68" s="923"/>
      <c r="AF68" s="923"/>
      <c r="AG68" s="923"/>
      <c r="AH68" s="923"/>
      <c r="AI68" s="923"/>
      <c r="AJ68" s="923"/>
      <c r="AK68" s="1019"/>
      <c r="AL68" s="668"/>
      <c r="AM68" s="1082"/>
      <c r="AN68" s="669"/>
      <c r="AO68" s="670"/>
      <c r="AP68" s="670"/>
      <c r="AQ68" s="671"/>
      <c r="AR68" s="672"/>
      <c r="AS68" s="672"/>
      <c r="AT68" s="610"/>
      <c r="AU68" s="673"/>
      <c r="AV68" s="610"/>
      <c r="AW68" s="674"/>
      <c r="AX68" s="675"/>
      <c r="AY68" s="676"/>
      <c r="AZ68" s="677"/>
      <c r="BA68" s="678"/>
      <c r="BB68" s="679"/>
      <c r="BC68" s="676"/>
      <c r="BD68" s="680"/>
      <c r="BE68" s="681"/>
      <c r="BF68" s="682"/>
      <c r="BG68" s="683"/>
      <c r="BH68" s="684"/>
      <c r="BI68" s="685"/>
      <c r="BJ68" s="686"/>
    </row>
    <row r="69" spans="1:62" s="489" customFormat="1" ht="15" customHeight="1">
      <c r="A69" s="667"/>
      <c r="Z69" s="1010"/>
      <c r="AA69" s="923"/>
      <c r="AB69" s="923"/>
      <c r="AC69" s="923"/>
      <c r="AD69" s="923"/>
      <c r="AE69" s="923"/>
      <c r="AF69" s="923"/>
      <c r="AG69" s="923"/>
      <c r="AH69" s="923"/>
      <c r="AI69" s="923"/>
      <c r="AJ69" s="923"/>
      <c r="AK69" s="1019"/>
      <c r="AL69" s="668"/>
      <c r="AM69" s="1082"/>
      <c r="AN69" s="669"/>
      <c r="AO69" s="670"/>
      <c r="AP69" s="670"/>
      <c r="AQ69" s="671"/>
      <c r="AR69" s="672"/>
      <c r="AS69" s="672"/>
      <c r="AT69" s="610"/>
      <c r="AU69" s="673"/>
      <c r="AV69" s="610"/>
      <c r="AW69" s="674"/>
      <c r="AX69" s="675"/>
      <c r="AY69" s="676"/>
      <c r="AZ69" s="677"/>
      <c r="BA69" s="678"/>
      <c r="BB69" s="679"/>
      <c r="BC69" s="676"/>
      <c r="BD69" s="680"/>
      <c r="BE69" s="681"/>
      <c r="BF69" s="682"/>
      <c r="BG69" s="683"/>
      <c r="BH69" s="684"/>
      <c r="BI69" s="685"/>
      <c r="BJ69" s="686"/>
    </row>
    <row r="70" spans="1:62" s="489" customFormat="1" ht="15" customHeight="1">
      <c r="A70" s="667"/>
      <c r="Z70" s="1010"/>
      <c r="AA70" s="923"/>
      <c r="AB70" s="923"/>
      <c r="AC70" s="923"/>
      <c r="AD70" s="923"/>
      <c r="AE70" s="923"/>
      <c r="AF70" s="923"/>
      <c r="AG70" s="923"/>
      <c r="AH70" s="923"/>
      <c r="AI70" s="923"/>
      <c r="AJ70" s="923"/>
      <c r="AK70" s="1019"/>
      <c r="AL70" s="668"/>
      <c r="AM70" s="1082"/>
      <c r="AN70" s="669"/>
      <c r="AO70" s="670"/>
      <c r="AP70" s="670"/>
      <c r="AQ70" s="671"/>
      <c r="AR70" s="672"/>
      <c r="AS70" s="672"/>
      <c r="AT70" s="610"/>
      <c r="AU70" s="673"/>
      <c r="AV70" s="610"/>
      <c r="AW70" s="674"/>
      <c r="AX70" s="675"/>
      <c r="AY70" s="676"/>
      <c r="AZ70" s="677"/>
      <c r="BA70" s="678"/>
      <c r="BB70" s="679"/>
      <c r="BC70" s="676"/>
      <c r="BD70" s="680"/>
      <c r="BE70" s="681"/>
      <c r="BF70" s="682"/>
      <c r="BG70" s="683"/>
      <c r="BH70" s="684"/>
      <c r="BI70" s="685"/>
      <c r="BJ70" s="686"/>
    </row>
    <row r="71" spans="1:62" s="489" customFormat="1" ht="15" customHeight="1">
      <c r="A71" s="667"/>
      <c r="Z71" s="1010"/>
      <c r="AA71" s="923"/>
      <c r="AB71" s="923"/>
      <c r="AC71" s="923"/>
      <c r="AD71" s="923"/>
      <c r="AE71" s="923"/>
      <c r="AF71" s="923"/>
      <c r="AG71" s="923"/>
      <c r="AH71" s="923"/>
      <c r="AI71" s="923"/>
      <c r="AJ71" s="923"/>
      <c r="AK71" s="1019"/>
      <c r="AL71" s="668"/>
      <c r="AM71" s="1082"/>
      <c r="AN71" s="669"/>
      <c r="AO71" s="670"/>
      <c r="AP71" s="670"/>
      <c r="AQ71" s="671"/>
      <c r="AR71" s="672"/>
      <c r="AS71" s="672"/>
      <c r="AT71" s="610"/>
      <c r="AU71" s="673"/>
      <c r="AV71" s="610"/>
      <c r="AW71" s="674"/>
      <c r="AX71" s="675"/>
      <c r="AY71" s="676"/>
      <c r="AZ71" s="677"/>
      <c r="BA71" s="678"/>
      <c r="BB71" s="679"/>
      <c r="BC71" s="676"/>
      <c r="BD71" s="680"/>
      <c r="BE71" s="681"/>
      <c r="BF71" s="682"/>
      <c r="BG71" s="683"/>
      <c r="BH71" s="684"/>
      <c r="BI71" s="685"/>
      <c r="BJ71" s="686"/>
    </row>
    <row r="72" spans="1:62" s="489" customFormat="1" ht="15" customHeight="1">
      <c r="A72" s="667"/>
      <c r="Z72" s="1010"/>
      <c r="AA72" s="923"/>
      <c r="AB72" s="923"/>
      <c r="AC72" s="923"/>
      <c r="AD72" s="923"/>
      <c r="AE72" s="923"/>
      <c r="AF72" s="923"/>
      <c r="AG72" s="923"/>
      <c r="AH72" s="923"/>
      <c r="AI72" s="923"/>
      <c r="AJ72" s="923"/>
      <c r="AK72" s="1019"/>
      <c r="AL72" s="668"/>
      <c r="AM72" s="1082"/>
      <c r="AN72" s="669"/>
      <c r="AO72" s="670"/>
      <c r="AP72" s="670"/>
      <c r="AQ72" s="671"/>
      <c r="AR72" s="672"/>
      <c r="AS72" s="672"/>
      <c r="AT72" s="610"/>
      <c r="AU72" s="673"/>
      <c r="AV72" s="610"/>
      <c r="AW72" s="674"/>
      <c r="AX72" s="675"/>
      <c r="AY72" s="676"/>
      <c r="AZ72" s="677"/>
      <c r="BA72" s="678"/>
      <c r="BB72" s="679"/>
      <c r="BC72" s="676"/>
      <c r="BD72" s="680"/>
      <c r="BE72" s="681"/>
      <c r="BF72" s="682"/>
      <c r="BG72" s="683"/>
      <c r="BH72" s="684"/>
      <c r="BI72" s="685"/>
      <c r="BJ72" s="686"/>
    </row>
    <row r="73" spans="1:62" s="489" customFormat="1" ht="15" customHeight="1">
      <c r="A73" s="667"/>
      <c r="Z73" s="1010"/>
      <c r="AA73" s="923"/>
      <c r="AB73" s="923"/>
      <c r="AC73" s="923"/>
      <c r="AD73" s="923"/>
      <c r="AE73" s="923"/>
      <c r="AF73" s="923"/>
      <c r="AG73" s="923"/>
      <c r="AH73" s="923"/>
      <c r="AI73" s="923"/>
      <c r="AJ73" s="923"/>
      <c r="AK73" s="1011"/>
      <c r="AL73" s="668">
        <v>12.12</v>
      </c>
      <c r="AM73" s="1082"/>
      <c r="AN73" s="669"/>
      <c r="AO73" s="670"/>
      <c r="AP73" s="670"/>
      <c r="AQ73" s="671"/>
      <c r="AR73" s="672"/>
      <c r="AS73" s="672"/>
      <c r="AT73" s="610" t="e">
        <f>IF(#REF!="N"," ",AR73*AS73/3600)</f>
        <v>#REF!</v>
      </c>
      <c r="AU73" s="673">
        <v>0</v>
      </c>
      <c r="AV73" s="610" t="e">
        <f>IF(#REF!="N"," ",AU73/AN73)</f>
        <v>#REF!</v>
      </c>
      <c r="AW73" s="674">
        <v>70</v>
      </c>
      <c r="AX73" s="675">
        <v>5</v>
      </c>
      <c r="AY73" s="676">
        <v>1</v>
      </c>
      <c r="AZ73" s="677">
        <v>3</v>
      </c>
      <c r="BA73" s="678">
        <v>2</v>
      </c>
      <c r="BB73" s="679"/>
      <c r="BC73" s="676"/>
      <c r="BD73" s="680" t="e">
        <f t="shared" ref="BD73:BD80" si="18">(AW73+AX73*AY73+AZ73*BA73+BB73*BC73)/Z73</f>
        <v>#DIV/0!</v>
      </c>
      <c r="BE73" s="681">
        <f t="shared" ref="BE73:BE80" si="19">0.954*90</f>
        <v>85.86</v>
      </c>
      <c r="BF73" s="682">
        <v>1.5</v>
      </c>
      <c r="BG73" s="683">
        <v>71.41</v>
      </c>
      <c r="BH73" s="684" t="str">
        <f t="shared" ref="BH73:BH80" si="20">IF(Z73&lt;1," ",BE73*(BF73+BG73/Z73)/3600)</f>
        <v xml:space="preserve"> </v>
      </c>
      <c r="BI73" s="685"/>
      <c r="BJ73" s="686" t="str">
        <f t="shared" ref="BJ73:BJ80" si="21">IF(Z73&lt;1," ",BI73/Z73)</f>
        <v xml:space="preserve"> </v>
      </c>
    </row>
    <row r="74" spans="1:62" s="489" customFormat="1" ht="15" customHeight="1">
      <c r="A74" s="667"/>
      <c r="B74" s="874"/>
      <c r="C74" s="874"/>
      <c r="D74" s="982"/>
      <c r="E74" s="1008"/>
      <c r="F74" s="1008"/>
      <c r="G74" s="1008"/>
      <c r="H74" s="968"/>
      <c r="I74" s="968"/>
      <c r="J74" s="968"/>
      <c r="K74" s="968"/>
      <c r="L74" s="968"/>
      <c r="M74" s="927"/>
      <c r="N74" s="969"/>
      <c r="O74" s="924"/>
      <c r="P74" s="923"/>
      <c r="Q74" s="927"/>
      <c r="R74" s="927"/>
      <c r="S74" s="1009"/>
      <c r="T74" s="927"/>
      <c r="U74" s="923"/>
      <c r="V74" s="1009"/>
      <c r="W74" s="1009"/>
      <c r="X74" s="1009"/>
      <c r="Y74" s="1009"/>
      <c r="Z74" s="1010"/>
      <c r="AA74" s="923"/>
      <c r="AB74" s="923"/>
      <c r="AC74" s="923"/>
      <c r="AD74" s="923"/>
      <c r="AE74" s="923"/>
      <c r="AF74" s="923"/>
      <c r="AG74" s="923"/>
      <c r="AH74" s="923"/>
      <c r="AI74" s="923"/>
      <c r="AJ74" s="923"/>
      <c r="AK74" s="1011"/>
      <c r="AL74" s="668">
        <v>13.12</v>
      </c>
      <c r="AM74" s="1082"/>
      <c r="AN74" s="669"/>
      <c r="AO74" s="670"/>
      <c r="AP74" s="670"/>
      <c r="AQ74" s="671"/>
      <c r="AR74" s="672"/>
      <c r="AS74" s="672"/>
      <c r="AT74" s="610" t="e">
        <f>IF(#REF!="N"," ",AR74*AS74/3600)</f>
        <v>#REF!</v>
      </c>
      <c r="AU74" s="673">
        <v>0</v>
      </c>
      <c r="AV74" s="610" t="e">
        <f>IF(#REF!="N"," ",AU74/AN74)</f>
        <v>#REF!</v>
      </c>
      <c r="AW74" s="674">
        <v>70</v>
      </c>
      <c r="AX74" s="675">
        <v>5</v>
      </c>
      <c r="AY74" s="676">
        <v>1</v>
      </c>
      <c r="AZ74" s="677">
        <v>3</v>
      </c>
      <c r="BA74" s="678">
        <v>2</v>
      </c>
      <c r="BB74" s="679"/>
      <c r="BC74" s="676"/>
      <c r="BD74" s="680" t="e">
        <f t="shared" si="18"/>
        <v>#DIV/0!</v>
      </c>
      <c r="BE74" s="681">
        <f t="shared" si="19"/>
        <v>85.86</v>
      </c>
      <c r="BF74" s="682">
        <v>1.5</v>
      </c>
      <c r="BG74" s="683">
        <v>71.41</v>
      </c>
      <c r="BH74" s="684" t="str">
        <f t="shared" si="20"/>
        <v xml:space="preserve"> </v>
      </c>
      <c r="BI74" s="685"/>
      <c r="BJ74" s="686" t="str">
        <f t="shared" si="21"/>
        <v xml:space="preserve"> </v>
      </c>
    </row>
    <row r="75" spans="1:62" s="489" customFormat="1" ht="15" customHeight="1">
      <c r="A75" s="667"/>
      <c r="B75" s="874"/>
      <c r="C75" s="874"/>
      <c r="D75" s="982"/>
      <c r="E75" s="1008"/>
      <c r="F75" s="1008"/>
      <c r="G75" s="1008"/>
      <c r="H75" s="968"/>
      <c r="I75" s="968"/>
      <c r="J75" s="968"/>
      <c r="K75" s="968"/>
      <c r="L75" s="968"/>
      <c r="M75" s="927"/>
      <c r="N75" s="969"/>
      <c r="O75" s="924"/>
      <c r="P75" s="923"/>
      <c r="Q75" s="927"/>
      <c r="R75" s="927"/>
      <c r="S75" s="1009"/>
      <c r="T75" s="927"/>
      <c r="U75" s="923"/>
      <c r="V75" s="1009"/>
      <c r="W75" s="1009"/>
      <c r="X75" s="1009"/>
      <c r="Y75" s="1009"/>
      <c r="Z75" s="1010"/>
      <c r="AA75" s="923"/>
      <c r="AB75" s="923"/>
      <c r="AC75" s="923"/>
      <c r="AD75" s="923"/>
      <c r="AE75" s="923"/>
      <c r="AF75" s="923"/>
      <c r="AG75" s="923"/>
      <c r="AH75" s="923"/>
      <c r="AI75" s="923"/>
      <c r="AJ75" s="923"/>
      <c r="AK75" s="1011"/>
      <c r="AL75" s="668">
        <v>14.12</v>
      </c>
      <c r="AM75" s="1082"/>
      <c r="AN75" s="669"/>
      <c r="AO75" s="670"/>
      <c r="AP75" s="670"/>
      <c r="AQ75" s="671"/>
      <c r="AR75" s="672"/>
      <c r="AS75" s="672"/>
      <c r="AT75" s="610" t="e">
        <f>IF(#REF!="N"," ",AR75*AS75/3600)</f>
        <v>#REF!</v>
      </c>
      <c r="AU75" s="673">
        <v>0</v>
      </c>
      <c r="AV75" s="610" t="e">
        <f>IF(#REF!="N"," ",AU75/AN75)</f>
        <v>#REF!</v>
      </c>
      <c r="AW75" s="674">
        <v>70</v>
      </c>
      <c r="AX75" s="675">
        <v>5</v>
      </c>
      <c r="AY75" s="676">
        <v>1</v>
      </c>
      <c r="AZ75" s="677">
        <v>3</v>
      </c>
      <c r="BA75" s="678">
        <v>2</v>
      </c>
      <c r="BB75" s="679"/>
      <c r="BC75" s="676"/>
      <c r="BD75" s="680" t="e">
        <f t="shared" si="18"/>
        <v>#DIV/0!</v>
      </c>
      <c r="BE75" s="681">
        <f t="shared" si="19"/>
        <v>85.86</v>
      </c>
      <c r="BF75" s="682">
        <v>1.5</v>
      </c>
      <c r="BG75" s="683">
        <v>71.41</v>
      </c>
      <c r="BH75" s="684" t="str">
        <f t="shared" si="20"/>
        <v xml:space="preserve"> </v>
      </c>
      <c r="BI75" s="685"/>
      <c r="BJ75" s="686" t="str">
        <f t="shared" si="21"/>
        <v xml:space="preserve"> </v>
      </c>
    </row>
    <row r="76" spans="1:62" s="489" customFormat="1" ht="15" customHeight="1">
      <c r="A76" s="667"/>
      <c r="B76" s="874"/>
      <c r="C76" s="874"/>
      <c r="D76" s="982"/>
      <c r="E76" s="1008"/>
      <c r="F76" s="1008"/>
      <c r="G76" s="1008"/>
      <c r="H76" s="968"/>
      <c r="I76" s="968"/>
      <c r="J76" s="968"/>
      <c r="K76" s="968"/>
      <c r="L76" s="968"/>
      <c r="M76" s="927"/>
      <c r="N76" s="969"/>
      <c r="O76" s="924"/>
      <c r="P76" s="923"/>
      <c r="Q76" s="927"/>
      <c r="R76" s="927"/>
      <c r="S76" s="1009"/>
      <c r="T76" s="927"/>
      <c r="U76" s="923"/>
      <c r="V76" s="1009"/>
      <c r="W76" s="1009"/>
      <c r="X76" s="1009"/>
      <c r="Y76" s="1009"/>
      <c r="Z76" s="1010"/>
      <c r="AA76" s="923"/>
      <c r="AB76" s="923"/>
      <c r="AC76" s="923"/>
      <c r="AD76" s="923"/>
      <c r="AE76" s="923"/>
      <c r="AF76" s="923"/>
      <c r="AG76" s="923"/>
      <c r="AH76" s="923"/>
      <c r="AI76" s="923"/>
      <c r="AJ76" s="923"/>
      <c r="AK76" s="1011"/>
      <c r="AL76" s="668">
        <v>15.12</v>
      </c>
      <c r="AM76" s="1082"/>
      <c r="AN76" s="669"/>
      <c r="AO76" s="670"/>
      <c r="AP76" s="670"/>
      <c r="AQ76" s="671" t="e">
        <f>IF(#REF!="N"," ",AO76/AN76)</f>
        <v>#REF!</v>
      </c>
      <c r="AR76" s="672"/>
      <c r="AS76" s="672"/>
      <c r="AT76" s="610" t="e">
        <f>IF(#REF!="N"," ",AR76*AS76/3600)</f>
        <v>#REF!</v>
      </c>
      <c r="AU76" s="673">
        <v>0</v>
      </c>
      <c r="AV76" s="610" t="e">
        <f>IF(#REF!="N"," ",AU76/AN76)</f>
        <v>#REF!</v>
      </c>
      <c r="AW76" s="674">
        <v>70</v>
      </c>
      <c r="AX76" s="675">
        <v>5</v>
      </c>
      <c r="AY76" s="676">
        <v>1</v>
      </c>
      <c r="AZ76" s="677">
        <v>3</v>
      </c>
      <c r="BA76" s="678">
        <v>2</v>
      </c>
      <c r="BB76" s="679"/>
      <c r="BC76" s="676"/>
      <c r="BD76" s="680" t="e">
        <f t="shared" si="18"/>
        <v>#DIV/0!</v>
      </c>
      <c r="BE76" s="681">
        <f t="shared" si="19"/>
        <v>85.86</v>
      </c>
      <c r="BF76" s="682">
        <v>1.5</v>
      </c>
      <c r="BG76" s="683">
        <v>71.41</v>
      </c>
      <c r="BH76" s="684" t="str">
        <f t="shared" si="20"/>
        <v xml:space="preserve"> </v>
      </c>
      <c r="BI76" s="685"/>
      <c r="BJ76" s="686" t="str">
        <f t="shared" si="21"/>
        <v xml:space="preserve"> </v>
      </c>
    </row>
    <row r="77" spans="1:62" s="489" customFormat="1" ht="15" customHeight="1">
      <c r="A77" s="667"/>
      <c r="B77" s="874"/>
      <c r="C77" s="874"/>
      <c r="D77" s="982"/>
      <c r="E77" s="1008"/>
      <c r="F77" s="1008"/>
      <c r="G77" s="1008"/>
      <c r="H77" s="968"/>
      <c r="I77" s="968"/>
      <c r="J77" s="968"/>
      <c r="K77" s="968"/>
      <c r="L77" s="968"/>
      <c r="M77" s="927"/>
      <c r="N77" s="969"/>
      <c r="O77" s="924"/>
      <c r="P77" s="923"/>
      <c r="Q77" s="927"/>
      <c r="R77" s="927"/>
      <c r="S77" s="1009"/>
      <c r="T77" s="927"/>
      <c r="U77" s="923"/>
      <c r="V77" s="1009"/>
      <c r="W77" s="1009"/>
      <c r="X77" s="1009"/>
      <c r="Y77" s="1009"/>
      <c r="Z77" s="1010"/>
      <c r="AA77" s="923"/>
      <c r="AB77" s="923"/>
      <c r="AC77" s="923"/>
      <c r="AD77" s="923"/>
      <c r="AE77" s="923"/>
      <c r="AF77" s="923"/>
      <c r="AG77" s="923"/>
      <c r="AH77" s="923"/>
      <c r="AI77" s="923"/>
      <c r="AJ77" s="923"/>
      <c r="AK77" s="1011"/>
      <c r="AL77" s="668">
        <v>16.12</v>
      </c>
      <c r="AM77" s="1082"/>
      <c r="AN77" s="669"/>
      <c r="AO77" s="670"/>
      <c r="AP77" s="670"/>
      <c r="AQ77" s="671" t="e">
        <f>IF(#REF!="N"," ",AO77/AN77)</f>
        <v>#REF!</v>
      </c>
      <c r="AR77" s="672"/>
      <c r="AS77" s="672"/>
      <c r="AT77" s="610" t="e">
        <f>IF(#REF!="N"," ",AR77*AS77/3600)</f>
        <v>#REF!</v>
      </c>
      <c r="AU77" s="673">
        <v>0</v>
      </c>
      <c r="AV77" s="610" t="e">
        <f>IF(#REF!="N"," ",AU77/AN77)</f>
        <v>#REF!</v>
      </c>
      <c r="AW77" s="674">
        <v>70</v>
      </c>
      <c r="AX77" s="675">
        <v>5</v>
      </c>
      <c r="AY77" s="676">
        <v>1</v>
      </c>
      <c r="AZ77" s="677">
        <v>3</v>
      </c>
      <c r="BA77" s="678">
        <v>2</v>
      </c>
      <c r="BB77" s="679"/>
      <c r="BC77" s="676"/>
      <c r="BD77" s="680" t="e">
        <f t="shared" si="18"/>
        <v>#DIV/0!</v>
      </c>
      <c r="BE77" s="681">
        <f t="shared" si="19"/>
        <v>85.86</v>
      </c>
      <c r="BF77" s="682">
        <v>1.5</v>
      </c>
      <c r="BG77" s="683">
        <v>71.41</v>
      </c>
      <c r="BH77" s="684" t="str">
        <f t="shared" si="20"/>
        <v xml:space="preserve"> </v>
      </c>
      <c r="BI77" s="685"/>
      <c r="BJ77" s="686" t="str">
        <f t="shared" si="21"/>
        <v xml:space="preserve"> </v>
      </c>
    </row>
    <row r="78" spans="1:62" s="489" customFormat="1" ht="15" customHeight="1">
      <c r="A78" s="667"/>
      <c r="B78" s="874"/>
      <c r="C78" s="874"/>
      <c r="D78" s="982"/>
      <c r="E78" s="1008"/>
      <c r="F78" s="1008"/>
      <c r="G78" s="1008"/>
      <c r="H78" s="968"/>
      <c r="I78" s="968"/>
      <c r="J78" s="968"/>
      <c r="K78" s="968"/>
      <c r="L78" s="968"/>
      <c r="M78" s="927"/>
      <c r="N78" s="969"/>
      <c r="O78" s="924"/>
      <c r="P78" s="923"/>
      <c r="Q78" s="927"/>
      <c r="R78" s="927"/>
      <c r="S78" s="1009"/>
      <c r="T78" s="927"/>
      <c r="U78" s="923"/>
      <c r="V78" s="1009"/>
      <c r="W78" s="1009"/>
      <c r="X78" s="1009"/>
      <c r="Y78" s="1009"/>
      <c r="Z78" s="1010"/>
      <c r="AA78" s="923"/>
      <c r="AB78" s="923"/>
      <c r="AC78" s="923"/>
      <c r="AD78" s="923"/>
      <c r="AE78" s="923"/>
      <c r="AF78" s="923"/>
      <c r="AG78" s="923"/>
      <c r="AH78" s="923"/>
      <c r="AI78" s="923"/>
      <c r="AJ78" s="923"/>
      <c r="AK78" s="1011"/>
      <c r="AL78" s="668">
        <v>17.12</v>
      </c>
      <c r="AM78" s="1082"/>
      <c r="AN78" s="669"/>
      <c r="AO78" s="670"/>
      <c r="AP78" s="670"/>
      <c r="AQ78" s="671" t="e">
        <f>IF(#REF!="N"," ",AO78/AN78)</f>
        <v>#REF!</v>
      </c>
      <c r="AR78" s="672"/>
      <c r="AS78" s="672"/>
      <c r="AT78" s="610" t="e">
        <f>IF(#REF!="N"," ",AR78*AS78/3600)</f>
        <v>#REF!</v>
      </c>
      <c r="AU78" s="673">
        <v>0</v>
      </c>
      <c r="AV78" s="610" t="e">
        <f>IF(#REF!="N"," ",AU78/AN78)</f>
        <v>#REF!</v>
      </c>
      <c r="AW78" s="674">
        <v>70</v>
      </c>
      <c r="AX78" s="675">
        <v>5</v>
      </c>
      <c r="AY78" s="676">
        <v>1</v>
      </c>
      <c r="AZ78" s="677">
        <v>3</v>
      </c>
      <c r="BA78" s="678">
        <v>2</v>
      </c>
      <c r="BB78" s="679"/>
      <c r="BC78" s="676"/>
      <c r="BD78" s="680" t="e">
        <f t="shared" si="18"/>
        <v>#DIV/0!</v>
      </c>
      <c r="BE78" s="681">
        <f t="shared" si="19"/>
        <v>85.86</v>
      </c>
      <c r="BF78" s="682">
        <v>1.5</v>
      </c>
      <c r="BG78" s="683">
        <v>71.41</v>
      </c>
      <c r="BH78" s="684" t="str">
        <f t="shared" si="20"/>
        <v xml:space="preserve"> </v>
      </c>
      <c r="BI78" s="685"/>
      <c r="BJ78" s="686" t="str">
        <f t="shared" si="21"/>
        <v xml:space="preserve"> </v>
      </c>
    </row>
    <row r="79" spans="1:62" s="489" customFormat="1" ht="15" customHeight="1">
      <c r="A79" s="667"/>
      <c r="B79" s="874"/>
      <c r="C79" s="874"/>
      <c r="D79" s="982"/>
      <c r="E79" s="1008"/>
      <c r="F79" s="1008"/>
      <c r="G79" s="1008"/>
      <c r="H79" s="968"/>
      <c r="I79" s="968"/>
      <c r="J79" s="968"/>
      <c r="K79" s="968"/>
      <c r="L79" s="968"/>
      <c r="M79" s="927"/>
      <c r="N79" s="969"/>
      <c r="O79" s="924"/>
      <c r="P79" s="923"/>
      <c r="Q79" s="927"/>
      <c r="R79" s="927"/>
      <c r="S79" s="1009"/>
      <c r="T79" s="927"/>
      <c r="U79" s="923"/>
      <c r="V79" s="1009"/>
      <c r="W79" s="1009"/>
      <c r="X79" s="1009"/>
      <c r="Y79" s="1009"/>
      <c r="Z79" s="1010"/>
      <c r="AA79" s="923"/>
      <c r="AB79" s="923"/>
      <c r="AC79" s="923"/>
      <c r="AD79" s="923"/>
      <c r="AE79" s="923"/>
      <c r="AF79" s="923"/>
      <c r="AG79" s="923"/>
      <c r="AH79" s="923"/>
      <c r="AI79" s="923"/>
      <c r="AJ79" s="923"/>
      <c r="AK79" s="1011"/>
      <c r="AL79" s="668">
        <v>18.12</v>
      </c>
      <c r="AM79" s="1082"/>
      <c r="AN79" s="669"/>
      <c r="AO79" s="670"/>
      <c r="AP79" s="670"/>
      <c r="AQ79" s="671" t="e">
        <f>IF(#REF!="N"," ",AO79/AN79)</f>
        <v>#REF!</v>
      </c>
      <c r="AR79" s="672"/>
      <c r="AS79" s="672"/>
      <c r="AT79" s="610" t="e">
        <f>IF(#REF!="N"," ",AR79*AS79/3600)</f>
        <v>#REF!</v>
      </c>
      <c r="AU79" s="673">
        <v>0</v>
      </c>
      <c r="AV79" s="610" t="e">
        <f>IF(#REF!="N"," ",AU79/AN79)</f>
        <v>#REF!</v>
      </c>
      <c r="AW79" s="674">
        <v>70</v>
      </c>
      <c r="AX79" s="675">
        <v>5</v>
      </c>
      <c r="AY79" s="676">
        <v>1</v>
      </c>
      <c r="AZ79" s="677">
        <v>3</v>
      </c>
      <c r="BA79" s="678">
        <v>2</v>
      </c>
      <c r="BB79" s="679"/>
      <c r="BC79" s="676"/>
      <c r="BD79" s="680" t="e">
        <f t="shared" si="18"/>
        <v>#DIV/0!</v>
      </c>
      <c r="BE79" s="681">
        <f t="shared" si="19"/>
        <v>85.86</v>
      </c>
      <c r="BF79" s="682">
        <v>1.5</v>
      </c>
      <c r="BG79" s="683">
        <v>71.41</v>
      </c>
      <c r="BH79" s="684" t="str">
        <f t="shared" si="20"/>
        <v xml:space="preserve"> </v>
      </c>
      <c r="BI79" s="685"/>
      <c r="BJ79" s="686" t="str">
        <f t="shared" si="21"/>
        <v xml:space="preserve"> </v>
      </c>
    </row>
    <row r="80" spans="1:62" s="489" customFormat="1" ht="15" customHeight="1">
      <c r="A80" s="667"/>
      <c r="B80" s="874"/>
      <c r="C80" s="874"/>
      <c r="D80" s="982"/>
      <c r="E80" s="1008"/>
      <c r="F80" s="1008"/>
      <c r="G80" s="1008"/>
      <c r="H80" s="968"/>
      <c r="I80" s="968"/>
      <c r="J80" s="968"/>
      <c r="K80" s="968"/>
      <c r="L80" s="968"/>
      <c r="M80" s="927"/>
      <c r="N80" s="969"/>
      <c r="O80" s="924"/>
      <c r="P80" s="923"/>
      <c r="Q80" s="927"/>
      <c r="R80" s="927"/>
      <c r="S80" s="1009"/>
      <c r="T80" s="927"/>
      <c r="U80" s="923"/>
      <c r="V80" s="1009"/>
      <c r="W80" s="1009"/>
      <c r="X80" s="1009"/>
      <c r="Y80" s="1009"/>
      <c r="Z80" s="1010"/>
      <c r="AA80" s="923"/>
      <c r="AB80" s="923"/>
      <c r="AC80" s="923"/>
      <c r="AD80" s="923"/>
      <c r="AE80" s="923"/>
      <c r="AF80" s="923"/>
      <c r="AG80" s="923"/>
      <c r="AH80" s="923"/>
      <c r="AI80" s="923"/>
      <c r="AJ80" s="923"/>
      <c r="AK80" s="1011"/>
      <c r="AL80" s="668">
        <v>19.12</v>
      </c>
      <c r="AM80" s="1082"/>
      <c r="AN80" s="669"/>
      <c r="AO80" s="670"/>
      <c r="AP80" s="670"/>
      <c r="AQ80" s="671" t="e">
        <f>IF(#REF!="N"," ",AO80/AN80)</f>
        <v>#REF!</v>
      </c>
      <c r="AR80" s="672"/>
      <c r="AS80" s="672"/>
      <c r="AT80" s="610" t="e">
        <f>IF(#REF!="N"," ",AR80*AS80/3600)</f>
        <v>#REF!</v>
      </c>
      <c r="AU80" s="673">
        <v>0</v>
      </c>
      <c r="AV80" s="610" t="e">
        <f>IF(#REF!="N"," ",AU80/AN80)</f>
        <v>#REF!</v>
      </c>
      <c r="AW80" s="674">
        <v>70</v>
      </c>
      <c r="AX80" s="675">
        <v>5</v>
      </c>
      <c r="AY80" s="676">
        <v>1</v>
      </c>
      <c r="AZ80" s="677">
        <v>3</v>
      </c>
      <c r="BA80" s="678">
        <v>2</v>
      </c>
      <c r="BB80" s="679"/>
      <c r="BC80" s="676"/>
      <c r="BD80" s="680" t="e">
        <f t="shared" si="18"/>
        <v>#DIV/0!</v>
      </c>
      <c r="BE80" s="681">
        <f t="shared" si="19"/>
        <v>85.86</v>
      </c>
      <c r="BF80" s="682">
        <v>1.5</v>
      </c>
      <c r="BG80" s="683">
        <v>71.41</v>
      </c>
      <c r="BH80" s="684" t="str">
        <f t="shared" si="20"/>
        <v xml:space="preserve"> </v>
      </c>
      <c r="BI80" s="685"/>
      <c r="BJ80" s="686" t="str">
        <f t="shared" si="21"/>
        <v xml:space="preserve"> </v>
      </c>
    </row>
    <row r="81" spans="1:62" s="489" customFormat="1" ht="15" customHeight="1">
      <c r="A81" s="667"/>
      <c r="B81" s="874"/>
      <c r="C81" s="874"/>
      <c r="D81" s="982"/>
      <c r="E81" s="1008"/>
      <c r="F81" s="1008"/>
      <c r="G81" s="1008"/>
      <c r="H81" s="968"/>
      <c r="I81" s="968"/>
      <c r="J81" s="968"/>
      <c r="K81" s="968"/>
      <c r="L81" s="968"/>
      <c r="M81" s="927"/>
      <c r="N81" s="969"/>
      <c r="O81" s="924"/>
      <c r="P81" s="923"/>
      <c r="Q81" s="927"/>
      <c r="R81" s="927"/>
      <c r="S81" s="1009"/>
      <c r="T81" s="927"/>
      <c r="U81" s="923"/>
      <c r="V81" s="1009"/>
      <c r="W81" s="1009"/>
      <c r="X81" s="1009"/>
      <c r="Y81" s="1009"/>
      <c r="Z81" s="1010"/>
      <c r="AA81" s="923"/>
      <c r="AB81" s="923"/>
      <c r="AC81" s="923"/>
      <c r="AD81" s="923"/>
      <c r="AE81" s="923"/>
      <c r="AF81" s="923"/>
      <c r="AG81" s="923"/>
      <c r="AH81" s="923"/>
      <c r="AI81" s="923"/>
      <c r="AJ81" s="923"/>
      <c r="AK81" s="1011"/>
      <c r="AL81" s="668">
        <v>20.12</v>
      </c>
      <c r="AM81" s="1082"/>
      <c r="AN81" s="669"/>
      <c r="AO81" s="670"/>
      <c r="AP81" s="670"/>
      <c r="AQ81" s="671"/>
      <c r="AR81" s="672"/>
      <c r="AS81" s="672"/>
      <c r="AT81" s="610"/>
      <c r="AU81" s="673"/>
      <c r="AV81" s="610"/>
      <c r="AW81" s="674"/>
      <c r="AX81" s="675"/>
      <c r="AY81" s="676"/>
      <c r="AZ81" s="677"/>
      <c r="BA81" s="678"/>
      <c r="BB81" s="679"/>
      <c r="BC81" s="676"/>
      <c r="BD81" s="680"/>
      <c r="BE81" s="681"/>
      <c r="BF81" s="682"/>
      <c r="BG81" s="683"/>
      <c r="BH81" s="684"/>
      <c r="BI81" s="685"/>
      <c r="BJ81" s="686"/>
    </row>
    <row r="82" spans="1:62" s="489" customFormat="1" ht="15" customHeight="1">
      <c r="A82" s="667"/>
      <c r="B82" s="874"/>
      <c r="C82" s="874"/>
      <c r="D82" s="982"/>
      <c r="E82" s="1008"/>
      <c r="F82" s="1008"/>
      <c r="G82" s="1008"/>
      <c r="H82" s="968"/>
      <c r="I82" s="968"/>
      <c r="J82" s="968"/>
      <c r="K82" s="968"/>
      <c r="L82" s="968"/>
      <c r="M82" s="927"/>
      <c r="N82" s="969"/>
      <c r="O82" s="924"/>
      <c r="P82" s="923"/>
      <c r="Q82" s="927"/>
      <c r="R82" s="927"/>
      <c r="S82" s="1009"/>
      <c r="T82" s="927"/>
      <c r="U82" s="923"/>
      <c r="V82" s="1009"/>
      <c r="W82" s="1009"/>
      <c r="X82" s="1009"/>
      <c r="Y82" s="1009"/>
      <c r="Z82" s="1010"/>
      <c r="AA82" s="923"/>
      <c r="AB82" s="923"/>
      <c r="AC82" s="923"/>
      <c r="AD82" s="923"/>
      <c r="AE82" s="923"/>
      <c r="AF82" s="923"/>
      <c r="AG82" s="923"/>
      <c r="AH82" s="923"/>
      <c r="AI82" s="923"/>
      <c r="AJ82" s="923"/>
      <c r="AK82" s="1011"/>
      <c r="AL82" s="668">
        <v>21.12</v>
      </c>
      <c r="AM82" s="1082"/>
      <c r="AN82" s="669"/>
      <c r="AO82" s="670"/>
      <c r="AP82" s="670"/>
      <c r="AQ82" s="671"/>
      <c r="AR82" s="672"/>
      <c r="AS82" s="672"/>
      <c r="AT82" s="610"/>
      <c r="AU82" s="673"/>
      <c r="AV82" s="610"/>
      <c r="AW82" s="674"/>
      <c r="AX82" s="675"/>
      <c r="AY82" s="676"/>
      <c r="AZ82" s="677"/>
      <c r="BA82" s="678"/>
      <c r="BB82" s="679"/>
      <c r="BC82" s="676"/>
      <c r="BD82" s="680"/>
      <c r="BE82" s="681"/>
      <c r="BF82" s="682"/>
      <c r="BG82" s="683"/>
      <c r="BH82" s="684"/>
      <c r="BI82" s="685"/>
      <c r="BJ82" s="686"/>
    </row>
    <row r="83" spans="1:62" s="489" customFormat="1" ht="15" customHeight="1">
      <c r="A83" s="667"/>
      <c r="B83" s="874"/>
      <c r="C83" s="874"/>
      <c r="D83" s="982"/>
      <c r="E83" s="1008"/>
      <c r="F83" s="1008"/>
      <c r="G83" s="1008"/>
      <c r="H83" s="968"/>
      <c r="I83" s="968"/>
      <c r="J83" s="968"/>
      <c r="K83" s="968"/>
      <c r="L83" s="968"/>
      <c r="M83" s="927"/>
      <c r="N83" s="969"/>
      <c r="O83" s="924"/>
      <c r="P83" s="923"/>
      <c r="Q83" s="927"/>
      <c r="R83" s="927"/>
      <c r="S83" s="1009"/>
      <c r="T83" s="927"/>
      <c r="U83" s="923"/>
      <c r="V83" s="1009"/>
      <c r="W83" s="1009"/>
      <c r="X83" s="1009"/>
      <c r="Y83" s="1009"/>
      <c r="Z83" s="1010"/>
      <c r="AA83" s="923"/>
      <c r="AB83" s="923"/>
      <c r="AC83" s="923"/>
      <c r="AD83" s="923"/>
      <c r="AE83" s="923"/>
      <c r="AF83" s="923"/>
      <c r="AG83" s="923"/>
      <c r="AH83" s="923"/>
      <c r="AI83" s="923"/>
      <c r="AJ83" s="923"/>
      <c r="AK83" s="1011"/>
      <c r="AL83" s="668">
        <v>22.12</v>
      </c>
      <c r="AM83" s="1082"/>
      <c r="AN83" s="669"/>
      <c r="AO83" s="670"/>
      <c r="AP83" s="670"/>
      <c r="AQ83" s="671"/>
      <c r="AR83" s="672"/>
      <c r="AS83" s="672"/>
      <c r="AT83" s="610"/>
      <c r="AU83" s="673"/>
      <c r="AV83" s="610"/>
      <c r="AW83" s="674"/>
      <c r="AX83" s="675"/>
      <c r="AY83" s="676"/>
      <c r="AZ83" s="677"/>
      <c r="BA83" s="678"/>
      <c r="BB83" s="679"/>
      <c r="BC83" s="676"/>
      <c r="BD83" s="680"/>
      <c r="BE83" s="681"/>
      <c r="BF83" s="682"/>
      <c r="BG83" s="683"/>
      <c r="BH83" s="684"/>
      <c r="BI83" s="685"/>
      <c r="BJ83" s="686"/>
    </row>
    <row r="84" spans="1:62" s="489" customFormat="1" ht="15" customHeight="1">
      <c r="A84" s="667"/>
      <c r="B84" s="874"/>
      <c r="C84" s="874"/>
      <c r="D84" s="982"/>
      <c r="E84" s="1008"/>
      <c r="F84" s="1008"/>
      <c r="G84" s="1008"/>
      <c r="H84" s="968"/>
      <c r="I84" s="968"/>
      <c r="J84" s="968"/>
      <c r="K84" s="968"/>
      <c r="L84" s="968"/>
      <c r="M84" s="927"/>
      <c r="N84" s="969"/>
      <c r="O84" s="924"/>
      <c r="P84" s="923"/>
      <c r="Q84" s="927"/>
      <c r="R84" s="927"/>
      <c r="S84" s="1009"/>
      <c r="T84" s="927"/>
      <c r="U84" s="923"/>
      <c r="V84" s="1009"/>
      <c r="W84" s="1009"/>
      <c r="X84" s="1009"/>
      <c r="Y84" s="1009"/>
      <c r="Z84" s="1010"/>
      <c r="AA84" s="923"/>
      <c r="AB84" s="923"/>
      <c r="AC84" s="923"/>
      <c r="AD84" s="923"/>
      <c r="AE84" s="923"/>
      <c r="AF84" s="923"/>
      <c r="AG84" s="923"/>
      <c r="AH84" s="923"/>
      <c r="AI84" s="923"/>
      <c r="AJ84" s="923"/>
      <c r="AK84" s="1011"/>
      <c r="AL84" s="688">
        <v>23.12</v>
      </c>
      <c r="AM84" s="1083"/>
      <c r="AN84" s="689"/>
      <c r="AO84" s="690"/>
      <c r="AP84" s="690"/>
      <c r="AQ84" s="687" t="e">
        <f>IF(#REF!="N"," ",AO84/AN84)</f>
        <v>#REF!</v>
      </c>
      <c r="AR84" s="691"/>
      <c r="AS84" s="691"/>
      <c r="AT84" s="692" t="e">
        <f>IF(#REF!="N"," ",AR84*AS84/3600)</f>
        <v>#REF!</v>
      </c>
      <c r="AU84" s="693">
        <v>0</v>
      </c>
      <c r="AV84" s="692" t="e">
        <f>IF(#REF!="N"," ",AU84/AN84)</f>
        <v>#REF!</v>
      </c>
      <c r="AW84" s="694">
        <v>70</v>
      </c>
      <c r="AX84" s="695">
        <v>5</v>
      </c>
      <c r="AY84" s="696">
        <v>1</v>
      </c>
      <c r="AZ84" s="697">
        <v>3</v>
      </c>
      <c r="BA84" s="698">
        <v>2</v>
      </c>
      <c r="BB84" s="699"/>
      <c r="BC84" s="696"/>
      <c r="BD84" s="700" t="e">
        <f>(AW84+AX84*AY84+AZ84*BA84+BB84*BC84)/Z84</f>
        <v>#DIV/0!</v>
      </c>
      <c r="BE84" s="701">
        <f>0.954*90</f>
        <v>85.86</v>
      </c>
      <c r="BF84" s="702">
        <v>1.5</v>
      </c>
      <c r="BG84" s="703">
        <v>71.41</v>
      </c>
      <c r="BH84" s="704" t="str">
        <f>IF(Z84&lt;1," ",BE84*(BF84+BG84/Z84)/3600)</f>
        <v xml:space="preserve"> </v>
      </c>
      <c r="BI84" s="705"/>
      <c r="BJ84" s="706" t="str">
        <f>IF(Z84&lt;1," ",BI84/Z84)</f>
        <v xml:space="preserve"> </v>
      </c>
    </row>
    <row r="85" spans="1:62" s="729" customFormat="1" ht="15" customHeight="1">
      <c r="A85" s="707"/>
      <c r="B85" s="596"/>
      <c r="C85" s="596"/>
      <c r="D85" s="708"/>
      <c r="E85" s="709"/>
      <c r="F85" s="709"/>
      <c r="G85" s="709"/>
      <c r="H85" s="710"/>
      <c r="I85" s="710"/>
      <c r="J85" s="710"/>
      <c r="K85" s="710"/>
      <c r="L85" s="710"/>
      <c r="M85" s="711"/>
      <c r="N85" s="712"/>
      <c r="O85" s="713"/>
      <c r="P85" s="714"/>
      <c r="Q85" s="711"/>
      <c r="R85" s="711"/>
      <c r="S85" s="715"/>
      <c r="T85" s="711"/>
      <c r="U85" s="714"/>
      <c r="V85" s="715"/>
      <c r="W85" s="715"/>
      <c r="X85" s="715"/>
      <c r="Y85" s="715"/>
      <c r="Z85" s="716"/>
      <c r="AA85" s="714"/>
      <c r="AB85" s="714"/>
      <c r="AC85" s="714"/>
      <c r="AD85" s="714"/>
      <c r="AE85" s="714"/>
      <c r="AF85" s="714"/>
      <c r="AG85" s="714"/>
      <c r="AH85" s="714"/>
      <c r="AI85" s="714"/>
      <c r="AJ85" s="714"/>
      <c r="AK85" s="647"/>
      <c r="AL85" s="717"/>
      <c r="AM85" s="717"/>
      <c r="AN85" s="718"/>
      <c r="AO85" s="628"/>
      <c r="AP85" s="628"/>
      <c r="AQ85" s="627"/>
      <c r="AR85" s="719"/>
      <c r="AS85" s="719"/>
      <c r="AT85" s="627"/>
      <c r="AU85" s="628"/>
      <c r="AV85" s="627"/>
      <c r="AW85" s="720"/>
      <c r="AX85" s="721"/>
      <c r="AY85" s="722"/>
      <c r="AZ85" s="721"/>
      <c r="BA85" s="722"/>
      <c r="BB85" s="723"/>
      <c r="BC85" s="722"/>
      <c r="BD85" s="724"/>
      <c r="BE85" s="725"/>
      <c r="BF85" s="726"/>
      <c r="BG85" s="721"/>
      <c r="BH85" s="724"/>
      <c r="BI85" s="727"/>
      <c r="BJ85" s="728"/>
    </row>
    <row r="86" spans="1:62" ht="15" customHeight="1">
      <c r="A86" s="758"/>
      <c r="B86" s="967"/>
      <c r="C86" s="967"/>
      <c r="D86" s="758"/>
      <c r="E86" s="921"/>
      <c r="F86" s="921"/>
      <c r="G86" s="921"/>
      <c r="H86" s="758"/>
      <c r="I86" s="758"/>
      <c r="J86" s="758"/>
      <c r="K86" s="758"/>
      <c r="L86" s="758"/>
      <c r="M86" s="758"/>
      <c r="N86" s="874"/>
      <c r="O86" s="874"/>
      <c r="P86" s="927"/>
      <c r="Q86" s="927"/>
      <c r="R86" s="927"/>
      <c r="S86" s="927"/>
      <c r="T86" s="927"/>
      <c r="U86" s="927"/>
      <c r="V86" s="927"/>
      <c r="W86" s="927"/>
      <c r="X86" s="927"/>
      <c r="Y86" s="927"/>
      <c r="Z86" s="967"/>
      <c r="AA86" s="758"/>
      <c r="AB86" s="758"/>
      <c r="AC86" s="758"/>
      <c r="AD86" s="758"/>
      <c r="AE86" s="758"/>
      <c r="AF86" s="758"/>
      <c r="AG86" s="758"/>
      <c r="AH86" s="758"/>
      <c r="AI86" s="758"/>
      <c r="AJ86" s="758"/>
      <c r="AK86" s="758"/>
      <c r="AL86" s="1397"/>
      <c r="AM86" s="1397"/>
      <c r="AN86" s="1397"/>
      <c r="AO86" s="1397"/>
      <c r="AP86" s="833"/>
      <c r="AQ86" s="1428" t="s">
        <v>1561</v>
      </c>
      <c r="AR86" s="1429"/>
      <c r="AS86" s="1430"/>
      <c r="AT86" s="1396" t="s">
        <v>1562</v>
      </c>
      <c r="AU86" s="1397"/>
      <c r="AV86" s="1397"/>
      <c r="AW86" s="1397"/>
      <c r="AX86" s="1397"/>
      <c r="AY86" s="1397"/>
      <c r="AZ86" s="1397"/>
      <c r="BA86" s="1397"/>
      <c r="BB86" s="1398"/>
      <c r="BC86" s="1370" t="s">
        <v>1563</v>
      </c>
      <c r="BD86" s="1371"/>
      <c r="BE86" s="1371"/>
      <c r="BF86" s="1372"/>
    </row>
    <row r="87" spans="1:62" ht="15" customHeight="1">
      <c r="A87" s="758"/>
      <c r="B87" s="1406"/>
      <c r="C87" s="893"/>
      <c r="D87" s="1354"/>
      <c r="E87" s="1354"/>
      <c r="F87" s="1354"/>
      <c r="G87" s="1354"/>
      <c r="H87" s="1354"/>
      <c r="I87" s="1354"/>
      <c r="J87" s="1354"/>
      <c r="K87" s="1354"/>
      <c r="L87" s="1354"/>
      <c r="M87" s="874"/>
      <c r="N87" s="1406"/>
      <c r="O87" s="1354"/>
      <c r="P87" s="1406"/>
      <c r="Q87" s="1406"/>
      <c r="R87" s="1406"/>
      <c r="S87" s="1406"/>
      <c r="T87" s="1406"/>
      <c r="U87" s="1406"/>
      <c r="V87" s="927"/>
      <c r="W87" s="927"/>
      <c r="X87" s="927"/>
      <c r="Y87" s="927"/>
      <c r="Z87" s="1406"/>
      <c r="AA87" s="1406"/>
      <c r="AB87" s="1406"/>
      <c r="AC87" s="1406"/>
      <c r="AD87" s="1406"/>
      <c r="AE87" s="1406"/>
      <c r="AF87" s="1406"/>
      <c r="AG87" s="1406"/>
      <c r="AH87" s="1406"/>
      <c r="AI87" s="1406"/>
      <c r="AJ87" s="1406"/>
      <c r="AK87" s="758"/>
      <c r="AL87" s="1422" t="s">
        <v>1564</v>
      </c>
      <c r="AM87" s="836"/>
      <c r="AN87" s="1422" t="s">
        <v>1565</v>
      </c>
      <c r="AO87" s="1480" t="s">
        <v>1566</v>
      </c>
      <c r="AP87" s="1088"/>
      <c r="AQ87" s="1472" t="s">
        <v>1567</v>
      </c>
      <c r="AR87" s="1482" t="s">
        <v>1568</v>
      </c>
      <c r="AS87" s="1476" t="s">
        <v>1569</v>
      </c>
      <c r="AT87" s="730" t="s">
        <v>1570</v>
      </c>
      <c r="AU87" s="731" t="s">
        <v>1571</v>
      </c>
      <c r="AV87" s="731" t="s">
        <v>1572</v>
      </c>
      <c r="AW87" s="732" t="s">
        <v>1573</v>
      </c>
      <c r="AX87" s="732" t="s">
        <v>1574</v>
      </c>
      <c r="AY87" s="732" t="s">
        <v>1575</v>
      </c>
      <c r="AZ87" s="732" t="s">
        <v>1576</v>
      </c>
      <c r="BA87" s="732" t="s">
        <v>1577</v>
      </c>
      <c r="BB87" s="732" t="s">
        <v>1578</v>
      </c>
      <c r="BC87" s="1474" t="s">
        <v>1579</v>
      </c>
      <c r="BD87" s="1373" t="s">
        <v>1580</v>
      </c>
      <c r="BE87" s="1374"/>
      <c r="BF87" s="1368" t="s">
        <v>1581</v>
      </c>
    </row>
    <row r="88" spans="1:62" ht="15" customHeight="1">
      <c r="A88" s="758"/>
      <c r="B88" s="1406"/>
      <c r="C88" s="893"/>
      <c r="D88" s="892"/>
      <c r="E88" s="874"/>
      <c r="F88" s="874"/>
      <c r="G88" s="874"/>
      <c r="H88" s="892"/>
      <c r="I88" s="892"/>
      <c r="J88" s="892"/>
      <c r="K88" s="892"/>
      <c r="L88" s="892"/>
      <c r="M88" s="874"/>
      <c r="N88" s="1406"/>
      <c r="O88" s="1354"/>
      <c r="P88" s="893"/>
      <c r="Q88" s="985"/>
      <c r="R88" s="985"/>
      <c r="S88" s="985"/>
      <c r="T88" s="985"/>
      <c r="U88" s="985"/>
      <c r="V88" s="927"/>
      <c r="W88" s="927"/>
      <c r="X88" s="927"/>
      <c r="Y88" s="927"/>
      <c r="Z88" s="1406"/>
      <c r="AA88" s="1406"/>
      <c r="AB88" s="1406"/>
      <c r="AC88" s="1406"/>
      <c r="AD88" s="1406"/>
      <c r="AE88" s="1406"/>
      <c r="AF88" s="1406"/>
      <c r="AG88" s="1406"/>
      <c r="AH88" s="1406"/>
      <c r="AI88" s="1406"/>
      <c r="AJ88" s="1406"/>
      <c r="AK88" s="758"/>
      <c r="AL88" s="1423"/>
      <c r="AM88" s="835"/>
      <c r="AN88" s="1423"/>
      <c r="AO88" s="1481"/>
      <c r="AP88" s="1089"/>
      <c r="AQ88" s="1473"/>
      <c r="AR88" s="1423"/>
      <c r="AS88" s="1477"/>
      <c r="AT88" s="733">
        <v>400</v>
      </c>
      <c r="AU88" s="734">
        <v>75</v>
      </c>
      <c r="AV88" s="734"/>
      <c r="AW88" s="734"/>
      <c r="AX88" s="734"/>
      <c r="AY88" s="734"/>
      <c r="AZ88" s="734"/>
      <c r="BA88" s="734"/>
      <c r="BB88" s="734"/>
      <c r="BC88" s="1475"/>
      <c r="BD88" s="735" t="s">
        <v>1582</v>
      </c>
      <c r="BE88" s="736" t="s">
        <v>1583</v>
      </c>
      <c r="BF88" s="1369"/>
    </row>
    <row r="89" spans="1:62" ht="15" customHeight="1">
      <c r="A89" s="758"/>
      <c r="B89" s="893"/>
      <c r="C89" s="893"/>
      <c r="D89" s="986"/>
      <c r="E89" s="874"/>
      <c r="F89" s="874"/>
      <c r="G89" s="874"/>
      <c r="H89" s="972"/>
      <c r="I89" s="972"/>
      <c r="J89" s="922"/>
      <c r="K89" s="922"/>
      <c r="L89" s="922"/>
      <c r="M89" s="892"/>
      <c r="N89" s="988"/>
      <c r="O89" s="874"/>
      <c r="P89" s="945"/>
      <c r="Q89" s="989"/>
      <c r="R89" s="945"/>
      <c r="S89" s="945"/>
      <c r="T89" s="990"/>
      <c r="U89" s="991"/>
      <c r="V89" s="927"/>
      <c r="W89" s="927"/>
      <c r="X89" s="927"/>
      <c r="Y89" s="927"/>
      <c r="Z89" s="758"/>
      <c r="AA89" s="992"/>
      <c r="AB89" s="993"/>
      <c r="AC89" s="993"/>
      <c r="AD89" s="993"/>
      <c r="AE89" s="993"/>
      <c r="AF89" s="994"/>
      <c r="AG89" s="994"/>
      <c r="AH89" s="995"/>
      <c r="AI89" s="996"/>
      <c r="AJ89" s="995"/>
      <c r="AK89" s="758"/>
      <c r="AL89" s="738"/>
      <c r="AM89" s="738"/>
      <c r="AN89" s="738"/>
      <c r="AO89" s="738"/>
      <c r="AP89" s="1090"/>
      <c r="AQ89" s="737"/>
      <c r="AR89" s="738"/>
      <c r="AS89" s="739"/>
      <c r="AT89" s="740"/>
      <c r="AU89" s="741"/>
      <c r="AV89" s="741"/>
      <c r="AW89" s="742"/>
      <c r="AX89" s="742"/>
      <c r="AY89" s="742"/>
      <c r="AZ89" s="742"/>
      <c r="BA89" s="742"/>
      <c r="BB89" s="742"/>
      <c r="BC89" s="743">
        <f>SUM(AL89:AO89)+(AR89+AS89+AQ89+(AT$88*AT89+AU$88*AU89+AV$88*AV89+AW$88*AW89+AX$88*AX89+AY$88*AY89+AZ$88*AZ89+BA$88*BA89+BB$88*BB89))*S18</f>
        <v>0</v>
      </c>
      <c r="BD89" s="744"/>
      <c r="BE89" s="745">
        <f>BC89*BD89</f>
        <v>0</v>
      </c>
      <c r="BF89" s="746">
        <f t="shared" ref="BF89:BF107" si="22">BC89+BE89</f>
        <v>0</v>
      </c>
    </row>
    <row r="90" spans="1:62" ht="15" customHeight="1">
      <c r="A90" s="758"/>
      <c r="B90" s="893"/>
      <c r="C90" s="893"/>
      <c r="D90" s="986"/>
      <c r="E90" s="874"/>
      <c r="F90" s="874"/>
      <c r="G90" s="874"/>
      <c r="H90" s="972"/>
      <c r="I90" s="972"/>
      <c r="J90" s="922"/>
      <c r="K90" s="922"/>
      <c r="L90" s="922"/>
      <c r="M90" s="892"/>
      <c r="N90" s="988"/>
      <c r="O90" s="874"/>
      <c r="P90" s="945"/>
      <c r="Q90" s="989"/>
      <c r="R90" s="945"/>
      <c r="S90" s="945"/>
      <c r="T90" s="990"/>
      <c r="U90" s="991"/>
      <c r="V90" s="927"/>
      <c r="W90" s="927"/>
      <c r="X90" s="927"/>
      <c r="Y90" s="927"/>
      <c r="Z90" s="758"/>
      <c r="AA90" s="992"/>
      <c r="AB90" s="993"/>
      <c r="AC90" s="993"/>
      <c r="AD90" s="993"/>
      <c r="AE90" s="993"/>
      <c r="AF90" s="994"/>
      <c r="AG90" s="994"/>
      <c r="AH90" s="995"/>
      <c r="AI90" s="997"/>
      <c r="AJ90" s="995"/>
      <c r="AK90" s="758"/>
      <c r="AL90" s="748"/>
      <c r="AM90" s="748"/>
      <c r="AN90" s="748"/>
      <c r="AO90" s="748"/>
      <c r="AP90" s="1091"/>
      <c r="AQ90" s="747"/>
      <c r="AR90" s="748"/>
      <c r="AS90" s="749"/>
      <c r="AT90" s="750"/>
      <c r="AU90" s="751"/>
      <c r="AV90" s="751"/>
      <c r="AW90" s="751"/>
      <c r="AX90" s="751"/>
      <c r="AY90" s="751"/>
      <c r="AZ90" s="751"/>
      <c r="BA90" s="751"/>
      <c r="BB90" s="751"/>
      <c r="BC90" s="743">
        <f>SUM(AL90:AO90)+(AR90+AS90+AQ90+(AT$88*AT90+AU$88*AU90+AV$88*AV90+AW$88*AW90+AX$88*AX90+AY$88*AY90+AZ$88*AZ90+BA$88*BA90+BB$88*BB90))*S19</f>
        <v>0</v>
      </c>
      <c r="BD90" s="752"/>
      <c r="BE90" s="745">
        <f>BC90*BD90</f>
        <v>0</v>
      </c>
      <c r="BF90" s="746">
        <f t="shared" si="22"/>
        <v>0</v>
      </c>
    </row>
    <row r="91" spans="1:62" ht="15" customHeight="1">
      <c r="A91" s="758"/>
      <c r="B91" s="893"/>
      <c r="C91" s="893"/>
      <c r="D91" s="986"/>
      <c r="E91" s="874"/>
      <c r="F91" s="874"/>
      <c r="G91" s="874"/>
      <c r="H91" s="972"/>
      <c r="I91" s="972"/>
      <c r="J91" s="922"/>
      <c r="K91" s="922"/>
      <c r="L91" s="922"/>
      <c r="M91" s="892"/>
      <c r="N91" s="988"/>
      <c r="O91" s="874"/>
      <c r="P91" s="945"/>
      <c r="Q91" s="989"/>
      <c r="R91" s="945"/>
      <c r="S91" s="945"/>
      <c r="T91" s="990"/>
      <c r="U91" s="991"/>
      <c r="V91" s="927"/>
      <c r="W91" s="927"/>
      <c r="X91" s="927"/>
      <c r="Y91" s="927"/>
      <c r="Z91" s="994"/>
      <c r="AA91" s="992"/>
      <c r="AB91" s="998"/>
      <c r="AC91" s="998"/>
      <c r="AD91" s="998"/>
      <c r="AE91" s="993"/>
      <c r="AF91" s="994"/>
      <c r="AG91" s="994"/>
      <c r="AH91" s="995"/>
      <c r="AI91" s="997"/>
      <c r="AJ91" s="995"/>
      <c r="AK91" s="758"/>
      <c r="AL91" s="748"/>
      <c r="AM91" s="748"/>
      <c r="AN91" s="748"/>
      <c r="AO91" s="748"/>
      <c r="AP91" s="1091"/>
      <c r="AQ91" s="747"/>
      <c r="AR91" s="748"/>
      <c r="AS91" s="749"/>
      <c r="AT91" s="750"/>
      <c r="AU91" s="751"/>
      <c r="AV91" s="751"/>
      <c r="AW91" s="751"/>
      <c r="AX91" s="751"/>
      <c r="AY91" s="751"/>
      <c r="AZ91" s="751"/>
      <c r="BA91" s="751"/>
      <c r="BB91" s="751"/>
      <c r="BC91" s="743">
        <f>SUM(AL91:AO91)+(AR91+AS91+AQ91+(AT$88*AT91+AU$88*AU91+AV$88*AV91+AW$88*AW91+AX$88*AX91+AY$88*AY91+AZ$88*AZ91+BA$88*BA91+BB$88*BB91))*S20</f>
        <v>0</v>
      </c>
      <c r="BD91" s="752"/>
      <c r="BE91" s="745">
        <f>BC91*BD91</f>
        <v>0</v>
      </c>
      <c r="BF91" s="746">
        <f t="shared" si="22"/>
        <v>0</v>
      </c>
    </row>
    <row r="92" spans="1:62" ht="15" customHeight="1">
      <c r="A92" s="758"/>
      <c r="B92" s="893"/>
      <c r="C92" s="893"/>
      <c r="D92" s="986"/>
      <c r="E92" s="874"/>
      <c r="F92" s="874"/>
      <c r="G92" s="874"/>
      <c r="H92" s="972"/>
      <c r="I92" s="972"/>
      <c r="J92" s="922"/>
      <c r="K92" s="922"/>
      <c r="L92" s="922"/>
      <c r="M92" s="892"/>
      <c r="N92" s="988"/>
      <c r="O92" s="874"/>
      <c r="P92" s="945"/>
      <c r="Q92" s="989"/>
      <c r="R92" s="945"/>
      <c r="S92" s="945"/>
      <c r="T92" s="990"/>
      <c r="U92" s="991"/>
      <c r="V92" s="927"/>
      <c r="W92" s="927"/>
      <c r="X92" s="927"/>
      <c r="Y92" s="927"/>
      <c r="Z92" s="994"/>
      <c r="AA92" s="992"/>
      <c r="AB92" s="998"/>
      <c r="AC92" s="998"/>
      <c r="AD92" s="998"/>
      <c r="AE92" s="993"/>
      <c r="AF92" s="994"/>
      <c r="AG92" s="994"/>
      <c r="AH92" s="995"/>
      <c r="AI92" s="997"/>
      <c r="AJ92" s="995"/>
      <c r="AK92" s="758"/>
      <c r="AL92" s="748"/>
      <c r="AM92" s="748"/>
      <c r="AN92" s="748"/>
      <c r="AO92" s="748"/>
      <c r="AP92" s="1091"/>
      <c r="AQ92" s="747"/>
      <c r="AR92" s="748"/>
      <c r="AS92" s="749"/>
      <c r="AT92" s="750"/>
      <c r="AU92" s="751"/>
      <c r="AV92" s="751"/>
      <c r="AW92" s="751"/>
      <c r="AX92" s="751"/>
      <c r="AY92" s="751"/>
      <c r="AZ92" s="751"/>
      <c r="BA92" s="751"/>
      <c r="BB92" s="751"/>
      <c r="BC92" s="743">
        <f>SUM(AL92:AO92)+(AR92+AS92+AQ92+(AT$88*AT92+AU$88*AU92+AV$88*AV92+AW$88*AW92+AX$88*AX92+AY$88*AY92+AZ$88*AZ92+BA$88*BA92+BB$88*BB92))*S21</f>
        <v>0</v>
      </c>
      <c r="BD92" s="752"/>
      <c r="BE92" s="745">
        <f>BC92*BD92</f>
        <v>0</v>
      </c>
      <c r="BF92" s="746">
        <f t="shared" si="22"/>
        <v>0</v>
      </c>
    </row>
    <row r="93" spans="1:62" ht="15" customHeight="1">
      <c r="A93" s="758"/>
      <c r="B93" s="893"/>
      <c r="C93" s="893"/>
      <c r="D93" s="986"/>
      <c r="E93" s="874"/>
      <c r="F93" s="874"/>
      <c r="G93" s="874"/>
      <c r="H93" s="972"/>
      <c r="I93" s="972"/>
      <c r="J93" s="922"/>
      <c r="K93" s="922"/>
      <c r="L93" s="922"/>
      <c r="M93" s="892"/>
      <c r="N93" s="988"/>
      <c r="O93" s="874"/>
      <c r="P93" s="945"/>
      <c r="Q93" s="989"/>
      <c r="R93" s="945"/>
      <c r="S93" s="945"/>
      <c r="T93" s="990"/>
      <c r="U93" s="991"/>
      <c r="V93" s="927"/>
      <c r="W93" s="927"/>
      <c r="X93" s="927"/>
      <c r="Y93" s="927"/>
      <c r="Z93" s="994"/>
      <c r="AA93" s="992"/>
      <c r="AB93" s="998"/>
      <c r="AC93" s="998"/>
      <c r="AD93" s="998"/>
      <c r="AE93" s="993"/>
      <c r="AF93" s="994"/>
      <c r="AG93" s="994"/>
      <c r="AH93" s="995"/>
      <c r="AI93" s="997"/>
      <c r="AJ93" s="995"/>
      <c r="AK93" s="758"/>
      <c r="AL93" s="748"/>
      <c r="AM93" s="748"/>
      <c r="AN93" s="748"/>
      <c r="AO93" s="748"/>
      <c r="AP93" s="1091"/>
      <c r="AQ93" s="747"/>
      <c r="AR93" s="748"/>
      <c r="AS93" s="749"/>
      <c r="AT93" s="750"/>
      <c r="AU93" s="751"/>
      <c r="AV93" s="751"/>
      <c r="AW93" s="751"/>
      <c r="AX93" s="751"/>
      <c r="AY93" s="751"/>
      <c r="AZ93" s="751"/>
      <c r="BA93" s="751"/>
      <c r="BB93" s="751"/>
      <c r="BC93" s="743">
        <f>SUM(AL93:AO93)+(AR93+AS93+AQ93+(AT$88*AT93+AU$88*AU93+AV$88*AV93+AW$88*AW93+AX$88*AX93+AY$88*AY93+AZ$88*AZ93+BA$88*BA93+BB$88*BB93))*S23</f>
        <v>0</v>
      </c>
      <c r="BD93" s="752"/>
      <c r="BE93" s="745">
        <f>BC93*BD93</f>
        <v>0</v>
      </c>
      <c r="BF93" s="746">
        <f t="shared" si="22"/>
        <v>0</v>
      </c>
    </row>
    <row r="94" spans="1:62" ht="15" customHeight="1">
      <c r="A94" s="758"/>
      <c r="B94" s="893"/>
      <c r="C94" s="893"/>
      <c r="D94" s="986"/>
      <c r="E94" s="874"/>
      <c r="F94" s="874"/>
      <c r="G94" s="874"/>
      <c r="H94" s="972"/>
      <c r="I94" s="972"/>
      <c r="J94" s="922"/>
      <c r="K94" s="922"/>
      <c r="L94" s="922"/>
      <c r="M94" s="892"/>
      <c r="N94" s="988"/>
      <c r="O94" s="874"/>
      <c r="P94" s="945"/>
      <c r="Q94" s="989"/>
      <c r="R94" s="945"/>
      <c r="S94" s="945"/>
      <c r="T94" s="990"/>
      <c r="U94" s="991"/>
      <c r="V94" s="927"/>
      <c r="W94" s="927"/>
      <c r="X94" s="927"/>
      <c r="Y94" s="927"/>
      <c r="Z94" s="994"/>
      <c r="AA94" s="992"/>
      <c r="AB94" s="994"/>
      <c r="AC94" s="994"/>
      <c r="AD94" s="994"/>
      <c r="AE94" s="993"/>
      <c r="AF94" s="994"/>
      <c r="AG94" s="994"/>
      <c r="AH94" s="995"/>
      <c r="AI94" s="997"/>
      <c r="AJ94" s="995"/>
      <c r="AK94" s="758"/>
      <c r="AL94" s="748"/>
      <c r="AM94" s="748"/>
      <c r="AN94" s="748"/>
      <c r="AO94" s="748"/>
      <c r="AP94" s="1091"/>
      <c r="AQ94" s="747"/>
      <c r="AR94" s="748"/>
      <c r="AS94" s="749"/>
      <c r="AT94" s="750"/>
      <c r="AU94" s="751"/>
      <c r="AV94" s="751"/>
      <c r="AW94" s="751"/>
      <c r="AX94" s="751"/>
      <c r="AY94" s="751"/>
      <c r="AZ94" s="751"/>
      <c r="BA94" s="751"/>
      <c r="BB94" s="751"/>
      <c r="BC94" s="743"/>
      <c r="BD94" s="752"/>
      <c r="BE94" s="745"/>
      <c r="BF94" s="746"/>
    </row>
    <row r="95" spans="1:62" ht="15" customHeight="1">
      <c r="A95" s="758"/>
      <c r="B95" s="893"/>
      <c r="C95" s="893"/>
      <c r="D95" s="986"/>
      <c r="E95" s="874"/>
      <c r="F95" s="874"/>
      <c r="G95" s="874"/>
      <c r="H95" s="972"/>
      <c r="I95" s="972"/>
      <c r="J95" s="922"/>
      <c r="K95" s="922"/>
      <c r="L95" s="922"/>
      <c r="M95" s="892"/>
      <c r="N95" s="988"/>
      <c r="O95" s="874"/>
      <c r="P95" s="945"/>
      <c r="Q95" s="989"/>
      <c r="R95" s="945"/>
      <c r="S95" s="945"/>
      <c r="T95" s="990"/>
      <c r="U95" s="991"/>
      <c r="V95" s="927"/>
      <c r="W95" s="927"/>
      <c r="X95" s="927"/>
      <c r="Y95" s="927"/>
      <c r="Z95" s="992"/>
      <c r="AA95" s="992"/>
      <c r="AB95" s="993"/>
      <c r="AC95" s="993"/>
      <c r="AD95" s="993"/>
      <c r="AE95" s="993"/>
      <c r="AF95" s="994"/>
      <c r="AG95" s="994"/>
      <c r="AH95" s="995"/>
      <c r="AI95" s="999"/>
      <c r="AJ95" s="995"/>
      <c r="AK95" s="947"/>
      <c r="AL95" s="748"/>
      <c r="AM95" s="748"/>
      <c r="AN95" s="748"/>
      <c r="AO95" s="748"/>
      <c r="AP95" s="1091"/>
      <c r="AQ95" s="747"/>
      <c r="AR95" s="748"/>
      <c r="AS95" s="749"/>
      <c r="AT95" s="750"/>
      <c r="AU95" s="751"/>
      <c r="AV95" s="751"/>
      <c r="AW95" s="751"/>
      <c r="AX95" s="751"/>
      <c r="AY95" s="751"/>
      <c r="AZ95" s="751"/>
      <c r="BA95" s="751"/>
      <c r="BB95" s="751"/>
      <c r="BC95" s="743"/>
      <c r="BD95" s="752"/>
      <c r="BE95" s="745"/>
      <c r="BF95" s="746"/>
    </row>
    <row r="96" spans="1:62" ht="15" customHeight="1">
      <c r="A96" s="758"/>
      <c r="B96" s="893"/>
      <c r="C96" s="893"/>
      <c r="D96" s="986"/>
      <c r="E96" s="874"/>
      <c r="F96" s="874"/>
      <c r="G96" s="874"/>
      <c r="H96" s="972"/>
      <c r="I96" s="972"/>
      <c r="J96" s="922"/>
      <c r="K96" s="922"/>
      <c r="L96" s="922"/>
      <c r="M96" s="892"/>
      <c r="N96" s="988"/>
      <c r="O96" s="874"/>
      <c r="P96" s="945"/>
      <c r="Q96" s="989"/>
      <c r="R96" s="945"/>
      <c r="S96" s="945"/>
      <c r="T96" s="990"/>
      <c r="U96" s="991"/>
      <c r="V96" s="927"/>
      <c r="W96" s="927"/>
      <c r="X96" s="927"/>
      <c r="Y96" s="927"/>
      <c r="Z96" s="992"/>
      <c r="AA96" s="992"/>
      <c r="AB96" s="993"/>
      <c r="AC96" s="993"/>
      <c r="AD96" s="993"/>
      <c r="AE96" s="993"/>
      <c r="AF96" s="994"/>
      <c r="AG96" s="994"/>
      <c r="AH96" s="995"/>
      <c r="AI96" s="999"/>
      <c r="AJ96" s="995"/>
      <c r="AK96" s="947"/>
      <c r="AL96" s="748"/>
      <c r="AM96" s="748"/>
      <c r="AN96" s="748"/>
      <c r="AO96" s="748"/>
      <c r="AP96" s="1091"/>
      <c r="AQ96" s="747"/>
      <c r="AR96" s="748"/>
      <c r="AS96" s="749"/>
      <c r="AT96" s="750"/>
      <c r="AU96" s="751"/>
      <c r="AV96" s="751"/>
      <c r="AW96" s="751"/>
      <c r="AX96" s="751"/>
      <c r="AY96" s="751"/>
      <c r="AZ96" s="751"/>
      <c r="BA96" s="751"/>
      <c r="BB96" s="751"/>
      <c r="BC96" s="743"/>
      <c r="BD96" s="752"/>
      <c r="BE96" s="745"/>
      <c r="BF96" s="746"/>
    </row>
    <row r="97" spans="1:58" ht="15" customHeight="1">
      <c r="A97" s="758"/>
      <c r="B97" s="893"/>
      <c r="C97" s="893"/>
      <c r="D97" s="986"/>
      <c r="E97" s="874"/>
      <c r="F97" s="874"/>
      <c r="G97" s="874"/>
      <c r="H97" s="972"/>
      <c r="I97" s="972"/>
      <c r="J97" s="922"/>
      <c r="K97" s="922"/>
      <c r="L97" s="922"/>
      <c r="M97" s="892"/>
      <c r="N97" s="988"/>
      <c r="O97" s="874"/>
      <c r="P97" s="945"/>
      <c r="Q97" s="989"/>
      <c r="R97" s="945"/>
      <c r="S97" s="945"/>
      <c r="T97" s="990"/>
      <c r="U97" s="1000"/>
      <c r="V97" s="927"/>
      <c r="W97" s="927"/>
      <c r="X97" s="927"/>
      <c r="Y97" s="927"/>
      <c r="Z97" s="758"/>
      <c r="AA97" s="992"/>
      <c r="AB97" s="993"/>
      <c r="AC97" s="993"/>
      <c r="AD97" s="993"/>
      <c r="AE97" s="993"/>
      <c r="AF97" s="994"/>
      <c r="AG97" s="994"/>
      <c r="AH97" s="995"/>
      <c r="AI97" s="1001"/>
      <c r="AJ97" s="995"/>
      <c r="AK97" s="758"/>
      <c r="AL97" s="748"/>
      <c r="AM97" s="748"/>
      <c r="AN97" s="748"/>
      <c r="AO97" s="748"/>
      <c r="AP97" s="1091"/>
      <c r="AQ97" s="747"/>
      <c r="AR97" s="748"/>
      <c r="AS97" s="749"/>
      <c r="AT97" s="750"/>
      <c r="AU97" s="751"/>
      <c r="AV97" s="751"/>
      <c r="AW97" s="751"/>
      <c r="AX97" s="751"/>
      <c r="AY97" s="751"/>
      <c r="AZ97" s="751"/>
      <c r="BA97" s="751"/>
      <c r="BB97" s="751"/>
      <c r="BC97" s="743"/>
      <c r="BD97" s="752"/>
      <c r="BE97" s="745"/>
      <c r="BF97" s="746"/>
    </row>
    <row r="98" spans="1:58" ht="15" customHeight="1">
      <c r="A98" s="758"/>
      <c r="B98" s="893"/>
      <c r="C98" s="893"/>
      <c r="D98" s="986"/>
      <c r="E98" s="874"/>
      <c r="F98" s="874"/>
      <c r="G98" s="874"/>
      <c r="H98" s="972"/>
      <c r="I98" s="972"/>
      <c r="J98" s="922"/>
      <c r="K98" s="922"/>
      <c r="L98" s="922"/>
      <c r="M98" s="892"/>
      <c r="N98" s="988"/>
      <c r="O98" s="874"/>
      <c r="P98" s="945"/>
      <c r="Q98" s="989"/>
      <c r="R98" s="945"/>
      <c r="S98" s="945"/>
      <c r="T98" s="990"/>
      <c r="U98" s="1000"/>
      <c r="V98" s="927"/>
      <c r="W98" s="927"/>
      <c r="X98" s="927"/>
      <c r="Y98" s="927"/>
      <c r="Z98" s="758"/>
      <c r="AA98" s="992"/>
      <c r="AB98" s="993"/>
      <c r="AC98" s="993"/>
      <c r="AD98" s="993"/>
      <c r="AE98" s="993"/>
      <c r="AF98" s="994"/>
      <c r="AG98" s="994"/>
      <c r="AH98" s="995"/>
      <c r="AI98" s="1001"/>
      <c r="AJ98" s="995"/>
      <c r="AK98" s="758"/>
      <c r="AL98" s="748"/>
      <c r="AM98" s="748"/>
      <c r="AN98" s="748"/>
      <c r="AO98" s="748"/>
      <c r="AP98" s="1091"/>
      <c r="AQ98" s="747"/>
      <c r="AR98" s="748"/>
      <c r="AS98" s="749"/>
      <c r="AT98" s="750"/>
      <c r="AU98" s="751"/>
      <c r="AV98" s="751"/>
      <c r="AW98" s="751"/>
      <c r="AX98" s="751"/>
      <c r="AY98" s="751"/>
      <c r="AZ98" s="751"/>
      <c r="BA98" s="751"/>
      <c r="BB98" s="751"/>
      <c r="BC98" s="743"/>
      <c r="BD98" s="752"/>
      <c r="BE98" s="745"/>
      <c r="BF98" s="746"/>
    </row>
    <row r="99" spans="1:58" ht="15" customHeight="1">
      <c r="A99" s="758"/>
      <c r="B99" s="893"/>
      <c r="C99" s="893"/>
      <c r="D99" s="986"/>
      <c r="E99" s="874"/>
      <c r="F99" s="874"/>
      <c r="G99" s="874"/>
      <c r="H99" s="972"/>
      <c r="I99" s="972"/>
      <c r="J99" s="922"/>
      <c r="K99" s="922"/>
      <c r="L99" s="922"/>
      <c r="M99" s="892"/>
      <c r="N99" s="988"/>
      <c r="O99" s="874"/>
      <c r="P99" s="945"/>
      <c r="Q99" s="989"/>
      <c r="R99" s="945"/>
      <c r="S99" s="945"/>
      <c r="T99" s="990"/>
      <c r="U99" s="1000"/>
      <c r="V99" s="927"/>
      <c r="W99" s="927"/>
      <c r="X99" s="927"/>
      <c r="Y99" s="927"/>
      <c r="Z99" s="994"/>
      <c r="AA99" s="992"/>
      <c r="AB99" s="998"/>
      <c r="AC99" s="998"/>
      <c r="AD99" s="998"/>
      <c r="AE99" s="993"/>
      <c r="AF99" s="994"/>
      <c r="AG99" s="994"/>
      <c r="AH99" s="995"/>
      <c r="AI99" s="1001"/>
      <c r="AJ99" s="995"/>
      <c r="AK99" s="758"/>
      <c r="AL99" s="748"/>
      <c r="AM99" s="748"/>
      <c r="AN99" s="748"/>
      <c r="AO99" s="748"/>
      <c r="AP99" s="1091"/>
      <c r="AQ99" s="747"/>
      <c r="AR99" s="748"/>
      <c r="AS99" s="749"/>
      <c r="AT99" s="750"/>
      <c r="AU99" s="751"/>
      <c r="AV99" s="751"/>
      <c r="AW99" s="751"/>
      <c r="AX99" s="751"/>
      <c r="AY99" s="751"/>
      <c r="AZ99" s="751"/>
      <c r="BA99" s="751"/>
      <c r="BB99" s="751"/>
      <c r="BC99" s="743"/>
      <c r="BD99" s="752"/>
      <c r="BE99" s="745"/>
      <c r="BF99" s="746"/>
    </row>
    <row r="100" spans="1:58" ht="15" customHeight="1">
      <c r="A100" s="758"/>
      <c r="B100" s="893"/>
      <c r="C100" s="893"/>
      <c r="D100" s="986"/>
      <c r="E100" s="874"/>
      <c r="F100" s="874"/>
      <c r="G100" s="874"/>
      <c r="H100" s="972"/>
      <c r="I100" s="972"/>
      <c r="J100" s="922"/>
      <c r="K100" s="922"/>
      <c r="L100" s="922"/>
      <c r="M100" s="892"/>
      <c r="N100" s="988"/>
      <c r="O100" s="874"/>
      <c r="P100" s="945"/>
      <c r="Q100" s="989"/>
      <c r="R100" s="945"/>
      <c r="S100" s="945"/>
      <c r="T100" s="990"/>
      <c r="U100" s="1000"/>
      <c r="V100" s="927"/>
      <c r="W100" s="927"/>
      <c r="X100" s="927"/>
      <c r="Y100" s="927"/>
      <c r="Z100" s="994"/>
      <c r="AA100" s="992"/>
      <c r="AB100" s="998"/>
      <c r="AC100" s="998"/>
      <c r="AD100" s="998"/>
      <c r="AE100" s="993"/>
      <c r="AF100" s="994"/>
      <c r="AG100" s="994"/>
      <c r="AH100" s="995"/>
      <c r="AI100" s="1001"/>
      <c r="AJ100" s="995"/>
      <c r="AK100" s="758"/>
      <c r="AL100" s="748"/>
      <c r="AM100" s="748"/>
      <c r="AN100" s="748"/>
      <c r="AO100" s="748"/>
      <c r="AP100" s="1091"/>
      <c r="AQ100" s="747"/>
      <c r="AR100" s="748"/>
      <c r="AS100" s="749"/>
      <c r="AT100" s="750"/>
      <c r="AU100" s="751"/>
      <c r="AV100" s="751"/>
      <c r="AW100" s="751"/>
      <c r="AX100" s="751"/>
      <c r="AY100" s="751"/>
      <c r="AZ100" s="751"/>
      <c r="BA100" s="751"/>
      <c r="BB100" s="751"/>
      <c r="BC100" s="743"/>
      <c r="BD100" s="752"/>
      <c r="BE100" s="745"/>
      <c r="BF100" s="746"/>
    </row>
    <row r="101" spans="1:58" ht="15" customHeight="1">
      <c r="A101" s="758"/>
      <c r="B101" s="893"/>
      <c r="C101" s="893"/>
      <c r="D101" s="986"/>
      <c r="E101" s="874"/>
      <c r="F101" s="874"/>
      <c r="G101" s="874"/>
      <c r="H101" s="972"/>
      <c r="I101" s="972"/>
      <c r="J101" s="922"/>
      <c r="K101" s="922"/>
      <c r="L101" s="922"/>
      <c r="M101" s="892"/>
      <c r="N101" s="988"/>
      <c r="O101" s="874"/>
      <c r="P101" s="945"/>
      <c r="Q101" s="989"/>
      <c r="R101" s="945"/>
      <c r="S101" s="945"/>
      <c r="T101" s="990"/>
      <c r="U101" s="1000"/>
      <c r="V101" s="927"/>
      <c r="W101" s="927"/>
      <c r="X101" s="927"/>
      <c r="Y101" s="927"/>
      <c r="Z101" s="994"/>
      <c r="AA101" s="992"/>
      <c r="AB101" s="998"/>
      <c r="AC101" s="998"/>
      <c r="AD101" s="998"/>
      <c r="AE101" s="993"/>
      <c r="AF101" s="994"/>
      <c r="AG101" s="994"/>
      <c r="AH101" s="995"/>
      <c r="AI101" s="1001"/>
      <c r="AJ101" s="995"/>
      <c r="AK101" s="758"/>
      <c r="AL101" s="748"/>
      <c r="AM101" s="748"/>
      <c r="AN101" s="748"/>
      <c r="AO101" s="748"/>
      <c r="AP101" s="1091"/>
      <c r="AQ101" s="747"/>
      <c r="AR101" s="748"/>
      <c r="AS101" s="749"/>
      <c r="AT101" s="750"/>
      <c r="AU101" s="751"/>
      <c r="AV101" s="751"/>
      <c r="AW101" s="751"/>
      <c r="AX101" s="751"/>
      <c r="AY101" s="751"/>
      <c r="AZ101" s="751"/>
      <c r="BA101" s="751"/>
      <c r="BB101" s="751"/>
      <c r="BC101" s="743"/>
      <c r="BD101" s="752"/>
      <c r="BE101" s="745"/>
      <c r="BF101" s="746"/>
    </row>
    <row r="102" spans="1:58" ht="15" customHeight="1">
      <c r="A102" s="758"/>
      <c r="B102" s="893"/>
      <c r="C102" s="893"/>
      <c r="D102" s="986"/>
      <c r="E102" s="874"/>
      <c r="F102" s="874"/>
      <c r="G102" s="874"/>
      <c r="H102" s="972"/>
      <c r="I102" s="972"/>
      <c r="J102" s="922"/>
      <c r="K102" s="922"/>
      <c r="L102" s="922"/>
      <c r="M102" s="892"/>
      <c r="N102" s="988"/>
      <c r="O102" s="874"/>
      <c r="P102" s="945"/>
      <c r="Q102" s="989"/>
      <c r="R102" s="945"/>
      <c r="S102" s="945"/>
      <c r="T102" s="990"/>
      <c r="U102" s="1000"/>
      <c r="V102" s="927"/>
      <c r="W102" s="927"/>
      <c r="X102" s="927"/>
      <c r="Y102" s="927"/>
      <c r="Z102" s="758"/>
      <c r="AA102" s="927"/>
      <c r="AB102" s="758"/>
      <c r="AC102" s="758"/>
      <c r="AD102" s="758"/>
      <c r="AE102" s="1002"/>
      <c r="AF102" s="758"/>
      <c r="AG102" s="758"/>
      <c r="AH102" s="947"/>
      <c r="AI102" s="1003"/>
      <c r="AJ102" s="947"/>
      <c r="AK102" s="758"/>
      <c r="AL102" s="748"/>
      <c r="AM102" s="748"/>
      <c r="AN102" s="748"/>
      <c r="AO102" s="748"/>
      <c r="AP102" s="1091"/>
      <c r="AQ102" s="747"/>
      <c r="AR102" s="748"/>
      <c r="AS102" s="749"/>
      <c r="AT102" s="750"/>
      <c r="AU102" s="751"/>
      <c r="AV102" s="751"/>
      <c r="AW102" s="751"/>
      <c r="AX102" s="751"/>
      <c r="AY102" s="751"/>
      <c r="AZ102" s="751"/>
      <c r="BA102" s="751"/>
      <c r="BB102" s="751"/>
      <c r="BC102" s="743" t="e">
        <f>SUM(AL102:AO102)+(AR102+AS102+AQ102+(AT$88*AT102+AU$88*AU102+AV$88*AV102+AW$88*AW102+AX$88*AX102+AY$88*AY102+AZ$88*AZ102+BA$88*BA102+BB$88*BB102))*#REF!</f>
        <v>#REF!</v>
      </c>
      <c r="BD102" s="752"/>
      <c r="BE102" s="745" t="e">
        <f t="shared" ref="BE102:BE107" si="23">BC102*BD102</f>
        <v>#REF!</v>
      </c>
      <c r="BF102" s="746" t="e">
        <f t="shared" si="22"/>
        <v>#REF!</v>
      </c>
    </row>
    <row r="103" spans="1:58" ht="15" customHeight="1">
      <c r="A103" s="758"/>
      <c r="B103" s="893"/>
      <c r="C103" s="893"/>
      <c r="D103" s="986"/>
      <c r="E103" s="874"/>
      <c r="F103" s="874"/>
      <c r="G103" s="874"/>
      <c r="H103" s="972"/>
      <c r="I103" s="972"/>
      <c r="J103" s="922"/>
      <c r="K103" s="922"/>
      <c r="L103" s="922"/>
      <c r="M103" s="892"/>
      <c r="N103" s="988"/>
      <c r="O103" s="874"/>
      <c r="P103" s="945"/>
      <c r="Q103" s="989"/>
      <c r="R103" s="945"/>
      <c r="S103" s="945"/>
      <c r="T103" s="990"/>
      <c r="U103" s="1000"/>
      <c r="V103" s="927"/>
      <c r="W103" s="927"/>
      <c r="X103" s="927"/>
      <c r="Y103" s="927"/>
      <c r="Z103" s="927"/>
      <c r="AA103" s="927"/>
      <c r="AB103" s="1002"/>
      <c r="AC103" s="1002"/>
      <c r="AD103" s="1002"/>
      <c r="AE103" s="1002"/>
      <c r="AF103" s="758"/>
      <c r="AG103" s="758"/>
      <c r="AH103" s="947"/>
      <c r="AI103" s="1003"/>
      <c r="AJ103" s="947"/>
      <c r="AK103" s="758"/>
      <c r="AL103" s="748"/>
      <c r="AM103" s="748"/>
      <c r="AN103" s="748"/>
      <c r="AO103" s="748"/>
      <c r="AP103" s="1091"/>
      <c r="AQ103" s="747"/>
      <c r="AR103" s="748"/>
      <c r="AS103" s="749"/>
      <c r="AT103" s="750"/>
      <c r="AU103" s="751"/>
      <c r="AV103" s="751"/>
      <c r="AW103" s="751"/>
      <c r="AX103" s="751"/>
      <c r="AY103" s="751"/>
      <c r="AZ103" s="751"/>
      <c r="BA103" s="751"/>
      <c r="BB103" s="751"/>
      <c r="BC103" s="743" t="e">
        <f>SUM(AL103:AO103)+(AR103+AS103+AQ103+(AT$88*AT103+AU$88*AU103+AV$88*AV103+AW$88*AW103+AX$88*AX103+AY$88*AY103+AZ$88*AZ103+BA$88*BA103+BB$88*BB103))*#REF!</f>
        <v>#REF!</v>
      </c>
      <c r="BD103" s="752"/>
      <c r="BE103" s="745" t="e">
        <f t="shared" si="23"/>
        <v>#REF!</v>
      </c>
      <c r="BF103" s="746" t="e">
        <f t="shared" si="22"/>
        <v>#REF!</v>
      </c>
    </row>
    <row r="104" spans="1:58" ht="15" customHeight="1">
      <c r="A104" s="758"/>
      <c r="B104" s="893"/>
      <c r="C104" s="893"/>
      <c r="D104" s="986"/>
      <c r="E104" s="874"/>
      <c r="F104" s="874"/>
      <c r="G104" s="874"/>
      <c r="H104" s="972"/>
      <c r="I104" s="972"/>
      <c r="J104" s="922"/>
      <c r="K104" s="922"/>
      <c r="L104" s="922"/>
      <c r="M104" s="892"/>
      <c r="N104" s="988"/>
      <c r="O104" s="874"/>
      <c r="P104" s="945"/>
      <c r="Q104" s="989"/>
      <c r="R104" s="945"/>
      <c r="S104" s="945"/>
      <c r="T104" s="990"/>
      <c r="U104" s="1000"/>
      <c r="V104" s="927"/>
      <c r="W104" s="927"/>
      <c r="X104" s="927"/>
      <c r="Y104" s="927"/>
      <c r="Z104" s="1004"/>
      <c r="AA104" s="1004"/>
      <c r="AB104" s="1005"/>
      <c r="AC104" s="1005"/>
      <c r="AD104" s="1005"/>
      <c r="AE104" s="1005"/>
      <c r="AF104" s="1006"/>
      <c r="AG104" s="1006"/>
      <c r="AH104" s="1007"/>
      <c r="AI104" s="1003"/>
      <c r="AJ104" s="947"/>
      <c r="AK104" s="758"/>
      <c r="AL104" s="748"/>
      <c r="AM104" s="748"/>
      <c r="AN104" s="748"/>
      <c r="AO104" s="748"/>
      <c r="AP104" s="1091"/>
      <c r="AQ104" s="747"/>
      <c r="AR104" s="748"/>
      <c r="AS104" s="749"/>
      <c r="AT104" s="750"/>
      <c r="AU104" s="751"/>
      <c r="AV104" s="751"/>
      <c r="AW104" s="751"/>
      <c r="AX104" s="751"/>
      <c r="AY104" s="751"/>
      <c r="AZ104" s="751"/>
      <c r="BA104" s="751"/>
      <c r="BB104" s="751"/>
      <c r="BC104" s="743" t="e">
        <f>SUM(AL104:AO104)+(AR104+AS104+AQ104+(AT$88*AT104+AU$88*AU104+AV$88*AV104+AW$88*AW104+AX$88*AX104+AY$88*AY104+AZ$88*AZ104+BA$88*BA104+BB$88*BB104))*#REF!</f>
        <v>#REF!</v>
      </c>
      <c r="BD104" s="752"/>
      <c r="BE104" s="745" t="e">
        <f t="shared" si="23"/>
        <v>#REF!</v>
      </c>
      <c r="BF104" s="746" t="e">
        <f t="shared" si="22"/>
        <v>#REF!</v>
      </c>
    </row>
    <row r="105" spans="1:58" ht="15" customHeight="1">
      <c r="A105" s="758"/>
      <c r="B105" s="893"/>
      <c r="C105" s="893"/>
      <c r="D105" s="986"/>
      <c r="E105" s="874"/>
      <c r="F105" s="874"/>
      <c r="G105" s="874"/>
      <c r="H105" s="972"/>
      <c r="I105" s="972"/>
      <c r="J105" s="922"/>
      <c r="K105" s="922"/>
      <c r="L105" s="922"/>
      <c r="M105" s="892"/>
      <c r="N105" s="988"/>
      <c r="O105" s="874"/>
      <c r="P105" s="945"/>
      <c r="Q105" s="989"/>
      <c r="R105" s="945"/>
      <c r="S105" s="945"/>
      <c r="T105" s="990"/>
      <c r="U105" s="1000"/>
      <c r="V105" s="927"/>
      <c r="W105" s="927"/>
      <c r="X105" s="927"/>
      <c r="Y105" s="927"/>
      <c r="Z105" s="1004"/>
      <c r="AA105" s="1004"/>
      <c r="AB105" s="1005"/>
      <c r="AC105" s="1005"/>
      <c r="AD105" s="1005"/>
      <c r="AE105" s="1005"/>
      <c r="AF105" s="1006"/>
      <c r="AG105" s="1006"/>
      <c r="AH105" s="1007"/>
      <c r="AI105" s="1003"/>
      <c r="AJ105" s="947"/>
      <c r="AK105" s="758"/>
      <c r="AL105" s="748"/>
      <c r="AM105" s="748"/>
      <c r="AN105" s="748"/>
      <c r="AO105" s="748"/>
      <c r="AP105" s="1091"/>
      <c r="AQ105" s="747"/>
      <c r="AR105" s="748"/>
      <c r="AS105" s="749"/>
      <c r="AT105" s="750"/>
      <c r="AU105" s="751"/>
      <c r="AV105" s="751"/>
      <c r="AW105" s="751"/>
      <c r="AX105" s="751"/>
      <c r="AY105" s="751"/>
      <c r="AZ105" s="751"/>
      <c r="BA105" s="751"/>
      <c r="BB105" s="751"/>
      <c r="BC105" s="743" t="e">
        <f>SUM(AL105:AO105)+(AR105+AS105+AQ105+(AT$88*AT105+AU$88*AU105+AV$88*AV105+AW$88*AW105+AX$88*AX105+AY$88*AY105+AZ$88*AZ105+BA$88*BA105+BB$88*BB105))*#REF!</f>
        <v>#REF!</v>
      </c>
      <c r="BD105" s="752"/>
      <c r="BE105" s="745" t="e">
        <f t="shared" si="23"/>
        <v>#REF!</v>
      </c>
      <c r="BF105" s="746" t="e">
        <f t="shared" si="22"/>
        <v>#REF!</v>
      </c>
    </row>
    <row r="106" spans="1:58" ht="15" customHeight="1">
      <c r="A106" s="758"/>
      <c r="B106" s="893"/>
      <c r="C106" s="893"/>
      <c r="D106" s="986"/>
      <c r="E106" s="874"/>
      <c r="F106" s="874"/>
      <c r="G106" s="874"/>
      <c r="H106" s="972"/>
      <c r="I106" s="972"/>
      <c r="J106" s="922"/>
      <c r="K106" s="922"/>
      <c r="L106" s="922"/>
      <c r="M106" s="892"/>
      <c r="N106" s="988"/>
      <c r="O106" s="874"/>
      <c r="P106" s="945"/>
      <c r="Q106" s="989"/>
      <c r="R106" s="945"/>
      <c r="S106" s="945"/>
      <c r="T106" s="990"/>
      <c r="U106" s="1000"/>
      <c r="V106" s="927"/>
      <c r="W106" s="927"/>
      <c r="X106" s="927"/>
      <c r="Y106" s="927"/>
      <c r="Z106" s="758"/>
      <c r="AA106" s="927"/>
      <c r="AB106" s="758"/>
      <c r="AC106" s="758"/>
      <c r="AD106" s="758"/>
      <c r="AE106" s="1002"/>
      <c r="AF106" s="758"/>
      <c r="AG106" s="758"/>
      <c r="AH106" s="947"/>
      <c r="AI106" s="1003"/>
      <c r="AJ106" s="947"/>
      <c r="AK106" s="758"/>
      <c r="AL106" s="748"/>
      <c r="AM106" s="748"/>
      <c r="AN106" s="748"/>
      <c r="AO106" s="748"/>
      <c r="AP106" s="1091"/>
      <c r="AQ106" s="747"/>
      <c r="AR106" s="748"/>
      <c r="AS106" s="749"/>
      <c r="AT106" s="750"/>
      <c r="AU106" s="751"/>
      <c r="AV106" s="751"/>
      <c r="AW106" s="751"/>
      <c r="AX106" s="751"/>
      <c r="AY106" s="751"/>
      <c r="AZ106" s="751"/>
      <c r="BA106" s="751"/>
      <c r="BB106" s="751"/>
      <c r="BC106" s="743" t="e">
        <f>SUM(AL106:AO106)+(AR106+AS106+AQ106+(AT$88*AT106+AU$88*AU106+AV$88*AV106+AW$88*AW106+AX$88*AX106+AY$88*AY106+AZ$88*AZ106+BA$88*BA106+BB$88*BB106))*#REF!</f>
        <v>#REF!</v>
      </c>
      <c r="BD106" s="752"/>
      <c r="BE106" s="745" t="e">
        <f t="shared" si="23"/>
        <v>#REF!</v>
      </c>
      <c r="BF106" s="746" t="e">
        <f t="shared" si="22"/>
        <v>#REF!</v>
      </c>
    </row>
    <row r="107" spans="1:58" ht="15" customHeight="1">
      <c r="A107" s="758"/>
      <c r="B107" s="893"/>
      <c r="C107" s="893"/>
      <c r="D107" s="986"/>
      <c r="E107" s="874"/>
      <c r="F107" s="874"/>
      <c r="G107" s="874"/>
      <c r="H107" s="972"/>
      <c r="I107" s="972"/>
      <c r="J107" s="922"/>
      <c r="K107" s="922"/>
      <c r="L107" s="922"/>
      <c r="M107" s="892"/>
      <c r="N107" s="988"/>
      <c r="O107" s="874"/>
      <c r="P107" s="945"/>
      <c r="Q107" s="989"/>
      <c r="R107" s="945"/>
      <c r="S107" s="945"/>
      <c r="T107" s="990"/>
      <c r="U107" s="1000"/>
      <c r="V107" s="927"/>
      <c r="W107" s="927"/>
      <c r="X107" s="927"/>
      <c r="Y107" s="927"/>
      <c r="Z107" s="927"/>
      <c r="AA107" s="927"/>
      <c r="AB107" s="1002"/>
      <c r="AC107" s="1002"/>
      <c r="AD107" s="1002"/>
      <c r="AE107" s="1002"/>
      <c r="AF107" s="758"/>
      <c r="AG107" s="758"/>
      <c r="AH107" s="947"/>
      <c r="AI107" s="1003"/>
      <c r="AJ107" s="947"/>
      <c r="AK107" s="758"/>
      <c r="AL107" s="748"/>
      <c r="AM107" s="748"/>
      <c r="AN107" s="748"/>
      <c r="AO107" s="748"/>
      <c r="AP107" s="1091"/>
      <c r="AQ107" s="747"/>
      <c r="AR107" s="748"/>
      <c r="AS107" s="749"/>
      <c r="AT107" s="750"/>
      <c r="AU107" s="751"/>
      <c r="AV107" s="751"/>
      <c r="AW107" s="751"/>
      <c r="AX107" s="751"/>
      <c r="AY107" s="751"/>
      <c r="AZ107" s="751"/>
      <c r="BA107" s="751"/>
      <c r="BB107" s="751"/>
      <c r="BC107" s="743" t="e">
        <f>SUM(AL107:AO107)+(AR107+AS107+AQ107+(AT$88*AT107+AU$88*AU107+AV$88*AV107+AW$88*AW107+AX$88*AX107+AY$88*AY107+AZ$88*AZ107+BA$88*BA107+BB$88*BB107))*#REF!</f>
        <v>#REF!</v>
      </c>
      <c r="BD107" s="752"/>
      <c r="BE107" s="745" t="e">
        <f t="shared" si="23"/>
        <v>#REF!</v>
      </c>
      <c r="BF107" s="746" t="e">
        <f t="shared" si="22"/>
        <v>#REF!</v>
      </c>
    </row>
    <row r="108" spans="1:58" ht="15" customHeight="1">
      <c r="A108" s="758"/>
      <c r="B108" s="893"/>
      <c r="C108" s="893"/>
      <c r="D108" s="986"/>
      <c r="E108" s="874"/>
      <c r="F108" s="874"/>
      <c r="G108" s="874"/>
      <c r="H108" s="972"/>
      <c r="I108" s="972"/>
      <c r="J108" s="922"/>
      <c r="K108" s="922"/>
      <c r="L108" s="922"/>
      <c r="M108" s="892"/>
      <c r="N108" s="988"/>
      <c r="O108" s="874"/>
      <c r="P108" s="945"/>
      <c r="Q108" s="989"/>
      <c r="R108" s="945"/>
      <c r="S108" s="945"/>
      <c r="T108" s="990"/>
      <c r="U108" s="1000"/>
      <c r="V108" s="927"/>
      <c r="W108" s="927"/>
      <c r="X108" s="927"/>
      <c r="Y108" s="927"/>
      <c r="Z108" s="1483"/>
      <c r="AA108" s="1483"/>
      <c r="AB108" s="1005"/>
      <c r="AC108" s="1005"/>
      <c r="AD108" s="1005"/>
      <c r="AE108" s="1005"/>
      <c r="AF108" s="1006"/>
      <c r="AG108" s="1006"/>
      <c r="AH108" s="947"/>
      <c r="AI108" s="1003"/>
      <c r="AJ108" s="947"/>
      <c r="AK108" s="758"/>
      <c r="AL108" s="748"/>
      <c r="AM108" s="748"/>
      <c r="AN108" s="748"/>
      <c r="AO108" s="748"/>
      <c r="AP108" s="1091"/>
      <c r="AQ108" s="747"/>
      <c r="AR108" s="748"/>
      <c r="AS108" s="749"/>
      <c r="AT108" s="750"/>
      <c r="AU108" s="751"/>
      <c r="AV108" s="751"/>
      <c r="AW108" s="751"/>
      <c r="AX108" s="751"/>
      <c r="AY108" s="751"/>
      <c r="AZ108" s="751"/>
      <c r="BA108" s="751"/>
      <c r="BB108" s="751"/>
      <c r="BC108" s="743"/>
      <c r="BD108" s="752"/>
      <c r="BE108" s="745"/>
      <c r="BF108" s="746"/>
    </row>
    <row r="109" spans="1:58" ht="15" customHeight="1">
      <c r="A109" s="758"/>
      <c r="B109" s="893"/>
      <c r="C109" s="893"/>
      <c r="D109" s="986"/>
      <c r="E109" s="874"/>
      <c r="F109" s="874"/>
      <c r="G109" s="874"/>
      <c r="H109" s="972"/>
      <c r="I109" s="972"/>
      <c r="J109" s="922"/>
      <c r="K109" s="922"/>
      <c r="L109" s="922"/>
      <c r="M109" s="892"/>
      <c r="N109" s="988"/>
      <c r="O109" s="874"/>
      <c r="P109" s="945"/>
      <c r="Q109" s="989"/>
      <c r="R109" s="945"/>
      <c r="S109" s="945"/>
      <c r="T109" s="990"/>
      <c r="U109" s="1000"/>
      <c r="V109" s="927"/>
      <c r="W109" s="927"/>
      <c r="X109" s="927"/>
      <c r="Y109" s="927"/>
      <c r="Z109" s="1004"/>
      <c r="AA109" s="1004"/>
      <c r="AB109" s="1005"/>
      <c r="AC109" s="1005"/>
      <c r="AD109" s="1005"/>
      <c r="AE109" s="1005"/>
      <c r="AF109" s="1006"/>
      <c r="AG109" s="1006"/>
      <c r="AH109" s="947"/>
      <c r="AI109" s="1003"/>
      <c r="AJ109" s="947"/>
      <c r="AK109" s="758"/>
      <c r="AL109" s="748"/>
      <c r="AM109" s="748"/>
      <c r="AN109" s="748"/>
      <c r="AO109" s="748"/>
      <c r="AP109" s="1091"/>
      <c r="AQ109" s="747"/>
      <c r="AR109" s="748"/>
      <c r="AS109" s="749"/>
      <c r="AT109" s="750"/>
      <c r="AU109" s="751"/>
      <c r="AV109" s="751"/>
      <c r="AW109" s="751"/>
      <c r="AX109" s="751"/>
      <c r="AY109" s="751"/>
      <c r="AZ109" s="751"/>
      <c r="BA109" s="751"/>
      <c r="BB109" s="751"/>
      <c r="BC109" s="743"/>
      <c r="BD109" s="752"/>
      <c r="BE109" s="745"/>
      <c r="BF109" s="746"/>
    </row>
    <row r="110" spans="1:58" ht="15" customHeight="1">
      <c r="A110" s="758"/>
      <c r="B110" s="893"/>
      <c r="C110" s="893"/>
      <c r="D110" s="986"/>
      <c r="E110" s="874"/>
      <c r="F110" s="874"/>
      <c r="G110" s="874"/>
      <c r="H110" s="972"/>
      <c r="I110" s="972"/>
      <c r="J110" s="922"/>
      <c r="K110" s="922"/>
      <c r="L110" s="922"/>
      <c r="M110" s="892"/>
      <c r="N110" s="988"/>
      <c r="O110" s="874"/>
      <c r="P110" s="945"/>
      <c r="Q110" s="989"/>
      <c r="R110" s="945"/>
      <c r="S110" s="945"/>
      <c r="T110" s="990"/>
      <c r="U110" s="1000"/>
      <c r="V110" s="927"/>
      <c r="W110" s="927"/>
      <c r="X110" s="927"/>
      <c r="Y110" s="927"/>
      <c r="Z110" s="1004"/>
      <c r="AA110" s="1004"/>
      <c r="AB110" s="1005"/>
      <c r="AC110" s="1005"/>
      <c r="AD110" s="1005"/>
      <c r="AE110" s="1005"/>
      <c r="AF110" s="1006"/>
      <c r="AG110" s="1006"/>
      <c r="AH110" s="947"/>
      <c r="AI110" s="1003"/>
      <c r="AJ110" s="947"/>
      <c r="AK110" s="758"/>
      <c r="AL110" s="748"/>
      <c r="AM110" s="748"/>
      <c r="AN110" s="748"/>
      <c r="AO110" s="748"/>
      <c r="AP110" s="1091"/>
      <c r="AQ110" s="747"/>
      <c r="AR110" s="748"/>
      <c r="AS110" s="749"/>
      <c r="AT110" s="750"/>
      <c r="AU110" s="751"/>
      <c r="AV110" s="751"/>
      <c r="AW110" s="751"/>
      <c r="AX110" s="751"/>
      <c r="AY110" s="751"/>
      <c r="AZ110" s="751"/>
      <c r="BA110" s="751"/>
      <c r="BB110" s="751"/>
      <c r="BC110" s="743"/>
      <c r="BD110" s="752"/>
      <c r="BE110" s="745"/>
      <c r="BF110" s="746"/>
    </row>
    <row r="111" spans="1:58" ht="15" customHeight="1">
      <c r="A111" s="758"/>
      <c r="B111" s="893"/>
      <c r="C111" s="893"/>
      <c r="D111" s="986"/>
      <c r="E111" s="874"/>
      <c r="F111" s="874"/>
      <c r="G111" s="874"/>
      <c r="H111" s="972"/>
      <c r="I111" s="972"/>
      <c r="J111" s="922"/>
      <c r="K111" s="922"/>
      <c r="L111" s="922"/>
      <c r="M111" s="892"/>
      <c r="N111" s="988"/>
      <c r="O111" s="874"/>
      <c r="P111" s="945"/>
      <c r="Q111" s="989"/>
      <c r="R111" s="945"/>
      <c r="S111" s="945"/>
      <c r="T111" s="990"/>
      <c r="U111" s="1000"/>
      <c r="V111" s="927"/>
      <c r="W111" s="927"/>
      <c r="X111" s="927"/>
      <c r="Y111" s="927"/>
      <c r="Z111" s="1483"/>
      <c r="AA111" s="1483"/>
      <c r="AB111" s="1005"/>
      <c r="AC111" s="1005"/>
      <c r="AD111" s="1005"/>
      <c r="AE111" s="1005"/>
      <c r="AF111" s="1006"/>
      <c r="AG111" s="1006"/>
      <c r="AH111" s="1007"/>
      <c r="AI111" s="1003"/>
      <c r="AJ111" s="947"/>
      <c r="AK111" s="758"/>
      <c r="AL111" s="748"/>
      <c r="AM111" s="748"/>
      <c r="AN111" s="748"/>
      <c r="AO111" s="748"/>
      <c r="AP111" s="1091"/>
      <c r="AQ111" s="747"/>
      <c r="AR111" s="748"/>
      <c r="AS111" s="749"/>
      <c r="AT111" s="750"/>
      <c r="AU111" s="751"/>
      <c r="AV111" s="751"/>
      <c r="AW111" s="751"/>
      <c r="AX111" s="751"/>
      <c r="AY111" s="751"/>
      <c r="AZ111" s="751"/>
      <c r="BA111" s="751"/>
      <c r="BB111" s="751"/>
      <c r="BC111" s="743"/>
      <c r="BD111" s="752"/>
      <c r="BE111" s="745"/>
      <c r="BF111" s="746"/>
    </row>
    <row r="112" spans="1:58" ht="15" customHeight="1">
      <c r="A112" s="758"/>
      <c r="B112" s="893"/>
      <c r="C112" s="893"/>
      <c r="D112" s="986"/>
      <c r="E112" s="874"/>
      <c r="F112" s="874"/>
      <c r="G112" s="874"/>
      <c r="H112" s="972"/>
      <c r="I112" s="972"/>
      <c r="J112" s="922"/>
      <c r="K112" s="922"/>
      <c r="L112" s="922"/>
      <c r="M112" s="892"/>
      <c r="N112" s="988"/>
      <c r="O112" s="874"/>
      <c r="P112" s="945"/>
      <c r="Q112" s="989"/>
      <c r="R112" s="945"/>
      <c r="S112" s="945"/>
      <c r="T112" s="990"/>
      <c r="U112" s="1000"/>
      <c r="V112" s="927"/>
      <c r="W112" s="927"/>
      <c r="X112" s="927"/>
      <c r="Y112" s="927"/>
      <c r="Z112" s="758"/>
      <c r="AA112" s="969"/>
      <c r="AB112" s="982"/>
      <c r="AC112" s="982"/>
      <c r="AD112" s="982"/>
      <c r="AE112" s="1002"/>
      <c r="AF112" s="758"/>
      <c r="AG112" s="758"/>
      <c r="AH112" s="947"/>
      <c r="AI112" s="987"/>
      <c r="AJ112" s="947"/>
      <c r="AK112" s="758"/>
      <c r="AL112" s="748"/>
      <c r="AM112" s="748"/>
      <c r="AN112" s="748"/>
      <c r="AO112" s="748"/>
      <c r="AP112" s="1091"/>
      <c r="AQ112" s="747"/>
      <c r="AR112" s="748"/>
      <c r="AS112" s="749"/>
      <c r="AT112" s="750"/>
      <c r="AU112" s="751"/>
      <c r="AV112" s="751"/>
      <c r="AW112" s="751"/>
      <c r="AX112" s="751"/>
      <c r="AY112" s="751"/>
      <c r="AZ112" s="751"/>
      <c r="BA112" s="751"/>
      <c r="BB112" s="751"/>
      <c r="BC112" s="743"/>
      <c r="BD112" s="752"/>
      <c r="BE112" s="745"/>
      <c r="BF112" s="746"/>
    </row>
    <row r="113" spans="1:49" ht="15" customHeight="1">
      <c r="M113" s="863"/>
      <c r="O113" s="834"/>
      <c r="Q113" s="600"/>
      <c r="S113" s="753"/>
      <c r="T113" s="754"/>
      <c r="V113" s="601"/>
      <c r="W113" s="601"/>
      <c r="X113" s="601"/>
      <c r="Y113" s="601"/>
      <c r="Z113" s="600"/>
      <c r="AA113" s="488"/>
      <c r="AG113" s="753"/>
      <c r="AH113" s="754"/>
      <c r="AI113" s="754"/>
    </row>
    <row r="114" spans="1:49" ht="15" customHeight="1">
      <c r="A114" s="758"/>
      <c r="B114" s="967"/>
      <c r="C114" s="967"/>
      <c r="D114" s="758"/>
      <c r="E114" s="758"/>
      <c r="F114" s="758"/>
      <c r="G114" s="758"/>
      <c r="H114" s="758"/>
      <c r="I114" s="758"/>
      <c r="J114" s="758"/>
      <c r="K114" s="758"/>
      <c r="L114" s="758"/>
      <c r="M114" s="758"/>
      <c r="N114" s="758"/>
      <c r="O114" s="874"/>
      <c r="P114" s="927"/>
      <c r="Q114" s="927"/>
      <c r="R114" s="968"/>
      <c r="S114" s="927"/>
      <c r="T114" s="927"/>
      <c r="U114" s="876"/>
      <c r="V114" s="969"/>
      <c r="W114" s="969"/>
      <c r="X114" s="969"/>
      <c r="Y114" s="969"/>
      <c r="Z114" s="967"/>
      <c r="AA114" s="758"/>
      <c r="AB114" s="758"/>
      <c r="AC114" s="758"/>
      <c r="AD114" s="758"/>
      <c r="AE114" s="758"/>
      <c r="AF114" s="758"/>
      <c r="AG114" s="758"/>
      <c r="AH114" s="758"/>
      <c r="AI114" s="758"/>
      <c r="AJ114" s="758"/>
      <c r="AK114" s="758"/>
    </row>
    <row r="115" spans="1:49" ht="15" customHeight="1">
      <c r="A115" s="758"/>
      <c r="B115" s="1406"/>
      <c r="C115" s="1406"/>
      <c r="D115" s="1406"/>
      <c r="E115" s="1435"/>
      <c r="F115" s="1435"/>
      <c r="G115" s="1435"/>
      <c r="H115" s="1435"/>
      <c r="I115" s="1435"/>
      <c r="J115" s="1435"/>
      <c r="K115" s="1435"/>
      <c r="L115" s="1435"/>
      <c r="M115" s="1435"/>
      <c r="N115" s="1435"/>
      <c r="O115" s="1435"/>
      <c r="P115" s="1435"/>
      <c r="Q115" s="1435"/>
      <c r="R115" s="1435"/>
      <c r="S115" s="927"/>
      <c r="T115" s="927"/>
      <c r="U115" s="876"/>
      <c r="V115" s="969"/>
      <c r="W115" s="969"/>
      <c r="X115" s="969"/>
      <c r="Y115" s="969"/>
      <c r="Z115" s="1354"/>
      <c r="AA115" s="1529"/>
      <c r="AB115" s="1528"/>
      <c r="AC115" s="1162"/>
      <c r="AD115" s="1162"/>
      <c r="AE115" s="1406"/>
      <c r="AF115" s="1354"/>
      <c r="AG115" s="874"/>
      <c r="AH115" s="970"/>
      <c r="AI115" s="874"/>
      <c r="AJ115" s="874"/>
      <c r="AK115" s="874"/>
    </row>
    <row r="116" spans="1:49" ht="15" customHeight="1">
      <c r="A116" s="758"/>
      <c r="B116" s="1406"/>
      <c r="C116" s="1406"/>
      <c r="D116" s="1406"/>
      <c r="E116" s="971"/>
      <c r="F116" s="971"/>
      <c r="G116" s="972"/>
      <c r="H116" s="972"/>
      <c r="I116" s="972"/>
      <c r="J116" s="972"/>
      <c r="K116" s="972"/>
      <c r="L116" s="972"/>
      <c r="M116" s="972"/>
      <c r="N116" s="973"/>
      <c r="O116" s="972"/>
      <c r="P116" s="972"/>
      <c r="Q116" s="973"/>
      <c r="R116" s="973"/>
      <c r="S116" s="927"/>
      <c r="T116" s="947"/>
      <c r="U116" s="947"/>
      <c r="V116" s="947"/>
      <c r="W116" s="947"/>
      <c r="X116" s="947"/>
      <c r="Y116" s="947"/>
      <c r="Z116" s="1354"/>
      <c r="AA116" s="1529"/>
      <c r="AB116" s="1528"/>
      <c r="AC116" s="1162"/>
      <c r="AD116" s="1162"/>
      <c r="AE116" s="1406"/>
      <c r="AF116" s="1354"/>
      <c r="AG116" s="874"/>
      <c r="AH116" s="970"/>
      <c r="AI116" s="970"/>
      <c r="AJ116" s="874"/>
      <c r="AK116" s="874"/>
    </row>
    <row r="117" spans="1:49" ht="15" customHeight="1">
      <c r="A117" s="758"/>
      <c r="B117" s="1479"/>
      <c r="C117" s="1479"/>
      <c r="D117" s="1479"/>
      <c r="E117" s="973"/>
      <c r="F117" s="973"/>
      <c r="G117" s="972"/>
      <c r="H117" s="972"/>
      <c r="I117" s="972"/>
      <c r="J117" s="972"/>
      <c r="K117" s="972"/>
      <c r="L117" s="972"/>
      <c r="M117" s="972"/>
      <c r="N117" s="973"/>
      <c r="O117" s="972"/>
      <c r="P117" s="972"/>
      <c r="Q117" s="973"/>
      <c r="R117" s="973"/>
      <c r="S117" s="1104"/>
      <c r="T117" s="947"/>
      <c r="U117" s="947"/>
      <c r="V117" s="947"/>
      <c r="W117" s="947"/>
      <c r="X117" s="947"/>
      <c r="Y117" s="947"/>
      <c r="Z117" s="974"/>
      <c r="AA117" s="975"/>
      <c r="AB117" s="975"/>
      <c r="AC117" s="975"/>
      <c r="AD117" s="975"/>
      <c r="AE117" s="926"/>
      <c r="AF117" s="927"/>
      <c r="AG117" s="926"/>
      <c r="AH117" s="976"/>
      <c r="AI117" s="891"/>
      <c r="AJ117" s="977"/>
      <c r="AK117" s="978"/>
      <c r="AU117" s="755"/>
      <c r="AV117" s="755"/>
      <c r="AW117" s="755"/>
    </row>
    <row r="118" spans="1:49" ht="15" customHeight="1">
      <c r="A118" s="758"/>
      <c r="B118" s="1479"/>
      <c r="C118" s="1479"/>
      <c r="D118" s="1479"/>
      <c r="E118" s="973"/>
      <c r="F118" s="973"/>
      <c r="G118" s="979"/>
      <c r="H118" s="972"/>
      <c r="I118" s="972"/>
      <c r="J118" s="972"/>
      <c r="K118" s="972"/>
      <c r="L118" s="972"/>
      <c r="M118" s="972"/>
      <c r="N118" s="973"/>
      <c r="O118" s="972"/>
      <c r="P118" s="972"/>
      <c r="Q118" s="973"/>
      <c r="R118" s="973"/>
      <c r="S118" s="1104"/>
      <c r="T118" s="947"/>
      <c r="U118" s="947"/>
      <c r="V118" s="947"/>
      <c r="W118" s="947"/>
      <c r="X118" s="947"/>
      <c r="Y118" s="947"/>
      <c r="Z118" s="974"/>
      <c r="AA118" s="975"/>
      <c r="AB118" s="975"/>
      <c r="AC118" s="975"/>
      <c r="AD118" s="975"/>
      <c r="AE118" s="926"/>
      <c r="AF118" s="927"/>
      <c r="AG118" s="926"/>
      <c r="AH118" s="976"/>
      <c r="AI118" s="891"/>
      <c r="AJ118" s="977"/>
      <c r="AK118" s="978"/>
      <c r="AU118" s="755"/>
      <c r="AV118" s="755"/>
      <c r="AW118" s="755"/>
    </row>
    <row r="119" spans="1:49" ht="15" customHeight="1">
      <c r="A119" s="758"/>
      <c r="B119" s="1479"/>
      <c r="C119" s="1479"/>
      <c r="D119" s="1479"/>
      <c r="E119" s="973"/>
      <c r="F119" s="973"/>
      <c r="G119" s="972"/>
      <c r="H119" s="972"/>
      <c r="I119" s="972"/>
      <c r="J119" s="972"/>
      <c r="K119" s="972"/>
      <c r="L119" s="972"/>
      <c r="M119" s="972"/>
      <c r="N119" s="973"/>
      <c r="O119" s="972"/>
      <c r="P119" s="972"/>
      <c r="Q119" s="973"/>
      <c r="R119" s="973"/>
      <c r="S119" s="1104"/>
      <c r="T119" s="947"/>
      <c r="U119" s="947"/>
      <c r="V119" s="947"/>
      <c r="W119" s="947"/>
      <c r="X119" s="947"/>
      <c r="Y119" s="947"/>
      <c r="Z119" s="974"/>
      <c r="AA119" s="975"/>
      <c r="AB119" s="975"/>
      <c r="AC119" s="975"/>
      <c r="AD119" s="975"/>
      <c r="AE119" s="926"/>
      <c r="AF119" s="927"/>
      <c r="AG119" s="926"/>
      <c r="AH119" s="976"/>
      <c r="AI119" s="891"/>
      <c r="AJ119" s="977"/>
      <c r="AK119" s="978"/>
      <c r="AU119" s="755"/>
      <c r="AV119" s="755"/>
      <c r="AW119" s="755"/>
    </row>
    <row r="120" spans="1:49" ht="15" customHeight="1">
      <c r="A120" s="758"/>
      <c r="B120" s="1478"/>
      <c r="C120" s="1478"/>
      <c r="D120" s="1478"/>
      <c r="E120" s="980"/>
      <c r="F120" s="980"/>
      <c r="G120" s="979"/>
      <c r="H120" s="979"/>
      <c r="I120" s="979"/>
      <c r="J120" s="979"/>
      <c r="K120" s="979"/>
      <c r="L120" s="979"/>
      <c r="M120" s="979"/>
      <c r="N120" s="980"/>
      <c r="O120" s="979"/>
      <c r="P120" s="979"/>
      <c r="Q120" s="980"/>
      <c r="R120" s="980"/>
      <c r="S120" s="1104"/>
      <c r="T120" s="947"/>
      <c r="U120" s="947"/>
      <c r="V120" s="947"/>
      <c r="W120" s="947"/>
      <c r="X120" s="947"/>
      <c r="Y120" s="947"/>
      <c r="Z120" s="974"/>
      <c r="AA120" s="975"/>
      <c r="AB120" s="975"/>
      <c r="AC120" s="975"/>
      <c r="AD120" s="975"/>
      <c r="AE120" s="926"/>
      <c r="AF120" s="927"/>
      <c r="AG120" s="926"/>
      <c r="AH120" s="976"/>
      <c r="AI120" s="891"/>
      <c r="AJ120" s="977"/>
      <c r="AK120" s="978"/>
      <c r="AU120" s="755"/>
      <c r="AV120" s="755"/>
      <c r="AW120" s="755"/>
    </row>
    <row r="121" spans="1:49" ht="15" customHeight="1">
      <c r="A121" s="758"/>
      <c r="B121" s="1479"/>
      <c r="C121" s="1479"/>
      <c r="D121" s="1479"/>
      <c r="E121" s="973"/>
      <c r="F121" s="973"/>
      <c r="G121" s="972"/>
      <c r="H121" s="972"/>
      <c r="I121" s="972"/>
      <c r="J121" s="972"/>
      <c r="K121" s="972"/>
      <c r="L121" s="972"/>
      <c r="M121" s="972"/>
      <c r="N121" s="973"/>
      <c r="O121" s="972"/>
      <c r="P121" s="972"/>
      <c r="Q121" s="973"/>
      <c r="R121" s="973"/>
      <c r="S121" s="1104"/>
      <c r="T121" s="947"/>
      <c r="U121" s="947"/>
      <c r="V121" s="947"/>
      <c r="W121" s="947"/>
      <c r="X121" s="947"/>
      <c r="Y121" s="947"/>
      <c r="Z121" s="974"/>
      <c r="AA121" s="975"/>
      <c r="AB121" s="975"/>
      <c r="AC121" s="975"/>
      <c r="AD121" s="975"/>
      <c r="AE121" s="926"/>
      <c r="AF121" s="927"/>
      <c r="AG121" s="926"/>
      <c r="AH121" s="976"/>
      <c r="AI121" s="891"/>
      <c r="AJ121" s="977"/>
      <c r="AK121" s="978"/>
      <c r="AU121" s="755"/>
      <c r="AV121" s="755"/>
      <c r="AW121" s="755"/>
    </row>
    <row r="122" spans="1:49" ht="15" customHeight="1">
      <c r="A122" s="758"/>
      <c r="B122" s="1479"/>
      <c r="C122" s="1479"/>
      <c r="D122" s="1479"/>
      <c r="E122" s="973"/>
      <c r="F122" s="973"/>
      <c r="G122" s="972"/>
      <c r="H122" s="972"/>
      <c r="I122" s="972"/>
      <c r="J122" s="979"/>
      <c r="K122" s="979"/>
      <c r="L122" s="979"/>
      <c r="M122" s="972"/>
      <c r="N122" s="973"/>
      <c r="O122" s="972"/>
      <c r="P122" s="972"/>
      <c r="Q122" s="973"/>
      <c r="R122" s="973"/>
      <c r="S122" s="1104"/>
      <c r="T122" s="947"/>
      <c r="U122" s="947"/>
      <c r="V122" s="947"/>
      <c r="W122" s="947"/>
      <c r="X122" s="947"/>
      <c r="Y122" s="947"/>
      <c r="Z122" s="974"/>
      <c r="AA122" s="975"/>
      <c r="AB122" s="975"/>
      <c r="AC122" s="975"/>
      <c r="AD122" s="975"/>
      <c r="AE122" s="926"/>
      <c r="AF122" s="927"/>
      <c r="AG122" s="926"/>
      <c r="AH122" s="976"/>
      <c r="AI122" s="891"/>
      <c r="AJ122" s="977"/>
      <c r="AK122" s="758"/>
      <c r="AU122" s="755"/>
      <c r="AV122" s="755"/>
      <c r="AW122" s="755"/>
    </row>
    <row r="123" spans="1:49" ht="15" customHeight="1">
      <c r="A123" s="758"/>
      <c r="B123" s="1479"/>
      <c r="C123" s="1479"/>
      <c r="D123" s="1479"/>
      <c r="E123" s="973"/>
      <c r="F123" s="973"/>
      <c r="G123" s="972"/>
      <c r="H123" s="972"/>
      <c r="I123" s="972"/>
      <c r="J123" s="972"/>
      <c r="K123" s="972"/>
      <c r="L123" s="972"/>
      <c r="M123" s="972"/>
      <c r="N123" s="973"/>
      <c r="O123" s="972"/>
      <c r="P123" s="972"/>
      <c r="Q123" s="973"/>
      <c r="R123" s="973"/>
      <c r="S123" s="1104"/>
      <c r="T123" s="947"/>
      <c r="U123" s="947"/>
      <c r="V123" s="947"/>
      <c r="W123" s="947"/>
      <c r="X123" s="947"/>
      <c r="Y123" s="947"/>
      <c r="Z123" s="974"/>
      <c r="AA123" s="975"/>
      <c r="AB123" s="975"/>
      <c r="AC123" s="975"/>
      <c r="AD123" s="975"/>
      <c r="AE123" s="926"/>
      <c r="AF123" s="927"/>
      <c r="AG123" s="926"/>
      <c r="AH123" s="976"/>
      <c r="AI123" s="891"/>
      <c r="AJ123" s="977"/>
      <c r="AK123" s="758"/>
      <c r="AU123" s="755"/>
      <c r="AV123" s="755"/>
      <c r="AW123" s="755"/>
    </row>
    <row r="124" spans="1:49" ht="15" customHeight="1">
      <c r="A124" s="758"/>
      <c r="B124" s="1478"/>
      <c r="C124" s="1478"/>
      <c r="D124" s="1478"/>
      <c r="E124" s="980"/>
      <c r="F124" s="980"/>
      <c r="G124" s="979"/>
      <c r="H124" s="979"/>
      <c r="I124" s="979"/>
      <c r="J124" s="979"/>
      <c r="K124" s="979"/>
      <c r="L124" s="979"/>
      <c r="M124" s="979"/>
      <c r="N124" s="980"/>
      <c r="O124" s="979"/>
      <c r="P124" s="979"/>
      <c r="Q124" s="980"/>
      <c r="R124" s="980"/>
      <c r="S124" s="1104"/>
      <c r="T124" s="947"/>
      <c r="U124" s="947"/>
      <c r="V124" s="947"/>
      <c r="W124" s="947"/>
      <c r="X124" s="947"/>
      <c r="Y124" s="947"/>
      <c r="Z124" s="974"/>
      <c r="AA124" s="975"/>
      <c r="AB124" s="975"/>
      <c r="AC124" s="975"/>
      <c r="AD124" s="975"/>
      <c r="AE124" s="926"/>
      <c r="AF124" s="927"/>
      <c r="AG124" s="926"/>
      <c r="AH124" s="976"/>
      <c r="AI124" s="891"/>
      <c r="AJ124" s="977"/>
      <c r="AK124" s="758"/>
      <c r="AU124" s="755"/>
      <c r="AV124" s="755"/>
      <c r="AW124" s="755"/>
    </row>
    <row r="125" spans="1:49" ht="15" customHeight="1">
      <c r="A125" s="758"/>
      <c r="B125" s="1479"/>
      <c r="C125" s="1479"/>
      <c r="D125" s="1479"/>
      <c r="E125" s="973"/>
      <c r="F125" s="973"/>
      <c r="G125" s="972"/>
      <c r="H125" s="979"/>
      <c r="I125" s="979"/>
      <c r="J125" s="979"/>
      <c r="K125" s="979"/>
      <c r="L125" s="979"/>
      <c r="M125" s="972"/>
      <c r="N125" s="980"/>
      <c r="O125" s="972"/>
      <c r="P125" s="972"/>
      <c r="Q125" s="973"/>
      <c r="R125" s="973"/>
      <c r="S125" s="1104"/>
      <c r="T125" s="947"/>
      <c r="U125" s="947"/>
      <c r="V125" s="947"/>
      <c r="W125" s="947"/>
      <c r="X125" s="947"/>
      <c r="Y125" s="947"/>
      <c r="Z125" s="974"/>
      <c r="AA125" s="975"/>
      <c r="AB125" s="975"/>
      <c r="AC125" s="975"/>
      <c r="AD125" s="975"/>
      <c r="AE125" s="926"/>
      <c r="AF125" s="927"/>
      <c r="AG125" s="926"/>
      <c r="AH125" s="976"/>
      <c r="AI125" s="891"/>
      <c r="AJ125" s="977"/>
      <c r="AK125" s="758"/>
      <c r="AU125" s="755"/>
      <c r="AV125" s="755"/>
      <c r="AW125" s="755"/>
    </row>
    <row r="126" spans="1:49" ht="15" customHeight="1">
      <c r="A126" s="758"/>
      <c r="B126" s="1479"/>
      <c r="C126" s="1479"/>
      <c r="D126" s="1479"/>
      <c r="E126" s="973"/>
      <c r="F126" s="973"/>
      <c r="G126" s="972"/>
      <c r="H126" s="972"/>
      <c r="I126" s="972"/>
      <c r="J126" s="972"/>
      <c r="K126" s="972"/>
      <c r="L126" s="972"/>
      <c r="M126" s="972"/>
      <c r="N126" s="980"/>
      <c r="O126" s="972"/>
      <c r="P126" s="972"/>
      <c r="Q126" s="973"/>
      <c r="R126" s="973"/>
      <c r="S126" s="1104"/>
      <c r="T126" s="947"/>
      <c r="U126" s="947"/>
      <c r="V126" s="947"/>
      <c r="W126" s="947"/>
      <c r="X126" s="947"/>
      <c r="Y126" s="947"/>
      <c r="Z126" s="974"/>
      <c r="AA126" s="975"/>
      <c r="AB126" s="975"/>
      <c r="AC126" s="975"/>
      <c r="AD126" s="975"/>
      <c r="AE126" s="926"/>
      <c r="AF126" s="927"/>
      <c r="AG126" s="926"/>
      <c r="AH126" s="976"/>
      <c r="AI126" s="891"/>
      <c r="AJ126" s="977"/>
      <c r="AK126" s="758"/>
      <c r="AU126" s="755"/>
      <c r="AV126" s="755"/>
      <c r="AW126" s="755"/>
    </row>
    <row r="127" spans="1:49" ht="15" customHeight="1">
      <c r="A127" s="758"/>
      <c r="B127" s="1479"/>
      <c r="C127" s="1479"/>
      <c r="D127" s="1479"/>
      <c r="E127" s="973"/>
      <c r="F127" s="973"/>
      <c r="G127" s="972"/>
      <c r="H127" s="972"/>
      <c r="I127" s="972"/>
      <c r="J127" s="979"/>
      <c r="K127" s="979"/>
      <c r="L127" s="979"/>
      <c r="M127" s="972"/>
      <c r="N127" s="980"/>
      <c r="O127" s="972"/>
      <c r="P127" s="972"/>
      <c r="Q127" s="973"/>
      <c r="R127" s="973"/>
      <c r="S127" s="1104"/>
      <c r="T127" s="947"/>
      <c r="U127" s="947"/>
      <c r="V127" s="947"/>
      <c r="W127" s="947"/>
      <c r="X127" s="947"/>
      <c r="Y127" s="947"/>
      <c r="Z127" s="974"/>
      <c r="AA127" s="975"/>
      <c r="AB127" s="975"/>
      <c r="AC127" s="975"/>
      <c r="AD127" s="975"/>
      <c r="AE127" s="926"/>
      <c r="AF127" s="927"/>
      <c r="AG127" s="926"/>
      <c r="AH127" s="976"/>
      <c r="AI127" s="891"/>
      <c r="AJ127" s="977"/>
      <c r="AK127" s="758"/>
      <c r="AU127" s="755"/>
      <c r="AV127" s="755"/>
      <c r="AW127" s="755"/>
    </row>
    <row r="128" spans="1:49" ht="15" customHeight="1">
      <c r="A128" s="758"/>
      <c r="B128" s="1479"/>
      <c r="C128" s="1479"/>
      <c r="D128" s="1479"/>
      <c r="E128" s="973"/>
      <c r="F128" s="973"/>
      <c r="G128" s="972"/>
      <c r="H128" s="972"/>
      <c r="I128" s="972"/>
      <c r="J128" s="972"/>
      <c r="K128" s="972"/>
      <c r="L128" s="972"/>
      <c r="M128" s="972"/>
      <c r="N128" s="980"/>
      <c r="O128" s="972"/>
      <c r="P128" s="972"/>
      <c r="Q128" s="973"/>
      <c r="R128" s="973"/>
      <c r="S128" s="1104"/>
      <c r="T128" s="947"/>
      <c r="U128" s="947"/>
      <c r="V128" s="947"/>
      <c r="W128" s="947"/>
      <c r="X128" s="947"/>
      <c r="Y128" s="947"/>
      <c r="Z128" s="974"/>
      <c r="AA128" s="975"/>
      <c r="AB128" s="975"/>
      <c r="AC128" s="975"/>
      <c r="AD128" s="975"/>
      <c r="AE128" s="926"/>
      <c r="AF128" s="927"/>
      <c r="AG128" s="926"/>
      <c r="AH128" s="976"/>
      <c r="AI128" s="891"/>
      <c r="AJ128" s="977"/>
      <c r="AK128" s="758"/>
      <c r="AU128" s="755"/>
      <c r="AV128" s="755"/>
      <c r="AW128" s="755"/>
    </row>
    <row r="129" spans="1:50" ht="15" customHeight="1">
      <c r="A129" s="758"/>
      <c r="B129" s="1479"/>
      <c r="C129" s="1479"/>
      <c r="D129" s="1479"/>
      <c r="E129" s="973"/>
      <c r="F129" s="973"/>
      <c r="G129" s="972"/>
      <c r="H129" s="972"/>
      <c r="I129" s="972"/>
      <c r="J129" s="972"/>
      <c r="K129" s="972"/>
      <c r="L129" s="972"/>
      <c r="M129" s="972"/>
      <c r="N129" s="980"/>
      <c r="O129" s="979"/>
      <c r="P129" s="972"/>
      <c r="Q129" s="973"/>
      <c r="R129" s="973"/>
      <c r="S129" s="1104"/>
      <c r="T129" s="947"/>
      <c r="U129" s="947"/>
      <c r="V129" s="947"/>
      <c r="W129" s="947"/>
      <c r="X129" s="947"/>
      <c r="Y129" s="947"/>
      <c r="Z129" s="974"/>
      <c r="AA129" s="975"/>
      <c r="AB129" s="975"/>
      <c r="AC129" s="975"/>
      <c r="AD129" s="975"/>
      <c r="AE129" s="926"/>
      <c r="AF129" s="927"/>
      <c r="AG129" s="926"/>
      <c r="AH129" s="976"/>
      <c r="AI129" s="891"/>
      <c r="AJ129" s="977"/>
      <c r="AK129" s="758"/>
      <c r="AU129" s="755"/>
      <c r="AV129" s="755"/>
      <c r="AW129" s="755"/>
    </row>
    <row r="130" spans="1:50" ht="15" customHeight="1">
      <c r="A130" s="758"/>
      <c r="B130" s="1479"/>
      <c r="C130" s="1479"/>
      <c r="D130" s="1479"/>
      <c r="E130" s="973"/>
      <c r="F130" s="973"/>
      <c r="G130" s="972"/>
      <c r="H130" s="972"/>
      <c r="I130" s="972"/>
      <c r="J130" s="972"/>
      <c r="K130" s="972"/>
      <c r="L130" s="972"/>
      <c r="M130" s="972"/>
      <c r="N130" s="973"/>
      <c r="O130" s="979"/>
      <c r="P130" s="979"/>
      <c r="Q130" s="973"/>
      <c r="R130" s="973"/>
      <c r="S130" s="1104"/>
      <c r="T130" s="947"/>
      <c r="U130" s="947"/>
      <c r="V130" s="947"/>
      <c r="W130" s="947"/>
      <c r="X130" s="947"/>
      <c r="Y130" s="947"/>
      <c r="Z130" s="974"/>
      <c r="AA130" s="975"/>
      <c r="AB130" s="975"/>
      <c r="AC130" s="975"/>
      <c r="AD130" s="975"/>
      <c r="AE130" s="926"/>
      <c r="AF130" s="927"/>
      <c r="AG130" s="926"/>
      <c r="AH130" s="976"/>
      <c r="AI130" s="891"/>
      <c r="AJ130" s="977"/>
      <c r="AK130" s="758"/>
      <c r="AU130" s="755"/>
      <c r="AV130" s="755"/>
      <c r="AW130" s="755"/>
    </row>
    <row r="131" spans="1:50" ht="15" customHeight="1">
      <c r="A131" s="758"/>
      <c r="B131" s="1479"/>
      <c r="C131" s="1479"/>
      <c r="D131" s="1479"/>
      <c r="E131" s="973"/>
      <c r="F131" s="973"/>
      <c r="G131" s="972"/>
      <c r="H131" s="972"/>
      <c r="I131" s="972"/>
      <c r="J131" s="972"/>
      <c r="K131" s="972"/>
      <c r="L131" s="972"/>
      <c r="M131" s="972"/>
      <c r="N131" s="973"/>
      <c r="O131" s="979"/>
      <c r="P131" s="979"/>
      <c r="Q131" s="973"/>
      <c r="R131" s="973"/>
      <c r="S131" s="1104"/>
      <c r="T131" s="947"/>
      <c r="U131" s="947"/>
      <c r="V131" s="947"/>
      <c r="W131" s="947"/>
      <c r="X131" s="947"/>
      <c r="Y131" s="947"/>
      <c r="Z131" s="974"/>
      <c r="AA131" s="975"/>
      <c r="AB131" s="975"/>
      <c r="AC131" s="975"/>
      <c r="AD131" s="975"/>
      <c r="AE131" s="926"/>
      <c r="AF131" s="927"/>
      <c r="AG131" s="926"/>
      <c r="AH131" s="976"/>
      <c r="AI131" s="891"/>
      <c r="AJ131" s="977"/>
      <c r="AK131" s="758"/>
      <c r="AU131" s="755"/>
      <c r="AV131" s="755"/>
      <c r="AW131" s="755"/>
    </row>
    <row r="132" spans="1:50" ht="15" customHeight="1">
      <c r="A132" s="758"/>
      <c r="B132" s="1479"/>
      <c r="C132" s="1479"/>
      <c r="D132" s="1479"/>
      <c r="E132" s="973"/>
      <c r="F132" s="973"/>
      <c r="G132" s="972"/>
      <c r="H132" s="972"/>
      <c r="I132" s="972"/>
      <c r="J132" s="972"/>
      <c r="K132" s="972"/>
      <c r="L132" s="972"/>
      <c r="M132" s="972"/>
      <c r="N132" s="973"/>
      <c r="O132" s="979"/>
      <c r="P132" s="979"/>
      <c r="Q132" s="973"/>
      <c r="R132" s="973"/>
      <c r="S132" s="1104"/>
      <c r="T132" s="947"/>
      <c r="U132" s="903"/>
      <c r="V132" s="947"/>
      <c r="W132" s="947"/>
      <c r="X132" s="947"/>
      <c r="Y132" s="947"/>
      <c r="Z132" s="758"/>
      <c r="AA132" s="758"/>
      <c r="AB132" s="758"/>
      <c r="AC132" s="758"/>
      <c r="AD132" s="758"/>
      <c r="AE132" s="758"/>
      <c r="AF132" s="758"/>
      <c r="AG132" s="758"/>
      <c r="AH132" s="758"/>
      <c r="AI132" s="891"/>
      <c r="AJ132" s="758"/>
      <c r="AK132" s="758"/>
      <c r="AS132" s="755"/>
      <c r="AT132" s="755"/>
      <c r="AU132" s="755"/>
    </row>
    <row r="133" spans="1:50" ht="15" customHeight="1">
      <c r="A133" s="758"/>
      <c r="B133" s="1479"/>
      <c r="C133" s="1479"/>
      <c r="D133" s="1479"/>
      <c r="E133" s="973"/>
      <c r="F133" s="973"/>
      <c r="G133" s="972"/>
      <c r="H133" s="972"/>
      <c r="I133" s="972"/>
      <c r="J133" s="972"/>
      <c r="K133" s="972"/>
      <c r="L133" s="972"/>
      <c r="M133" s="972"/>
      <c r="N133" s="973"/>
      <c r="O133" s="972"/>
      <c r="P133" s="972"/>
      <c r="Q133" s="973"/>
      <c r="R133" s="973"/>
      <c r="S133" s="1104"/>
      <c r="T133" s="947"/>
      <c r="U133" s="947"/>
      <c r="V133" s="947"/>
      <c r="W133" s="947"/>
      <c r="X133" s="947"/>
      <c r="Y133" s="947"/>
      <c r="Z133" s="967"/>
      <c r="AA133" s="758"/>
      <c r="AB133" s="758"/>
      <c r="AC133" s="758"/>
      <c r="AD133" s="758"/>
      <c r="AE133" s="967"/>
      <c r="AF133" s="758"/>
      <c r="AG133" s="758"/>
      <c r="AH133" s="758"/>
      <c r="AI133" s="891"/>
      <c r="AJ133" s="758"/>
      <c r="AK133" s="758"/>
      <c r="AV133" s="755"/>
      <c r="AW133" s="755"/>
      <c r="AX133" s="755"/>
    </row>
    <row r="134" spans="1:50" ht="15" customHeight="1">
      <c r="A134" s="758"/>
      <c r="B134" s="1354"/>
      <c r="C134" s="1354"/>
      <c r="D134" s="1354"/>
      <c r="E134" s="981"/>
      <c r="F134" s="981"/>
      <c r="G134" s="922"/>
      <c r="H134" s="922"/>
      <c r="I134" s="922"/>
      <c r="J134" s="922"/>
      <c r="K134" s="922"/>
      <c r="L134" s="922"/>
      <c r="M134" s="922"/>
      <c r="N134" s="981"/>
      <c r="O134" s="922"/>
      <c r="P134" s="922"/>
      <c r="Q134" s="981"/>
      <c r="R134" s="981"/>
      <c r="S134" s="1104"/>
      <c r="T134" s="947"/>
      <c r="U134" s="903"/>
      <c r="V134" s="947"/>
      <c r="W134" s="947"/>
      <c r="X134" s="947"/>
      <c r="Y134" s="947"/>
      <c r="Z134" s="758"/>
      <c r="AA134" s="982"/>
      <c r="AB134" s="917"/>
      <c r="AC134" s="917"/>
      <c r="AD134" s="917"/>
      <c r="AE134" s="969"/>
      <c r="AF134" s="947"/>
      <c r="AG134" s="758"/>
      <c r="AH134" s="758"/>
      <c r="AI134" s="758"/>
      <c r="AJ134" s="758"/>
      <c r="AK134" s="758"/>
    </row>
    <row r="135" spans="1:50" ht="15" customHeight="1">
      <c r="A135" s="758"/>
      <c r="B135" s="1354"/>
      <c r="C135" s="1354"/>
      <c r="D135" s="1354"/>
      <c r="E135" s="981"/>
      <c r="F135" s="981"/>
      <c r="G135" s="922"/>
      <c r="H135" s="922"/>
      <c r="I135" s="922"/>
      <c r="J135" s="922"/>
      <c r="K135" s="922"/>
      <c r="L135" s="922"/>
      <c r="M135" s="922"/>
      <c r="N135" s="981"/>
      <c r="O135" s="922"/>
      <c r="P135" s="922"/>
      <c r="Q135" s="981"/>
      <c r="R135" s="981"/>
      <c r="S135" s="1104"/>
      <c r="T135" s="983"/>
      <c r="U135" s="983"/>
      <c r="V135" s="947"/>
      <c r="W135" s="947"/>
      <c r="X135" s="947"/>
      <c r="Y135" s="947"/>
      <c r="Z135" s="758"/>
      <c r="AA135" s="982"/>
      <c r="AB135" s="917"/>
      <c r="AC135" s="917"/>
      <c r="AD135" s="917"/>
      <c r="AE135" s="758"/>
      <c r="AF135" s="947"/>
      <c r="AG135" s="758"/>
      <c r="AH135" s="758"/>
      <c r="AI135" s="758"/>
      <c r="AJ135" s="758"/>
      <c r="AK135" s="758"/>
    </row>
    <row r="136" spans="1:50" ht="15" customHeight="1">
      <c r="A136" s="758"/>
      <c r="B136" s="1354"/>
      <c r="C136" s="874"/>
      <c r="D136" s="874"/>
      <c r="E136" s="981"/>
      <c r="F136" s="981"/>
      <c r="G136" s="922"/>
      <c r="H136" s="922"/>
      <c r="I136" s="922"/>
      <c r="J136" s="922"/>
      <c r="K136" s="922"/>
      <c r="L136" s="922"/>
      <c r="M136" s="922"/>
      <c r="N136" s="981"/>
      <c r="O136" s="922"/>
      <c r="P136" s="922"/>
      <c r="Q136" s="981"/>
      <c r="R136" s="981"/>
      <c r="S136" s="1104"/>
      <c r="T136" s="947"/>
      <c r="U136" s="947"/>
      <c r="V136" s="947"/>
      <c r="W136" s="947"/>
      <c r="X136" s="947"/>
      <c r="Y136" s="947"/>
      <c r="Z136" s="758"/>
      <c r="AA136" s="982"/>
      <c r="AB136" s="917"/>
      <c r="AC136" s="917"/>
      <c r="AD136" s="917"/>
      <c r="AE136" s="758"/>
      <c r="AF136" s="947"/>
      <c r="AG136" s="758"/>
      <c r="AH136" s="758"/>
      <c r="AI136" s="758"/>
      <c r="AJ136" s="758"/>
      <c r="AK136" s="758"/>
    </row>
    <row r="137" spans="1:50" ht="15" customHeight="1">
      <c r="A137" s="758"/>
      <c r="B137" s="1354"/>
      <c r="C137" s="874"/>
      <c r="D137" s="874"/>
      <c r="E137" s="981"/>
      <c r="F137" s="981"/>
      <c r="G137" s="922"/>
      <c r="H137" s="922"/>
      <c r="I137" s="922"/>
      <c r="J137" s="922"/>
      <c r="K137" s="922"/>
      <c r="L137" s="922"/>
      <c r="M137" s="922"/>
      <c r="N137" s="981"/>
      <c r="O137" s="922"/>
      <c r="P137" s="922"/>
      <c r="Q137" s="981"/>
      <c r="R137" s="981"/>
      <c r="S137" s="1104"/>
      <c r="T137" s="947"/>
      <c r="U137" s="947"/>
      <c r="V137" s="947"/>
      <c r="W137" s="947"/>
      <c r="X137" s="947"/>
      <c r="Y137" s="947"/>
      <c r="Z137" s="758"/>
      <c r="AA137" s="982"/>
      <c r="AB137" s="917"/>
      <c r="AC137" s="917"/>
      <c r="AD137" s="917"/>
      <c r="AE137" s="758"/>
      <c r="AF137" s="947"/>
      <c r="AG137" s="758"/>
      <c r="AH137" s="758"/>
      <c r="AI137" s="758"/>
      <c r="AJ137" s="758"/>
      <c r="AK137" s="758"/>
    </row>
    <row r="138" spans="1:50" ht="15" customHeight="1">
      <c r="A138" s="758"/>
      <c r="B138" s="1354"/>
      <c r="C138" s="1354"/>
      <c r="D138" s="1354"/>
      <c r="E138" s="981"/>
      <c r="F138" s="981"/>
      <c r="G138" s="922"/>
      <c r="H138" s="922"/>
      <c r="I138" s="922"/>
      <c r="J138" s="922"/>
      <c r="K138" s="922"/>
      <c r="L138" s="922"/>
      <c r="M138" s="922"/>
      <c r="N138" s="981"/>
      <c r="O138" s="922"/>
      <c r="P138" s="922"/>
      <c r="Q138" s="981"/>
      <c r="R138" s="981"/>
      <c r="S138" s="1104"/>
      <c r="T138" s="947"/>
      <c r="U138" s="947"/>
      <c r="V138" s="947"/>
      <c r="W138" s="947"/>
      <c r="X138" s="947"/>
      <c r="Y138" s="947"/>
      <c r="Z138" s="758"/>
      <c r="AA138" s="982"/>
      <c r="AB138" s="917"/>
      <c r="AC138" s="917"/>
      <c r="AD138" s="917"/>
      <c r="AE138" s="758"/>
      <c r="AF138" s="947"/>
      <c r="AG138" s="758"/>
      <c r="AH138" s="758"/>
      <c r="AI138" s="758"/>
      <c r="AJ138" s="758"/>
      <c r="AK138" s="758"/>
    </row>
    <row r="139" spans="1:50" ht="15" customHeight="1">
      <c r="A139" s="758"/>
      <c r="B139" s="1354"/>
      <c r="C139" s="874"/>
      <c r="D139" s="874"/>
      <c r="E139" s="984"/>
      <c r="F139" s="984"/>
      <c r="G139" s="874"/>
      <c r="H139" s="874"/>
      <c r="I139" s="874"/>
      <c r="J139" s="874"/>
      <c r="K139" s="874"/>
      <c r="L139" s="874"/>
      <c r="M139" s="874"/>
      <c r="N139" s="984"/>
      <c r="O139" s="874"/>
      <c r="P139" s="874"/>
      <c r="Q139" s="984"/>
      <c r="R139" s="984"/>
      <c r="S139" s="1104"/>
      <c r="T139" s="947"/>
      <c r="U139" s="947"/>
      <c r="V139" s="947"/>
      <c r="W139" s="947"/>
      <c r="X139" s="947"/>
      <c r="Y139" s="947"/>
      <c r="Z139" s="758"/>
      <c r="AA139" s="982"/>
      <c r="AB139" s="917"/>
      <c r="AC139" s="917"/>
      <c r="AD139" s="917"/>
      <c r="AE139" s="758"/>
      <c r="AF139" s="947"/>
      <c r="AG139" s="758"/>
      <c r="AH139" s="758"/>
      <c r="AI139" s="758"/>
      <c r="AJ139" s="758"/>
      <c r="AK139" s="758"/>
    </row>
    <row r="140" spans="1:50" ht="15" customHeight="1">
      <c r="A140" s="758"/>
      <c r="B140" s="1354"/>
      <c r="C140" s="874"/>
      <c r="D140" s="874"/>
      <c r="E140" s="984"/>
      <c r="F140" s="984"/>
      <c r="G140" s="874"/>
      <c r="H140" s="874"/>
      <c r="I140" s="874"/>
      <c r="J140" s="874"/>
      <c r="K140" s="874"/>
      <c r="L140" s="874"/>
      <c r="M140" s="874"/>
      <c r="N140" s="984"/>
      <c r="O140" s="874"/>
      <c r="P140" s="874"/>
      <c r="Q140" s="984"/>
      <c r="R140" s="984"/>
      <c r="S140" s="1104"/>
      <c r="T140" s="947"/>
      <c r="U140" s="947"/>
      <c r="V140" s="947"/>
      <c r="W140" s="947"/>
      <c r="X140" s="947"/>
      <c r="Y140" s="947"/>
      <c r="Z140" s="758"/>
      <c r="AA140" s="982"/>
      <c r="AB140" s="917"/>
      <c r="AC140" s="917"/>
      <c r="AD140" s="917"/>
      <c r="AE140" s="758"/>
      <c r="AF140" s="758"/>
      <c r="AG140" s="758"/>
      <c r="AH140" s="758"/>
      <c r="AI140" s="758"/>
      <c r="AJ140" s="758"/>
      <c r="AK140" s="758"/>
    </row>
    <row r="141" spans="1:50" ht="15" customHeight="1">
      <c r="A141" s="758"/>
      <c r="B141" s="1406"/>
      <c r="C141" s="893"/>
      <c r="D141" s="919"/>
      <c r="E141" s="874"/>
      <c r="F141" s="874"/>
      <c r="G141" s="874"/>
      <c r="H141" s="874"/>
      <c r="I141" s="874"/>
      <c r="J141" s="874"/>
      <c r="K141" s="874"/>
      <c r="L141" s="874"/>
      <c r="M141" s="874"/>
      <c r="N141" s="874"/>
      <c r="O141" s="874"/>
      <c r="P141" s="874"/>
      <c r="Q141" s="874"/>
      <c r="R141" s="874"/>
      <c r="S141" s="1104"/>
      <c r="T141" s="947"/>
      <c r="U141" s="947"/>
      <c r="V141" s="947"/>
      <c r="W141" s="947"/>
      <c r="X141" s="947"/>
      <c r="Y141" s="947"/>
      <c r="Z141" s="758"/>
      <c r="AA141" s="982"/>
      <c r="AB141" s="917"/>
      <c r="AC141" s="917"/>
      <c r="AD141" s="917"/>
      <c r="AE141" s="758"/>
      <c r="AF141" s="758"/>
      <c r="AG141" s="758"/>
      <c r="AH141" s="758"/>
      <c r="AI141" s="758"/>
      <c r="AJ141" s="758"/>
      <c r="AK141" s="758"/>
    </row>
    <row r="142" spans="1:50" ht="15" customHeight="1">
      <c r="A142" s="758"/>
      <c r="B142" s="1406"/>
      <c r="C142" s="893"/>
      <c r="D142" s="919"/>
      <c r="E142" s="874"/>
      <c r="F142" s="874"/>
      <c r="G142" s="874"/>
      <c r="H142" s="874"/>
      <c r="I142" s="874"/>
      <c r="J142" s="874"/>
      <c r="K142" s="874"/>
      <c r="L142" s="874"/>
      <c r="M142" s="874"/>
      <c r="N142" s="874"/>
      <c r="O142" s="874"/>
      <c r="P142" s="874"/>
      <c r="Q142" s="874"/>
      <c r="R142" s="874"/>
      <c r="S142" s="1104"/>
      <c r="T142" s="947"/>
      <c r="U142" s="947"/>
      <c r="V142" s="947"/>
      <c r="W142" s="947"/>
      <c r="X142" s="947"/>
      <c r="Y142" s="947"/>
      <c r="Z142" s="758"/>
      <c r="AA142" s="982"/>
      <c r="AB142" s="917"/>
      <c r="AC142" s="917"/>
      <c r="AD142" s="917"/>
      <c r="AE142" s="758"/>
      <c r="AF142" s="758"/>
      <c r="AG142" s="758"/>
      <c r="AH142" s="758"/>
      <c r="AI142" s="758"/>
      <c r="AJ142" s="758"/>
      <c r="AK142" s="758"/>
    </row>
    <row r="143" spans="1:50" ht="15" customHeight="1">
      <c r="A143" s="758"/>
      <c r="B143" s="1406"/>
      <c r="C143" s="893"/>
      <c r="D143" s="919"/>
      <c r="E143" s="874"/>
      <c r="F143" s="874"/>
      <c r="G143" s="874"/>
      <c r="H143" s="874"/>
      <c r="I143" s="874"/>
      <c r="J143" s="874"/>
      <c r="K143" s="874"/>
      <c r="L143" s="874"/>
      <c r="M143" s="874"/>
      <c r="N143" s="874"/>
      <c r="O143" s="874"/>
      <c r="P143" s="874"/>
      <c r="Q143" s="874"/>
      <c r="R143" s="874"/>
      <c r="S143" s="1104"/>
      <c r="T143" s="947"/>
      <c r="U143" s="947"/>
      <c r="V143" s="947"/>
      <c r="W143" s="947"/>
      <c r="X143" s="947"/>
      <c r="Y143" s="947"/>
      <c r="Z143" s="758"/>
      <c r="AA143" s="982"/>
      <c r="AB143" s="917"/>
      <c r="AC143" s="917"/>
      <c r="AD143" s="917"/>
      <c r="AE143" s="758"/>
      <c r="AF143" s="758"/>
      <c r="AG143" s="758"/>
      <c r="AH143" s="758"/>
      <c r="AI143" s="758"/>
      <c r="AJ143" s="758"/>
      <c r="AK143" s="758"/>
    </row>
    <row r="144" spans="1:50" ht="15" customHeight="1">
      <c r="A144" s="758"/>
      <c r="B144" s="758"/>
      <c r="C144" s="758"/>
      <c r="D144" s="919"/>
      <c r="E144" s="758"/>
      <c r="F144" s="758"/>
      <c r="G144" s="758"/>
      <c r="H144" s="758"/>
      <c r="I144" s="758"/>
      <c r="J144" s="758"/>
      <c r="K144" s="758"/>
      <c r="L144" s="758"/>
      <c r="M144" s="921"/>
      <c r="N144" s="758"/>
      <c r="O144" s="874"/>
      <c r="P144" s="874"/>
      <c r="Q144" s="927"/>
      <c r="R144" s="927"/>
      <c r="S144" s="1104"/>
      <c r="T144" s="947"/>
      <c r="U144" s="947"/>
      <c r="V144" s="947"/>
      <c r="W144" s="947"/>
      <c r="X144" s="947"/>
      <c r="Y144" s="947"/>
      <c r="Z144" s="758"/>
      <c r="AA144" s="982"/>
      <c r="AB144" s="917"/>
      <c r="AC144" s="917"/>
      <c r="AD144" s="917"/>
      <c r="AE144" s="758"/>
      <c r="AF144" s="758"/>
      <c r="AG144" s="758"/>
      <c r="AH144" s="758"/>
      <c r="AI144" s="758"/>
      <c r="AJ144" s="758"/>
      <c r="AK144" s="758"/>
    </row>
    <row r="145" spans="1:37" ht="15" customHeight="1">
      <c r="A145" s="758"/>
      <c r="B145" s="758"/>
      <c r="C145" s="758"/>
      <c r="D145" s="758"/>
      <c r="E145" s="758"/>
      <c r="F145" s="758"/>
      <c r="G145" s="758"/>
      <c r="H145" s="758"/>
      <c r="I145" s="758"/>
      <c r="J145" s="758"/>
      <c r="K145" s="758"/>
      <c r="L145" s="758"/>
      <c r="M145" s="921"/>
      <c r="N145" s="758"/>
      <c r="O145" s="874"/>
      <c r="P145" s="874"/>
      <c r="Q145" s="927"/>
      <c r="R145" s="927"/>
      <c r="S145" s="1104"/>
      <c r="T145" s="927"/>
      <c r="U145" s="876"/>
      <c r="V145" s="969"/>
      <c r="W145" s="969"/>
      <c r="X145" s="969"/>
      <c r="Y145" s="969"/>
      <c r="Z145" s="758"/>
      <c r="AA145" s="982"/>
      <c r="AB145" s="917"/>
      <c r="AC145" s="917"/>
      <c r="AD145" s="917"/>
      <c r="AE145" s="758"/>
      <c r="AF145" s="758"/>
      <c r="AG145" s="758"/>
      <c r="AH145" s="758"/>
      <c r="AI145" s="758"/>
      <c r="AJ145" s="758"/>
      <c r="AK145" s="758"/>
    </row>
    <row r="146" spans="1:37" ht="15" customHeight="1">
      <c r="A146" s="758"/>
      <c r="B146" s="758"/>
      <c r="C146" s="758"/>
      <c r="D146" s="758"/>
      <c r="E146" s="758"/>
      <c r="F146" s="758"/>
      <c r="G146" s="758"/>
      <c r="H146" s="758"/>
      <c r="I146" s="758"/>
      <c r="J146" s="758"/>
      <c r="K146" s="758"/>
      <c r="L146" s="758"/>
      <c r="M146" s="921"/>
      <c r="N146" s="758"/>
      <c r="O146" s="874"/>
      <c r="P146" s="874"/>
      <c r="Q146" s="927"/>
      <c r="R146" s="927"/>
      <c r="S146" s="1104"/>
      <c r="T146" s="927"/>
      <c r="U146" s="876"/>
      <c r="V146" s="969"/>
      <c r="W146" s="969"/>
      <c r="X146" s="969"/>
      <c r="Y146" s="969"/>
      <c r="Z146" s="758"/>
      <c r="AA146" s="982"/>
      <c r="AB146" s="917"/>
      <c r="AC146" s="917"/>
      <c r="AD146" s="917"/>
      <c r="AE146" s="758"/>
      <c r="AF146" s="758"/>
      <c r="AG146" s="758"/>
      <c r="AH146" s="758"/>
      <c r="AI146" s="758"/>
      <c r="AJ146" s="758"/>
      <c r="AK146" s="758"/>
    </row>
    <row r="147" spans="1:37" ht="15" customHeight="1">
      <c r="A147" s="758"/>
      <c r="B147" s="758"/>
      <c r="C147" s="758"/>
      <c r="D147" s="758"/>
      <c r="E147" s="758"/>
      <c r="F147" s="758"/>
      <c r="G147" s="758"/>
      <c r="H147" s="758"/>
      <c r="I147" s="758"/>
      <c r="J147" s="758"/>
      <c r="K147" s="758"/>
      <c r="L147" s="758"/>
      <c r="M147" s="921"/>
      <c r="N147" s="758"/>
      <c r="O147" s="874"/>
      <c r="P147" s="874"/>
      <c r="Q147" s="927"/>
      <c r="R147" s="927"/>
      <c r="S147" s="1104"/>
      <c r="T147" s="927"/>
      <c r="U147" s="876"/>
      <c r="V147" s="969"/>
      <c r="W147" s="969"/>
      <c r="X147" s="969"/>
      <c r="Y147" s="969"/>
      <c r="Z147" s="758"/>
      <c r="AA147" s="758"/>
      <c r="AB147" s="917"/>
      <c r="AC147" s="917"/>
      <c r="AD147" s="917"/>
      <c r="AE147" s="758"/>
      <c r="AF147" s="758"/>
      <c r="AG147" s="758"/>
      <c r="AH147" s="758"/>
      <c r="AI147" s="758"/>
      <c r="AJ147" s="758"/>
      <c r="AK147" s="758"/>
    </row>
    <row r="148" spans="1:37" ht="15" customHeight="1">
      <c r="M148" s="487"/>
      <c r="N148" s="488"/>
      <c r="O148" s="834"/>
      <c r="Q148" s="497"/>
      <c r="S148" s="1105"/>
      <c r="U148" s="601"/>
      <c r="V148" s="600"/>
      <c r="W148" s="600"/>
      <c r="X148" s="600"/>
      <c r="Y148" s="600"/>
    </row>
    <row r="149" spans="1:37" ht="15" customHeight="1">
      <c r="S149" s="1105"/>
      <c r="U149" s="601"/>
      <c r="V149" s="600"/>
      <c r="W149" s="600"/>
      <c r="X149" s="600"/>
      <c r="Y149" s="600"/>
    </row>
    <row r="150" spans="1:37" ht="15" customHeight="1">
      <c r="S150" s="1105"/>
      <c r="V150" s="601"/>
      <c r="W150" s="601"/>
      <c r="X150" s="601"/>
      <c r="Y150" s="601"/>
    </row>
    <row r="151" spans="1:37" ht="15" customHeight="1">
      <c r="V151" s="601"/>
      <c r="W151" s="601"/>
      <c r="X151" s="601"/>
      <c r="Y151" s="601"/>
    </row>
    <row r="152" spans="1:37" ht="15" customHeight="1">
      <c r="V152" s="601"/>
      <c r="W152" s="601"/>
      <c r="X152" s="601"/>
      <c r="Y152" s="601"/>
    </row>
    <row r="153" spans="1:37" ht="15" customHeight="1">
      <c r="V153" s="601"/>
      <c r="W153" s="601"/>
      <c r="X153" s="601"/>
      <c r="Y153" s="601"/>
    </row>
    <row r="154" spans="1:37" ht="15" customHeight="1">
      <c r="V154" s="601"/>
      <c r="W154" s="601"/>
      <c r="X154" s="601"/>
      <c r="Y154" s="601"/>
      <c r="Z154" s="488"/>
      <c r="AA154" s="488"/>
    </row>
    <row r="155" spans="1:37" ht="15" customHeight="1">
      <c r="V155" s="601"/>
      <c r="W155" s="601"/>
      <c r="X155" s="601"/>
      <c r="Y155" s="601"/>
      <c r="Z155" s="600"/>
      <c r="AA155" s="488"/>
    </row>
    <row r="156" spans="1:37" ht="15" customHeight="1"/>
    <row r="157" spans="1:37" ht="15" customHeight="1"/>
    <row r="158" spans="1:37" ht="15" customHeight="1"/>
    <row r="159" spans="1:37" ht="15" customHeight="1"/>
    <row r="160" spans="1:37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</sheetData>
  <mergeCells count="194">
    <mergeCell ref="AG2:AH2"/>
    <mergeCell ref="AV14:AY14"/>
    <mergeCell ref="AT14:AU17"/>
    <mergeCell ref="AV15:AX15"/>
    <mergeCell ref="B139:B140"/>
    <mergeCell ref="P36:P38"/>
    <mergeCell ref="AF115:AF116"/>
    <mergeCell ref="D87:L87"/>
    <mergeCell ref="N87:N88"/>
    <mergeCell ref="B141:B143"/>
    <mergeCell ref="AB115:AB116"/>
    <mergeCell ref="AE115:AE116"/>
    <mergeCell ref="B132:D132"/>
    <mergeCell ref="B133:D133"/>
    <mergeCell ref="B138:D138"/>
    <mergeCell ref="B136:B137"/>
    <mergeCell ref="B134:D134"/>
    <mergeCell ref="B135:D135"/>
    <mergeCell ref="AA115:AA116"/>
    <mergeCell ref="N36:N38"/>
    <mergeCell ref="Q36:Q38"/>
    <mergeCell ref="B131:D131"/>
    <mergeCell ref="B125:D125"/>
    <mergeCell ref="B126:D126"/>
    <mergeCell ref="B128:D128"/>
    <mergeCell ref="B129:D129"/>
    <mergeCell ref="B130:D130"/>
    <mergeCell ref="B127:D127"/>
    <mergeCell ref="BH2:BH3"/>
    <mergeCell ref="BI2:BI3"/>
    <mergeCell ref="BN2:BO2"/>
    <mergeCell ref="BM2:BM3"/>
    <mergeCell ref="BJ2:BJ3"/>
    <mergeCell ref="BF2:BF3"/>
    <mergeCell ref="BG2:BG3"/>
    <mergeCell ref="Q17:R17"/>
    <mergeCell ref="BK2:BL2"/>
    <mergeCell ref="BE2:BE3"/>
    <mergeCell ref="AX2:AX3"/>
    <mergeCell ref="AY2:AY3"/>
    <mergeCell ref="AW2:AW3"/>
    <mergeCell ref="AZ2:AZ3"/>
    <mergeCell ref="BJ14:BJ17"/>
    <mergeCell ref="BB2:BB3"/>
    <mergeCell ref="BD2:BD3"/>
    <mergeCell ref="BC2:BC3"/>
    <mergeCell ref="X14:Y14"/>
    <mergeCell ref="AE14:AE17"/>
    <mergeCell ref="AF14:AF17"/>
    <mergeCell ref="AJ14:AJ17"/>
    <mergeCell ref="AH3:AH4"/>
    <mergeCell ref="AI3:AI4"/>
    <mergeCell ref="AR87:AR88"/>
    <mergeCell ref="Z108:AA108"/>
    <mergeCell ref="Z111:AA111"/>
    <mergeCell ref="Z87:AA88"/>
    <mergeCell ref="B118:D118"/>
    <mergeCell ref="B119:D119"/>
    <mergeCell ref="CE15:CG15"/>
    <mergeCell ref="CC18:CD18"/>
    <mergeCell ref="BY15:BY17"/>
    <mergeCell ref="O15:O17"/>
    <mergeCell ref="BK18:BL18"/>
    <mergeCell ref="P14:R15"/>
    <mergeCell ref="S14:S17"/>
    <mergeCell ref="CC20:CD20"/>
    <mergeCell ref="BE57:BE58"/>
    <mergeCell ref="BH57:BH58"/>
    <mergeCell ref="BX15:BX17"/>
    <mergeCell ref="BK19:BL19"/>
    <mergeCell ref="BV15:BV17"/>
    <mergeCell ref="CC15:CD17"/>
    <mergeCell ref="CB15:CB17"/>
    <mergeCell ref="CC19:CD19"/>
    <mergeCell ref="BZ15:BZ17"/>
    <mergeCell ref="BK44:BL44"/>
    <mergeCell ref="B124:D124"/>
    <mergeCell ref="Z115:Z116"/>
    <mergeCell ref="B117:D117"/>
    <mergeCell ref="B123:D123"/>
    <mergeCell ref="B122:D122"/>
    <mergeCell ref="B121:D121"/>
    <mergeCell ref="B120:D120"/>
    <mergeCell ref="O87:O88"/>
    <mergeCell ref="AO87:AO88"/>
    <mergeCell ref="B1:G2"/>
    <mergeCell ref="E6:G6"/>
    <mergeCell ref="T14:V14"/>
    <mergeCell ref="B14:B17"/>
    <mergeCell ref="C14:C17"/>
    <mergeCell ref="N15:N17"/>
    <mergeCell ref="E4:G4"/>
    <mergeCell ref="E5:G5"/>
    <mergeCell ref="M15:M17"/>
    <mergeCell ref="E3:G3"/>
    <mergeCell ref="E7:G7"/>
    <mergeCell ref="D36:D38"/>
    <mergeCell ref="B115:D116"/>
    <mergeCell ref="E115:R115"/>
    <mergeCell ref="P87:S87"/>
    <mergeCell ref="Q35:S35"/>
    <mergeCell ref="AE56:AG56"/>
    <mergeCell ref="H35:J35"/>
    <mergeCell ref="R36:R38"/>
    <mergeCell ref="I36:I38"/>
    <mergeCell ref="J36:J38"/>
    <mergeCell ref="S36:S38"/>
    <mergeCell ref="Z57:Z58"/>
    <mergeCell ref="B35:B38"/>
    <mergeCell ref="B87:B88"/>
    <mergeCell ref="O36:O38"/>
    <mergeCell ref="AO57:AQ57"/>
    <mergeCell ref="AH56:AJ56"/>
    <mergeCell ref="Z56:AB56"/>
    <mergeCell ref="T87:U87"/>
    <mergeCell ref="H36:H38"/>
    <mergeCell ref="AB87:AG88"/>
    <mergeCell ref="AN56:AT56"/>
    <mergeCell ref="AT57:AT58"/>
    <mergeCell ref="AL55:AV55"/>
    <mergeCell ref="AL56:AL58"/>
    <mergeCell ref="AS57:AS58"/>
    <mergeCell ref="AL87:AL88"/>
    <mergeCell ref="AN87:AN88"/>
    <mergeCell ref="AL86:AO86"/>
    <mergeCell ref="AR57:AR58"/>
    <mergeCell ref="AN57:AN58"/>
    <mergeCell ref="AQ86:AS86"/>
    <mergeCell ref="AK56:AK58"/>
    <mergeCell ref="AH54:AJ54"/>
    <mergeCell ref="AI87:AI88"/>
    <mergeCell ref="AJ87:AJ88"/>
    <mergeCell ref="AH87:AH88"/>
    <mergeCell ref="AQ87:AQ88"/>
    <mergeCell ref="AS87:AS88"/>
    <mergeCell ref="BK21:BL21"/>
    <mergeCell ref="BK46:BL46"/>
    <mergeCell ref="BT14:BZ14"/>
    <mergeCell ref="BK15:BL17"/>
    <mergeCell ref="BM15:BM17"/>
    <mergeCell ref="BN15:BO15"/>
    <mergeCell ref="BP15:BP17"/>
    <mergeCell ref="BK14:BO14"/>
    <mergeCell ref="AZ14:BA14"/>
    <mergeCell ref="BP14:BS14"/>
    <mergeCell ref="BK45:BL45"/>
    <mergeCell ref="BK43:BL43"/>
    <mergeCell ref="BQ15:BQ17"/>
    <mergeCell ref="BR15:BS15"/>
    <mergeCell ref="BU15:BU17"/>
    <mergeCell ref="BT15:BT17"/>
    <mergeCell ref="BW15:BW17"/>
    <mergeCell ref="BK42:BL42"/>
    <mergeCell ref="BK20:BL20"/>
    <mergeCell ref="BK23:BL23"/>
    <mergeCell ref="BK22:BL22"/>
    <mergeCell ref="BF87:BF88"/>
    <mergeCell ref="BC86:BF86"/>
    <mergeCell ref="BD87:BE87"/>
    <mergeCell ref="AW56:BD56"/>
    <mergeCell ref="BE56:BH56"/>
    <mergeCell ref="AX57:AY57"/>
    <mergeCell ref="BF57:BG57"/>
    <mergeCell ref="BC14:BC15"/>
    <mergeCell ref="BD14:BD17"/>
    <mergeCell ref="BB14:BB17"/>
    <mergeCell ref="AW55:BJ55"/>
    <mergeCell ref="AW57:AW58"/>
    <mergeCell ref="AZ57:BA57"/>
    <mergeCell ref="BD57:BD58"/>
    <mergeCell ref="AT86:BB86"/>
    <mergeCell ref="AU56:AV57"/>
    <mergeCell ref="BB57:BC57"/>
    <mergeCell ref="BC87:BC88"/>
    <mergeCell ref="BI56:BJ56"/>
    <mergeCell ref="Q31:R31"/>
    <mergeCell ref="N35:P35"/>
    <mergeCell ref="E8:G8"/>
    <mergeCell ref="Q30:R30"/>
    <mergeCell ref="E10:G10"/>
    <mergeCell ref="E9:G9"/>
    <mergeCell ref="E11:G11"/>
    <mergeCell ref="Q18:R18"/>
    <mergeCell ref="Q19:R19"/>
    <mergeCell ref="Q23:R23"/>
    <mergeCell ref="Q25:R25"/>
    <mergeCell ref="Q26:R26"/>
    <mergeCell ref="Q28:R28"/>
    <mergeCell ref="Q27:R27"/>
    <mergeCell ref="Q22:R22"/>
    <mergeCell ref="Q29:R29"/>
    <mergeCell ref="Q21:R21"/>
    <mergeCell ref="Q24:R24"/>
    <mergeCell ref="Q20:R20"/>
  </mergeCells>
  <phoneticPr fontId="2"/>
  <dataValidations xWindow="1247" yWindow="320" count="3">
    <dataValidation type="list" allowBlank="1" showInputMessage="1" showErrorMessage="1" sqref="Z59:Z85" xr:uid="{00000000-0002-0000-0700-000006000000}">
      <formula1>$BW$3:$BW$5</formula1>
    </dataValidation>
    <dataValidation type="list" allowBlank="1" showInputMessage="1" showErrorMessage="1" prompt="工程を選んでください" sqref="C18:C24 D25:D33" xr:uid="{00000000-0002-0000-0700-000001000000}">
      <formula1>$U$5:$U$11</formula1>
    </dataValidation>
    <dataValidation type="list" allowBlank="1" showInputMessage="1" showErrorMessage="1" sqref="D74:D85 D45:D53" xr:uid="{00000000-0002-0000-0700-000004000000}">
      <formula1>$AS$43:$AS$46</formula1>
    </dataValidation>
  </dataValidations>
  <printOptions horizontalCentered="1"/>
  <pageMargins left="0.19685039370078741" right="0.19685039370078741" top="0.39370078740157483" bottom="0.19685039370078741" header="0.51181102362204722" footer="0.51181102362204722"/>
  <pageSetup paperSize="9" scale="54" orientation="landscape" r:id="rId1"/>
  <headerFooter alignWithMargins="0"/>
  <colBreaks count="1" manualBreakCount="1">
    <brk id="35" max="1048575" man="1"/>
  </col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25AD2-31A0-483F-A39C-11BC098373DD}">
  <dimension ref="A3"/>
  <sheetViews>
    <sheetView workbookViewId="0">
      <selection activeCell="F20" sqref="F20"/>
    </sheetView>
  </sheetViews>
  <sheetFormatPr defaultRowHeight="13.5"/>
  <sheetData>
    <row r="3" spans="1:1">
      <c r="A3">
        <f>30 / 2 * (543.7 + 297.7) / (1 - 0 -0) / 3600</f>
        <v>3.5058333333333338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17AE6-741E-4226-970C-0C6F5CA40E68}">
  <dimension ref="B2:U12"/>
  <sheetViews>
    <sheetView workbookViewId="0">
      <selection activeCell="O13" sqref="O13"/>
    </sheetView>
  </sheetViews>
  <sheetFormatPr defaultColWidth="8.875" defaultRowHeight="14.25"/>
  <cols>
    <col min="1" max="2" width="8.875" style="819"/>
    <col min="3" max="3" width="16.125" style="819" customWidth="1"/>
    <col min="4" max="5" width="12.5" style="819" customWidth="1"/>
    <col min="6" max="6" width="17.75" style="819" bestFit="1" customWidth="1"/>
    <col min="7" max="11" width="10.75" style="819" customWidth="1"/>
    <col min="12" max="13" width="8.875" style="819"/>
    <col min="14" max="14" width="9" style="819" bestFit="1" customWidth="1"/>
    <col min="15" max="15" width="8.875" style="819"/>
    <col min="16" max="18" width="9" style="819" bestFit="1" customWidth="1"/>
    <col min="19" max="16384" width="8.875" style="819"/>
  </cols>
  <sheetData>
    <row r="2" spans="2:21" ht="15">
      <c r="B2" s="820" t="s">
        <v>1640</v>
      </c>
    </row>
    <row r="3" spans="2:21" ht="15">
      <c r="B3" s="820"/>
      <c r="G3" s="482">
        <f>Anneal!E2</f>
        <v>2.2000000000000002</v>
      </c>
      <c r="H3" s="819" t="s">
        <v>948</v>
      </c>
    </row>
    <row r="4" spans="2:21" ht="15">
      <c r="B4" s="820"/>
      <c r="F4" s="819" t="s">
        <v>1647</v>
      </c>
      <c r="G4" s="482">
        <v>7</v>
      </c>
      <c r="H4" s="819" t="s">
        <v>1478</v>
      </c>
      <c r="M4" s="819" t="s">
        <v>1655</v>
      </c>
      <c r="N4" s="819">
        <v>319.39999999999998</v>
      </c>
      <c r="O4" s="819" t="s">
        <v>1650</v>
      </c>
    </row>
    <row r="5" spans="2:21" ht="15">
      <c r="B5" s="820"/>
    </row>
    <row r="6" spans="2:21" ht="29.25">
      <c r="B6" s="820"/>
      <c r="C6" s="819" t="s">
        <v>1641</v>
      </c>
      <c r="D6" s="821" t="s">
        <v>1645</v>
      </c>
      <c r="E6" s="821" t="s">
        <v>1656</v>
      </c>
      <c r="F6" s="821" t="s">
        <v>1646</v>
      </c>
      <c r="J6" s="819" t="s">
        <v>1648</v>
      </c>
      <c r="M6" s="819" t="s">
        <v>1653</v>
      </c>
      <c r="Q6" s="819" t="s">
        <v>1659</v>
      </c>
    </row>
    <row r="7" spans="2:21" ht="15">
      <c r="B7" s="820"/>
      <c r="D7" s="821"/>
      <c r="E7" s="821" t="s">
        <v>1657</v>
      </c>
      <c r="F7" s="823" t="s">
        <v>1644</v>
      </c>
      <c r="H7" s="819" t="s">
        <v>1651</v>
      </c>
      <c r="J7" s="819" t="s">
        <v>1652</v>
      </c>
      <c r="K7" s="819" t="s">
        <v>1650</v>
      </c>
      <c r="L7" s="819" t="s">
        <v>1658</v>
      </c>
      <c r="M7" s="819" t="s">
        <v>1654</v>
      </c>
      <c r="N7" s="819" t="s">
        <v>1649</v>
      </c>
      <c r="O7" s="819" t="s">
        <v>1649</v>
      </c>
      <c r="Q7" s="819" t="s">
        <v>1427</v>
      </c>
    </row>
    <row r="8" spans="2:21" ht="15">
      <c r="B8" s="820"/>
      <c r="C8" s="819" t="s">
        <v>1381</v>
      </c>
      <c r="E8" s="819">
        <v>1.8</v>
      </c>
      <c r="F8" s="819">
        <v>0.75</v>
      </c>
      <c r="H8" s="819">
        <f>G4*G3*F8</f>
        <v>11.55</v>
      </c>
      <c r="J8" s="819">
        <v>7</v>
      </c>
      <c r="K8" s="486">
        <f>J8*H8</f>
        <v>80.850000000000009</v>
      </c>
      <c r="L8" s="486">
        <f>E8*J8</f>
        <v>12.6</v>
      </c>
      <c r="M8" s="819">
        <v>2</v>
      </c>
      <c r="N8" s="486">
        <f>M8*N4</f>
        <v>638.79999999999995</v>
      </c>
      <c r="O8" s="819">
        <f>K8+N8</f>
        <v>719.65</v>
      </c>
      <c r="Q8" s="482">
        <f>O8/L8</f>
        <v>57.115079365079367</v>
      </c>
      <c r="U8" s="822"/>
    </row>
    <row r="9" spans="2:21" ht="15">
      <c r="B9" s="820"/>
    </row>
    <row r="10" spans="2:21" ht="15">
      <c r="B10" s="820"/>
      <c r="Q10" s="819" t="s">
        <v>1660</v>
      </c>
    </row>
    <row r="11" spans="2:21">
      <c r="Q11" s="819" t="s">
        <v>1488</v>
      </c>
    </row>
    <row r="12" spans="2:21">
      <c r="Q12" s="482">
        <v>8</v>
      </c>
    </row>
  </sheetData>
  <phoneticPr fontId="2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/>
  <dimension ref="B1:Q48"/>
  <sheetViews>
    <sheetView topLeftCell="A22" workbookViewId="0">
      <selection activeCell="M45" sqref="M45"/>
    </sheetView>
  </sheetViews>
  <sheetFormatPr defaultRowHeight="13.5"/>
  <cols>
    <col min="2" max="2" width="7.125" bestFit="1" customWidth="1"/>
    <col min="3" max="3" width="17.375" bestFit="1" customWidth="1"/>
    <col min="4" max="4" width="12.75" bestFit="1" customWidth="1"/>
    <col min="5" max="5" width="10.25" bestFit="1" customWidth="1"/>
    <col min="6" max="6" width="16.75" bestFit="1" customWidth="1"/>
  </cols>
  <sheetData>
    <row r="1" spans="2:13" ht="14.25" thickBot="1">
      <c r="C1" t="s">
        <v>1396</v>
      </c>
      <c r="E1" s="412"/>
    </row>
    <row r="2" spans="2:13" ht="14.25" thickBot="1">
      <c r="B2" s="1546">
        <v>1</v>
      </c>
      <c r="C2" s="426" t="s">
        <v>1400</v>
      </c>
      <c r="D2" s="426" t="s">
        <v>1401</v>
      </c>
      <c r="E2" s="427">
        <v>2.2000000000000002</v>
      </c>
      <c r="F2" s="415" t="s">
        <v>1402</v>
      </c>
    </row>
    <row r="3" spans="2:13" ht="14.25" thickBot="1">
      <c r="B3" s="1547"/>
      <c r="C3" s="51" t="s">
        <v>1403</v>
      </c>
      <c r="D3" s="51" t="s">
        <v>1404</v>
      </c>
      <c r="E3" s="428">
        <v>13.5</v>
      </c>
      <c r="F3" s="429" t="s">
        <v>1405</v>
      </c>
      <c r="G3" s="430">
        <f>E3*0.7</f>
        <v>9.4499999999999993</v>
      </c>
      <c r="H3" t="s">
        <v>1399</v>
      </c>
    </row>
    <row r="4" spans="2:13">
      <c r="B4" s="1547"/>
      <c r="C4" s="51" t="s">
        <v>1406</v>
      </c>
      <c r="D4" s="51" t="s">
        <v>1404</v>
      </c>
      <c r="E4" s="428">
        <v>7</v>
      </c>
      <c r="F4" s="429" t="s">
        <v>1401</v>
      </c>
    </row>
    <row r="5" spans="2:13" ht="14.25" thickBot="1">
      <c r="B5" s="1548"/>
      <c r="C5" s="431"/>
      <c r="D5" s="431"/>
      <c r="E5" s="432">
        <f>E2*G3*E4</f>
        <v>145.53</v>
      </c>
      <c r="F5" s="433" t="s">
        <v>1407</v>
      </c>
    </row>
    <row r="6" spans="2:13">
      <c r="B6" s="1546">
        <v>2</v>
      </c>
      <c r="C6" s="426" t="s">
        <v>1408</v>
      </c>
      <c r="D6" s="426" t="s">
        <v>1409</v>
      </c>
      <c r="E6" s="448">
        <f>MTMH!H5</f>
        <v>319.39939413913163</v>
      </c>
      <c r="F6" s="415" t="s">
        <v>1702</v>
      </c>
      <c r="H6" s="413"/>
    </row>
    <row r="7" spans="2:13">
      <c r="B7" s="1547"/>
      <c r="C7" s="51" t="s">
        <v>1410</v>
      </c>
      <c r="D7" s="51"/>
      <c r="E7" s="428">
        <v>5</v>
      </c>
      <c r="F7" s="429" t="s">
        <v>1411</v>
      </c>
    </row>
    <row r="8" spans="2:13">
      <c r="B8" s="1547"/>
      <c r="C8" s="51"/>
      <c r="D8" s="51"/>
      <c r="E8" s="428">
        <v>8</v>
      </c>
      <c r="F8" s="429" t="s">
        <v>1412</v>
      </c>
    </row>
    <row r="9" spans="2:13" ht="14.25" thickBot="1">
      <c r="B9" s="434"/>
      <c r="C9" s="435"/>
      <c r="D9" s="435"/>
      <c r="E9" s="436">
        <f>E6*E7/E8</f>
        <v>199.62462133695726</v>
      </c>
      <c r="F9" s="437" t="s">
        <v>1703</v>
      </c>
    </row>
    <row r="10" spans="2:13">
      <c r="B10" s="420"/>
      <c r="E10" s="449"/>
    </row>
    <row r="11" spans="2:13" ht="40.5" customHeight="1">
      <c r="B11" s="51"/>
      <c r="C11" s="423" t="s">
        <v>1413</v>
      </c>
      <c r="D11" s="424" t="s">
        <v>1414</v>
      </c>
      <c r="E11" s="438" t="s">
        <v>1406</v>
      </c>
      <c r="F11" s="438" t="s">
        <v>1415</v>
      </c>
      <c r="G11" s="438" t="s">
        <v>1416</v>
      </c>
    </row>
    <row r="12" spans="2:13" ht="16.5" customHeight="1">
      <c r="B12" s="51"/>
      <c r="C12" s="1544" t="s">
        <v>1417</v>
      </c>
      <c r="D12" s="1545"/>
      <c r="E12" s="51"/>
      <c r="F12" s="51"/>
      <c r="G12" s="51"/>
    </row>
    <row r="13" spans="2:13">
      <c r="B13" s="51" t="s">
        <v>1418</v>
      </c>
      <c r="C13" s="51">
        <v>4</v>
      </c>
      <c r="D13" s="51">
        <v>5</v>
      </c>
      <c r="E13" s="1147">
        <f>C13*E5</f>
        <v>582.12</v>
      </c>
      <c r="F13" s="1147">
        <f>D13*E9</f>
        <v>998.12310668478631</v>
      </c>
      <c r="G13" s="1147">
        <f>E13+F13</f>
        <v>1580.2431066847862</v>
      </c>
    </row>
    <row r="14" spans="2:13">
      <c r="B14" s="51" t="s">
        <v>1419</v>
      </c>
      <c r="C14" s="51">
        <v>2</v>
      </c>
      <c r="D14" s="51">
        <v>3</v>
      </c>
      <c r="E14" s="1147">
        <f>C14*E5</f>
        <v>291.06</v>
      </c>
      <c r="F14" s="1147">
        <f>E9*D14</f>
        <v>598.87386401087178</v>
      </c>
      <c r="G14" s="1147">
        <f>E14+F14</f>
        <v>889.93386401087173</v>
      </c>
    </row>
    <row r="15" spans="2:13">
      <c r="H15" s="413"/>
      <c r="L15" s="422">
        <f>G13/D16/D17</f>
        <v>2469.1298541949782</v>
      </c>
      <c r="M15" s="422">
        <f>G14/D16/D18</f>
        <v>1668.6259950203846</v>
      </c>
    </row>
    <row r="16" spans="2:13">
      <c r="B16" s="51" t="s">
        <v>1398</v>
      </c>
      <c r="C16" s="51" t="s">
        <v>1420</v>
      </c>
      <c r="D16" s="439">
        <v>0.8</v>
      </c>
      <c r="L16" s="422">
        <f t="shared" ref="L16:M18" si="0">L15</f>
        <v>2469.1298541949782</v>
      </c>
      <c r="M16" s="422">
        <f t="shared" si="0"/>
        <v>1668.6259950203846</v>
      </c>
    </row>
    <row r="17" spans="2:17">
      <c r="B17" s="51" t="s">
        <v>1421</v>
      </c>
      <c r="C17" s="51" t="s">
        <v>1418</v>
      </c>
      <c r="D17" s="439">
        <f>C13/D13</f>
        <v>0.8</v>
      </c>
      <c r="L17" s="422">
        <f t="shared" si="0"/>
        <v>2469.1298541949782</v>
      </c>
      <c r="M17" s="422">
        <f t="shared" si="0"/>
        <v>1668.6259950203846</v>
      </c>
    </row>
    <row r="18" spans="2:17" ht="14.25" thickBot="1">
      <c r="B18" s="51"/>
      <c r="C18" s="51" t="s">
        <v>1381</v>
      </c>
      <c r="D18" s="439">
        <f>C14/D14</f>
        <v>0.66666666666666663</v>
      </c>
      <c r="L18" s="422">
        <f t="shared" si="0"/>
        <v>2469.1298541949782</v>
      </c>
      <c r="M18" s="422">
        <f t="shared" si="0"/>
        <v>1668.6259950203846</v>
      </c>
    </row>
    <row r="19" spans="2:17">
      <c r="D19" s="440"/>
      <c r="E19" s="440"/>
      <c r="F19" s="1543" t="s">
        <v>1422</v>
      </c>
      <c r="G19" s="1543"/>
      <c r="H19" s="1543" t="s">
        <v>1389</v>
      </c>
      <c r="I19" s="1543"/>
      <c r="J19" s="440"/>
      <c r="K19" s="440"/>
      <c r="L19" s="414" t="s">
        <v>1382</v>
      </c>
      <c r="M19" s="415" t="s">
        <v>1381</v>
      </c>
    </row>
    <row r="20" spans="2:17">
      <c r="B20" s="1543" t="s">
        <v>1388</v>
      </c>
      <c r="C20" s="51" t="s">
        <v>1371</v>
      </c>
      <c r="D20" s="51">
        <v>10</v>
      </c>
      <c r="E20" s="51" t="s">
        <v>1423</v>
      </c>
      <c r="F20" s="51">
        <v>6</v>
      </c>
      <c r="G20" s="51" t="s">
        <v>1424</v>
      </c>
      <c r="H20" s="51">
        <v>16</v>
      </c>
      <c r="I20" s="51" t="s">
        <v>1389</v>
      </c>
      <c r="J20" s="51">
        <f>D20*F20*H20</f>
        <v>960</v>
      </c>
      <c r="L20" s="416">
        <f>L15/J20</f>
        <v>2.5720102647864356</v>
      </c>
      <c r="M20" s="417">
        <f>M15/J20</f>
        <v>1.7381520781462341</v>
      </c>
      <c r="P20" s="421"/>
      <c r="Q20" s="421"/>
    </row>
    <row r="21" spans="2:17">
      <c r="B21" s="1543"/>
      <c r="C21" s="51" t="s">
        <v>1372</v>
      </c>
      <c r="D21" s="51">
        <v>12</v>
      </c>
      <c r="E21" s="51" t="s">
        <v>1423</v>
      </c>
      <c r="F21" s="51">
        <v>6</v>
      </c>
      <c r="G21" s="51" t="s">
        <v>1424</v>
      </c>
      <c r="H21" s="51">
        <v>16</v>
      </c>
      <c r="I21" s="51" t="s">
        <v>1389</v>
      </c>
      <c r="J21" s="51">
        <f>D21*F21*H21</f>
        <v>1152</v>
      </c>
      <c r="L21" s="416">
        <f>L16/J21</f>
        <v>2.1433418873220296</v>
      </c>
      <c r="M21" s="417">
        <f>M16/J21</f>
        <v>1.4484600651218615</v>
      </c>
      <c r="P21" s="421"/>
      <c r="Q21" s="421"/>
    </row>
    <row r="22" spans="2:17">
      <c r="B22" s="1543"/>
      <c r="C22" s="51" t="s">
        <v>1373</v>
      </c>
      <c r="D22" s="51">
        <v>15</v>
      </c>
      <c r="E22" s="51" t="s">
        <v>1423</v>
      </c>
      <c r="F22" s="51">
        <v>6</v>
      </c>
      <c r="G22" s="51" t="s">
        <v>1424</v>
      </c>
      <c r="H22" s="51">
        <v>16</v>
      </c>
      <c r="I22" s="51" t="s">
        <v>1389</v>
      </c>
      <c r="J22" s="51">
        <f>D22*F22*H22</f>
        <v>1440</v>
      </c>
      <c r="L22" s="416">
        <f>L17/J22</f>
        <v>1.7146735098576238</v>
      </c>
      <c r="M22" s="417">
        <f>M17/J22</f>
        <v>1.1587680520974892</v>
      </c>
      <c r="P22" s="421"/>
      <c r="Q22" s="421"/>
    </row>
    <row r="23" spans="2:17" ht="14.25" thickBot="1">
      <c r="B23" s="1543"/>
      <c r="C23" s="51" t="s">
        <v>1397</v>
      </c>
      <c r="D23" s="51">
        <v>60</v>
      </c>
      <c r="E23" s="51" t="s">
        <v>1423</v>
      </c>
      <c r="F23" s="51">
        <v>6</v>
      </c>
      <c r="G23" s="51" t="s">
        <v>1424</v>
      </c>
      <c r="H23" s="51">
        <v>16</v>
      </c>
      <c r="I23" s="51" t="s">
        <v>1389</v>
      </c>
      <c r="J23" s="51">
        <f>D23*F23*H23</f>
        <v>5760</v>
      </c>
      <c r="L23" s="418">
        <f>L18/J23</f>
        <v>0.42866837746440595</v>
      </c>
      <c r="M23" s="419">
        <f>M18/J23</f>
        <v>0.28969201302437231</v>
      </c>
    </row>
    <row r="26" spans="2:17" ht="14.25" thickBot="1">
      <c r="C26" t="s">
        <v>1454</v>
      </c>
      <c r="E26" s="412"/>
    </row>
    <row r="27" spans="2:17" ht="14.25" thickBot="1">
      <c r="B27" s="1546">
        <v>1</v>
      </c>
      <c r="C27" s="426" t="s">
        <v>1400</v>
      </c>
      <c r="D27" s="426" t="s">
        <v>1401</v>
      </c>
      <c r="E27" s="427">
        <v>2.2000000000000002</v>
      </c>
      <c r="F27" s="415" t="s">
        <v>1402</v>
      </c>
    </row>
    <row r="28" spans="2:17" ht="14.25" thickBot="1">
      <c r="B28" s="1547"/>
      <c r="C28" s="51" t="s">
        <v>1403</v>
      </c>
      <c r="D28" s="51" t="s">
        <v>1404</v>
      </c>
      <c r="E28" s="428">
        <v>13.5</v>
      </c>
      <c r="F28" s="429" t="s">
        <v>1405</v>
      </c>
      <c r="G28" s="430">
        <f>E28*0.7</f>
        <v>9.4499999999999993</v>
      </c>
      <c r="H28" t="s">
        <v>1399</v>
      </c>
    </row>
    <row r="29" spans="2:17">
      <c r="B29" s="1547"/>
      <c r="C29" s="51" t="s">
        <v>1406</v>
      </c>
      <c r="D29" s="51" t="s">
        <v>1404</v>
      </c>
      <c r="E29" s="428">
        <v>7</v>
      </c>
      <c r="F29" s="429" t="s">
        <v>1401</v>
      </c>
    </row>
    <row r="30" spans="2:17" ht="14.25" thickBot="1">
      <c r="B30" s="1548"/>
      <c r="C30" s="431"/>
      <c r="D30" s="431"/>
      <c r="E30" s="432">
        <f>E27*G28*E29</f>
        <v>145.53</v>
      </c>
      <c r="F30" s="433" t="s">
        <v>1407</v>
      </c>
    </row>
    <row r="31" spans="2:17">
      <c r="B31" s="1546">
        <v>2</v>
      </c>
      <c r="C31" s="426" t="s">
        <v>1408</v>
      </c>
      <c r="D31" s="426" t="s">
        <v>1409</v>
      </c>
      <c r="E31" s="1173">
        <f>E6</f>
        <v>319.39939413913163</v>
      </c>
      <c r="F31" s="415" t="s">
        <v>1407</v>
      </c>
      <c r="H31" s="413"/>
    </row>
    <row r="32" spans="2:17">
      <c r="B32" s="1547"/>
      <c r="C32" s="51" t="s">
        <v>1410</v>
      </c>
      <c r="D32" s="51"/>
      <c r="E32" s="428">
        <v>5</v>
      </c>
      <c r="F32" s="429" t="s">
        <v>1411</v>
      </c>
    </row>
    <row r="33" spans="2:17">
      <c r="B33" s="1547"/>
      <c r="C33" s="51"/>
      <c r="D33" s="51"/>
      <c r="E33" s="428">
        <v>8</v>
      </c>
      <c r="F33" s="429" t="s">
        <v>1412</v>
      </c>
    </row>
    <row r="34" spans="2:17" ht="14.25" thickBot="1">
      <c r="B34" s="434"/>
      <c r="C34" s="435"/>
      <c r="D34" s="435"/>
      <c r="E34" s="436">
        <f>E31*E32/E33</f>
        <v>199.62462133695726</v>
      </c>
      <c r="F34" s="437" t="s">
        <v>1407</v>
      </c>
    </row>
    <row r="35" spans="2:17">
      <c r="B35" s="420"/>
      <c r="E35" s="449"/>
    </row>
    <row r="36" spans="2:17" ht="40.5" customHeight="1">
      <c r="B36" s="51"/>
      <c r="C36" s="423" t="s">
        <v>1413</v>
      </c>
      <c r="D36" s="424" t="s">
        <v>1414</v>
      </c>
      <c r="E36" s="438" t="s">
        <v>1406</v>
      </c>
      <c r="F36" s="438" t="s">
        <v>1415</v>
      </c>
      <c r="G36" s="438" t="s">
        <v>942</v>
      </c>
    </row>
    <row r="37" spans="2:17" ht="16.5" customHeight="1">
      <c r="B37" s="51"/>
      <c r="C37" s="1544" t="s">
        <v>1417</v>
      </c>
      <c r="D37" s="1545"/>
      <c r="E37" s="51"/>
      <c r="F37" s="51"/>
      <c r="G37" s="51"/>
    </row>
    <row r="38" spans="2:17">
      <c r="B38" s="51" t="s">
        <v>1455</v>
      </c>
      <c r="C38" s="51">
        <v>4</v>
      </c>
      <c r="D38" s="51">
        <v>5</v>
      </c>
      <c r="E38" s="51">
        <f>C38*E30</f>
        <v>582.12</v>
      </c>
      <c r="F38" s="425">
        <f>D38*E34</f>
        <v>998.12310668478631</v>
      </c>
      <c r="G38" s="425">
        <f>E38+F38</f>
        <v>1580.2431066847862</v>
      </c>
    </row>
    <row r="39" spans="2:17">
      <c r="B39" s="51" t="s">
        <v>1456</v>
      </c>
      <c r="C39" s="51">
        <v>6</v>
      </c>
      <c r="D39" s="51">
        <v>7</v>
      </c>
      <c r="E39" s="51">
        <f>C39*E30</f>
        <v>873.18000000000006</v>
      </c>
      <c r="F39" s="425">
        <f>E34*D39</f>
        <v>1397.3723493587008</v>
      </c>
      <c r="G39" s="425">
        <f>E39+F39</f>
        <v>2270.5523493587007</v>
      </c>
    </row>
    <row r="40" spans="2:17">
      <c r="B40" s="51" t="s">
        <v>1457</v>
      </c>
      <c r="C40" s="51">
        <v>8</v>
      </c>
      <c r="D40" s="51">
        <v>9</v>
      </c>
      <c r="E40" s="51">
        <f>C40*E30</f>
        <v>1164.24</v>
      </c>
      <c r="F40" s="425">
        <f>E34*D40</f>
        <v>1796.6215920326154</v>
      </c>
      <c r="G40" s="425">
        <f>E40+F40</f>
        <v>2960.8615920326156</v>
      </c>
      <c r="H40" s="413"/>
      <c r="L40" s="422">
        <f>G38/D41/D42</f>
        <v>2469.1298541949782</v>
      </c>
      <c r="M40" s="422">
        <f>G39/D41/D43</f>
        <v>3311.2221761481055</v>
      </c>
      <c r="N40">
        <f>G40/D41/D44</f>
        <v>4163.7116137958656</v>
      </c>
    </row>
    <row r="41" spans="2:17">
      <c r="B41" s="51" t="s">
        <v>1398</v>
      </c>
      <c r="C41" s="51" t="s">
        <v>1420</v>
      </c>
      <c r="D41" s="439">
        <v>0.8</v>
      </c>
      <c r="L41" s="422">
        <f t="shared" ref="L41:N43" si="1">L40</f>
        <v>2469.1298541949782</v>
      </c>
      <c r="M41" s="422">
        <f t="shared" si="1"/>
        <v>3311.2221761481055</v>
      </c>
      <c r="N41" s="422">
        <f t="shared" si="1"/>
        <v>4163.7116137958656</v>
      </c>
    </row>
    <row r="42" spans="2:17">
      <c r="B42" s="51" t="s">
        <v>777</v>
      </c>
      <c r="C42" s="51" t="s">
        <v>1455</v>
      </c>
      <c r="D42" s="439">
        <f>C38/D38</f>
        <v>0.8</v>
      </c>
      <c r="L42" s="422">
        <f t="shared" si="1"/>
        <v>2469.1298541949782</v>
      </c>
      <c r="M42" s="422">
        <f t="shared" si="1"/>
        <v>3311.2221761481055</v>
      </c>
      <c r="N42" s="422">
        <f t="shared" si="1"/>
        <v>4163.7116137958656</v>
      </c>
    </row>
    <row r="43" spans="2:17" ht="14.25" thickBot="1">
      <c r="B43" s="51"/>
      <c r="C43" s="51" t="s">
        <v>1456</v>
      </c>
      <c r="D43" s="439">
        <f>C39/D39</f>
        <v>0.8571428571428571</v>
      </c>
      <c r="L43" s="422">
        <f t="shared" si="1"/>
        <v>2469.1298541949782</v>
      </c>
      <c r="M43" s="422">
        <f t="shared" si="1"/>
        <v>3311.2221761481055</v>
      </c>
      <c r="N43" s="422">
        <f t="shared" si="1"/>
        <v>4163.7116137958656</v>
      </c>
    </row>
    <row r="44" spans="2:17">
      <c r="B44" s="51"/>
      <c r="C44" s="51" t="s">
        <v>1457</v>
      </c>
      <c r="D44" s="439">
        <f>C40/D40</f>
        <v>0.88888888888888884</v>
      </c>
      <c r="E44" s="440"/>
      <c r="F44" s="1543" t="s">
        <v>1422</v>
      </c>
      <c r="G44" s="1543"/>
      <c r="H44" s="1543" t="s">
        <v>1389</v>
      </c>
      <c r="I44" s="1543"/>
      <c r="J44" s="440"/>
      <c r="K44" s="440"/>
      <c r="L44" s="442" t="s">
        <v>1458</v>
      </c>
      <c r="M44" s="445" t="s">
        <v>1459</v>
      </c>
      <c r="N44" s="415" t="s">
        <v>1460</v>
      </c>
    </row>
    <row r="45" spans="2:17">
      <c r="B45" s="1543" t="s">
        <v>1388</v>
      </c>
      <c r="C45" s="51" t="s">
        <v>1371</v>
      </c>
      <c r="D45" s="51">
        <v>10</v>
      </c>
      <c r="E45" s="51" t="s">
        <v>1423</v>
      </c>
      <c r="F45" s="51">
        <v>3</v>
      </c>
      <c r="G45" s="51" t="s">
        <v>1424</v>
      </c>
      <c r="H45" s="51">
        <v>14</v>
      </c>
      <c r="I45" s="51" t="s">
        <v>1389</v>
      </c>
      <c r="J45" s="51">
        <f>D45*F45*H45</f>
        <v>420</v>
      </c>
      <c r="L45" s="443">
        <f>L40/J45</f>
        <v>5.8788806052261382</v>
      </c>
      <c r="M45" s="446">
        <f>M40/J45</f>
        <v>7.8838623241621564</v>
      </c>
      <c r="N45" s="417">
        <f>N40/J45</f>
        <v>9.9135990804663461</v>
      </c>
      <c r="P45" s="421"/>
      <c r="Q45" s="421"/>
    </row>
    <row r="46" spans="2:17">
      <c r="B46" s="1543"/>
      <c r="C46" s="51" t="s">
        <v>1372</v>
      </c>
      <c r="D46" s="51">
        <v>12</v>
      </c>
      <c r="E46" s="51" t="s">
        <v>1423</v>
      </c>
      <c r="F46" s="51">
        <v>3</v>
      </c>
      <c r="G46" s="51" t="s">
        <v>1424</v>
      </c>
      <c r="H46" s="51">
        <v>14</v>
      </c>
      <c r="I46" s="51" t="s">
        <v>1389</v>
      </c>
      <c r="J46" s="51">
        <f>D46*F46*H46</f>
        <v>504</v>
      </c>
      <c r="L46" s="443">
        <f>L41/J46/2</f>
        <v>2.4495335855108911</v>
      </c>
      <c r="M46" s="446">
        <f>M41/J46/2</f>
        <v>3.2849426350675648</v>
      </c>
      <c r="N46" s="417">
        <f>N41/J46/2</f>
        <v>4.1306662835276446</v>
      </c>
      <c r="O46" t="s">
        <v>1466</v>
      </c>
      <c r="P46" s="421"/>
      <c r="Q46" s="421"/>
    </row>
    <row r="47" spans="2:17">
      <c r="B47" s="1543"/>
      <c r="C47" s="51" t="s">
        <v>1373</v>
      </c>
      <c r="D47" s="51">
        <v>15</v>
      </c>
      <c r="E47" s="51" t="s">
        <v>1423</v>
      </c>
      <c r="F47" s="51">
        <v>3</v>
      </c>
      <c r="G47" s="51" t="s">
        <v>1424</v>
      </c>
      <c r="H47" s="51">
        <v>14</v>
      </c>
      <c r="I47" s="51" t="s">
        <v>1389</v>
      </c>
      <c r="J47" s="51">
        <f>D47*F47*H47</f>
        <v>630</v>
      </c>
      <c r="L47" s="443">
        <f>L42/J47</f>
        <v>3.9192537368174256</v>
      </c>
      <c r="M47" s="446">
        <f>M42/J47</f>
        <v>5.2559082161081037</v>
      </c>
      <c r="N47" s="417">
        <f>N42/J47</f>
        <v>6.6090660536442307</v>
      </c>
      <c r="P47" s="421"/>
      <c r="Q47" s="421"/>
    </row>
    <row r="48" spans="2:17" ht="14.25" thickBot="1">
      <c r="B48" s="1543"/>
      <c r="C48" s="51" t="s">
        <v>1397</v>
      </c>
      <c r="D48" s="51">
        <v>60</v>
      </c>
      <c r="E48" s="51" t="s">
        <v>1423</v>
      </c>
      <c r="F48" s="51">
        <v>3</v>
      </c>
      <c r="G48" s="51" t="s">
        <v>1424</v>
      </c>
      <c r="H48" s="51">
        <v>14</v>
      </c>
      <c r="I48" s="51" t="s">
        <v>1389</v>
      </c>
      <c r="J48" s="51">
        <f>D48*F48*H48</f>
        <v>2520</v>
      </c>
      <c r="L48" s="444">
        <f>L43/J48</f>
        <v>0.9798134342043564</v>
      </c>
      <c r="M48" s="447">
        <f>M43/J48</f>
        <v>1.3139770540270259</v>
      </c>
      <c r="N48" s="419">
        <f>N43/J48</f>
        <v>1.6522665134110577</v>
      </c>
    </row>
  </sheetData>
  <mergeCells count="12">
    <mergeCell ref="B2:B5"/>
    <mergeCell ref="B6:B8"/>
    <mergeCell ref="C12:D12"/>
    <mergeCell ref="F19:G19"/>
    <mergeCell ref="H19:I19"/>
    <mergeCell ref="B20:B23"/>
    <mergeCell ref="C37:D37"/>
    <mergeCell ref="F44:G44"/>
    <mergeCell ref="H44:I44"/>
    <mergeCell ref="B45:B48"/>
    <mergeCell ref="B27:B30"/>
    <mergeCell ref="B31:B33"/>
  </mergeCells>
  <phoneticPr fontId="2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"/>
  <dimension ref="B1:S56"/>
  <sheetViews>
    <sheetView showGridLines="0" topLeftCell="A22" workbookViewId="0">
      <selection activeCell="H32" sqref="H32"/>
    </sheetView>
  </sheetViews>
  <sheetFormatPr defaultColWidth="8.875" defaultRowHeight="14.25"/>
  <cols>
    <col min="1" max="2" width="8.875" style="450"/>
    <col min="3" max="3" width="44" style="450" customWidth="1"/>
    <col min="4" max="4" width="12.5" style="450" customWidth="1"/>
    <col min="5" max="5" width="17.75" style="450" bestFit="1" customWidth="1"/>
    <col min="6" max="10" width="10.75" style="450" customWidth="1"/>
    <col min="11" max="12" width="8.875" style="450"/>
    <col min="13" max="13" width="9" style="450" bestFit="1" customWidth="1"/>
    <col min="14" max="14" width="8.875" style="450"/>
    <col min="15" max="17" width="9" style="450" bestFit="1" customWidth="1"/>
    <col min="18" max="16384" width="8.875" style="450"/>
  </cols>
  <sheetData>
    <row r="1" spans="2:11">
      <c r="B1" s="469"/>
      <c r="C1" s="469"/>
      <c r="D1" s="469"/>
      <c r="E1" s="469"/>
      <c r="F1" s="469"/>
      <c r="G1" s="469"/>
      <c r="H1" s="469"/>
      <c r="I1" s="469"/>
    </row>
    <row r="2" spans="2:11" ht="15">
      <c r="B2" s="802" t="s">
        <v>1617</v>
      </c>
      <c r="C2" s="469"/>
      <c r="D2" s="469"/>
      <c r="E2" s="469"/>
      <c r="F2" s="469"/>
      <c r="G2" s="469"/>
      <c r="H2" s="469"/>
      <c r="I2" s="469"/>
    </row>
    <row r="3" spans="2:11" ht="4.9000000000000004" customHeight="1">
      <c r="B3" s="802"/>
      <c r="C3" s="469"/>
      <c r="D3" s="469"/>
      <c r="E3" s="469"/>
      <c r="F3" s="469"/>
      <c r="G3" s="469"/>
      <c r="H3" s="469"/>
      <c r="I3" s="469"/>
    </row>
    <row r="4" spans="2:11" ht="16.899999999999999" customHeight="1" thickBot="1">
      <c r="B4" s="802"/>
      <c r="C4" s="816" t="s">
        <v>1618</v>
      </c>
      <c r="D4" s="817" t="s">
        <v>1623</v>
      </c>
      <c r="E4" s="817" t="s">
        <v>1622</v>
      </c>
      <c r="F4" s="1549" t="s">
        <v>1619</v>
      </c>
      <c r="G4" s="1550"/>
      <c r="H4" s="1551"/>
      <c r="I4" s="1549" t="s">
        <v>1620</v>
      </c>
      <c r="J4" s="1550"/>
      <c r="K4" s="1551"/>
    </row>
    <row r="5" spans="2:11" ht="16.899999999999999" customHeight="1" thickTop="1">
      <c r="B5" s="469"/>
      <c r="C5" s="809" t="s">
        <v>1431</v>
      </c>
      <c r="D5" s="809" t="s">
        <v>1631</v>
      </c>
      <c r="E5" s="810"/>
      <c r="F5" s="811">
        <v>2.9</v>
      </c>
      <c r="G5" s="812" t="s">
        <v>192</v>
      </c>
      <c r="H5" s="813" t="s">
        <v>1432</v>
      </c>
      <c r="I5" s="814">
        <f t="shared" ref="I5:I26" si="0">IF(G5="USD",F5*$F$28,IF(G5="PHP",F5*$F$29,F5))</f>
        <v>304.5</v>
      </c>
      <c r="J5" s="815" t="s">
        <v>1434</v>
      </c>
      <c r="K5" s="813" t="s">
        <v>1432</v>
      </c>
    </row>
    <row r="6" spans="2:11" ht="16.899999999999999" customHeight="1">
      <c r="B6" s="469"/>
      <c r="C6" s="475" t="s">
        <v>1433</v>
      </c>
      <c r="D6" s="475" t="s">
        <v>1631</v>
      </c>
      <c r="E6" s="451"/>
      <c r="F6" s="805">
        <v>397.1</v>
      </c>
      <c r="G6" s="808" t="s">
        <v>1434</v>
      </c>
      <c r="H6" s="476" t="s">
        <v>1621</v>
      </c>
      <c r="I6" s="803">
        <f t="shared" si="0"/>
        <v>397.1</v>
      </c>
      <c r="J6" s="804" t="s">
        <v>1434</v>
      </c>
      <c r="K6" s="476" t="s">
        <v>1621</v>
      </c>
    </row>
    <row r="7" spans="2:11" ht="16.899999999999999" customHeight="1">
      <c r="B7" s="469"/>
      <c r="C7" s="475" t="s">
        <v>1435</v>
      </c>
      <c r="D7" s="475" t="s">
        <v>1631</v>
      </c>
      <c r="E7" s="451"/>
      <c r="F7" s="805">
        <v>1.98</v>
      </c>
      <c r="G7" s="808" t="s">
        <v>192</v>
      </c>
      <c r="H7" s="476" t="s">
        <v>1621</v>
      </c>
      <c r="I7" s="803">
        <f t="shared" si="0"/>
        <v>207.9</v>
      </c>
      <c r="J7" s="804" t="s">
        <v>1434</v>
      </c>
      <c r="K7" s="476" t="s">
        <v>1621</v>
      </c>
    </row>
    <row r="8" spans="2:11" ht="16.899999999999999" customHeight="1">
      <c r="B8" s="469"/>
      <c r="C8" s="475" t="s">
        <v>1436</v>
      </c>
      <c r="D8" s="475" t="s">
        <v>1631</v>
      </c>
      <c r="E8" s="451"/>
      <c r="F8" s="805">
        <v>345.5</v>
      </c>
      <c r="G8" s="808" t="s">
        <v>1434</v>
      </c>
      <c r="H8" s="476" t="s">
        <v>1621</v>
      </c>
      <c r="I8" s="803">
        <f t="shared" si="0"/>
        <v>345.5</v>
      </c>
      <c r="J8" s="804" t="s">
        <v>1434</v>
      </c>
      <c r="K8" s="476" t="s">
        <v>1621</v>
      </c>
    </row>
    <row r="9" spans="2:11" ht="16.899999999999999" customHeight="1">
      <c r="B9" s="469"/>
      <c r="C9" s="475" t="s">
        <v>1437</v>
      </c>
      <c r="D9" s="475" t="s">
        <v>1624</v>
      </c>
      <c r="E9" s="451"/>
      <c r="F9" s="805">
        <v>2.0299999999999998</v>
      </c>
      <c r="G9" s="808" t="s">
        <v>192</v>
      </c>
      <c r="H9" s="476" t="s">
        <v>1621</v>
      </c>
      <c r="I9" s="803">
        <f t="shared" si="0"/>
        <v>213.14999999999998</v>
      </c>
      <c r="J9" s="804" t="s">
        <v>1434</v>
      </c>
      <c r="K9" s="476" t="s">
        <v>1621</v>
      </c>
    </row>
    <row r="10" spans="2:11" ht="16.899999999999999" customHeight="1">
      <c r="B10" s="469"/>
      <c r="C10" s="475" t="s">
        <v>1438</v>
      </c>
      <c r="D10" s="475" t="s">
        <v>1631</v>
      </c>
      <c r="E10" s="451"/>
      <c r="F10" s="805">
        <v>3.98</v>
      </c>
      <c r="G10" s="808" t="s">
        <v>192</v>
      </c>
      <c r="H10" s="476" t="s">
        <v>1621</v>
      </c>
      <c r="I10" s="803">
        <f t="shared" si="0"/>
        <v>417.9</v>
      </c>
      <c r="J10" s="804" t="s">
        <v>1434</v>
      </c>
      <c r="K10" s="476" t="s">
        <v>1621</v>
      </c>
    </row>
    <row r="11" spans="2:11" ht="16.899999999999999" customHeight="1">
      <c r="B11" s="469"/>
      <c r="C11" s="475" t="s">
        <v>1439</v>
      </c>
      <c r="D11" s="475" t="s">
        <v>1631</v>
      </c>
      <c r="E11" s="451"/>
      <c r="F11" s="805">
        <v>4.7</v>
      </c>
      <c r="G11" s="808" t="s">
        <v>192</v>
      </c>
      <c r="H11" s="476" t="s">
        <v>1621</v>
      </c>
      <c r="I11" s="803">
        <f t="shared" si="0"/>
        <v>493.5</v>
      </c>
      <c r="J11" s="804" t="s">
        <v>1434</v>
      </c>
      <c r="K11" s="476" t="s">
        <v>1621</v>
      </c>
    </row>
    <row r="12" spans="2:11" ht="16.899999999999999" customHeight="1">
      <c r="B12" s="469"/>
      <c r="C12" s="475" t="s">
        <v>1440</v>
      </c>
      <c r="D12" s="475" t="s">
        <v>1627</v>
      </c>
      <c r="E12" s="451"/>
      <c r="F12" s="805">
        <v>1623.68</v>
      </c>
      <c r="G12" s="808" t="s">
        <v>1434</v>
      </c>
      <c r="H12" s="476" t="s">
        <v>1621</v>
      </c>
      <c r="I12" s="803">
        <f t="shared" si="0"/>
        <v>1623.68</v>
      </c>
      <c r="J12" s="804" t="s">
        <v>1434</v>
      </c>
      <c r="K12" s="476" t="s">
        <v>1621</v>
      </c>
    </row>
    <row r="13" spans="2:11" ht="16.899999999999999" customHeight="1">
      <c r="B13" s="469"/>
      <c r="C13" s="475" t="s">
        <v>1441</v>
      </c>
      <c r="D13" s="475" t="s">
        <v>1624</v>
      </c>
      <c r="E13" s="451"/>
      <c r="F13" s="805">
        <v>345.5</v>
      </c>
      <c r="G13" s="808" t="s">
        <v>1434</v>
      </c>
      <c r="H13" s="476" t="s">
        <v>1621</v>
      </c>
      <c r="I13" s="803">
        <f t="shared" si="0"/>
        <v>345.5</v>
      </c>
      <c r="J13" s="804" t="s">
        <v>1434</v>
      </c>
      <c r="K13" s="476" t="s">
        <v>1621</v>
      </c>
    </row>
    <row r="14" spans="2:11" ht="16.899999999999999" customHeight="1">
      <c r="B14" s="469"/>
      <c r="C14" s="475" t="s">
        <v>1634</v>
      </c>
      <c r="D14" s="475" t="s">
        <v>1625</v>
      </c>
      <c r="E14" s="451"/>
      <c r="F14" s="805">
        <v>3.15</v>
      </c>
      <c r="G14" s="808" t="s">
        <v>192</v>
      </c>
      <c r="H14" s="476" t="s">
        <v>1621</v>
      </c>
      <c r="I14" s="803">
        <f t="shared" si="0"/>
        <v>330.75</v>
      </c>
      <c r="J14" s="804" t="s">
        <v>1434</v>
      </c>
      <c r="K14" s="476" t="s">
        <v>1621</v>
      </c>
    </row>
    <row r="15" spans="2:11" ht="16.899999999999999" customHeight="1">
      <c r="B15" s="469"/>
      <c r="C15" s="475" t="s">
        <v>1442</v>
      </c>
      <c r="D15" s="475"/>
      <c r="E15" s="451"/>
      <c r="F15" s="805">
        <v>2.9</v>
      </c>
      <c r="G15" s="808" t="s">
        <v>192</v>
      </c>
      <c r="H15" s="476" t="s">
        <v>1621</v>
      </c>
      <c r="I15" s="803">
        <f t="shared" si="0"/>
        <v>304.5</v>
      </c>
      <c r="J15" s="804" t="s">
        <v>1434</v>
      </c>
      <c r="K15" s="476" t="s">
        <v>1621</v>
      </c>
    </row>
    <row r="16" spans="2:11" ht="16.899999999999999" customHeight="1">
      <c r="B16" s="469"/>
      <c r="C16" s="475" t="s">
        <v>1633</v>
      </c>
      <c r="D16" s="475" t="s">
        <v>1626</v>
      </c>
      <c r="E16" s="451"/>
      <c r="F16" s="805">
        <v>6.6520000000000001</v>
      </c>
      <c r="G16" s="808" t="s">
        <v>192</v>
      </c>
      <c r="H16" s="476" t="s">
        <v>1621</v>
      </c>
      <c r="I16" s="803">
        <f t="shared" si="0"/>
        <v>698.46</v>
      </c>
      <c r="J16" s="804" t="s">
        <v>1434</v>
      </c>
      <c r="K16" s="476" t="s">
        <v>1621</v>
      </c>
    </row>
    <row r="17" spans="2:11" ht="16.899999999999999" customHeight="1">
      <c r="B17" s="469"/>
      <c r="C17" s="475" t="s">
        <v>1632</v>
      </c>
      <c r="D17" s="475" t="s">
        <v>1631</v>
      </c>
      <c r="E17" s="451"/>
      <c r="F17" s="805">
        <v>1494.07</v>
      </c>
      <c r="G17" s="808" t="s">
        <v>1434</v>
      </c>
      <c r="H17" s="476" t="s">
        <v>1621</v>
      </c>
      <c r="I17" s="803">
        <f t="shared" si="0"/>
        <v>1494.07</v>
      </c>
      <c r="J17" s="804" t="s">
        <v>1434</v>
      </c>
      <c r="K17" s="476" t="s">
        <v>1621</v>
      </c>
    </row>
    <row r="18" spans="2:11" ht="16.899999999999999" customHeight="1">
      <c r="B18" s="469"/>
      <c r="C18" s="475" t="s">
        <v>1443</v>
      </c>
      <c r="D18" s="475"/>
      <c r="E18" s="451"/>
      <c r="F18" s="805">
        <v>343.23</v>
      </c>
      <c r="G18" s="808" t="s">
        <v>1434</v>
      </c>
      <c r="H18" s="476" t="s">
        <v>1621</v>
      </c>
      <c r="I18" s="803">
        <f t="shared" si="0"/>
        <v>343.23</v>
      </c>
      <c r="J18" s="804" t="s">
        <v>1434</v>
      </c>
      <c r="K18" s="476" t="s">
        <v>1621</v>
      </c>
    </row>
    <row r="19" spans="2:11" ht="16.899999999999999" customHeight="1">
      <c r="B19" s="477"/>
      <c r="C19" s="475" t="s">
        <v>1638</v>
      </c>
      <c r="D19" s="475" t="s">
        <v>1628</v>
      </c>
      <c r="E19" s="475"/>
      <c r="F19" s="805">
        <v>3.7</v>
      </c>
      <c r="G19" s="808" t="s">
        <v>192</v>
      </c>
      <c r="H19" s="476" t="s">
        <v>1621</v>
      </c>
      <c r="I19" s="803">
        <f t="shared" si="0"/>
        <v>388.5</v>
      </c>
      <c r="J19" s="804" t="s">
        <v>1434</v>
      </c>
      <c r="K19" s="476" t="s">
        <v>1621</v>
      </c>
    </row>
    <row r="20" spans="2:11" ht="16.899999999999999" customHeight="1">
      <c r="B20" s="477"/>
      <c r="C20" s="475" t="s">
        <v>1637</v>
      </c>
      <c r="D20" s="475" t="s">
        <v>1627</v>
      </c>
      <c r="E20" s="475"/>
      <c r="F20" s="805">
        <v>3.7</v>
      </c>
      <c r="G20" s="808" t="s">
        <v>192</v>
      </c>
      <c r="H20" s="476" t="s">
        <v>1621</v>
      </c>
      <c r="I20" s="803">
        <f t="shared" si="0"/>
        <v>388.5</v>
      </c>
      <c r="J20" s="804" t="s">
        <v>1434</v>
      </c>
      <c r="K20" s="476" t="s">
        <v>1621</v>
      </c>
    </row>
    <row r="21" spans="2:11" ht="16.899999999999999" customHeight="1">
      <c r="B21" s="477"/>
      <c r="C21" s="475" t="s">
        <v>1636</v>
      </c>
      <c r="D21" s="475" t="s">
        <v>1626</v>
      </c>
      <c r="E21" s="475"/>
      <c r="F21" s="805">
        <v>3.87</v>
      </c>
      <c r="G21" s="808" t="s">
        <v>192</v>
      </c>
      <c r="H21" s="476" t="s">
        <v>1621</v>
      </c>
      <c r="I21" s="803">
        <f t="shared" si="0"/>
        <v>406.35</v>
      </c>
      <c r="J21" s="804" t="s">
        <v>1434</v>
      </c>
      <c r="K21" s="476" t="s">
        <v>1621</v>
      </c>
    </row>
    <row r="22" spans="2:11" ht="16.899999999999999" customHeight="1">
      <c r="B22" s="477"/>
      <c r="C22" s="475" t="s">
        <v>1635</v>
      </c>
      <c r="D22" s="475" t="s">
        <v>1625</v>
      </c>
      <c r="E22" s="475"/>
      <c r="F22" s="805">
        <v>3.87</v>
      </c>
      <c r="G22" s="808" t="s">
        <v>192</v>
      </c>
      <c r="H22" s="476" t="s">
        <v>1621</v>
      </c>
      <c r="I22" s="803">
        <f t="shared" si="0"/>
        <v>406.35</v>
      </c>
      <c r="J22" s="804" t="s">
        <v>1434</v>
      </c>
      <c r="K22" s="476" t="s">
        <v>1621</v>
      </c>
    </row>
    <row r="23" spans="2:11" ht="16.899999999999999" customHeight="1">
      <c r="B23" s="469"/>
      <c r="C23" s="475" t="s">
        <v>1444</v>
      </c>
      <c r="D23" s="475"/>
      <c r="E23" s="451"/>
      <c r="F23" s="805">
        <v>736.5</v>
      </c>
      <c r="G23" s="808" t="s">
        <v>1434</v>
      </c>
      <c r="H23" s="476" t="s">
        <v>1621</v>
      </c>
      <c r="I23" s="803">
        <f t="shared" si="0"/>
        <v>736.5</v>
      </c>
      <c r="J23" s="804" t="s">
        <v>1434</v>
      </c>
      <c r="K23" s="476" t="s">
        <v>1621</v>
      </c>
    </row>
    <row r="24" spans="2:11" ht="16.899999999999999" customHeight="1">
      <c r="B24" s="469"/>
      <c r="C24" s="475" t="s">
        <v>1445</v>
      </c>
      <c r="D24" s="475"/>
      <c r="E24" s="451"/>
      <c r="F24" s="806">
        <v>776.9</v>
      </c>
      <c r="G24" s="808" t="s">
        <v>1434</v>
      </c>
      <c r="H24" s="476" t="s">
        <v>1621</v>
      </c>
      <c r="I24" s="803">
        <f t="shared" si="0"/>
        <v>776.9</v>
      </c>
      <c r="J24" s="804" t="s">
        <v>1434</v>
      </c>
      <c r="K24" s="476" t="s">
        <v>1621</v>
      </c>
    </row>
    <row r="25" spans="2:11" ht="16.899999999999999" customHeight="1">
      <c r="B25" s="469"/>
      <c r="C25" s="441" t="s">
        <v>1629</v>
      </c>
      <c r="D25" s="441" t="s">
        <v>1624</v>
      </c>
      <c r="E25" s="451"/>
      <c r="F25" s="807">
        <v>2.3250000000000002</v>
      </c>
      <c r="G25" s="808" t="s">
        <v>192</v>
      </c>
      <c r="H25" s="476" t="s">
        <v>1621</v>
      </c>
      <c r="I25" s="803">
        <f t="shared" si="0"/>
        <v>244.12500000000003</v>
      </c>
      <c r="J25" s="804" t="s">
        <v>1434</v>
      </c>
      <c r="K25" s="476" t="s">
        <v>1621</v>
      </c>
    </row>
    <row r="26" spans="2:11" ht="16.899999999999999" customHeight="1">
      <c r="B26" s="469"/>
      <c r="C26" s="478" t="s">
        <v>1630</v>
      </c>
      <c r="D26" s="478" t="s">
        <v>1627</v>
      </c>
      <c r="E26" s="451"/>
      <c r="F26" s="807">
        <v>366</v>
      </c>
      <c r="G26" s="808" t="s">
        <v>207</v>
      </c>
      <c r="H26" s="476" t="s">
        <v>1621</v>
      </c>
      <c r="I26" s="803">
        <f t="shared" si="0"/>
        <v>805.2</v>
      </c>
      <c r="J26" s="804" t="s">
        <v>1434</v>
      </c>
      <c r="K26" s="476" t="s">
        <v>1621</v>
      </c>
    </row>
    <row r="27" spans="2:11">
      <c r="B27" s="469"/>
      <c r="C27" s="469"/>
      <c r="D27" s="469"/>
      <c r="E27" s="469"/>
      <c r="F27" s="469"/>
      <c r="G27" s="469"/>
      <c r="H27" s="469"/>
      <c r="I27" s="469"/>
      <c r="J27" s="469"/>
      <c r="K27" s="469"/>
    </row>
    <row r="28" spans="2:11">
      <c r="C28" s="450" t="s">
        <v>1639</v>
      </c>
      <c r="F28" s="818">
        <v>105</v>
      </c>
      <c r="G28" s="469" t="s">
        <v>1425</v>
      </c>
    </row>
    <row r="29" spans="2:11">
      <c r="F29" s="818">
        <v>2.2000000000000002</v>
      </c>
      <c r="G29" s="469" t="s">
        <v>1426</v>
      </c>
    </row>
    <row r="30" spans="2:11">
      <c r="B30" s="469"/>
      <c r="C30" s="469"/>
      <c r="D30" s="469"/>
      <c r="E30" s="469"/>
      <c r="F30" s="469"/>
      <c r="G30" s="469"/>
      <c r="H30" s="469"/>
      <c r="I30" s="469"/>
      <c r="J30" s="469"/>
      <c r="K30" s="469"/>
    </row>
    <row r="31" spans="2:11" ht="15">
      <c r="B31" s="802" t="s">
        <v>1640</v>
      </c>
      <c r="C31" s="469"/>
      <c r="D31" s="469"/>
      <c r="E31" s="469"/>
      <c r="F31" s="469"/>
      <c r="G31" s="469"/>
      <c r="H31" s="469"/>
      <c r="I31" s="469"/>
      <c r="J31" s="469"/>
      <c r="K31" s="469"/>
    </row>
    <row r="32" spans="2:11" ht="15">
      <c r="B32" s="802"/>
      <c r="C32" s="469"/>
      <c r="D32" s="469"/>
      <c r="E32" s="469"/>
      <c r="F32" s="469"/>
      <c r="G32" s="469"/>
      <c r="H32" s="469"/>
      <c r="I32" s="469"/>
      <c r="J32" s="469"/>
      <c r="K32" s="469"/>
    </row>
    <row r="33" spans="2:19" ht="15">
      <c r="B33" s="802"/>
      <c r="C33" s="469" t="s">
        <v>1641</v>
      </c>
      <c r="D33" s="469" t="s">
        <v>1642</v>
      </c>
      <c r="E33" s="469"/>
      <c r="F33" s="469" t="s">
        <v>1643</v>
      </c>
      <c r="G33" s="469"/>
      <c r="H33" s="469"/>
      <c r="I33" s="469"/>
      <c r="J33" s="469"/>
      <c r="K33" s="469"/>
    </row>
    <row r="34" spans="2:19" ht="15">
      <c r="B34" s="802"/>
      <c r="C34" s="469"/>
      <c r="D34" s="469"/>
      <c r="E34" s="469"/>
      <c r="F34" s="469">
        <v>0.75</v>
      </c>
      <c r="G34" s="469" t="s">
        <v>1644</v>
      </c>
      <c r="H34" s="469"/>
      <c r="I34" s="469"/>
      <c r="J34" s="469"/>
      <c r="K34" s="469"/>
    </row>
    <row r="35" spans="2:19" ht="15">
      <c r="B35" s="802"/>
      <c r="C35" s="469"/>
      <c r="D35" s="469"/>
      <c r="E35" s="469"/>
      <c r="F35" s="469"/>
      <c r="G35" s="469"/>
      <c r="H35" s="469"/>
      <c r="I35" s="469"/>
      <c r="J35" s="469"/>
      <c r="K35" s="469"/>
    </row>
    <row r="36" spans="2:19" ht="15">
      <c r="B36" s="802"/>
      <c r="C36" s="469"/>
      <c r="D36" s="469"/>
      <c r="E36" s="469"/>
      <c r="F36" s="469"/>
      <c r="G36" s="469"/>
      <c r="H36" s="469"/>
      <c r="I36" s="469"/>
      <c r="J36" s="469"/>
      <c r="K36" s="469"/>
    </row>
    <row r="37" spans="2:19" ht="15">
      <c r="B37" s="802"/>
      <c r="C37" s="469"/>
      <c r="D37" s="469"/>
      <c r="E37" s="469"/>
      <c r="F37" s="469"/>
      <c r="G37" s="469"/>
      <c r="H37" s="469"/>
      <c r="I37" s="469"/>
      <c r="J37" s="469"/>
      <c r="K37" s="469"/>
    </row>
    <row r="38" spans="2:19" ht="15">
      <c r="B38" s="802"/>
      <c r="C38" s="469"/>
      <c r="D38" s="469"/>
      <c r="E38" s="469"/>
      <c r="F38" s="469"/>
      <c r="G38" s="469"/>
      <c r="H38" s="469"/>
      <c r="I38" s="469"/>
      <c r="J38" s="469"/>
      <c r="K38" s="469"/>
    </row>
    <row r="39" spans="2:19">
      <c r="B39" s="469"/>
      <c r="C39" s="469" t="s">
        <v>1484</v>
      </c>
      <c r="D39" s="469"/>
      <c r="E39" s="469"/>
      <c r="F39" s="471">
        <f>O48</f>
        <v>57.114983196687561</v>
      </c>
      <c r="G39" s="469" t="s">
        <v>1493</v>
      </c>
      <c r="H39" s="469"/>
      <c r="I39" s="469"/>
      <c r="J39" s="469"/>
      <c r="K39" s="469"/>
    </row>
    <row r="40" spans="2:19">
      <c r="B40" s="469"/>
      <c r="C40" s="469" t="s">
        <v>1485</v>
      </c>
      <c r="D40" s="469"/>
      <c r="E40" s="469"/>
      <c r="F40" s="471">
        <v>17.600000000000001</v>
      </c>
      <c r="G40" s="469" t="s">
        <v>1427</v>
      </c>
      <c r="H40" s="469" t="s">
        <v>1486</v>
      </c>
      <c r="I40" s="469"/>
      <c r="J40" s="469"/>
      <c r="K40" s="469"/>
    </row>
    <row r="41" spans="2:19">
      <c r="B41" s="469"/>
      <c r="C41" s="469"/>
      <c r="D41" s="469"/>
      <c r="E41" s="469"/>
      <c r="F41" s="469"/>
      <c r="G41" s="469"/>
      <c r="H41" s="469"/>
      <c r="I41" s="469"/>
      <c r="J41" s="469"/>
      <c r="K41" s="469"/>
    </row>
    <row r="42" spans="2:19">
      <c r="B42" s="469"/>
      <c r="C42" s="469" t="s">
        <v>1473</v>
      </c>
      <c r="D42" s="469"/>
      <c r="E42" s="469"/>
      <c r="F42" s="469" t="s">
        <v>1479</v>
      </c>
      <c r="G42" s="469"/>
      <c r="H42" s="469"/>
      <c r="I42" s="469"/>
      <c r="J42" s="469"/>
      <c r="K42" s="469"/>
      <c r="R42" s="481"/>
      <c r="S42" s="481"/>
    </row>
    <row r="43" spans="2:19">
      <c r="B43" s="469" t="s">
        <v>1480</v>
      </c>
      <c r="C43" s="469" t="s">
        <v>1428</v>
      </c>
      <c r="D43" s="469"/>
      <c r="E43" s="470">
        <f>Anneal!E2</f>
        <v>2.2000000000000002</v>
      </c>
      <c r="F43" s="469" t="s">
        <v>948</v>
      </c>
      <c r="G43" s="469" t="s">
        <v>1474</v>
      </c>
      <c r="H43" s="469"/>
      <c r="I43" s="469"/>
      <c r="J43" s="469"/>
      <c r="K43" s="469"/>
    </row>
    <row r="44" spans="2:19">
      <c r="B44" s="469" t="s">
        <v>1481</v>
      </c>
      <c r="C44" s="469" t="s">
        <v>1474</v>
      </c>
      <c r="D44" s="469"/>
      <c r="E44" s="468">
        <v>0.75</v>
      </c>
      <c r="F44" s="469" t="s">
        <v>1405</v>
      </c>
      <c r="G44" s="470">
        <v>7</v>
      </c>
      <c r="H44" s="469" t="s">
        <v>1478</v>
      </c>
      <c r="I44" s="469">
        <f>E44*G44*E43</f>
        <v>11.55</v>
      </c>
      <c r="J44" s="450" t="s">
        <v>1489</v>
      </c>
      <c r="M44" s="450">
        <v>7</v>
      </c>
      <c r="N44" s="450" t="s">
        <v>1429</v>
      </c>
      <c r="O44" s="450">
        <f>I44*M44</f>
        <v>80.850000000000009</v>
      </c>
      <c r="P44" s="450" t="s">
        <v>1477</v>
      </c>
    </row>
    <row r="45" spans="2:19">
      <c r="B45" s="469" t="s">
        <v>1482</v>
      </c>
      <c r="C45" s="469" t="s">
        <v>1475</v>
      </c>
      <c r="D45" s="469"/>
      <c r="E45" s="469">
        <v>1</v>
      </c>
      <c r="F45" s="469" t="s">
        <v>1409</v>
      </c>
      <c r="G45" s="470">
        <f>Anneal!E6</f>
        <v>319.39939413913163</v>
      </c>
      <c r="H45" s="469" t="s">
        <v>1477</v>
      </c>
      <c r="I45" s="471">
        <f>G45</f>
        <v>319.39939413913163</v>
      </c>
      <c r="J45" s="450" t="s">
        <v>1490</v>
      </c>
      <c r="M45" s="450">
        <v>2</v>
      </c>
      <c r="N45" s="450" t="s">
        <v>1409</v>
      </c>
      <c r="O45" s="480">
        <f>M45*I45</f>
        <v>638.79878827826326</v>
      </c>
      <c r="P45" s="450" t="s">
        <v>1477</v>
      </c>
    </row>
    <row r="46" spans="2:19">
      <c r="B46" s="469"/>
      <c r="C46" s="469"/>
      <c r="D46" s="469"/>
      <c r="E46" s="469"/>
      <c r="F46" s="469"/>
      <c r="G46" s="482"/>
      <c r="H46" s="469"/>
      <c r="I46" s="471"/>
      <c r="N46" s="450" t="s">
        <v>1491</v>
      </c>
      <c r="O46" s="480">
        <f>O44+O45</f>
        <v>719.64878827826328</v>
      </c>
      <c r="P46" s="450" t="s">
        <v>1477</v>
      </c>
    </row>
    <row r="47" spans="2:19">
      <c r="B47" s="469" t="s">
        <v>1483</v>
      </c>
      <c r="C47" s="472" t="s">
        <v>1476</v>
      </c>
      <c r="D47" s="472"/>
      <c r="E47" s="479">
        <v>1.8</v>
      </c>
      <c r="F47" s="473" t="s">
        <v>1487</v>
      </c>
      <c r="G47" s="474" t="s">
        <v>1430</v>
      </c>
      <c r="H47" s="469"/>
      <c r="I47" s="469"/>
      <c r="J47" s="469"/>
      <c r="K47" s="469"/>
      <c r="O47" s="480">
        <f>E47*M44</f>
        <v>12.6</v>
      </c>
      <c r="P47" s="450" t="s">
        <v>1487</v>
      </c>
    </row>
    <row r="48" spans="2:19">
      <c r="B48" s="469"/>
      <c r="C48" s="469"/>
      <c r="D48" s="469"/>
      <c r="H48" s="469"/>
      <c r="I48" s="469"/>
      <c r="J48" s="469"/>
      <c r="K48" s="469"/>
      <c r="O48" s="483">
        <f>O46/O47</f>
        <v>57.114983196687561</v>
      </c>
      <c r="P48" s="484" t="s">
        <v>1492</v>
      </c>
    </row>
    <row r="49" spans="2:11">
      <c r="B49" s="469"/>
      <c r="C49" s="469"/>
      <c r="D49" s="469"/>
      <c r="E49" s="469"/>
      <c r="F49" s="469"/>
      <c r="G49" s="469"/>
      <c r="H49" s="469"/>
      <c r="I49" s="469"/>
      <c r="J49" s="469"/>
      <c r="K49" s="469"/>
    </row>
    <row r="50" spans="2:11">
      <c r="B50" s="469"/>
      <c r="C50" s="469"/>
      <c r="D50" s="469"/>
      <c r="E50" s="469" t="s">
        <v>1485</v>
      </c>
      <c r="F50" s="469">
        <v>8</v>
      </c>
      <c r="G50" s="469" t="s">
        <v>1488</v>
      </c>
      <c r="H50" s="469"/>
      <c r="I50" s="469"/>
      <c r="J50" s="469"/>
      <c r="K50" s="469"/>
    </row>
    <row r="51" spans="2:11">
      <c r="B51" s="469"/>
      <c r="C51" s="469"/>
      <c r="D51" s="469"/>
      <c r="E51" s="469"/>
      <c r="F51" s="469"/>
      <c r="G51" s="469"/>
      <c r="H51" s="469"/>
      <c r="I51" s="469"/>
    </row>
    <row r="52" spans="2:11">
      <c r="B52" s="469"/>
      <c r="C52" s="469"/>
      <c r="D52" s="469"/>
      <c r="E52" s="469"/>
      <c r="F52" s="469"/>
      <c r="G52" s="469"/>
      <c r="H52" s="469"/>
      <c r="I52" s="469"/>
      <c r="J52" s="469"/>
      <c r="K52" s="469"/>
    </row>
    <row r="53" spans="2:11">
      <c r="B53" s="469"/>
      <c r="C53" s="469"/>
      <c r="D53" s="469"/>
      <c r="E53" s="469"/>
      <c r="F53" s="469"/>
      <c r="G53" s="469"/>
      <c r="H53" s="469"/>
      <c r="I53" s="469"/>
      <c r="J53" s="469"/>
      <c r="K53" s="469"/>
    </row>
    <row r="54" spans="2:11">
      <c r="B54" s="469"/>
      <c r="C54" s="469"/>
      <c r="D54" s="469"/>
      <c r="E54" s="469"/>
      <c r="F54" s="469"/>
      <c r="G54" s="469"/>
      <c r="H54" s="469"/>
      <c r="I54" s="469"/>
      <c r="J54" s="469"/>
      <c r="K54" s="469"/>
    </row>
    <row r="55" spans="2:11">
      <c r="B55" s="469"/>
      <c r="C55" s="469"/>
      <c r="D55" s="469"/>
      <c r="E55" s="469"/>
      <c r="F55" s="469"/>
      <c r="G55" s="469"/>
      <c r="H55" s="469"/>
      <c r="I55" s="469"/>
      <c r="J55" s="469"/>
      <c r="K55" s="469"/>
    </row>
    <row r="56" spans="2:11">
      <c r="B56" s="469"/>
      <c r="C56" s="469"/>
      <c r="D56" s="469"/>
      <c r="E56" s="469"/>
      <c r="F56" s="469"/>
      <c r="G56" s="469"/>
      <c r="H56" s="469"/>
      <c r="I56" s="469"/>
      <c r="J56" s="469"/>
      <c r="K56" s="469"/>
    </row>
  </sheetData>
  <mergeCells count="2">
    <mergeCell ref="F4:H4"/>
    <mergeCell ref="I4:K4"/>
  </mergeCells>
  <phoneticPr fontId="2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/>
  <dimension ref="A3:V26"/>
  <sheetViews>
    <sheetView workbookViewId="0">
      <selection activeCell="E15" sqref="E15"/>
    </sheetView>
  </sheetViews>
  <sheetFormatPr defaultColWidth="8.875" defaultRowHeight="14.25"/>
  <cols>
    <col min="1" max="1" width="8.875" style="450"/>
    <col min="2" max="2" width="4.125" style="450" bestFit="1" customWidth="1"/>
    <col min="3" max="3" width="13.75" style="450" bestFit="1" customWidth="1"/>
    <col min="4" max="4" width="18" style="450" bestFit="1" customWidth="1"/>
    <col min="5" max="5" width="11.625" style="450" bestFit="1" customWidth="1"/>
    <col min="6" max="6" width="9.875" style="450" bestFit="1" customWidth="1"/>
    <col min="7" max="14" width="9.25" style="450" bestFit="1" customWidth="1"/>
    <col min="15" max="22" width="9.125" style="450" bestFit="1" customWidth="1"/>
    <col min="23" max="16384" width="8.875" style="450"/>
  </cols>
  <sheetData>
    <row r="3" spans="1:22">
      <c r="C3" s="451"/>
      <c r="D3" s="451"/>
      <c r="E3" s="451"/>
      <c r="F3" s="452">
        <f>1/F4</f>
        <v>2.1299254526091587</v>
      </c>
      <c r="G3" s="451"/>
      <c r="H3" s="451" t="s">
        <v>1446</v>
      </c>
      <c r="I3" s="459">
        <v>2018</v>
      </c>
      <c r="J3" s="459">
        <v>2019</v>
      </c>
      <c r="K3" s="459">
        <v>20</v>
      </c>
      <c r="L3" s="459">
        <v>21</v>
      </c>
      <c r="M3" s="459">
        <v>22</v>
      </c>
      <c r="N3" s="459">
        <v>23</v>
      </c>
      <c r="O3" s="459">
        <v>24</v>
      </c>
      <c r="P3" s="459">
        <v>25</v>
      </c>
      <c r="Q3" s="459">
        <v>26</v>
      </c>
      <c r="R3" s="459">
        <v>27</v>
      </c>
      <c r="S3" s="459">
        <v>28</v>
      </c>
      <c r="T3" s="459">
        <v>29</v>
      </c>
      <c r="U3" s="459">
        <v>30</v>
      </c>
      <c r="V3" s="459">
        <v>31</v>
      </c>
    </row>
    <row r="4" spans="1:22">
      <c r="C4" s="451" t="s">
        <v>1447</v>
      </c>
      <c r="D4" s="453" t="s">
        <v>1390</v>
      </c>
      <c r="E4" s="454">
        <v>1004.1802581733734</v>
      </c>
      <c r="F4" s="455">
        <v>0.46949999999999997</v>
      </c>
      <c r="G4" s="462">
        <f t="shared" ref="G4:G9" si="0">E4/F4</f>
        <v>2138.8290908911044</v>
      </c>
      <c r="H4" s="463">
        <f t="shared" ref="H4:H9" si="1">G4/8</f>
        <v>267.35363636138806</v>
      </c>
      <c r="I4" s="461">
        <f>H4*1.25</f>
        <v>334.19204545173505</v>
      </c>
      <c r="J4" s="461">
        <f t="shared" ref="J4:V4" si="2">I4*1.05</f>
        <v>350.90164772432183</v>
      </c>
      <c r="K4" s="461">
        <f t="shared" si="2"/>
        <v>368.44673011053794</v>
      </c>
      <c r="L4" s="461">
        <f t="shared" si="2"/>
        <v>386.86906661606486</v>
      </c>
      <c r="M4" s="461">
        <f t="shared" si="2"/>
        <v>406.2125199468681</v>
      </c>
      <c r="N4" s="461">
        <f t="shared" si="2"/>
        <v>426.52314594421154</v>
      </c>
      <c r="O4" s="461">
        <f t="shared" si="2"/>
        <v>447.84930324142215</v>
      </c>
      <c r="P4" s="461">
        <f t="shared" si="2"/>
        <v>470.24176840349327</v>
      </c>
      <c r="Q4" s="461">
        <f t="shared" si="2"/>
        <v>493.75385682366795</v>
      </c>
      <c r="R4" s="461">
        <f t="shared" si="2"/>
        <v>518.44154966485132</v>
      </c>
      <c r="S4" s="461">
        <f t="shared" si="2"/>
        <v>544.36362714809388</v>
      </c>
      <c r="T4" s="461">
        <f t="shared" si="2"/>
        <v>571.58180850549866</v>
      </c>
      <c r="U4" s="461">
        <f t="shared" si="2"/>
        <v>600.16089893077367</v>
      </c>
      <c r="V4" s="461">
        <f t="shared" si="2"/>
        <v>630.16894387731236</v>
      </c>
    </row>
    <row r="5" spans="1:22">
      <c r="C5" s="451"/>
      <c r="D5" s="453" t="s">
        <v>1391</v>
      </c>
      <c r="E5" s="454">
        <v>1199.6641243865784</v>
      </c>
      <c r="F5" s="455">
        <v>0.46949999999999997</v>
      </c>
      <c r="G5" s="462">
        <f t="shared" si="0"/>
        <v>2555.195153113053</v>
      </c>
      <c r="H5" s="463">
        <f t="shared" si="1"/>
        <v>319.39939413913163</v>
      </c>
      <c r="I5" s="457"/>
      <c r="J5" s="457">
        <f>AVERAGE(M4:Q4)</f>
        <v>448.91611887193255</v>
      </c>
      <c r="K5" s="457"/>
      <c r="L5" s="457"/>
      <c r="M5" s="457"/>
      <c r="N5" s="457"/>
      <c r="O5" s="457"/>
      <c r="P5" s="457"/>
      <c r="Q5" s="457"/>
      <c r="R5" s="457"/>
      <c r="S5" s="457"/>
      <c r="T5" s="457"/>
      <c r="U5" s="457"/>
      <c r="V5" s="457"/>
    </row>
    <row r="6" spans="1:22">
      <c r="C6" s="451"/>
      <c r="D6" s="453" t="s">
        <v>1392</v>
      </c>
      <c r="E6" s="454">
        <v>1291.7479215488868</v>
      </c>
      <c r="F6" s="455">
        <v>0.46949999999999997</v>
      </c>
      <c r="G6" s="462">
        <f t="shared" si="0"/>
        <v>2751.3267764619527</v>
      </c>
      <c r="H6" s="463">
        <f t="shared" si="1"/>
        <v>343.91584705774409</v>
      </c>
    </row>
    <row r="7" spans="1:22">
      <c r="C7" s="451"/>
      <c r="D7" s="453" t="s">
        <v>1393</v>
      </c>
      <c r="E7" s="454">
        <v>1125.6195633221255</v>
      </c>
      <c r="F7" s="455">
        <v>0.46949999999999997</v>
      </c>
      <c r="G7" s="462">
        <f t="shared" si="0"/>
        <v>2397.4857578746019</v>
      </c>
      <c r="H7" s="463">
        <f t="shared" si="1"/>
        <v>299.68571973432523</v>
      </c>
    </row>
    <row r="8" spans="1:22">
      <c r="C8" s="451"/>
      <c r="D8" s="453" t="s">
        <v>1394</v>
      </c>
      <c r="E8" s="454">
        <v>939.91451453264142</v>
      </c>
      <c r="F8" s="455">
        <v>0.46949999999999997</v>
      </c>
      <c r="G8" s="462">
        <f t="shared" si="0"/>
        <v>2001.9478477798541</v>
      </c>
      <c r="H8" s="463">
        <f t="shared" si="1"/>
        <v>250.24348097248176</v>
      </c>
    </row>
    <row r="9" spans="1:22">
      <c r="C9" s="451" t="s">
        <v>1448</v>
      </c>
      <c r="D9" s="458" t="s">
        <v>1395</v>
      </c>
      <c r="E9" s="454">
        <v>544.75967948717948</v>
      </c>
      <c r="F9" s="456">
        <v>0.46949999999999997</v>
      </c>
      <c r="G9" s="462">
        <f t="shared" si="0"/>
        <v>1160.2975068949511</v>
      </c>
      <c r="H9" s="463">
        <f t="shared" si="1"/>
        <v>145.03718836186889</v>
      </c>
    </row>
    <row r="14" spans="1:22">
      <c r="C14" s="464">
        <v>2017</v>
      </c>
      <c r="D14" s="464">
        <v>2018</v>
      </c>
      <c r="E14" s="464">
        <v>2019</v>
      </c>
      <c r="F14" s="465">
        <v>20</v>
      </c>
      <c r="G14" s="465">
        <v>21</v>
      </c>
      <c r="H14" s="465">
        <v>22</v>
      </c>
      <c r="I14" s="465">
        <v>23</v>
      </c>
      <c r="J14" s="465">
        <v>24</v>
      </c>
      <c r="K14" s="465">
        <v>25</v>
      </c>
      <c r="L14" s="465">
        <v>26</v>
      </c>
      <c r="M14" s="465">
        <v>27</v>
      </c>
      <c r="N14" s="465">
        <v>28</v>
      </c>
      <c r="O14" s="459"/>
      <c r="P14" s="459"/>
      <c r="Q14" s="459"/>
    </row>
    <row r="15" spans="1:22">
      <c r="A15" s="450" t="s">
        <v>1453</v>
      </c>
      <c r="B15" s="450" t="s">
        <v>1449</v>
      </c>
      <c r="C15" s="461">
        <v>176.16300273118631</v>
      </c>
      <c r="D15" s="461">
        <f>C15*1.25</f>
        <v>220.20375341398289</v>
      </c>
      <c r="E15" s="485">
        <v>297.65682297992913</v>
      </c>
      <c r="F15" s="461">
        <f t="shared" ref="F15:N15" si="3">E15*1.05</f>
        <v>312.53966412892561</v>
      </c>
      <c r="G15" s="461">
        <f t="shared" si="3"/>
        <v>328.16664733537192</v>
      </c>
      <c r="H15" s="461">
        <f t="shared" si="3"/>
        <v>344.57497970214052</v>
      </c>
      <c r="I15" s="461">
        <f t="shared" si="3"/>
        <v>361.80372868724754</v>
      </c>
      <c r="J15" s="461">
        <f t="shared" si="3"/>
        <v>379.89391512160995</v>
      </c>
      <c r="K15" s="461">
        <f t="shared" si="3"/>
        <v>398.88861087769044</v>
      </c>
      <c r="L15" s="461">
        <f t="shared" si="3"/>
        <v>418.83304142157499</v>
      </c>
      <c r="M15" s="461">
        <f t="shared" si="3"/>
        <v>439.77469349265374</v>
      </c>
      <c r="N15" s="461">
        <f t="shared" si="3"/>
        <v>461.76342816728646</v>
      </c>
      <c r="O15" s="460"/>
      <c r="P15" s="460"/>
      <c r="Q15" s="460"/>
    </row>
    <row r="16" spans="1:22">
      <c r="A16" s="450" t="s">
        <v>1453</v>
      </c>
      <c r="B16" s="450" t="s">
        <v>1450</v>
      </c>
      <c r="C16" s="461">
        <v>565.3723002812211</v>
      </c>
      <c r="D16" s="461">
        <f t="shared" ref="D16:N17" si="4">C16*1.02</f>
        <v>576.67974628684556</v>
      </c>
      <c r="E16" s="485">
        <v>543.66751070794862</v>
      </c>
      <c r="F16" s="461">
        <f t="shared" si="4"/>
        <v>554.54086092210764</v>
      </c>
      <c r="G16" s="461">
        <f t="shared" si="4"/>
        <v>565.63167814054975</v>
      </c>
      <c r="H16" s="461">
        <f t="shared" si="4"/>
        <v>576.94431170336077</v>
      </c>
      <c r="I16" s="461">
        <f t="shared" si="4"/>
        <v>588.48319793742803</v>
      </c>
      <c r="J16" s="461">
        <f t="shared" si="4"/>
        <v>600.25286189617657</v>
      </c>
      <c r="K16" s="461">
        <f t="shared" si="4"/>
        <v>612.25791913410012</v>
      </c>
      <c r="L16" s="461">
        <f t="shared" si="4"/>
        <v>624.50307751678213</v>
      </c>
      <c r="M16" s="461">
        <f t="shared" si="4"/>
        <v>636.9931390671178</v>
      </c>
      <c r="N16" s="461">
        <f t="shared" si="4"/>
        <v>649.73300184846016</v>
      </c>
      <c r="O16" s="460"/>
      <c r="P16" s="460"/>
      <c r="Q16" s="460"/>
    </row>
    <row r="17" spans="1:17">
      <c r="A17" s="450" t="s">
        <v>1452</v>
      </c>
      <c r="B17" s="466" t="s">
        <v>1451</v>
      </c>
      <c r="C17" s="467">
        <v>655.44094091923637</v>
      </c>
      <c r="D17" s="461">
        <f t="shared" si="4"/>
        <v>668.54975973762112</v>
      </c>
      <c r="E17" s="461">
        <f t="shared" si="4"/>
        <v>681.9207549323736</v>
      </c>
      <c r="F17" s="461">
        <f t="shared" si="4"/>
        <v>695.55917003102104</v>
      </c>
      <c r="G17" s="461">
        <f t="shared" si="4"/>
        <v>709.47035343164146</v>
      </c>
      <c r="H17" s="461">
        <f t="shared" si="4"/>
        <v>723.65976050027427</v>
      </c>
      <c r="I17" s="461">
        <f t="shared" si="4"/>
        <v>738.13295571027982</v>
      </c>
      <c r="J17" s="461">
        <f t="shared" si="4"/>
        <v>752.89561482448539</v>
      </c>
      <c r="K17" s="461">
        <f t="shared" si="4"/>
        <v>767.95352712097508</v>
      </c>
      <c r="L17" s="461">
        <f t="shared" si="4"/>
        <v>783.31259766339463</v>
      </c>
      <c r="M17" s="461">
        <f t="shared" si="4"/>
        <v>798.9788496166625</v>
      </c>
      <c r="N17" s="461">
        <f t="shared" si="4"/>
        <v>814.95842660899575</v>
      </c>
      <c r="O17" s="460"/>
      <c r="P17" s="460"/>
      <c r="Q17" s="460"/>
    </row>
    <row r="18" spans="1:17">
      <c r="C18" s="457"/>
      <c r="D18" s="457"/>
      <c r="E18" s="457">
        <f>AVERAGE(H15:K15)</f>
        <v>371.29030859717216</v>
      </c>
      <c r="F18" s="457"/>
      <c r="G18" s="457"/>
      <c r="H18" s="457"/>
      <c r="I18" s="457"/>
      <c r="J18" s="457"/>
      <c r="K18" s="457"/>
      <c r="L18" s="457"/>
      <c r="M18" s="457"/>
      <c r="N18" s="457"/>
    </row>
    <row r="19" spans="1:17">
      <c r="C19" s="457"/>
      <c r="D19" s="457"/>
      <c r="E19" s="457">
        <f>AVERAGE(H16:K16)</f>
        <v>594.48457266776632</v>
      </c>
      <c r="F19" s="457"/>
      <c r="G19" s="457"/>
      <c r="H19" s="457"/>
      <c r="I19" s="457"/>
      <c r="J19" s="457"/>
      <c r="K19" s="457"/>
      <c r="L19" s="457"/>
      <c r="M19" s="457"/>
      <c r="N19" s="457"/>
    </row>
    <row r="20" spans="1:17">
      <c r="C20" s="457"/>
      <c r="D20" s="457"/>
      <c r="E20" s="457">
        <f>AVERAGE(H17:K17)</f>
        <v>745.66046453900367</v>
      </c>
      <c r="F20" s="457"/>
      <c r="G20" s="457"/>
      <c r="H20" s="457"/>
      <c r="I20" s="457"/>
      <c r="J20" s="457"/>
      <c r="K20" s="457"/>
      <c r="L20" s="457"/>
      <c r="M20" s="457"/>
      <c r="N20" s="457"/>
    </row>
    <row r="22" spans="1:17">
      <c r="E22" s="486" t="s">
        <v>1494</v>
      </c>
    </row>
    <row r="23" spans="1:17">
      <c r="E23" s="450" t="s">
        <v>1495</v>
      </c>
    </row>
    <row r="26" spans="1:17">
      <c r="E26" s="480">
        <v>1162.1903447815387</v>
      </c>
    </row>
  </sheetData>
  <phoneticPr fontId="2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11予算諸元表</vt:lpstr>
      <vt:lpstr>13予算諸元表</vt:lpstr>
      <vt:lpstr>Sheet1</vt:lpstr>
      <vt:lpstr>Sheet1 (2)</vt:lpstr>
      <vt:lpstr>Sheet5</vt:lpstr>
      <vt:lpstr>RESIN</vt:lpstr>
      <vt:lpstr>予算諸元表</vt:lpstr>
      <vt:lpstr>Cost Table</vt:lpstr>
      <vt:lpstr>Sheet2</vt:lpstr>
      <vt:lpstr>Resin Recycle (2)</vt:lpstr>
      <vt:lpstr>Anneal</vt:lpstr>
      <vt:lpstr>Resin Recycle</vt:lpstr>
      <vt:lpstr>MTMH</vt:lpstr>
      <vt:lpstr>'Cost Table'!Print_Area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後藤　健次</dc:creator>
  <cp:lastModifiedBy>Carlo Sotomayor</cp:lastModifiedBy>
  <cp:lastPrinted>2016-09-21T03:02:23Z</cp:lastPrinted>
  <dcterms:created xsi:type="dcterms:W3CDTF">1997-01-08T22:48:59Z</dcterms:created>
  <dcterms:modified xsi:type="dcterms:W3CDTF">2020-09-07T04:56:36Z</dcterms:modified>
</cp:coreProperties>
</file>