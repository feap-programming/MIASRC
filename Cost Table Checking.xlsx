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"/>
    </mc:Choice>
  </mc:AlternateContent>
  <xr:revisionPtr revIDLastSave="0" documentId="8_{66582C71-308C-4FB0-81C3-C663AC981643}" xr6:coauthVersionLast="45" xr6:coauthVersionMax="45" xr10:uidLastSave="{00000000-0000-0000-0000-000000000000}"/>
  <bookViews>
    <workbookView xWindow="-120" yWindow="-120" windowWidth="21840" windowHeight="13140" activeTab="1" xr2:uid="{D43AC13B-7590-4E8D-84A5-80B08EDFC1CB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2" l="1"/>
  <c r="H2" i="2" s="1"/>
  <c r="L2" i="2"/>
  <c r="I2" i="2"/>
  <c r="G14" i="3"/>
  <c r="E8" i="1"/>
  <c r="E6" i="1"/>
  <c r="E5" i="1"/>
  <c r="E4" i="1"/>
  <c r="E3" i="1"/>
  <c r="M2" i="2" l="1"/>
</calcChain>
</file>

<file path=xl/sharedStrings.xml><?xml version="1.0" encoding="utf-8"?>
<sst xmlns="http://schemas.openxmlformats.org/spreadsheetml/2006/main" count="24" uniqueCount="24">
  <si>
    <t>totalWeight</t>
  </si>
  <si>
    <t>piecePrice</t>
  </si>
  <si>
    <t>scrapWeight</t>
  </si>
  <si>
    <t>scrapPrice</t>
  </si>
  <si>
    <t>matCost</t>
  </si>
  <si>
    <t>Cav.</t>
  </si>
  <si>
    <t>Part Weight</t>
  </si>
  <si>
    <t>Runner Weight</t>
  </si>
  <si>
    <t>Loss %</t>
  </si>
  <si>
    <t>Total Weight</t>
  </si>
  <si>
    <t>Unit Price</t>
  </si>
  <si>
    <t>Scrap Weight</t>
  </si>
  <si>
    <t>Collection %</t>
  </si>
  <si>
    <t>Scrap Unit Price</t>
  </si>
  <si>
    <t>Scrap Price</t>
  </si>
  <si>
    <t>Material Cost</t>
  </si>
  <si>
    <t>Cycle Time</t>
  </si>
  <si>
    <t>Piece Price</t>
  </si>
  <si>
    <t>MH(/hr)*</t>
  </si>
  <si>
    <t>MH Cost</t>
  </si>
  <si>
    <t>MT(/hr)</t>
  </si>
  <si>
    <t>MT Cost</t>
  </si>
  <si>
    <t>Processing Cost</t>
  </si>
  <si>
    <t>Direct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</si>
</sst>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2" fontId="0" fillId="0" borderId="0" xfId="1" applyNumberFormat="1" applyFont="1"/>
    <xf numFmtId="2" fontId="0" fillId="0" borderId="1" xfId="1" applyNumberFormat="1" applyFont="1" applyBorder="1"/>
    <xf numFmtId="2" fontId="0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8287-9401-432A-BA30-240252F4418A}">
  <dimension ref="D3:E8"/>
  <sheetViews>
    <sheetView workbookViewId="0">
      <selection activeCell="F21" sqref="F21"/>
    </sheetView>
  </sheetViews>
  <sheetFormatPr defaultRowHeight="15" x14ac:dyDescent="0.25"/>
  <cols>
    <col min="4" max="4" width="15.7109375" customWidth="1"/>
  </cols>
  <sheetData>
    <row r="3" spans="4:5" x14ac:dyDescent="0.25">
      <c r="D3" t="s">
        <v>0</v>
      </c>
      <c r="E3">
        <f>(31.54 + (3.82 / 1)) * (1 + (0.06 / 100))</f>
        <v>35.381215999999995</v>
      </c>
    </row>
    <row r="4" spans="4:5" x14ac:dyDescent="0.25">
      <c r="D4" t="s">
        <v>1</v>
      </c>
      <c r="E4">
        <f>(E3*0) / 1000</f>
        <v>0</v>
      </c>
    </row>
    <row r="5" spans="4:5" x14ac:dyDescent="0.25">
      <c r="D5" t="s">
        <v>2</v>
      </c>
      <c r="E5">
        <f>(3.82 + (31.54 + 3.82) * (0.06 / 100) / 100)</f>
        <v>3.8202121599999996</v>
      </c>
    </row>
    <row r="6" spans="4:5" x14ac:dyDescent="0.25">
      <c r="D6" t="s">
        <v>3</v>
      </c>
      <c r="E6">
        <f xml:space="preserve"> (E5 * (0.9 / 100) * 0 / 1000 / 1)</f>
        <v>0</v>
      </c>
    </row>
    <row r="8" spans="4:5" x14ac:dyDescent="0.25">
      <c r="D8" t="s">
        <v>4</v>
      </c>
      <c r="E8">
        <f>E4-E6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F429-7309-4A7E-8AFB-59EC624943C4}">
  <dimension ref="B1:U10"/>
  <sheetViews>
    <sheetView tabSelected="1" workbookViewId="0">
      <selection activeCell="I8" sqref="I8"/>
    </sheetView>
  </sheetViews>
  <sheetFormatPr defaultRowHeight="15" x14ac:dyDescent="0.25"/>
  <cols>
    <col min="6" max="6" width="9.140625" style="3"/>
    <col min="8" max="9" width="9.140625" style="3"/>
    <col min="10" max="11" width="14.140625" customWidth="1"/>
    <col min="12" max="13" width="9.140625" style="3"/>
    <col min="15" max="18" width="9.140625" style="3"/>
    <col min="19" max="19" width="10.140625" style="3" customWidth="1"/>
    <col min="20" max="20" width="9.140625" style="3"/>
  </cols>
  <sheetData>
    <row r="1" spans="2:21" s="2" customFormat="1" ht="30" x14ac:dyDescent="0.25">
      <c r="B1" s="4" t="s">
        <v>5</v>
      </c>
      <c r="C1" s="4" t="s">
        <v>6</v>
      </c>
      <c r="D1" s="4" t="s">
        <v>7</v>
      </c>
      <c r="E1" s="4" t="s">
        <v>8</v>
      </c>
      <c r="F1" s="5" t="s">
        <v>9</v>
      </c>
      <c r="G1" s="4" t="s">
        <v>10</v>
      </c>
      <c r="H1" s="5" t="s">
        <v>17</v>
      </c>
      <c r="I1" s="5" t="s">
        <v>11</v>
      </c>
      <c r="J1" s="4" t="s">
        <v>12</v>
      </c>
      <c r="K1" s="4" t="s">
        <v>13</v>
      </c>
      <c r="L1" s="5" t="s">
        <v>14</v>
      </c>
      <c r="M1" s="5" t="s">
        <v>15</v>
      </c>
      <c r="N1" s="4" t="s">
        <v>16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1"/>
    </row>
    <row r="2" spans="2:21" s="8" customFormat="1" x14ac:dyDescent="0.25">
      <c r="B2" s="9">
        <v>1</v>
      </c>
      <c r="C2" s="9">
        <v>31.54</v>
      </c>
      <c r="D2" s="9">
        <v>3.82</v>
      </c>
      <c r="E2" s="9">
        <v>0.06</v>
      </c>
      <c r="F2" s="10">
        <f>(C2+(D2/B2)) * (1 + E2 /100 )</f>
        <v>35.381215999999995</v>
      </c>
      <c r="G2" s="9">
        <v>0</v>
      </c>
      <c r="H2" s="10">
        <f>(F2 * G2) / 1000</f>
        <v>0</v>
      </c>
      <c r="I2" s="10">
        <f>D2 + (C2 + D2) * (E2 / 100) / 100</f>
        <v>3.8202121599999996</v>
      </c>
      <c r="J2" s="9">
        <v>0.9</v>
      </c>
      <c r="K2" s="9">
        <v>0</v>
      </c>
      <c r="L2" s="10">
        <f>I2 * (J2 / 100) * K2 / 1000 / B2</f>
        <v>0</v>
      </c>
      <c r="M2" s="10">
        <f>H2-L2</f>
        <v>0</v>
      </c>
      <c r="N2" s="9">
        <v>15.6</v>
      </c>
      <c r="O2" s="10"/>
      <c r="P2" s="10"/>
      <c r="Q2" s="10"/>
      <c r="R2" s="10"/>
      <c r="S2" s="10"/>
      <c r="T2" s="10"/>
    </row>
    <row r="3" spans="2:21" x14ac:dyDescent="0.25">
      <c r="B3" s="6"/>
      <c r="C3" s="6"/>
      <c r="D3" s="6"/>
      <c r="E3" s="6"/>
      <c r="F3" s="7"/>
      <c r="G3" s="6"/>
      <c r="H3" s="7"/>
      <c r="I3" s="7"/>
      <c r="J3" s="6"/>
      <c r="K3" s="6"/>
      <c r="L3" s="7"/>
      <c r="M3" s="7"/>
      <c r="N3" s="6"/>
      <c r="O3" s="7"/>
      <c r="P3" s="7"/>
      <c r="Q3" s="7"/>
      <c r="R3" s="7"/>
      <c r="S3" s="7"/>
      <c r="T3" s="7"/>
    </row>
    <row r="4" spans="2:21" x14ac:dyDescent="0.25">
      <c r="B4" s="6"/>
      <c r="C4" s="6"/>
      <c r="D4" s="6"/>
      <c r="E4" s="6"/>
      <c r="F4" s="7"/>
      <c r="G4" s="6"/>
      <c r="H4" s="7"/>
      <c r="I4" s="7"/>
      <c r="J4" s="6"/>
      <c r="K4" s="6"/>
      <c r="L4" s="7"/>
      <c r="M4" s="7"/>
      <c r="N4" s="6"/>
      <c r="O4" s="7"/>
      <c r="P4" s="7"/>
      <c r="Q4" s="7"/>
      <c r="R4" s="7"/>
      <c r="S4" s="7"/>
      <c r="T4" s="7"/>
    </row>
    <row r="5" spans="2:21" x14ac:dyDescent="0.25">
      <c r="B5" s="6"/>
      <c r="C5" s="6"/>
      <c r="D5" s="6"/>
      <c r="E5" s="6"/>
      <c r="F5" s="7"/>
      <c r="G5" s="6"/>
      <c r="H5" s="7"/>
      <c r="I5" s="7"/>
      <c r="J5" s="6"/>
      <c r="K5" s="6"/>
      <c r="L5" s="7"/>
      <c r="M5" s="7"/>
      <c r="N5" s="6"/>
      <c r="O5" s="7"/>
      <c r="P5" s="7"/>
      <c r="Q5" s="7"/>
      <c r="R5" s="7"/>
      <c r="S5" s="7"/>
      <c r="T5" s="7"/>
    </row>
    <row r="6" spans="2:21" x14ac:dyDescent="0.25">
      <c r="B6" s="6"/>
      <c r="C6" s="6"/>
      <c r="D6" s="6"/>
      <c r="E6" s="6"/>
      <c r="F6" s="7"/>
      <c r="G6" s="6"/>
      <c r="H6" s="7"/>
      <c r="I6" s="7"/>
      <c r="J6" s="6"/>
      <c r="K6" s="6"/>
      <c r="L6" s="7"/>
      <c r="M6" s="7"/>
      <c r="N6" s="6"/>
      <c r="O6" s="7"/>
      <c r="P6" s="7"/>
      <c r="Q6" s="7"/>
      <c r="R6" s="7"/>
      <c r="S6" s="7"/>
      <c r="T6" s="7"/>
    </row>
    <row r="7" spans="2:21" x14ac:dyDescent="0.25">
      <c r="B7" s="6"/>
      <c r="C7" s="6"/>
      <c r="D7" s="6"/>
      <c r="E7" s="6"/>
      <c r="F7" s="7"/>
      <c r="G7" s="6"/>
      <c r="H7" s="7"/>
      <c r="I7" s="7"/>
      <c r="J7" s="6"/>
      <c r="K7" s="6"/>
      <c r="L7" s="7"/>
      <c r="M7" s="7"/>
      <c r="N7" s="6"/>
      <c r="O7" s="7"/>
      <c r="P7" s="7"/>
      <c r="Q7" s="7"/>
      <c r="R7" s="7"/>
      <c r="S7" s="7"/>
      <c r="T7" s="7"/>
    </row>
    <row r="8" spans="2:21" x14ac:dyDescent="0.25">
      <c r="B8" s="6"/>
      <c r="C8" s="6"/>
      <c r="D8" s="6"/>
      <c r="E8" s="6"/>
      <c r="F8" s="7"/>
      <c r="G8" s="6"/>
      <c r="H8" s="7"/>
      <c r="I8" s="7"/>
      <c r="J8" s="6"/>
      <c r="K8" s="6"/>
      <c r="L8" s="7"/>
      <c r="M8" s="7"/>
      <c r="N8" s="6"/>
      <c r="O8" s="7"/>
      <c r="P8" s="7"/>
      <c r="Q8" s="7"/>
      <c r="R8" s="7"/>
      <c r="S8" s="7"/>
      <c r="T8" s="7"/>
    </row>
    <row r="9" spans="2:21" x14ac:dyDescent="0.25">
      <c r="B9" s="6"/>
      <c r="C9" s="6"/>
      <c r="D9" s="6"/>
      <c r="E9" s="6"/>
      <c r="F9" s="7"/>
      <c r="G9" s="6"/>
      <c r="H9" s="7"/>
      <c r="I9" s="7"/>
      <c r="J9" s="6"/>
      <c r="K9" s="6"/>
      <c r="L9" s="7"/>
      <c r="M9" s="7"/>
      <c r="N9" s="6"/>
      <c r="O9" s="7"/>
      <c r="P9" s="7"/>
      <c r="Q9" s="7"/>
      <c r="R9" s="7"/>
      <c r="S9" s="7"/>
      <c r="T9" s="7"/>
    </row>
    <row r="10" spans="2:21" x14ac:dyDescent="0.25">
      <c r="B10" s="6"/>
      <c r="C10" s="6"/>
      <c r="D10" s="6"/>
      <c r="E10" s="6"/>
      <c r="F10" s="7"/>
      <c r="G10" s="6"/>
      <c r="H10" s="7"/>
      <c r="I10" s="7"/>
      <c r="J10" s="6"/>
      <c r="K10" s="6"/>
      <c r="L10" s="7"/>
      <c r="M10" s="7"/>
      <c r="N10" s="6"/>
      <c r="O10" s="7"/>
      <c r="P10" s="7"/>
      <c r="Q10" s="7"/>
      <c r="R10" s="7"/>
      <c r="S10" s="7"/>
      <c r="T1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6D1A1-E16E-43DF-BFF9-DBBA64069FEA}">
  <dimension ref="G6:G14"/>
  <sheetViews>
    <sheetView workbookViewId="0">
      <selection activeCell="M8" sqref="M8"/>
    </sheetView>
  </sheetViews>
  <sheetFormatPr defaultRowHeight="15" x14ac:dyDescent="0.25"/>
  <sheetData>
    <row r="6" spans="7:7" x14ac:dyDescent="0.25">
      <c r="G6">
        <v>600</v>
      </c>
    </row>
    <row r="7" spans="7:7" x14ac:dyDescent="0.25">
      <c r="G7">
        <v>630</v>
      </c>
    </row>
    <row r="8" spans="7:7" x14ac:dyDescent="0.25">
      <c r="G8">
        <v>660</v>
      </c>
    </row>
    <row r="9" spans="7:7" x14ac:dyDescent="0.25">
      <c r="G9">
        <v>690</v>
      </c>
    </row>
    <row r="10" spans="7:7" x14ac:dyDescent="0.25">
      <c r="G10">
        <v>720</v>
      </c>
    </row>
    <row r="11" spans="7:7" x14ac:dyDescent="0.25">
      <c r="G11">
        <v>750</v>
      </c>
    </row>
    <row r="12" spans="7:7" x14ac:dyDescent="0.25">
      <c r="G12">
        <v>780</v>
      </c>
    </row>
    <row r="14" spans="7:7" x14ac:dyDescent="0.25">
      <c r="G14">
        <f>SUM(G6:G12)</f>
        <v>4830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2020-06-26T03:32:41Z</dcterms:created>
  <dcterms:modified xsi:type="dcterms:W3CDTF">2020-06-29T04:29:47Z</dcterms:modified>
</cp:coreProperties>
</file>