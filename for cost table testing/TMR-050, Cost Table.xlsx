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for cost table testing\"/>
    </mc:Choice>
  </mc:AlternateContent>
  <xr:revisionPtr revIDLastSave="0" documentId="13_ncr:1_{AB6D7A79-4433-4E0B-9766-33E5C4FDB31B}" xr6:coauthVersionLast="43" xr6:coauthVersionMax="43" xr10:uidLastSave="{00000000-0000-0000-0000-000000000000}"/>
  <bookViews>
    <workbookView xWindow="21480" yWindow="-120" windowWidth="21840" windowHeight="13140" tabRatio="769" firstSheet="1" activeTab="1" xr2:uid="{00000000-000D-0000-FFFF-FFFF00000000}"/>
  </bookViews>
  <sheets>
    <sheet name="TMR050 18ch, For Japan" sheetId="59" state="hidden" r:id="rId1"/>
    <sheet name="TMR050 16ch, For Not Japan" sheetId="51" r:id="rId2"/>
    <sheet name="TMR050 18ch, For Other Country" sheetId="57" state="hidden" r:id="rId3"/>
    <sheet name="TMR050 16ch, For Other Country" sheetId="58" state="hidden" r:id="rId4"/>
  </sheets>
  <externalReferences>
    <externalReference r:id="rId5"/>
    <externalReference r:id="rId6"/>
    <externalReference r:id="rId7"/>
  </externalReferences>
  <definedNames>
    <definedName name="_10Excel_BuiltIn_Print_Area_2_1">#REF!</definedName>
    <definedName name="_10Excel_BuiltIn_Print_Area_2_1_1">#REF!</definedName>
    <definedName name="_13Excel_BuiltIn_Print_Titles_2_1">#REF!</definedName>
    <definedName name="_14Excel_BuiltIn_Print_Titles_2_1">#REF!</definedName>
    <definedName name="_17Excel_BuiltIn_Print_Area_2_1_1">#REF!</definedName>
    <definedName name="_18Excel_BuiltIn_Print_Area_2_1_1">#REF!</definedName>
    <definedName name="_1Excel_BuiltIn_Print_Area_14_1">#REF!</definedName>
    <definedName name="_25Excel_BuiltIn_Print_Titles_2_1">#REF!</definedName>
    <definedName name="_26Excel_BuiltIn_Print_Titles_2_1">#REF!</definedName>
    <definedName name="_2Excel_BuiltIn_Print_Area_14_1">#REF!</definedName>
    <definedName name="_2Excel_BuiltIn_Print_Area_2_1">#REF!</definedName>
    <definedName name="_3Excel_BuiltIn_Print_Area_2_1_1">#REF!</definedName>
    <definedName name="_4Excel_BuiltIn_Print_Titles_2_1">#REF!</definedName>
    <definedName name="_5Excel_BuiltIn_Print_Area_2_1">#REF!</definedName>
    <definedName name="_6Excel_BuiltIn_Print_Area_2_1">#REF!</definedName>
    <definedName name="_6Excel_BuiltIn_Print_Area_2_1_1">#REF!</definedName>
    <definedName name="_7Excel_BuiltIn_Print_Titles_2_1">#REF!</definedName>
    <definedName name="_9Excel_BuiltIn_Print_Area_2_1">#REF!</definedName>
    <definedName name="_9Excel_BuiltIn_Print_Area_2_1_1">#REF!</definedName>
    <definedName name="_GoA1">#N/A</definedName>
    <definedName name="_Key1" hidden="1">#REF!</definedName>
    <definedName name="_mer1">#N/A</definedName>
    <definedName name="_Order1" hidden="1">255</definedName>
    <definedName name="_SHR1">'[1]Customize Your Invoice'!$D$30</definedName>
    <definedName name="_Sort" hidden="1">#REF!</definedName>
    <definedName name="A">#REF!</definedName>
    <definedName name="aaaaa">#REF!</definedName>
    <definedName name="aaaaaa">#REF!</definedName>
    <definedName name="aaaaaaaa">#REF!</definedName>
    <definedName name="af">'[2]MI12 SRC'!$A$1:$T$50</definedName>
    <definedName name="Aldrin">#REF!</definedName>
    <definedName name="andon">#N/A</definedName>
    <definedName name="Capture.Capture">#N/A</definedName>
    <definedName name="d">#N/A</definedName>
    <definedName name="dflt3">'[1]Customize Your Invoice'!$D$24</definedName>
    <definedName name="dflt6">'[1]Customize Your Invoice'!$D$28</definedName>
    <definedName name="dfsdf">#N/A</definedName>
    <definedName name="EFDS">#N/A</definedName>
    <definedName name="Excel_BuiltIn_Print_Area_1">#REF!</definedName>
    <definedName name="Excel_BuiltIn_Print_Area_10">#REF!</definedName>
    <definedName name="Excel_BuiltIn_Print_Area_10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7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2">#REF!</definedName>
    <definedName name="Excel_BuiltIn_Print_Area_22">#REF!</definedName>
    <definedName name="Excel_BuiltIn_Print_Area_22_3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88">#REF!</definedName>
    <definedName name="Excel_BuiltIn_Print_Area_9">#REF!</definedName>
    <definedName name="Excel_BuiltIn_Print_Titles_1">#REF!</definedName>
    <definedName name="Excel_BuiltIn_Print_Titles_10">#REF!</definedName>
    <definedName name="Excel_BuiltIn_Print_Titles_11">#REF!</definedName>
    <definedName name="Excel_BuiltIn_Print_Titles_12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2">#REF!</definedName>
    <definedName name="Excel_BuiltIn_Print_Titles_20">#REF!</definedName>
    <definedName name="Excel_BuiltIn_Print_Titles_3_1">#REF!</definedName>
    <definedName name="Excel_BuiltIn_Print_Titles_4">#REF!</definedName>
    <definedName name="Excel_BuiltIn_Print_Titles_5">#REF!</definedName>
    <definedName name="Excel_BuiltIn_Print_Titles_5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li">#REF!</definedName>
    <definedName name="Excel_Bulitin_Print_Area_7">#REF!</definedName>
    <definedName name="fd" hidden="1">#REF!</definedName>
    <definedName name="fs">'[2]MI12 SRC'!$A$1:$T$49</definedName>
    <definedName name="HYOU">#N/A</definedName>
    <definedName name="IP">[3]月次データ!$B$3:$L$1000</definedName>
    <definedName name="ka">#N/A</definedName>
    <definedName name="ko">#N/A</definedName>
    <definedName name="koiso">#N/A</definedName>
    <definedName name="mer">#N/A</definedName>
    <definedName name="msjah">#N/A</definedName>
    <definedName name="Print_Area_MI">#REF!</definedName>
    <definedName name="_xlnm.Print_Titles">#REF!</definedName>
    <definedName name="qpro_resist_table">#REF!</definedName>
    <definedName name="romer">#N/A</definedName>
    <definedName name="S">#N/A</definedName>
    <definedName name="sheet1">#REF!</definedName>
    <definedName name="src">#N/A</definedName>
    <definedName name="TAKA">#N/A</definedName>
    <definedName name="TAKAKI">#N/A</definedName>
    <definedName name="TERE">#N/A</definedName>
    <definedName name="い">#N/A</definedName>
    <definedName name="表">#N/A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18" i="51" l="1"/>
  <c r="Y17" i="51"/>
  <c r="L42" i="51"/>
  <c r="L41" i="51"/>
  <c r="L60" i="51" l="1"/>
  <c r="T59" i="51" l="1"/>
  <c r="V59" i="51" s="1"/>
  <c r="X58" i="51"/>
  <c r="V58" i="51"/>
  <c r="X47" i="51"/>
  <c r="V47" i="51"/>
  <c r="X46" i="51"/>
  <c r="V46" i="51"/>
  <c r="X45" i="51"/>
  <c r="V45" i="51"/>
  <c r="X49" i="51"/>
  <c r="V49" i="51"/>
  <c r="X48" i="51"/>
  <c r="V48" i="51"/>
  <c r="X57" i="51"/>
  <c r="V57" i="51"/>
  <c r="X56" i="51"/>
  <c r="V56" i="51"/>
  <c r="Y56" i="51" s="1"/>
  <c r="Y49" i="51" l="1"/>
  <c r="Y46" i="51"/>
  <c r="Y58" i="51"/>
  <c r="Y48" i="51"/>
  <c r="Y45" i="51"/>
  <c r="Y47" i="51"/>
  <c r="Y57" i="51"/>
  <c r="X59" i="51"/>
  <c r="Y59" i="51" s="1"/>
  <c r="T60" i="51"/>
  <c r="T61" i="51" l="1"/>
  <c r="X60" i="51"/>
  <c r="V60" i="51"/>
  <c r="Y60" i="51" s="1"/>
  <c r="V61" i="51" l="1"/>
  <c r="X61" i="51"/>
  <c r="Y61" i="51" l="1"/>
  <c r="K82" i="51" l="1"/>
  <c r="K52" i="51"/>
  <c r="L52" i="51" s="1"/>
  <c r="H59" i="51"/>
  <c r="M62" i="51"/>
  <c r="M63" i="51" s="1"/>
  <c r="L84" i="51"/>
  <c r="L58" i="51"/>
  <c r="K57" i="51"/>
  <c r="L57" i="51" s="1"/>
  <c r="K51" i="51"/>
  <c r="L51" i="51" s="1"/>
  <c r="K59" i="51" l="1"/>
  <c r="K81" i="51" l="1"/>
  <c r="G83" i="51"/>
  <c r="K83" i="51" s="1"/>
  <c r="L97" i="59" l="1"/>
  <c r="L96" i="59"/>
  <c r="L98" i="59" s="1"/>
  <c r="K53" i="51"/>
  <c r="K50" i="51"/>
  <c r="K61" i="59" l="1"/>
  <c r="K60" i="59"/>
  <c r="K59" i="59"/>
  <c r="K53" i="59"/>
  <c r="K52" i="59"/>
  <c r="K51" i="59"/>
  <c r="K50" i="59"/>
  <c r="K49" i="59"/>
  <c r="K48" i="59"/>
  <c r="K84" i="59"/>
  <c r="K83" i="59"/>
  <c r="L83" i="59" s="1"/>
  <c r="K75" i="59"/>
  <c r="K85" i="59"/>
  <c r="L85" i="59" s="1"/>
  <c r="X46" i="59" l="1"/>
  <c r="X52" i="59"/>
  <c r="X58" i="59"/>
  <c r="L84" i="59"/>
  <c r="X48" i="59"/>
  <c r="V45" i="59"/>
  <c r="X32" i="59"/>
  <c r="V35" i="59"/>
  <c r="L82" i="59"/>
  <c r="V19" i="59"/>
  <c r="W19" i="59" s="1"/>
  <c r="U20" i="59"/>
  <c r="L81" i="59"/>
  <c r="V10" i="59"/>
  <c r="W10" i="59" s="1"/>
  <c r="U13" i="59"/>
  <c r="L80" i="59"/>
  <c r="L79" i="59"/>
  <c r="L78" i="59"/>
  <c r="L77" i="59"/>
  <c r="X81" i="59"/>
  <c r="L10" i="59" s="1"/>
  <c r="W81" i="59"/>
  <c r="L14" i="59" s="1"/>
  <c r="V81" i="59"/>
  <c r="L8" i="59" s="1"/>
  <c r="U81" i="59"/>
  <c r="K76" i="59"/>
  <c r="L76" i="59" s="1"/>
  <c r="L75" i="59"/>
  <c r="Y79" i="59"/>
  <c r="Y81" i="59" s="1"/>
  <c r="T79" i="59"/>
  <c r="T81" i="59" s="1"/>
  <c r="D73" i="59"/>
  <c r="D72" i="59"/>
  <c r="D71" i="59"/>
  <c r="F70" i="59"/>
  <c r="D70" i="59"/>
  <c r="F69" i="59"/>
  <c r="D69" i="59"/>
  <c r="F68" i="59"/>
  <c r="D68" i="59"/>
  <c r="F67" i="59"/>
  <c r="D67" i="59"/>
  <c r="H61" i="59"/>
  <c r="L61" i="59" s="1"/>
  <c r="L60" i="59"/>
  <c r="L59" i="59"/>
  <c r="L58" i="59"/>
  <c r="L57" i="59"/>
  <c r="L56" i="59"/>
  <c r="L55" i="59"/>
  <c r="T59" i="59"/>
  <c r="T60" i="59" s="1"/>
  <c r="X60" i="59" s="1"/>
  <c r="L54" i="59"/>
  <c r="L53" i="59"/>
  <c r="L52" i="59"/>
  <c r="L51" i="59"/>
  <c r="L50" i="59"/>
  <c r="L49" i="59"/>
  <c r="X53" i="59"/>
  <c r="L48" i="59"/>
  <c r="L47" i="59"/>
  <c r="AE35" i="59" s="1"/>
  <c r="AE45" i="59" s="1"/>
  <c r="X50" i="59"/>
  <c r="V50" i="59"/>
  <c r="X45" i="59"/>
  <c r="AE43" i="59"/>
  <c r="AE42" i="59"/>
  <c r="AD42" i="59"/>
  <c r="K40" i="59"/>
  <c r="L40" i="59" s="1"/>
  <c r="L42" i="59" s="1"/>
  <c r="AD34" i="59" s="1"/>
  <c r="AD44" i="59" s="1"/>
  <c r="X39" i="59"/>
  <c r="V39" i="59"/>
  <c r="X38" i="59"/>
  <c r="X37" i="59"/>
  <c r="V37" i="59"/>
  <c r="L37" i="59"/>
  <c r="AD36" i="59"/>
  <c r="AD46" i="59" s="1"/>
  <c r="X36" i="59"/>
  <c r="V36" i="59"/>
  <c r="L36" i="59"/>
  <c r="X35" i="59"/>
  <c r="L35" i="59"/>
  <c r="X34" i="59"/>
  <c r="V34" i="59"/>
  <c r="L34" i="59"/>
  <c r="AD33" i="59"/>
  <c r="L33" i="59"/>
  <c r="AA32" i="59"/>
  <c r="L32" i="59"/>
  <c r="AB31" i="59"/>
  <c r="AA31" i="59"/>
  <c r="Y28" i="59"/>
  <c r="X28" i="59"/>
  <c r="R28" i="59"/>
  <c r="N22" i="59"/>
  <c r="Q22" i="59" s="1"/>
  <c r="K22" i="59"/>
  <c r="M22" i="59" s="1"/>
  <c r="N21" i="59"/>
  <c r="Q21" i="59" s="1"/>
  <c r="K21" i="59"/>
  <c r="M21" i="59" s="1"/>
  <c r="N20" i="59"/>
  <c r="Q20" i="59" s="1"/>
  <c r="K20" i="59"/>
  <c r="M20" i="59" s="1"/>
  <c r="N19" i="59"/>
  <c r="Q19" i="59" s="1"/>
  <c r="K19" i="59"/>
  <c r="M19" i="59" s="1"/>
  <c r="N18" i="59"/>
  <c r="Q18" i="59" s="1"/>
  <c r="K18" i="59"/>
  <c r="M18" i="59" s="1"/>
  <c r="N17" i="59"/>
  <c r="Q17" i="59" s="1"/>
  <c r="K17" i="59"/>
  <c r="M17" i="59" s="1"/>
  <c r="N16" i="59"/>
  <c r="Q16" i="59" s="1"/>
  <c r="K16" i="59"/>
  <c r="M16" i="59" s="1"/>
  <c r="X15" i="59"/>
  <c r="Y15" i="59" s="1"/>
  <c r="N14" i="59"/>
  <c r="Q14" i="59" s="1"/>
  <c r="K14" i="59"/>
  <c r="N13" i="59"/>
  <c r="Q13" i="59" s="1"/>
  <c r="K13" i="59"/>
  <c r="N12" i="59"/>
  <c r="Q12" i="59" s="1"/>
  <c r="K12" i="59"/>
  <c r="N11" i="59"/>
  <c r="Q11" i="59" s="1"/>
  <c r="K11" i="59"/>
  <c r="N10" i="59"/>
  <c r="Q10" i="59" s="1"/>
  <c r="K10" i="59"/>
  <c r="N9" i="59"/>
  <c r="Q9" i="59" s="1"/>
  <c r="K9" i="59"/>
  <c r="N8" i="59"/>
  <c r="Q8" i="59" s="1"/>
  <c r="K8" i="59"/>
  <c r="L4" i="59"/>
  <c r="L89" i="59" l="1"/>
  <c r="L90" i="59"/>
  <c r="V46" i="59"/>
  <c r="Y46" i="59" s="1"/>
  <c r="L11" i="59"/>
  <c r="U19" i="59"/>
  <c r="U18" i="59"/>
  <c r="Y36" i="59"/>
  <c r="Y37" i="59"/>
  <c r="U17" i="59"/>
  <c r="U22" i="59"/>
  <c r="U16" i="59"/>
  <c r="AC35" i="59"/>
  <c r="V52" i="59"/>
  <c r="V32" i="59"/>
  <c r="Y32" i="59" s="1"/>
  <c r="V33" i="59"/>
  <c r="V48" i="59"/>
  <c r="Y48" i="59" s="1"/>
  <c r="X49" i="59"/>
  <c r="V38" i="59"/>
  <c r="X51" i="59"/>
  <c r="V47" i="59"/>
  <c r="X47" i="59"/>
  <c r="Y50" i="59"/>
  <c r="V49" i="59"/>
  <c r="R16" i="59"/>
  <c r="U9" i="59"/>
  <c r="U8" i="59"/>
  <c r="U12" i="59"/>
  <c r="U10" i="59"/>
  <c r="X10" i="59" s="1"/>
  <c r="U11" i="59"/>
  <c r="Y45" i="59"/>
  <c r="V59" i="59"/>
  <c r="U14" i="59"/>
  <c r="X19" i="59"/>
  <c r="V18" i="59"/>
  <c r="W18" i="59" s="1"/>
  <c r="X18" i="59" s="1"/>
  <c r="R21" i="59"/>
  <c r="R18" i="59"/>
  <c r="Y39" i="59"/>
  <c r="AI33" i="59"/>
  <c r="V58" i="59"/>
  <c r="Y58" i="59" s="1"/>
  <c r="V60" i="59"/>
  <c r="Y60" i="59" s="1"/>
  <c r="V53" i="59"/>
  <c r="M8" i="59"/>
  <c r="R8" i="59" s="1"/>
  <c r="M67" i="59" s="1"/>
  <c r="N67" i="59" s="1"/>
  <c r="M11" i="59"/>
  <c r="R11" i="59" s="1"/>
  <c r="M70" i="59" s="1"/>
  <c r="N70" i="59" s="1"/>
  <c r="Y34" i="59"/>
  <c r="Y35" i="59"/>
  <c r="Y38" i="59"/>
  <c r="V51" i="59"/>
  <c r="Y51" i="59" s="1"/>
  <c r="X59" i="59"/>
  <c r="M14" i="59"/>
  <c r="R19" i="59"/>
  <c r="R22" i="59"/>
  <c r="L87" i="59"/>
  <c r="M10" i="59"/>
  <c r="R10" i="59" s="1"/>
  <c r="M69" i="59" s="1"/>
  <c r="N69" i="59" s="1"/>
  <c r="U21" i="59"/>
  <c r="R20" i="59"/>
  <c r="L39" i="59"/>
  <c r="R14" i="59"/>
  <c r="M73" i="59" s="1"/>
  <c r="N73" i="59" s="1"/>
  <c r="R17" i="59"/>
  <c r="L63" i="59"/>
  <c r="V8" i="59"/>
  <c r="W8" i="59" s="1"/>
  <c r="V9" i="59"/>
  <c r="W9" i="59" s="1"/>
  <c r="V11" i="59"/>
  <c r="W11" i="59" s="1"/>
  <c r="V12" i="59"/>
  <c r="W12" i="59" s="1"/>
  <c r="V13" i="59"/>
  <c r="W13" i="59" s="1"/>
  <c r="X13" i="59" s="1"/>
  <c r="V14" i="59"/>
  <c r="W14" i="59" s="1"/>
  <c r="V17" i="59"/>
  <c r="W17" i="59" s="1"/>
  <c r="V21" i="59"/>
  <c r="L9" i="59"/>
  <c r="M9" i="59" s="1"/>
  <c r="R9" i="59" s="1"/>
  <c r="M68" i="59" s="1"/>
  <c r="N68" i="59" s="1"/>
  <c r="L12" i="59"/>
  <c r="M12" i="59" s="1"/>
  <c r="R12" i="59" s="1"/>
  <c r="M71" i="59" s="1"/>
  <c r="N71" i="59" s="1"/>
  <c r="L13" i="59"/>
  <c r="M13" i="59" s="1"/>
  <c r="R13" i="59" s="1"/>
  <c r="M72" i="59" s="1"/>
  <c r="N72" i="59" s="1"/>
  <c r="V16" i="59"/>
  <c r="W16" i="59" s="1"/>
  <c r="V20" i="59"/>
  <c r="W20" i="59" s="1"/>
  <c r="X20" i="59" s="1"/>
  <c r="X33" i="59"/>
  <c r="AD43" i="59"/>
  <c r="L91" i="59" l="1"/>
  <c r="L92" i="59" s="1"/>
  <c r="N74" i="59"/>
  <c r="L94" i="59" s="1"/>
  <c r="AE36" i="59"/>
  <c r="AE46" i="59" s="1"/>
  <c r="X16" i="59"/>
  <c r="Y16" i="59" s="1"/>
  <c r="X17" i="59"/>
  <c r="Y17" i="59" s="1"/>
  <c r="X11" i="59"/>
  <c r="Y11" i="59" s="1"/>
  <c r="Y19" i="59"/>
  <c r="X9" i="59"/>
  <c r="Y9" i="59" s="1"/>
  <c r="Y33" i="59"/>
  <c r="Y47" i="59"/>
  <c r="Y49" i="59"/>
  <c r="X14" i="59"/>
  <c r="Y14" i="59" s="1"/>
  <c r="Y10" i="59"/>
  <c r="X12" i="59"/>
  <c r="Y12" i="59" s="1"/>
  <c r="Y18" i="59"/>
  <c r="Y59" i="59"/>
  <c r="Y63" i="59" s="1"/>
  <c r="Y41" i="59"/>
  <c r="Y65" i="59" s="1"/>
  <c r="Y66" i="59" s="1"/>
  <c r="Y20" i="59"/>
  <c r="W21" i="59"/>
  <c r="X21" i="59" s="1"/>
  <c r="Y21" i="59" s="1"/>
  <c r="V22" i="59"/>
  <c r="W22" i="59" s="1"/>
  <c r="X22" i="59" s="1"/>
  <c r="Y22" i="59" s="1"/>
  <c r="AB35" i="59"/>
  <c r="AD35" i="59"/>
  <c r="Y13" i="59"/>
  <c r="AE34" i="59"/>
  <c r="AB34" i="59"/>
  <c r="X8" i="59"/>
  <c r="AI37" i="59"/>
  <c r="R23" i="59"/>
  <c r="M91" i="59" l="1"/>
  <c r="K69" i="59"/>
  <c r="L69" i="59" s="1"/>
  <c r="K70" i="59"/>
  <c r="L70" i="59" s="1"/>
  <c r="Y54" i="59"/>
  <c r="Y67" i="59" s="1"/>
  <c r="Y68" i="59" s="1"/>
  <c r="AB40" i="59" s="1"/>
  <c r="AB45" i="59" s="1"/>
  <c r="K73" i="59"/>
  <c r="L73" i="59" s="1"/>
  <c r="K68" i="59"/>
  <c r="L68" i="59" s="1"/>
  <c r="K71" i="59"/>
  <c r="L71" i="59" s="1"/>
  <c r="AJ37" i="59"/>
  <c r="AB39" i="59"/>
  <c r="AC39" i="59" s="1"/>
  <c r="K72" i="59"/>
  <c r="L72" i="59" s="1"/>
  <c r="AE44" i="59"/>
  <c r="AE47" i="59" s="1"/>
  <c r="AE37" i="59"/>
  <c r="AF34" i="59"/>
  <c r="AG34" i="59" s="1"/>
  <c r="X23" i="59"/>
  <c r="Y8" i="59"/>
  <c r="AC33" i="59"/>
  <c r="AB33" i="59"/>
  <c r="AD45" i="59"/>
  <c r="AD47" i="59" s="1"/>
  <c r="AD37" i="59"/>
  <c r="AF35" i="59"/>
  <c r="AG35" i="59" s="1"/>
  <c r="AB38" i="59" l="1"/>
  <c r="AB43" i="59" s="1"/>
  <c r="Y90" i="59"/>
  <c r="Y91" i="59"/>
  <c r="AB44" i="59"/>
  <c r="AC40" i="59"/>
  <c r="AF33" i="59"/>
  <c r="AG33" i="59" s="1"/>
  <c r="K67" i="59"/>
  <c r="L67" i="59" s="1"/>
  <c r="L74" i="59" s="1"/>
  <c r="Y23" i="59"/>
  <c r="AC44" i="59"/>
  <c r="AF44" i="59" s="1"/>
  <c r="AF39" i="59"/>
  <c r="AG39" i="59" s="1"/>
  <c r="AC38" i="59" l="1"/>
  <c r="Y92" i="59"/>
  <c r="Y94" i="59" s="1"/>
  <c r="AG44" i="59"/>
  <c r="AF40" i="59"/>
  <c r="AG40" i="59" s="1"/>
  <c r="AC45" i="59"/>
  <c r="AF45" i="59" s="1"/>
  <c r="AG45" i="59" s="1"/>
  <c r="AF38" i="59"/>
  <c r="AG38" i="59" s="1"/>
  <c r="Y69" i="59"/>
  <c r="Y70" i="59" s="1"/>
  <c r="AB36" i="59"/>
  <c r="AC43" i="59"/>
  <c r="AC36" i="59" l="1"/>
  <c r="AB37" i="59"/>
  <c r="AF43" i="59"/>
  <c r="AG43" i="59" s="1"/>
  <c r="AB41" i="59"/>
  <c r="Y71" i="59"/>
  <c r="AC41" i="59" l="1"/>
  <c r="AC46" i="59" s="1"/>
  <c r="AB42" i="59"/>
  <c r="AF36" i="59"/>
  <c r="AG36" i="59" s="1"/>
  <c r="AC37" i="59"/>
  <c r="AF37" i="59" s="1"/>
  <c r="AG37" i="59" s="1"/>
  <c r="AB46" i="59"/>
  <c r="AB47" i="59" l="1"/>
  <c r="AF41" i="59"/>
  <c r="AG41" i="59" s="1"/>
  <c r="AC42" i="59"/>
  <c r="AF42" i="59" s="1"/>
  <c r="AG42" i="59" s="1"/>
  <c r="AF46" i="59"/>
  <c r="AG46" i="59" s="1"/>
  <c r="AC47" i="59"/>
  <c r="AF47" i="59" s="1"/>
  <c r="AJ33" i="59" l="1"/>
  <c r="AI47" i="59" s="1"/>
  <c r="AG47" i="59"/>
  <c r="R84" i="58" l="1"/>
  <c r="V53" i="58" s="1"/>
  <c r="Q84" i="58"/>
  <c r="T53" i="58" s="1"/>
  <c r="R83" i="58"/>
  <c r="Q83" i="58"/>
  <c r="T47" i="58" s="1"/>
  <c r="U47" i="58" s="1"/>
  <c r="R82" i="58"/>
  <c r="Q82" i="58"/>
  <c r="T37" i="58" s="1"/>
  <c r="U37" i="58" s="1"/>
  <c r="J82" i="58"/>
  <c r="G82" i="58"/>
  <c r="R81" i="58"/>
  <c r="U19" i="58" s="1"/>
  <c r="Q81" i="58"/>
  <c r="J81" i="58"/>
  <c r="K81" i="58" s="1"/>
  <c r="R80" i="58"/>
  <c r="U11" i="58" s="1"/>
  <c r="V11" i="58" s="1"/>
  <c r="Q80" i="58"/>
  <c r="T39" i="58" s="1"/>
  <c r="U39" i="58" s="1"/>
  <c r="J80" i="58"/>
  <c r="G80" i="58"/>
  <c r="J79" i="58"/>
  <c r="K79" i="58" s="1"/>
  <c r="J78" i="58"/>
  <c r="K78" i="58" s="1"/>
  <c r="K77" i="58"/>
  <c r="T76" i="58"/>
  <c r="K76" i="58"/>
  <c r="K75" i="58"/>
  <c r="X74" i="58"/>
  <c r="X76" i="58" s="1"/>
  <c r="W74" i="58"/>
  <c r="W76" i="58" s="1"/>
  <c r="K11" i="58" s="1"/>
  <c r="V74" i="58"/>
  <c r="V76" i="58" s="1"/>
  <c r="K14" i="58" s="1"/>
  <c r="U74" i="58"/>
  <c r="U76" i="58" s="1"/>
  <c r="K8" i="58" s="1"/>
  <c r="S74" i="58"/>
  <c r="S76" i="58" s="1"/>
  <c r="K74" i="58"/>
  <c r="F73" i="58"/>
  <c r="J73" i="58" s="1"/>
  <c r="K73" i="58" s="1"/>
  <c r="F72" i="58"/>
  <c r="J72" i="58" s="1"/>
  <c r="K72" i="58" s="1"/>
  <c r="C70" i="58"/>
  <c r="C69" i="58"/>
  <c r="C68" i="58"/>
  <c r="E67" i="58"/>
  <c r="C67" i="58"/>
  <c r="E66" i="58"/>
  <c r="C66" i="58"/>
  <c r="E65" i="58"/>
  <c r="C65" i="58"/>
  <c r="E64" i="58"/>
  <c r="C64" i="58"/>
  <c r="G58" i="58"/>
  <c r="K58" i="58" s="1"/>
  <c r="J57" i="58"/>
  <c r="K57" i="58" s="1"/>
  <c r="J56" i="58"/>
  <c r="K56" i="58" s="1"/>
  <c r="K55" i="58"/>
  <c r="T54" i="58"/>
  <c r="S54" i="58"/>
  <c r="S55" i="58" s="1"/>
  <c r="W55" i="58" s="1"/>
  <c r="K54" i="58"/>
  <c r="W53" i="58"/>
  <c r="U53" i="58"/>
  <c r="X53" i="58" s="1"/>
  <c r="K53" i="58"/>
  <c r="J52" i="58"/>
  <c r="K52" i="58" s="1"/>
  <c r="J51" i="58"/>
  <c r="K51" i="58" s="1"/>
  <c r="J50" i="58"/>
  <c r="K50" i="58" s="1"/>
  <c r="J49" i="58"/>
  <c r="K49" i="58" s="1"/>
  <c r="W48" i="58"/>
  <c r="J48" i="58"/>
  <c r="K48" i="58" s="1"/>
  <c r="K47" i="58"/>
  <c r="AD35" i="58" s="1"/>
  <c r="AD45" i="58" s="1"/>
  <c r="W45" i="58"/>
  <c r="AD43" i="58"/>
  <c r="AD42" i="58"/>
  <c r="AC42" i="58"/>
  <c r="J40" i="58"/>
  <c r="K40" i="58" s="1"/>
  <c r="K42" i="58" s="1"/>
  <c r="AC34" i="58" s="1"/>
  <c r="W39" i="58"/>
  <c r="W38" i="58"/>
  <c r="T38" i="58"/>
  <c r="U38" i="58" s="1"/>
  <c r="W37" i="58"/>
  <c r="J37" i="58"/>
  <c r="K37" i="58" s="1"/>
  <c r="AC36" i="58"/>
  <c r="AC46" i="58" s="1"/>
  <c r="W36" i="58"/>
  <c r="J36" i="58"/>
  <c r="K36" i="58" s="1"/>
  <c r="W35" i="58"/>
  <c r="K35" i="58"/>
  <c r="W34" i="58"/>
  <c r="K34" i="58"/>
  <c r="AC33" i="58"/>
  <c r="AC43" i="58" s="1"/>
  <c r="V33" i="58"/>
  <c r="W33" i="58" s="1"/>
  <c r="T33" i="58"/>
  <c r="U33" i="58" s="1"/>
  <c r="K33" i="58"/>
  <c r="Z32" i="58"/>
  <c r="V32" i="58"/>
  <c r="W32" i="58" s="1"/>
  <c r="K32" i="58"/>
  <c r="AA31" i="58"/>
  <c r="Z31" i="58"/>
  <c r="X28" i="58"/>
  <c r="W28" i="58"/>
  <c r="Q28" i="58"/>
  <c r="M22" i="58"/>
  <c r="P22" i="58" s="1"/>
  <c r="J22" i="58"/>
  <c r="L22" i="58" s="1"/>
  <c r="S21" i="58"/>
  <c r="T21" i="58" s="1"/>
  <c r="M21" i="58"/>
  <c r="P21" i="58" s="1"/>
  <c r="J21" i="58"/>
  <c r="L21" i="58" s="1"/>
  <c r="U20" i="58"/>
  <c r="V20" i="58" s="1"/>
  <c r="S20" i="58"/>
  <c r="T20" i="58" s="1"/>
  <c r="M20" i="58"/>
  <c r="P20" i="58" s="1"/>
  <c r="J20" i="58"/>
  <c r="L20" i="58" s="1"/>
  <c r="V19" i="58"/>
  <c r="S19" i="58"/>
  <c r="T19" i="58" s="1"/>
  <c r="M19" i="58"/>
  <c r="P19" i="58" s="1"/>
  <c r="J19" i="58"/>
  <c r="L19" i="58" s="1"/>
  <c r="U18" i="58"/>
  <c r="V18" i="58" s="1"/>
  <c r="S18" i="58"/>
  <c r="T18" i="58" s="1"/>
  <c r="P18" i="58"/>
  <c r="M18" i="58"/>
  <c r="J18" i="58"/>
  <c r="L18" i="58" s="1"/>
  <c r="S17" i="58"/>
  <c r="T17" i="58" s="1"/>
  <c r="M17" i="58"/>
  <c r="P17" i="58" s="1"/>
  <c r="J17" i="58"/>
  <c r="L17" i="58" s="1"/>
  <c r="U16" i="58"/>
  <c r="V16" i="58" s="1"/>
  <c r="S16" i="58"/>
  <c r="T16" i="58" s="1"/>
  <c r="M16" i="58"/>
  <c r="P16" i="58" s="1"/>
  <c r="J16" i="58"/>
  <c r="L16" i="58" s="1"/>
  <c r="W15" i="58"/>
  <c r="X15" i="58" s="1"/>
  <c r="S14" i="58"/>
  <c r="T14" i="58" s="1"/>
  <c r="G14" i="58"/>
  <c r="S13" i="58"/>
  <c r="T13" i="58" s="1"/>
  <c r="M13" i="58"/>
  <c r="P13" i="58" s="1"/>
  <c r="J13" i="58"/>
  <c r="S12" i="58"/>
  <c r="T12" i="58" s="1"/>
  <c r="G12" i="58"/>
  <c r="M12" i="58" s="1"/>
  <c r="P12" i="58" s="1"/>
  <c r="S11" i="58"/>
  <c r="T11" i="58" s="1"/>
  <c r="H11" i="58"/>
  <c r="G11" i="58"/>
  <c r="S10" i="58"/>
  <c r="T10" i="58" s="1"/>
  <c r="H10" i="58"/>
  <c r="G10" i="58"/>
  <c r="J10" i="58" s="1"/>
  <c r="S9" i="58"/>
  <c r="T9" i="58" s="1"/>
  <c r="G9" i="58"/>
  <c r="J9" i="58" s="1"/>
  <c r="S8" i="58"/>
  <c r="T8" i="58" s="1"/>
  <c r="H8" i="58"/>
  <c r="G8" i="58"/>
  <c r="K4" i="58"/>
  <c r="J85" i="57"/>
  <c r="G85" i="57"/>
  <c r="R84" i="57"/>
  <c r="V53" i="57" s="1"/>
  <c r="W53" i="57" s="1"/>
  <c r="Q84" i="57"/>
  <c r="T55" i="57" s="1"/>
  <c r="J84" i="57"/>
  <c r="K84" i="57" s="1"/>
  <c r="R83" i="57"/>
  <c r="Q83" i="57"/>
  <c r="J83" i="57"/>
  <c r="G83" i="57"/>
  <c r="K83" i="57" s="1"/>
  <c r="R82" i="57"/>
  <c r="V32" i="57" s="1"/>
  <c r="W32" i="57" s="1"/>
  <c r="Q82" i="57"/>
  <c r="J82" i="57"/>
  <c r="K82" i="57" s="1"/>
  <c r="R81" i="57"/>
  <c r="Q81" i="57"/>
  <c r="S21" i="57" s="1"/>
  <c r="S22" i="57" s="1"/>
  <c r="T22" i="57" s="1"/>
  <c r="J81" i="57"/>
  <c r="K81" i="57" s="1"/>
  <c r="R80" i="57"/>
  <c r="U13" i="57" s="1"/>
  <c r="V13" i="57" s="1"/>
  <c r="Q80" i="57"/>
  <c r="K80" i="57"/>
  <c r="K79" i="57"/>
  <c r="K78" i="57"/>
  <c r="K77" i="57"/>
  <c r="T76" i="57"/>
  <c r="F76" i="57"/>
  <c r="J76" i="57" s="1"/>
  <c r="K76" i="57" s="1"/>
  <c r="F75" i="57"/>
  <c r="J75" i="57" s="1"/>
  <c r="K75" i="57" s="1"/>
  <c r="X74" i="57"/>
  <c r="X76" i="57" s="1"/>
  <c r="W74" i="57"/>
  <c r="W76" i="57" s="1"/>
  <c r="V74" i="57"/>
  <c r="V76" i="57" s="1"/>
  <c r="K14" i="57" s="1"/>
  <c r="U74" i="57"/>
  <c r="U76" i="57" s="1"/>
  <c r="K8" i="57" s="1"/>
  <c r="S74" i="57"/>
  <c r="S76" i="57" s="1"/>
  <c r="C73" i="57"/>
  <c r="C72" i="57"/>
  <c r="C71" i="57"/>
  <c r="E70" i="57"/>
  <c r="C70" i="57"/>
  <c r="E69" i="57"/>
  <c r="C69" i="57"/>
  <c r="E68" i="57"/>
  <c r="C68" i="57"/>
  <c r="E67" i="57"/>
  <c r="C67" i="57"/>
  <c r="G61" i="57"/>
  <c r="K61" i="57" s="1"/>
  <c r="J60" i="57"/>
  <c r="K60" i="57" s="1"/>
  <c r="J59" i="57"/>
  <c r="K59" i="57" s="1"/>
  <c r="K58" i="57"/>
  <c r="K57" i="57"/>
  <c r="K56" i="57"/>
  <c r="K55" i="57"/>
  <c r="T54" i="57"/>
  <c r="U54" i="57" s="1"/>
  <c r="S54" i="57"/>
  <c r="W54" i="57" s="1"/>
  <c r="K54" i="57"/>
  <c r="T53" i="57"/>
  <c r="U53" i="57" s="1"/>
  <c r="X53" i="57" s="1"/>
  <c r="K53" i="57"/>
  <c r="J53" i="57"/>
  <c r="J52" i="57"/>
  <c r="K52" i="57" s="1"/>
  <c r="J51" i="57"/>
  <c r="K51" i="57" s="1"/>
  <c r="J50" i="57"/>
  <c r="K50" i="57" s="1"/>
  <c r="J49" i="57"/>
  <c r="K49" i="57" s="1"/>
  <c r="W48" i="57"/>
  <c r="T48" i="57"/>
  <c r="U48" i="57" s="1"/>
  <c r="J48" i="57"/>
  <c r="K48" i="57" s="1"/>
  <c r="T47" i="57"/>
  <c r="U47" i="57" s="1"/>
  <c r="K47" i="57"/>
  <c r="T46" i="57"/>
  <c r="U46" i="57" s="1"/>
  <c r="W45" i="57"/>
  <c r="T45" i="57"/>
  <c r="U45" i="57" s="1"/>
  <c r="AD43" i="57"/>
  <c r="AD42" i="57"/>
  <c r="AC42" i="57"/>
  <c r="J40" i="57"/>
  <c r="K40" i="57" s="1"/>
  <c r="K42" i="57" s="1"/>
  <c r="AC34" i="57" s="1"/>
  <c r="W39" i="57"/>
  <c r="T39" i="57"/>
  <c r="U39" i="57" s="1"/>
  <c r="X39" i="57" s="1"/>
  <c r="W38" i="57"/>
  <c r="T38" i="57"/>
  <c r="U38" i="57" s="1"/>
  <c r="W37" i="57"/>
  <c r="T37" i="57"/>
  <c r="U37" i="57" s="1"/>
  <c r="J37" i="57"/>
  <c r="K37" i="57" s="1"/>
  <c r="AC36" i="57"/>
  <c r="AC46" i="57" s="1"/>
  <c r="W36" i="57"/>
  <c r="T36" i="57"/>
  <c r="U36" i="57" s="1"/>
  <c r="J36" i="57"/>
  <c r="K36" i="57" s="1"/>
  <c r="W35" i="57"/>
  <c r="T35" i="57"/>
  <c r="U35" i="57" s="1"/>
  <c r="X35" i="57" s="1"/>
  <c r="K35" i="57"/>
  <c r="W34" i="57"/>
  <c r="T34" i="57"/>
  <c r="U34" i="57" s="1"/>
  <c r="K34" i="57"/>
  <c r="AC33" i="57"/>
  <c r="AC43" i="57" s="1"/>
  <c r="T33" i="57"/>
  <c r="U33" i="57" s="1"/>
  <c r="K33" i="57"/>
  <c r="Z32" i="57"/>
  <c r="T32" i="57"/>
  <c r="U32" i="57" s="1"/>
  <c r="K32" i="57"/>
  <c r="AA31" i="57"/>
  <c r="Z31" i="57"/>
  <c r="X28" i="57"/>
  <c r="W28" i="57"/>
  <c r="Q28" i="57"/>
  <c r="M22" i="57"/>
  <c r="P22" i="57" s="1"/>
  <c r="J22" i="57"/>
  <c r="L22" i="57" s="1"/>
  <c r="Q22" i="57" s="1"/>
  <c r="M21" i="57"/>
  <c r="P21" i="57" s="1"/>
  <c r="J21" i="57"/>
  <c r="L21" i="57" s="1"/>
  <c r="S20" i="57"/>
  <c r="T20" i="57" s="1"/>
  <c r="M20" i="57"/>
  <c r="P20" i="57" s="1"/>
  <c r="J20" i="57"/>
  <c r="L20" i="57" s="1"/>
  <c r="M19" i="57"/>
  <c r="P19" i="57" s="1"/>
  <c r="J19" i="57"/>
  <c r="L19" i="57" s="1"/>
  <c r="M18" i="57"/>
  <c r="P18" i="57" s="1"/>
  <c r="J18" i="57"/>
  <c r="L18" i="57" s="1"/>
  <c r="M17" i="57"/>
  <c r="P17" i="57" s="1"/>
  <c r="J17" i="57"/>
  <c r="L17" i="57" s="1"/>
  <c r="S16" i="57"/>
  <c r="T16" i="57" s="1"/>
  <c r="M16" i="57"/>
  <c r="P16" i="57" s="1"/>
  <c r="J16" i="57"/>
  <c r="L16" i="57" s="1"/>
  <c r="Q16" i="57" s="1"/>
  <c r="W15" i="57"/>
  <c r="X15" i="57" s="1"/>
  <c r="U14" i="57"/>
  <c r="V14" i="57" s="1"/>
  <c r="G14" i="57"/>
  <c r="J14" i="57" s="1"/>
  <c r="L14" i="57" s="1"/>
  <c r="M13" i="57"/>
  <c r="P13" i="57" s="1"/>
  <c r="K13" i="57"/>
  <c r="J13" i="57"/>
  <c r="K12" i="57"/>
  <c r="G12" i="57"/>
  <c r="H11" i="57"/>
  <c r="G11" i="57"/>
  <c r="U10" i="57"/>
  <c r="V10" i="57" s="1"/>
  <c r="H10" i="57"/>
  <c r="G10" i="57"/>
  <c r="U9" i="57"/>
  <c r="V9" i="57" s="1"/>
  <c r="G9" i="57"/>
  <c r="H8" i="57"/>
  <c r="G8" i="57"/>
  <c r="K4" i="57"/>
  <c r="V20" i="51"/>
  <c r="W20" i="51" s="1"/>
  <c r="V12" i="51"/>
  <c r="W12" i="51" s="1"/>
  <c r="U13" i="51"/>
  <c r="K13" i="51"/>
  <c r="L83" i="51"/>
  <c r="L59" i="51"/>
  <c r="L82" i="51"/>
  <c r="L80" i="51"/>
  <c r="L79" i="51"/>
  <c r="L78" i="51"/>
  <c r="L77" i="51"/>
  <c r="L76" i="51"/>
  <c r="L75" i="51"/>
  <c r="K74" i="51"/>
  <c r="L74" i="51" s="1"/>
  <c r="K73" i="51"/>
  <c r="L73" i="51" s="1"/>
  <c r="D71" i="51"/>
  <c r="D70" i="51"/>
  <c r="D69" i="51"/>
  <c r="F68" i="51"/>
  <c r="D68" i="51"/>
  <c r="F67" i="51"/>
  <c r="D67" i="51"/>
  <c r="F66" i="51"/>
  <c r="D66" i="51"/>
  <c r="F65" i="51"/>
  <c r="D65" i="51"/>
  <c r="L56" i="51"/>
  <c r="L55" i="51"/>
  <c r="L54" i="51"/>
  <c r="L53" i="51"/>
  <c r="L50" i="51"/>
  <c r="L48" i="51"/>
  <c r="AE35" i="51" s="1"/>
  <c r="AE45" i="51" s="1"/>
  <c r="AE43" i="51"/>
  <c r="AE42" i="51"/>
  <c r="AD42" i="51"/>
  <c r="L40" i="51"/>
  <c r="L43" i="51" s="1"/>
  <c r="AD36" i="51"/>
  <c r="AD46" i="51" s="1"/>
  <c r="X55" i="51"/>
  <c r="L35" i="51"/>
  <c r="L34" i="51"/>
  <c r="AD33" i="51"/>
  <c r="AD43" i="51" s="1"/>
  <c r="L33" i="51"/>
  <c r="AA32" i="51"/>
  <c r="L32" i="51"/>
  <c r="AB31" i="51"/>
  <c r="AA31" i="51"/>
  <c r="Y28" i="51"/>
  <c r="X28" i="51"/>
  <c r="R28" i="51"/>
  <c r="N22" i="51"/>
  <c r="K22" i="51"/>
  <c r="N21" i="51"/>
  <c r="K21" i="51"/>
  <c r="N20" i="51"/>
  <c r="K20" i="51"/>
  <c r="N19" i="51"/>
  <c r="Q19" i="51" s="1"/>
  <c r="K19" i="51"/>
  <c r="M19" i="51" s="1"/>
  <c r="N18" i="51"/>
  <c r="Q18" i="51" s="1"/>
  <c r="K18" i="51"/>
  <c r="N17" i="51"/>
  <c r="Q17" i="51" s="1"/>
  <c r="K17" i="51"/>
  <c r="M17" i="51" s="1"/>
  <c r="N16" i="51"/>
  <c r="K16" i="51"/>
  <c r="X15" i="51"/>
  <c r="Y15" i="51" s="1"/>
  <c r="N14" i="51"/>
  <c r="Q14" i="51" s="1"/>
  <c r="N13" i="51"/>
  <c r="Q13" i="51" s="1"/>
  <c r="K12" i="51"/>
  <c r="N12" i="51"/>
  <c r="Q12" i="51" s="1"/>
  <c r="K10" i="51"/>
  <c r="M10" i="51" s="1"/>
  <c r="K9" i="51"/>
  <c r="M4" i="51"/>
  <c r="N8" i="51"/>
  <c r="Q8" i="51" s="1"/>
  <c r="V10" i="51"/>
  <c r="W10" i="51" s="1"/>
  <c r="K14" i="51"/>
  <c r="N11" i="51"/>
  <c r="Q11" i="51" s="1"/>
  <c r="AC35" i="51"/>
  <c r="N9" i="51"/>
  <c r="Q9" i="51" s="1"/>
  <c r="V14" i="51"/>
  <c r="W14" i="51" s="1"/>
  <c r="V13" i="51"/>
  <c r="W13" i="51" s="1"/>
  <c r="V8" i="51"/>
  <c r="W8" i="51" s="1"/>
  <c r="V11" i="51"/>
  <c r="W11" i="51" s="1"/>
  <c r="V9" i="51"/>
  <c r="W9" i="51" s="1"/>
  <c r="L81" i="51"/>
  <c r="K11" i="51"/>
  <c r="K8" i="51"/>
  <c r="R18" i="51" l="1"/>
  <c r="M8" i="57"/>
  <c r="P8" i="57" s="1"/>
  <c r="U11" i="57"/>
  <c r="V11" i="57" s="1"/>
  <c r="J8" i="58"/>
  <c r="L8" i="58" s="1"/>
  <c r="T55" i="58"/>
  <c r="U8" i="57"/>
  <c r="V8" i="57" s="1"/>
  <c r="U12" i="57"/>
  <c r="V12" i="57" s="1"/>
  <c r="Q20" i="58"/>
  <c r="X20" i="58" s="1"/>
  <c r="M11" i="57"/>
  <c r="P11" i="57" s="1"/>
  <c r="S19" i="57"/>
  <c r="T19" i="57" s="1"/>
  <c r="K9" i="58"/>
  <c r="U54" i="58"/>
  <c r="X54" i="58" s="1"/>
  <c r="S18" i="57"/>
  <c r="T18" i="57" s="1"/>
  <c r="Q20" i="57"/>
  <c r="V33" i="57"/>
  <c r="W33" i="57" s="1"/>
  <c r="S55" i="57"/>
  <c r="U55" i="57" s="1"/>
  <c r="Q21" i="58"/>
  <c r="AB35" i="58"/>
  <c r="W54" i="58"/>
  <c r="U12" i="58"/>
  <c r="V12" i="58" s="1"/>
  <c r="W12" i="58" s="1"/>
  <c r="U13" i="58"/>
  <c r="V13" i="58" s="1"/>
  <c r="W13" i="58" s="1"/>
  <c r="S17" i="57"/>
  <c r="T17" i="57" s="1"/>
  <c r="U8" i="58"/>
  <c r="V8" i="58" s="1"/>
  <c r="Q16" i="58"/>
  <c r="X16" i="58" s="1"/>
  <c r="X33" i="58"/>
  <c r="L87" i="51"/>
  <c r="AD34" i="51"/>
  <c r="AD44" i="51" s="1"/>
  <c r="L88" i="51"/>
  <c r="M9" i="58"/>
  <c r="P9" i="58" s="1"/>
  <c r="M10" i="58"/>
  <c r="P10" i="58" s="1"/>
  <c r="J11" i="58"/>
  <c r="L11" i="58" s="1"/>
  <c r="J12" i="58"/>
  <c r="W18" i="58"/>
  <c r="T46" i="58"/>
  <c r="U46" i="58" s="1"/>
  <c r="T48" i="58"/>
  <c r="U48" i="58" s="1"/>
  <c r="R21" i="51"/>
  <c r="K10" i="58"/>
  <c r="L10" i="58" s="1"/>
  <c r="X37" i="58"/>
  <c r="J10" i="57"/>
  <c r="X34" i="57"/>
  <c r="Q19" i="58"/>
  <c r="W20" i="58"/>
  <c r="X38" i="58"/>
  <c r="T45" i="58"/>
  <c r="U45" i="58" s="1"/>
  <c r="X45" i="58" s="1"/>
  <c r="U21" i="51"/>
  <c r="U22" i="51"/>
  <c r="M11" i="51"/>
  <c r="R11" i="51" s="1"/>
  <c r="M9" i="51"/>
  <c r="R9" i="51" s="1"/>
  <c r="U16" i="51"/>
  <c r="U17" i="51"/>
  <c r="U18" i="51"/>
  <c r="M13" i="51"/>
  <c r="R13" i="51" s="1"/>
  <c r="U19" i="51"/>
  <c r="U20" i="51"/>
  <c r="X20" i="51" s="1"/>
  <c r="V55" i="51"/>
  <c r="Y55" i="51" s="1"/>
  <c r="Y63" i="51" s="1"/>
  <c r="M8" i="51"/>
  <c r="R8" i="51" s="1"/>
  <c r="M12" i="51"/>
  <c r="R12" i="51" s="1"/>
  <c r="M14" i="51"/>
  <c r="R14" i="51" s="1"/>
  <c r="R20" i="51"/>
  <c r="R22" i="51"/>
  <c r="R19" i="51"/>
  <c r="R17" i="51"/>
  <c r="X13" i="51"/>
  <c r="L85" i="51"/>
  <c r="L39" i="51"/>
  <c r="AE34" i="51" s="1"/>
  <c r="V47" i="58"/>
  <c r="W47" i="58" s="1"/>
  <c r="V46" i="58"/>
  <c r="W46" i="58" s="1"/>
  <c r="X46" i="58" s="1"/>
  <c r="AI33" i="51"/>
  <c r="L61" i="51"/>
  <c r="U11" i="51"/>
  <c r="X11" i="51" s="1"/>
  <c r="U10" i="51"/>
  <c r="X10" i="51" s="1"/>
  <c r="U14" i="51"/>
  <c r="X14" i="51" s="1"/>
  <c r="U9" i="51"/>
  <c r="X9" i="51" s="1"/>
  <c r="U8" i="51"/>
  <c r="U12" i="51"/>
  <c r="X12" i="51" s="1"/>
  <c r="V18" i="51"/>
  <c r="W18" i="51" s="1"/>
  <c r="V17" i="51"/>
  <c r="W17" i="51" s="1"/>
  <c r="V16" i="51"/>
  <c r="W16" i="51" s="1"/>
  <c r="X16" i="51" s="1"/>
  <c r="V19" i="51"/>
  <c r="W19" i="51" s="1"/>
  <c r="V21" i="51"/>
  <c r="M9" i="57"/>
  <c r="P9" i="57" s="1"/>
  <c r="J9" i="57"/>
  <c r="S9" i="57"/>
  <c r="T9" i="57" s="1"/>
  <c r="W9" i="57" s="1"/>
  <c r="S11" i="57"/>
  <c r="T11" i="57" s="1"/>
  <c r="W11" i="57" s="1"/>
  <c r="S14" i="57"/>
  <c r="T14" i="57" s="1"/>
  <c r="S13" i="57"/>
  <c r="T13" i="57" s="1"/>
  <c r="W13" i="57" s="1"/>
  <c r="S12" i="57"/>
  <c r="T12" i="57" s="1"/>
  <c r="W12" i="57" s="1"/>
  <c r="S8" i="57"/>
  <c r="T8" i="57" s="1"/>
  <c r="W8" i="57" s="1"/>
  <c r="S10" i="57"/>
  <c r="T10" i="57" s="1"/>
  <c r="W10" i="57" s="1"/>
  <c r="U17" i="57"/>
  <c r="V17" i="57" s="1"/>
  <c r="U19" i="57"/>
  <c r="V19" i="57" s="1"/>
  <c r="U21" i="57"/>
  <c r="U16" i="57"/>
  <c r="V16" i="57" s="1"/>
  <c r="W16" i="57" s="1"/>
  <c r="X16" i="57" s="1"/>
  <c r="U18" i="57"/>
  <c r="V18" i="57" s="1"/>
  <c r="U20" i="57"/>
  <c r="V20" i="57" s="1"/>
  <c r="W20" i="57" s="1"/>
  <c r="J14" i="58"/>
  <c r="L14" i="58" s="1"/>
  <c r="M14" i="58"/>
  <c r="P14" i="58" s="1"/>
  <c r="X54" i="57"/>
  <c r="X39" i="58"/>
  <c r="N10" i="51"/>
  <c r="Q10" i="51" s="1"/>
  <c r="R10" i="51" s="1"/>
  <c r="M12" i="57"/>
  <c r="P12" i="57" s="1"/>
  <c r="J12" i="57"/>
  <c r="AD35" i="57"/>
  <c r="AD45" i="57" s="1"/>
  <c r="AB35" i="57"/>
  <c r="X47" i="58"/>
  <c r="J11" i="57"/>
  <c r="Q18" i="57"/>
  <c r="X33" i="57"/>
  <c r="X37" i="57"/>
  <c r="K85" i="57"/>
  <c r="K87" i="57" s="1"/>
  <c r="AD36" i="57" s="1"/>
  <c r="AD46" i="57" s="1"/>
  <c r="L9" i="58"/>
  <c r="W16" i="58"/>
  <c r="S22" i="58"/>
  <c r="T22" i="58" s="1"/>
  <c r="K80" i="58"/>
  <c r="AH33" i="58" s="1"/>
  <c r="K82" i="58"/>
  <c r="Q19" i="57"/>
  <c r="K39" i="58"/>
  <c r="AD34" i="58" s="1"/>
  <c r="M10" i="57"/>
  <c r="P10" i="57" s="1"/>
  <c r="T21" i="57"/>
  <c r="X32" i="57"/>
  <c r="X45" i="57"/>
  <c r="W8" i="58"/>
  <c r="Q17" i="58"/>
  <c r="AC44" i="58"/>
  <c r="M11" i="58"/>
  <c r="P11" i="58" s="1"/>
  <c r="K60" i="58"/>
  <c r="M8" i="58"/>
  <c r="P8" i="58" s="1"/>
  <c r="Q8" i="58" s="1"/>
  <c r="Q18" i="58"/>
  <c r="Q22" i="58"/>
  <c r="U55" i="58"/>
  <c r="X55" i="58" s="1"/>
  <c r="W11" i="58"/>
  <c r="W19" i="58"/>
  <c r="K13" i="58"/>
  <c r="L13" i="58" s="1"/>
  <c r="Q13" i="58" s="1"/>
  <c r="X13" i="58" s="1"/>
  <c r="K12" i="58"/>
  <c r="U10" i="58"/>
  <c r="V10" i="58" s="1"/>
  <c r="W10" i="58" s="1"/>
  <c r="U14" i="58"/>
  <c r="V14" i="58" s="1"/>
  <c r="W14" i="58" s="1"/>
  <c r="U17" i="58"/>
  <c r="V17" i="58" s="1"/>
  <c r="W17" i="58" s="1"/>
  <c r="X17" i="58" s="1"/>
  <c r="U21" i="58"/>
  <c r="T32" i="58"/>
  <c r="U32" i="58" s="1"/>
  <c r="X32" i="58" s="1"/>
  <c r="T34" i="58"/>
  <c r="U34" i="58" s="1"/>
  <c r="X34" i="58" s="1"/>
  <c r="U9" i="58"/>
  <c r="V9" i="58" s="1"/>
  <c r="W9" i="58" s="1"/>
  <c r="T35" i="58"/>
  <c r="U35" i="58" s="1"/>
  <c r="X35" i="58" s="1"/>
  <c r="T36" i="58"/>
  <c r="U36" i="58" s="1"/>
  <c r="X36" i="58" s="1"/>
  <c r="AC44" i="57"/>
  <c r="K10" i="57"/>
  <c r="L10" i="57" s="1"/>
  <c r="Q10" i="57" s="1"/>
  <c r="K11" i="57"/>
  <c r="L11" i="57" s="1"/>
  <c r="Q11" i="57" s="1"/>
  <c r="X11" i="57" s="1"/>
  <c r="M14" i="57"/>
  <c r="P14" i="57" s="1"/>
  <c r="Q14" i="57" s="1"/>
  <c r="L12" i="57"/>
  <c r="L13" i="57"/>
  <c r="Q13" i="57" s="1"/>
  <c r="Q17" i="57"/>
  <c r="X38" i="57"/>
  <c r="V47" i="57"/>
  <c r="W47" i="57" s="1"/>
  <c r="V46" i="57"/>
  <c r="W46" i="57" s="1"/>
  <c r="X46" i="57" s="1"/>
  <c r="J8" i="57"/>
  <c r="L8" i="57" s="1"/>
  <c r="Q8" i="57" s="1"/>
  <c r="K9" i="57"/>
  <c r="W14" i="57"/>
  <c r="Q21" i="57"/>
  <c r="K39" i="57"/>
  <c r="X36" i="57"/>
  <c r="K63" i="57"/>
  <c r="AH33" i="57"/>
  <c r="X17" i="51" l="1"/>
  <c r="W55" i="57"/>
  <c r="X55" i="57" s="1"/>
  <c r="X58" i="57" s="1"/>
  <c r="L12" i="58"/>
  <c r="Q12" i="58" s="1"/>
  <c r="Q10" i="58"/>
  <c r="X58" i="58"/>
  <c r="Y11" i="51"/>
  <c r="Y23" i="51" s="1"/>
  <c r="X10" i="57"/>
  <c r="X18" i="58"/>
  <c r="Q12" i="57"/>
  <c r="X12" i="57" s="1"/>
  <c r="J71" i="57" s="1"/>
  <c r="K71" i="57" s="1"/>
  <c r="AA34" i="58"/>
  <c r="Q9" i="58"/>
  <c r="X20" i="57"/>
  <c r="W19" i="57"/>
  <c r="Q11" i="58"/>
  <c r="X11" i="58" s="1"/>
  <c r="J67" i="58" s="1"/>
  <c r="K67" i="58" s="1"/>
  <c r="X12" i="58"/>
  <c r="X19" i="58"/>
  <c r="W18" i="57"/>
  <c r="X18" i="57" s="1"/>
  <c r="J69" i="57" s="1"/>
  <c r="K69" i="57" s="1"/>
  <c r="W17" i="57"/>
  <c r="W23" i="57" s="1"/>
  <c r="AA38" i="57" s="1"/>
  <c r="AB34" i="51"/>
  <c r="AE36" i="51"/>
  <c r="AE46" i="51" s="1"/>
  <c r="X41" i="57"/>
  <c r="Y13" i="51"/>
  <c r="X49" i="58"/>
  <c r="Q14" i="58"/>
  <c r="X14" i="58" s="1"/>
  <c r="L9" i="57"/>
  <c r="Q9" i="57" s="1"/>
  <c r="X9" i="57" s="1"/>
  <c r="L89" i="51"/>
  <c r="L90" i="51" s="1"/>
  <c r="L92" i="51"/>
  <c r="Y51" i="51"/>
  <c r="Y67" i="51" s="1"/>
  <c r="Y68" i="51" s="1"/>
  <c r="X18" i="51"/>
  <c r="Y18" i="51" s="1"/>
  <c r="X19" i="51"/>
  <c r="Y19" i="51" s="1"/>
  <c r="Y12" i="51"/>
  <c r="Y14" i="51"/>
  <c r="Y38" i="51"/>
  <c r="Y65" i="51" s="1"/>
  <c r="Y66" i="51" s="1"/>
  <c r="Y9" i="51"/>
  <c r="Y10" i="51"/>
  <c r="R23" i="51"/>
  <c r="AB33" i="51" s="1"/>
  <c r="W21" i="51"/>
  <c r="X21" i="51" s="1"/>
  <c r="V22" i="51"/>
  <c r="W22" i="51" s="1"/>
  <c r="X22" i="51" s="1"/>
  <c r="X14" i="57"/>
  <c r="K84" i="58"/>
  <c r="AD36" i="58" s="1"/>
  <c r="AD46" i="58" s="1"/>
  <c r="X19" i="57"/>
  <c r="J70" i="57" s="1"/>
  <c r="K70" i="57" s="1"/>
  <c r="AD35" i="51"/>
  <c r="AB35" i="51"/>
  <c r="V21" i="57"/>
  <c r="W21" i="57" s="1"/>
  <c r="X21" i="57" s="1"/>
  <c r="U22" i="57"/>
  <c r="V22" i="57" s="1"/>
  <c r="W22" i="57" s="1"/>
  <c r="X22" i="57" s="1"/>
  <c r="AE44" i="51"/>
  <c r="AF34" i="51"/>
  <c r="X8" i="51"/>
  <c r="AI37" i="51"/>
  <c r="X9" i="58"/>
  <c r="J65" i="58" s="1"/>
  <c r="K65" i="58" s="1"/>
  <c r="W23" i="58"/>
  <c r="AA38" i="58" s="1"/>
  <c r="X41" i="58"/>
  <c r="X60" i="58" s="1"/>
  <c r="X61" i="58" s="1"/>
  <c r="AH37" i="58"/>
  <c r="AD44" i="58"/>
  <c r="AD47" i="58" s="1"/>
  <c r="AD37" i="58"/>
  <c r="AE34" i="58"/>
  <c r="X10" i="58"/>
  <c r="J66" i="58" s="1"/>
  <c r="K66" i="58" s="1"/>
  <c r="X8" i="58"/>
  <c r="Q23" i="58"/>
  <c r="U22" i="58"/>
  <c r="V22" i="58" s="1"/>
  <c r="W22" i="58" s="1"/>
  <c r="X22" i="58" s="1"/>
  <c r="V21" i="58"/>
  <c r="W21" i="58" s="1"/>
  <c r="X21" i="58" s="1"/>
  <c r="J69" i="58" s="1"/>
  <c r="K69" i="58" s="1"/>
  <c r="J68" i="58"/>
  <c r="K68" i="58" s="1"/>
  <c r="AA35" i="58"/>
  <c r="AC35" i="58"/>
  <c r="X62" i="58"/>
  <c r="X63" i="58" s="1"/>
  <c r="AF34" i="58"/>
  <c r="X13" i="57"/>
  <c r="X47" i="57"/>
  <c r="X49" i="57" s="1"/>
  <c r="X62" i="57" s="1"/>
  <c r="X63" i="57" s="1"/>
  <c r="AD34" i="57"/>
  <c r="X60" i="57"/>
  <c r="X61" i="57" s="1"/>
  <c r="AA34" i="57"/>
  <c r="AA35" i="57"/>
  <c r="AC35" i="57"/>
  <c r="X8" i="57"/>
  <c r="AH37" i="57"/>
  <c r="K68" i="51" l="1"/>
  <c r="L68" i="51" s="1"/>
  <c r="AE37" i="51"/>
  <c r="X17" i="57"/>
  <c r="K69" i="51"/>
  <c r="L69" i="51" s="1"/>
  <c r="Q23" i="57"/>
  <c r="AB33" i="57" s="1"/>
  <c r="AJ37" i="51"/>
  <c r="K70" i="51"/>
  <c r="L70" i="51" s="1"/>
  <c r="J68" i="57"/>
  <c r="K68" i="57" s="1"/>
  <c r="AA39" i="58"/>
  <c r="AA44" i="58" s="1"/>
  <c r="AE47" i="51"/>
  <c r="AG34" i="51"/>
  <c r="AB39" i="51"/>
  <c r="AC39" i="51" s="1"/>
  <c r="AF39" i="51" s="1"/>
  <c r="AG39" i="51" s="1"/>
  <c r="K67" i="51"/>
  <c r="L67" i="51" s="1"/>
  <c r="J70" i="58"/>
  <c r="K70" i="58" s="1"/>
  <c r="M88" i="51"/>
  <c r="AA40" i="57"/>
  <c r="K71" i="51"/>
  <c r="L71" i="51" s="1"/>
  <c r="K66" i="51"/>
  <c r="L66" i="51" s="1"/>
  <c r="J73" i="57"/>
  <c r="K73" i="57" s="1"/>
  <c r="AC33" i="51"/>
  <c r="AA40" i="58"/>
  <c r="AB40" i="58" s="1"/>
  <c r="X23" i="51"/>
  <c r="Y8" i="51"/>
  <c r="AD45" i="51"/>
  <c r="AD47" i="51" s="1"/>
  <c r="AD37" i="51"/>
  <c r="AF35" i="51"/>
  <c r="AG35" i="51" s="1"/>
  <c r="J72" i="57"/>
  <c r="K72" i="57" s="1"/>
  <c r="AI37" i="58"/>
  <c r="AI37" i="57"/>
  <c r="AB40" i="51"/>
  <c r="AC45" i="58"/>
  <c r="AC47" i="58" s="1"/>
  <c r="AC37" i="58"/>
  <c r="AE35" i="58"/>
  <c r="AF35" i="58" s="1"/>
  <c r="J64" i="58"/>
  <c r="K64" i="58" s="1"/>
  <c r="X23" i="58"/>
  <c r="AB39" i="58"/>
  <c r="AB38" i="58"/>
  <c r="AA33" i="58"/>
  <c r="AB33" i="58"/>
  <c r="AB40" i="57"/>
  <c r="AC45" i="57"/>
  <c r="AC47" i="57" s="1"/>
  <c r="AE35" i="57"/>
  <c r="AF35" i="57" s="1"/>
  <c r="AC37" i="57"/>
  <c r="AA39" i="57"/>
  <c r="AA44" i="57" s="1"/>
  <c r="J67" i="57"/>
  <c r="K67" i="57" s="1"/>
  <c r="X23" i="57"/>
  <c r="AD44" i="57"/>
  <c r="AD47" i="57" s="1"/>
  <c r="AD37" i="57"/>
  <c r="AE34" i="57"/>
  <c r="AF34" i="57" s="1"/>
  <c r="AA33" i="57"/>
  <c r="AA45" i="57"/>
  <c r="AB38" i="57"/>
  <c r="AC44" i="51" l="1"/>
  <c r="AF44" i="51" s="1"/>
  <c r="K71" i="58"/>
  <c r="AB44" i="51"/>
  <c r="K74" i="57"/>
  <c r="AA36" i="57" s="1"/>
  <c r="AA45" i="58"/>
  <c r="AB38" i="51"/>
  <c r="AC38" i="51" s="1"/>
  <c r="AC43" i="51" s="1"/>
  <c r="AC40" i="51"/>
  <c r="K65" i="51"/>
  <c r="L65" i="51" s="1"/>
  <c r="L72" i="51" s="1"/>
  <c r="AF33" i="51"/>
  <c r="AG33" i="51" s="1"/>
  <c r="AB45" i="51"/>
  <c r="AB43" i="58"/>
  <c r="AE33" i="58"/>
  <c r="AF33" i="58" s="1"/>
  <c r="AA43" i="58"/>
  <c r="AB44" i="58"/>
  <c r="AE44" i="58" s="1"/>
  <c r="AF44" i="58" s="1"/>
  <c r="AE39" i="58"/>
  <c r="AF39" i="58" s="1"/>
  <c r="AE40" i="58"/>
  <c r="AF40" i="58" s="1"/>
  <c r="AB45" i="58"/>
  <c r="AE45" i="58" s="1"/>
  <c r="AE38" i="58"/>
  <c r="AF38" i="58" s="1"/>
  <c r="AA36" i="58"/>
  <c r="X64" i="58"/>
  <c r="X65" i="58" s="1"/>
  <c r="AB39" i="57"/>
  <c r="AE38" i="57"/>
  <c r="AF38" i="57" s="1"/>
  <c r="AA43" i="57"/>
  <c r="AE40" i="57"/>
  <c r="AF40" i="57" s="1"/>
  <c r="AB45" i="57"/>
  <c r="AE45" i="57" s="1"/>
  <c r="AF45" i="57" s="1"/>
  <c r="AB43" i="57"/>
  <c r="AE33" i="57"/>
  <c r="AF33" i="57" s="1"/>
  <c r="AB43" i="51" l="1"/>
  <c r="AF45" i="58"/>
  <c r="AG44" i="51"/>
  <c r="X64" i="57"/>
  <c r="X65" i="57" s="1"/>
  <c r="AB36" i="51"/>
  <c r="Y69" i="51"/>
  <c r="Y70" i="51" s="1"/>
  <c r="AF38" i="51"/>
  <c r="AG38" i="51" s="1"/>
  <c r="AF43" i="51"/>
  <c r="AF40" i="51"/>
  <c r="AG40" i="51" s="1"/>
  <c r="AC45" i="51"/>
  <c r="AF45" i="51" s="1"/>
  <c r="AG45" i="51" s="1"/>
  <c r="AA41" i="58"/>
  <c r="AA46" i="58" s="1"/>
  <c r="X66" i="58"/>
  <c r="AB36" i="58"/>
  <c r="AA37" i="58"/>
  <c r="AE43" i="58"/>
  <c r="AF43" i="58" s="1"/>
  <c r="AA41" i="57"/>
  <c r="AA46" i="57" s="1"/>
  <c r="X66" i="57"/>
  <c r="AB36" i="57"/>
  <c r="AE39" i="57"/>
  <c r="AF39" i="57" s="1"/>
  <c r="AB44" i="57"/>
  <c r="AE44" i="57" s="1"/>
  <c r="AF44" i="57" s="1"/>
  <c r="AE43" i="57"/>
  <c r="AF43" i="57" s="1"/>
  <c r="AA37" i="57"/>
  <c r="AG43" i="51" l="1"/>
  <c r="AB41" i="51"/>
  <c r="AB46" i="51" s="1"/>
  <c r="Y71" i="51"/>
  <c r="AC36" i="51"/>
  <c r="AB37" i="51"/>
  <c r="AA47" i="58"/>
  <c r="AE36" i="58"/>
  <c r="AF36" i="58" s="1"/>
  <c r="AB37" i="58"/>
  <c r="AE37" i="58" s="1"/>
  <c r="AF37" i="58" s="1"/>
  <c r="AB41" i="58"/>
  <c r="AA42" i="58"/>
  <c r="AA47" i="57"/>
  <c r="AE36" i="57"/>
  <c r="AF36" i="57" s="1"/>
  <c r="AB37" i="57"/>
  <c r="AE37" i="57" s="1"/>
  <c r="AF37" i="57" s="1"/>
  <c r="AB41" i="57"/>
  <c r="AA42" i="57"/>
  <c r="AB47" i="51" l="1"/>
  <c r="AC41" i="51"/>
  <c r="AB42" i="51"/>
  <c r="AF36" i="51"/>
  <c r="AG36" i="51" s="1"/>
  <c r="AC37" i="51"/>
  <c r="AF37" i="51" s="1"/>
  <c r="AG37" i="51" s="1"/>
  <c r="AI33" i="58"/>
  <c r="AH47" i="58" s="1"/>
  <c r="AE41" i="58"/>
  <c r="AF41" i="58" s="1"/>
  <c r="AB42" i="58"/>
  <c r="AE42" i="58" s="1"/>
  <c r="AF42" i="58" s="1"/>
  <c r="AB46" i="58"/>
  <c r="AE41" i="57"/>
  <c r="AF41" i="57" s="1"/>
  <c r="AB42" i="57"/>
  <c r="AE42" i="57" s="1"/>
  <c r="AF42" i="57" s="1"/>
  <c r="AI33" i="57"/>
  <c r="AH47" i="57" s="1"/>
  <c r="AB46" i="57"/>
  <c r="AF41" i="51" l="1"/>
  <c r="AG41" i="51" s="1"/>
  <c r="AC42" i="51"/>
  <c r="AF42" i="51" s="1"/>
  <c r="AG42" i="51" s="1"/>
  <c r="AJ33" i="51"/>
  <c r="AI47" i="51" s="1"/>
  <c r="AC46" i="51"/>
  <c r="AE46" i="58"/>
  <c r="AF46" i="58" s="1"/>
  <c r="AB47" i="58"/>
  <c r="AE47" i="58" s="1"/>
  <c r="AF47" i="58" s="1"/>
  <c r="AE46" i="57"/>
  <c r="AF46" i="57" s="1"/>
  <c r="AB47" i="57"/>
  <c r="AE47" i="57" s="1"/>
  <c r="AF47" i="57" s="1"/>
  <c r="AF46" i="51" l="1"/>
  <c r="AG46" i="51" s="1"/>
  <c r="AC47" i="51"/>
  <c r="AF47" i="51" s="1"/>
  <c r="AG47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s-ota</author>
  </authors>
  <commentList>
    <comment ref="H8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8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9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I9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0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I1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0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1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1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I1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4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AC36" authorId="1" shapeId="0" xr:uid="{00000000-0006-0000-0000-000010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H61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H67" authorId="2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8" authorId="2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9" authorId="2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0" authorId="2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1" authorId="2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2" authorId="2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3" authorId="2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7" authorId="2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T79" authorId="0" shapeId="0" xr:uid="{00000000-0006-0000-00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U79" authorId="0" shapeId="0" xr:uid="{00000000-0006-0000-00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V79" authorId="0" shapeId="0" xr:uid="{00000000-0006-0000-00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9" authorId="0" shapeId="0" xr:uid="{00000000-0006-0000-00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X79" authorId="0" shapeId="0" xr:uid="{00000000-0006-0000-00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Y79" authorId="0" shapeId="0" xr:uid="{00000000-0006-0000-00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D82" authorId="0" shapeId="0" xr:uid="{00000000-0006-0000-00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Hirotake Beppu</author>
  </authors>
  <commentList>
    <comment ref="AC36" authorId="0" shapeId="0" xr:uid="{00000000-0006-0000-0100-000001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2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2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2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2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2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2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2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2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2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2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2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2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AB36" authorId="1" shapeId="0" xr:uid="{00000000-0006-0000-0200-000014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2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2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2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2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2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2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JST見積もりNo.QFA14032による。
FAS輸送費 管理費12%も含む</t>
        </r>
      </text>
    </comment>
    <comment ref="J50" authorId="0" shapeId="0" xr:uid="{00000000-0006-0000-02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2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2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3" authorId="0" shapeId="0" xr:uid="{00000000-0006-0000-02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5" authorId="0" shapeId="0" xr:uid="{00000000-0006-0000-02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2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7" authorId="0" shapeId="0" xr:uid="{00000000-0006-0000-02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8" authorId="0" shapeId="0" xr:uid="{00000000-0006-0000-02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9" authorId="0" shapeId="0" xr:uid="{00000000-0006-0000-02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60" authorId="0" shapeId="0" xr:uid="{00000000-0006-0000-02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61" authorId="0" shapeId="0" xr:uid="{00000000-0006-0000-02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J61" authorId="2" shapeId="0" xr:uid="{00000000-0006-0000-02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S74" authorId="0" shapeId="0" xr:uid="{00000000-0006-0000-02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2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2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2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2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2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F75" authorId="0" shapeId="0" xr:uid="{00000000-0006-0000-02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6" authorId="0" shapeId="0" xr:uid="{00000000-0006-0000-02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2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9" authorId="0" shapeId="0" xr:uid="{00000000-0006-0000-02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80" authorId="0" shapeId="0" xr:uid="{00000000-0006-0000-02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Q80" authorId="0" shapeId="0" xr:uid="{00000000-0006-0000-02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200-00003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J81" authorId="0" shapeId="0" xr:uid="{00000000-0006-0000-02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Q81" authorId="0" shapeId="0" xr:uid="{00000000-0006-0000-02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2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C82" authorId="0" shapeId="0" xr:uid="{00000000-0006-0000-02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82" authorId="0" shapeId="0" xr:uid="{00000000-0006-0000-0200-000038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Q82" authorId="0" shapeId="0" xr:uid="{00000000-0006-0000-02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2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3" authorId="3" shapeId="0" xr:uid="{00000000-0006-0000-02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3" authorId="2" shapeId="0" xr:uid="{00000000-0006-0000-02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3" authorId="0" shapeId="0" xr:uid="{00000000-0006-0000-02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2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2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2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G85" authorId="0" shapeId="0" xr:uid="{00000000-0006-0000-02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5" authorId="0" shapeId="0" xr:uid="{00000000-0006-0000-02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3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3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3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3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3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3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3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3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3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3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3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6" authorId="0" shapeId="0" xr:uid="{00000000-0006-0000-03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TMR-041 16ch原価表の値</t>
        </r>
      </text>
    </comment>
    <comment ref="AB36" authorId="1" shapeId="0" xr:uid="{00000000-0006-0000-0300-000015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3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3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3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3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3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3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0" authorId="0" shapeId="0" xr:uid="{00000000-0006-0000-03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3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3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G54" authorId="0" shapeId="0" xr:uid="{00000000-0006-0000-03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4" authorId="0" shapeId="0" xr:uid="{00000000-0006-0000-03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G55" authorId="0" shapeId="0" xr:uid="{00000000-0006-0000-03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5" authorId="0" shapeId="0" xr:uid="{00000000-0006-0000-03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3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57" authorId="0" shapeId="0" xr:uid="{00000000-0006-0000-03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58" authorId="0" shapeId="0" xr:uid="{00000000-0006-0000-03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S2：350mm
ホーン：310mm
S1・S2連結：45ｍｍ</t>
        </r>
      </text>
    </comment>
    <comment ref="J58" authorId="2" shapeId="0" xr:uid="{00000000-0006-0000-03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F72" authorId="0" shapeId="0" xr:uid="{00000000-0006-0000-03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3" authorId="0" shapeId="0" xr:uid="{00000000-0006-0000-03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4" authorId="0" shapeId="0" xr:uid="{00000000-0006-0000-03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74" authorId="0" shapeId="0" xr:uid="{00000000-0006-0000-03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3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3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3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3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3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J76" authorId="0" shapeId="0" xr:uid="{00000000-0006-0000-03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3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8" authorId="0" shapeId="0" xr:uid="{00000000-0006-0000-03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C79" authorId="0" shapeId="0" xr:uid="{00000000-0006-0000-0300-000033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79" authorId="0" shapeId="0" xr:uid="{00000000-0006-0000-03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G80" authorId="3" shapeId="0" xr:uid="{00000000-0006-0000-03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0" authorId="2" shapeId="0" xr:uid="{00000000-0006-0000-03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0" authorId="0" shapeId="0" xr:uid="{00000000-0006-0000-03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300-00003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81" authorId="0" shapeId="0" xr:uid="{00000000-0006-0000-03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3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2" authorId="0" shapeId="0" xr:uid="{00000000-0006-0000-03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2" authorId="0" shapeId="0" xr:uid="{00000000-0006-0000-03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  <comment ref="Q82" authorId="0" shapeId="0" xr:uid="{00000000-0006-0000-03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3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Q83" authorId="0" shapeId="0" xr:uid="{00000000-0006-0000-03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3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3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3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</commentList>
</comments>
</file>

<file path=xl/sharedStrings.xml><?xml version="1.0" encoding="utf-8"?>
<sst xmlns="http://schemas.openxmlformats.org/spreadsheetml/2006/main" count="1822" uniqueCount="342">
  <si>
    <t xml:space="preserve"> </t>
  </si>
  <si>
    <t>(c.)</t>
  </si>
  <si>
    <t>Part Name</t>
  </si>
  <si>
    <t>Description</t>
  </si>
  <si>
    <t>Code</t>
  </si>
  <si>
    <t>Cav.</t>
  </si>
  <si>
    <t>Part Weight</t>
  </si>
  <si>
    <t>Runner Weight</t>
  </si>
  <si>
    <t>Loss</t>
  </si>
  <si>
    <t>Total Weight</t>
  </si>
  <si>
    <t>Piece Price</t>
  </si>
  <si>
    <t>Scrap Unit Price</t>
  </si>
  <si>
    <t>Scrap Price</t>
  </si>
  <si>
    <t>Cycle Time</t>
  </si>
  <si>
    <t>MH Cost</t>
  </si>
  <si>
    <t>MT(/hr)</t>
  </si>
  <si>
    <t>MT Cost</t>
  </si>
  <si>
    <t>Direct Cost</t>
  </si>
  <si>
    <t>Scrap Weight</t>
  </si>
  <si>
    <t>Collection</t>
  </si>
  <si>
    <t>Material Cost</t>
  </si>
  <si>
    <t>MH(/hr)</t>
  </si>
  <si>
    <t>Processing Cost</t>
  </si>
  <si>
    <t>Qty.</t>
  </si>
  <si>
    <t>Unit Price</t>
  </si>
  <si>
    <t>pcs</t>
  </si>
  <si>
    <t>Process Name</t>
  </si>
  <si>
    <t>Operator</t>
  </si>
  <si>
    <t>Operation Ability</t>
  </si>
  <si>
    <t>MH/(hr)</t>
  </si>
  <si>
    <t xml:space="preserve">MT/(hr) </t>
  </si>
  <si>
    <t>Processing</t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</si>
  <si>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</si>
  <si>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</si>
  <si>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t>Terminal Crimping</t>
  </si>
  <si>
    <t>SRC Assembly</t>
  </si>
  <si>
    <t>Line Leader</t>
  </si>
  <si>
    <t>(e.)+(f.)+(i.) = C</t>
  </si>
  <si>
    <t>QA Inspector</t>
  </si>
  <si>
    <t>FEAP</t>
  </si>
  <si>
    <t>Trade term</t>
  </si>
  <si>
    <t>RM002b</t>
  </si>
  <si>
    <t>Year :</t>
  </si>
  <si>
    <t>PART NAME / MODEL</t>
  </si>
  <si>
    <t>Customer</t>
  </si>
  <si>
    <t>Unit Price (*1)</t>
  </si>
  <si>
    <t>Anneal</t>
  </si>
  <si>
    <r>
      <t>〔</t>
    </r>
    <r>
      <rPr>
        <sz val="11"/>
        <color indexed="8"/>
        <rFont val="Arial"/>
        <family val="2"/>
      </rPr>
      <t>A. Cost</t>
    </r>
    <r>
      <rPr>
        <sz val="11"/>
        <color indexed="8"/>
        <rFont val="ＭＳ Ｐゴシック"/>
        <family val="3"/>
        <charset val="128"/>
      </rPr>
      <t>〕</t>
    </r>
  </si>
  <si>
    <t>* MH/(hr) : Based on 1 operator / 3 Injection Machine</t>
  </si>
  <si>
    <t>@Jpn</t>
  </si>
  <si>
    <t>Price</t>
  </si>
  <si>
    <t>In house</t>
  </si>
  <si>
    <t>Overall</t>
  </si>
  <si>
    <t>Local</t>
  </si>
  <si>
    <t>Japan</t>
  </si>
  <si>
    <t>check</t>
  </si>
  <si>
    <t>Injection</t>
  </si>
  <si>
    <t>FFC Assy</t>
  </si>
  <si>
    <t>(a.)</t>
  </si>
  <si>
    <t>Pigtail</t>
  </si>
  <si>
    <t>SRC Assy</t>
  </si>
  <si>
    <t>Material</t>
  </si>
  <si>
    <t>(g.)</t>
  </si>
  <si>
    <t>(b.)</t>
  </si>
  <si>
    <t>　</t>
  </si>
  <si>
    <t>(h.)</t>
  </si>
  <si>
    <t>Out side</t>
  </si>
  <si>
    <t>m</t>
  </si>
  <si>
    <t>(i.)</t>
  </si>
  <si>
    <t>(a.)+(b.)+(g.) = A</t>
  </si>
  <si>
    <t>(c.)+(d.)+(h.) = B</t>
  </si>
  <si>
    <t>(d.)</t>
  </si>
  <si>
    <t>(e.)</t>
  </si>
  <si>
    <t>g</t>
  </si>
  <si>
    <t>Carbon ribbon</t>
  </si>
  <si>
    <t>(f.)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</si>
  <si>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</si>
  <si>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t>pc</t>
  </si>
  <si>
    <t>FAS</t>
  </si>
  <si>
    <t>Part Number</t>
  </si>
  <si>
    <t>JPN</t>
  </si>
  <si>
    <t>RM023a</t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</si>
  <si>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</si>
  <si>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</si>
  <si>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</si>
  <si>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RM905c</t>
  </si>
  <si>
    <t>JIMC</t>
  </si>
  <si>
    <t>RM941</t>
  </si>
  <si>
    <t>RM940</t>
  </si>
  <si>
    <t>RM302b</t>
  </si>
  <si>
    <t>RM927</t>
  </si>
  <si>
    <t>Smartpack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</si>
  <si>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</si>
  <si>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</si>
  <si>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</si>
  <si>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</si>
  <si>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</si>
  <si>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</si>
  <si>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FEAP FFC ASSY</t>
  </si>
  <si>
    <t>FEAP FFC ASSY Direct Cost   (1)</t>
  </si>
  <si>
    <t>(A x loss</t>
  </si>
  <si>
    <t>）</t>
  </si>
  <si>
    <t>FEAP Pigtail ASSY</t>
  </si>
  <si>
    <t>FEAP FFC ASSY Direct Cost   (2)</t>
  </si>
  <si>
    <t xml:space="preserve">FEAP SRC ASSY </t>
  </si>
  <si>
    <t>FEAP SRC ASSY Direct Cost   (3)</t>
  </si>
  <si>
    <t>(C x loss</t>
  </si>
  <si>
    <t>FEAP Direct Cost   (1)+(2)+(3)=(4)</t>
  </si>
  <si>
    <t>FFC1 FFC welding</t>
  </si>
  <si>
    <t>FFC2 FFC welding</t>
  </si>
  <si>
    <r>
      <t>【</t>
    </r>
    <r>
      <rPr>
        <sz val="11"/>
        <color indexed="8"/>
        <rFont val="Arial"/>
        <family val="2"/>
      </rPr>
      <t>Total</t>
    </r>
    <r>
      <rPr>
        <sz val="11"/>
        <color indexed="8"/>
        <rFont val="ＭＳ Ｐゴシック"/>
        <family val="3"/>
        <charset val="128"/>
      </rPr>
      <t>】</t>
    </r>
  </si>
  <si>
    <t>-</t>
    <phoneticPr fontId="36"/>
  </si>
  <si>
    <t>Selling Price  to FAS</t>
    <phoneticPr fontId="36"/>
  </si>
  <si>
    <t xml:space="preserve">(Q'ty : </t>
    <phoneticPr fontId="14"/>
  </si>
  <si>
    <t>$ -&gt; Yen</t>
    <phoneticPr fontId="14"/>
  </si>
  <si>
    <t>Yen -&gt; $</t>
    <phoneticPr fontId="14"/>
  </si>
  <si>
    <t>YM tec</t>
    <phoneticPr fontId="36"/>
  </si>
  <si>
    <t>MH(/hr)*</t>
    <phoneticPr fontId="36"/>
  </si>
  <si>
    <t>Part Name</t>
    <phoneticPr fontId="36"/>
  </si>
  <si>
    <t>※青文字部：入力セル</t>
    <rPh sb="1" eb="2">
      <t>アオ</t>
    </rPh>
    <rPh sb="2" eb="4">
      <t>モジ</t>
    </rPh>
    <rPh sb="4" eb="5">
      <t>ブ</t>
    </rPh>
    <rPh sb="6" eb="8">
      <t>ニュウリョク</t>
    </rPh>
    <phoneticPr fontId="36"/>
  </si>
  <si>
    <t>(*1)  Unit Price of Resin : including material recycling</t>
    <phoneticPr fontId="36"/>
  </si>
  <si>
    <t>MH</t>
    <phoneticPr fontId="36"/>
  </si>
  <si>
    <t>MT</t>
    <phoneticPr fontId="36"/>
  </si>
  <si>
    <t>Unit: JPY</t>
    <phoneticPr fontId="36"/>
  </si>
  <si>
    <t>Injection Molding Process</t>
    <phoneticPr fontId="36"/>
  </si>
  <si>
    <t>Annealing Process</t>
    <phoneticPr fontId="36"/>
  </si>
  <si>
    <t>SRC Assembly Process</t>
    <phoneticPr fontId="36"/>
  </si>
  <si>
    <t>Pigtail Assembly Process</t>
    <phoneticPr fontId="36"/>
  </si>
  <si>
    <t>pcs</t>
    <phoneticPr fontId="36"/>
  </si>
  <si>
    <t>roll</t>
    <phoneticPr fontId="36"/>
  </si>
  <si>
    <t>F30-03</t>
    <phoneticPr fontId="36"/>
  </si>
  <si>
    <t>POM</t>
    <phoneticPr fontId="36"/>
  </si>
  <si>
    <t>FX-11J</t>
    <phoneticPr fontId="36"/>
  </si>
  <si>
    <t>PBT</t>
    <phoneticPr fontId="36"/>
  </si>
  <si>
    <t>B4520 Q120</t>
    <phoneticPr fontId="36"/>
  </si>
  <si>
    <t>PPE+PA</t>
    <phoneticPr fontId="36"/>
  </si>
  <si>
    <t>C82HL</t>
    <phoneticPr fontId="36"/>
  </si>
  <si>
    <t>Processing Cost for Recycling (JPY/kg)   (j)</t>
    <phoneticPr fontId="36"/>
  </si>
  <si>
    <t>Mixing Ratio   (m)</t>
    <phoneticPr fontId="36"/>
  </si>
  <si>
    <t>Out side</t>
    <phoneticPr fontId="36"/>
  </si>
  <si>
    <t>pc</t>
    <phoneticPr fontId="36"/>
  </si>
  <si>
    <t>　 黒文字部：入力不要</t>
    <rPh sb="2" eb="3">
      <t>クロ</t>
    </rPh>
    <rPh sb="3" eb="5">
      <t>モジ</t>
    </rPh>
    <rPh sb="5" eb="6">
      <t>ブ</t>
    </rPh>
    <rPh sb="7" eb="9">
      <t>ニュウリョク</t>
    </rPh>
    <rPh sb="9" eb="11">
      <t>フヨウ</t>
    </rPh>
    <phoneticPr fontId="36"/>
  </si>
  <si>
    <t>F30-73R1</t>
    <phoneticPr fontId="36"/>
  </si>
  <si>
    <t>MH</t>
  </si>
  <si>
    <t>MT</t>
  </si>
  <si>
    <t>FAS</t>
    <phoneticPr fontId="36"/>
  </si>
  <si>
    <t>m</t>
    <phoneticPr fontId="36"/>
  </si>
  <si>
    <r>
      <t>(</t>
    </r>
    <r>
      <rPr>
        <sz val="11"/>
        <rFont val="Arial"/>
        <family val="2"/>
      </rPr>
      <t>Material for SRC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</si>
  <si>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Pigtail Harness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</si>
  <si>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FFC Assembly)</t>
    </r>
    <phoneticPr fontId="36"/>
  </si>
  <si>
    <r>
      <t>(</t>
    </r>
    <r>
      <rPr>
        <sz val="11"/>
        <rFont val="Arial"/>
        <family val="2"/>
      </rPr>
      <t>Stamping Process)</t>
    </r>
    <phoneticPr fontId="36"/>
  </si>
  <si>
    <t>(Injection Molding Process)</t>
    <phoneticPr fontId="36"/>
  </si>
  <si>
    <t>Process Name</t>
    <phoneticPr fontId="36"/>
  </si>
  <si>
    <t>AESSX 0.3f (White)</t>
    <phoneticPr fontId="36"/>
  </si>
  <si>
    <t>AESSX 0.3f (Green)</t>
    <phoneticPr fontId="36"/>
  </si>
  <si>
    <t>AESSX 0.3f (Brown)</t>
    <phoneticPr fontId="36"/>
  </si>
  <si>
    <t>AESSX 0.3f (Gray)</t>
    <phoneticPr fontId="36"/>
  </si>
  <si>
    <t>Recycled PBT, B4520 Q120</t>
  </si>
  <si>
    <t>FFC1 Cutting</t>
    <phoneticPr fontId="36"/>
  </si>
  <si>
    <t>FFC2 Cutting</t>
    <phoneticPr fontId="36"/>
  </si>
  <si>
    <t>FFC Assembly Process</t>
    <phoneticPr fontId="36"/>
  </si>
  <si>
    <t>pcs./Month)</t>
    <phoneticPr fontId="14"/>
  </si>
  <si>
    <t>(*2)  Unit price of MT / MH</t>
    <phoneticPr fontId="36"/>
  </si>
  <si>
    <t>FFC1 Pigtail welding</t>
    <phoneticPr fontId="36"/>
  </si>
  <si>
    <t>FFC2 Pigtail welding</t>
    <phoneticPr fontId="36"/>
  </si>
  <si>
    <t>Tesa Tape Wrapping</t>
    <phoneticPr fontId="36"/>
  </si>
  <si>
    <t>Tesa tape No.51036</t>
    <phoneticPr fontId="36"/>
  </si>
  <si>
    <t>T11-SRC Short Circuit Spring Au</t>
    <phoneticPr fontId="36"/>
  </si>
  <si>
    <t>Insulok T30R-HSW</t>
    <phoneticPr fontId="36"/>
  </si>
  <si>
    <t>Unit</t>
    <phoneticPr fontId="36"/>
  </si>
  <si>
    <t>Local Supplier</t>
    <phoneticPr fontId="36"/>
  </si>
  <si>
    <t>Recycled Material Cost (JPY/kg)   (j)*(m)+(k)*(1-(m))</t>
    <phoneticPr fontId="36"/>
  </si>
  <si>
    <t>Virgin Material Cost (JPY/kg)   (k)</t>
    <phoneticPr fontId="36"/>
  </si>
  <si>
    <t>SQS-F02-1 (JST Ferrite Coil)</t>
    <phoneticPr fontId="36"/>
  </si>
  <si>
    <t>TMR-034 1st Molding C1</t>
    <phoneticPr fontId="36"/>
  </si>
  <si>
    <t>TMR-034 1st Molding C2</t>
    <phoneticPr fontId="36"/>
  </si>
  <si>
    <t>TMR-032 1st Molding Key</t>
    <phoneticPr fontId="36"/>
  </si>
  <si>
    <t>Grease Multemp SC-EF</t>
    <phoneticPr fontId="36"/>
  </si>
  <si>
    <t>Barcode Label L6 W45 Paper (Small Type)</t>
    <phoneticPr fontId="36"/>
  </si>
  <si>
    <t>Insulok T18R-HS</t>
    <phoneticPr fontId="36"/>
  </si>
  <si>
    <t>-</t>
  </si>
  <si>
    <t>actual condition</t>
  </si>
  <si>
    <t>MOQ280k</t>
  </si>
  <si>
    <t>FAS quotaiton</t>
  </si>
  <si>
    <t>forex adjusted value</t>
  </si>
  <si>
    <t>FSKP</t>
  </si>
  <si>
    <t>GTX918WR</t>
    <phoneticPr fontId="36"/>
  </si>
  <si>
    <t>POM, FX-11J</t>
    <phoneticPr fontId="36"/>
  </si>
  <si>
    <t>TMR-051 1st Molding S1</t>
    <phoneticPr fontId="36"/>
  </si>
  <si>
    <t>TMR-051 1st Molding S2</t>
    <phoneticPr fontId="36"/>
  </si>
  <si>
    <t>Clamp (84248-47040)</t>
    <phoneticPr fontId="36"/>
  </si>
  <si>
    <t>JST SPS-21T-205 (JST Terminal)</t>
    <phoneticPr fontId="36"/>
  </si>
  <si>
    <t>Pigtail Assembly</t>
    <phoneticPr fontId="36"/>
  </si>
  <si>
    <t>TMR-051 Sleeve</t>
    <phoneticPr fontId="36"/>
  </si>
  <si>
    <t>TMR-051 Mold Holder 1</t>
    <phoneticPr fontId="36"/>
  </si>
  <si>
    <t>TMR-034 Stator Housing 1</t>
    <phoneticPr fontId="36"/>
  </si>
  <si>
    <t>TMR-051 Interlock Plate</t>
    <phoneticPr fontId="36"/>
  </si>
  <si>
    <t>Recycled PBT, B4520 Q120</t>
    <phoneticPr fontId="36"/>
  </si>
  <si>
    <t>PPE+PA, C82HL</t>
    <phoneticPr fontId="36"/>
  </si>
  <si>
    <t>TMR-051 FFC1 (FFC136 L754.5)</t>
    <phoneticPr fontId="36"/>
  </si>
  <si>
    <t>TMR-051 FFC2 (FFC136 L878.5)</t>
    <phoneticPr fontId="36"/>
  </si>
  <si>
    <t>FEAP, NC6002</t>
    <phoneticPr fontId="36"/>
  </si>
  <si>
    <t>SQSKR-02H-1B-LM (JST Housing)</t>
    <phoneticPr fontId="36"/>
  </si>
  <si>
    <t>SQSKR-02H-1A-K (JST Housing)</t>
    <phoneticPr fontId="36"/>
  </si>
  <si>
    <t>SQSKL-02H-2A-Y (JST Cover Housing)</t>
    <phoneticPr fontId="36"/>
  </si>
  <si>
    <t>SSQSK-A03GJ-P-L (JST Terminal)</t>
    <phoneticPr fontId="36"/>
  </si>
  <si>
    <t>SSQSK-A03GJ-P-R (JST Terminal)</t>
    <phoneticPr fontId="36"/>
  </si>
  <si>
    <t>SQSKC-02H-1A-D (JST CPA)</t>
    <phoneticPr fontId="36"/>
  </si>
  <si>
    <t>AESSX 0.5f (Violet)</t>
    <phoneticPr fontId="36"/>
  </si>
  <si>
    <t>TMR-051 Interlock Spring</t>
    <phoneticPr fontId="36"/>
  </si>
  <si>
    <t>Clip (90467-05172)</t>
    <phoneticPr fontId="36"/>
  </si>
  <si>
    <r>
      <t>(*3)  FAS</t>
    </r>
    <r>
      <rPr>
        <sz val="11"/>
        <rFont val="ＭＳ Ｐゴシック"/>
        <family val="3"/>
        <charset val="128"/>
      </rPr>
      <t>管理費・輸送費</t>
    </r>
    <rPh sb="9" eb="12">
      <t>カンリヒ</t>
    </rPh>
    <rPh sb="13" eb="15">
      <t>ユソウ</t>
    </rPh>
    <rPh sb="15" eb="16">
      <t>ヒ</t>
    </rPh>
    <phoneticPr fontId="36"/>
  </si>
  <si>
    <t>%</t>
    <phoneticPr fontId="36"/>
  </si>
  <si>
    <t>TMR-050 Rotator</t>
    <phoneticPr fontId="36"/>
  </si>
  <si>
    <t>TMR-050 Stator</t>
    <phoneticPr fontId="36"/>
  </si>
  <si>
    <t>TMR-050 Substator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</si>
  <si>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22ch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</si>
  <si>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Out side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</si>
  <si>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18ch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</si>
  <si>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pc</t>
    <phoneticPr fontId="36"/>
  </si>
  <si>
    <t>TMR-051 Dummy Cable 2pcs</t>
    <phoneticPr fontId="36"/>
  </si>
  <si>
    <t>Dummy Cable Assy</t>
    <phoneticPr fontId="36"/>
  </si>
  <si>
    <t>PET Film Cutting</t>
    <phoneticPr fontId="36"/>
  </si>
  <si>
    <t>TMR-041 1st Molding C1</t>
    <phoneticPr fontId="36"/>
  </si>
  <si>
    <r>
      <t>2015/8/6</t>
    </r>
    <r>
      <rPr>
        <sz val="11"/>
        <color indexed="12"/>
        <rFont val="ＭＳ Ｐゴシック"/>
        <family val="3"/>
        <charset val="128"/>
      </rPr>
      <t>作成</t>
    </r>
    <rPh sb="8" eb="10">
      <t>サクセイ</t>
    </rPh>
    <phoneticPr fontId="36"/>
  </si>
  <si>
    <t>TMR-050 SRC 16ch for Other Country</t>
    <phoneticPr fontId="36"/>
  </si>
  <si>
    <t>TMR-050 SRC 18ch For Japan</t>
    <phoneticPr fontId="36"/>
  </si>
  <si>
    <t>TMR-050 SRC 18ch for Other Country</t>
    <phoneticPr fontId="36"/>
  </si>
  <si>
    <t>TMR-034 Neutral Window</t>
    <phoneticPr fontId="36"/>
  </si>
  <si>
    <t>WP2562</t>
  </si>
  <si>
    <t>WP2563</t>
  </si>
  <si>
    <t>WP2564</t>
  </si>
  <si>
    <t>WP2463</t>
  </si>
  <si>
    <t>WP2288</t>
  </si>
  <si>
    <t>WP2287</t>
  </si>
  <si>
    <t>WP1422</t>
  </si>
  <si>
    <t>WP2468</t>
  </si>
  <si>
    <t>WP2469</t>
  </si>
  <si>
    <t>WP2829</t>
  </si>
  <si>
    <t>WP2830</t>
  </si>
  <si>
    <t>RM905</t>
  </si>
  <si>
    <t>RM1363</t>
  </si>
  <si>
    <t>RM1584</t>
  </si>
  <si>
    <t>RM1577</t>
  </si>
  <si>
    <t>RM1361</t>
  </si>
  <si>
    <t>RM1362</t>
  </si>
  <si>
    <t>RM1359</t>
  </si>
  <si>
    <t>RM1360</t>
  </si>
  <si>
    <t>RM1714</t>
  </si>
  <si>
    <t>RM1500</t>
  </si>
  <si>
    <t>RM1499</t>
  </si>
  <si>
    <t>RM1498</t>
  </si>
  <si>
    <t>RM1501</t>
  </si>
  <si>
    <t>RM302</t>
  </si>
  <si>
    <t>RM1504</t>
  </si>
  <si>
    <t>RM1433</t>
  </si>
  <si>
    <t>RM1336</t>
  </si>
  <si>
    <t>RM931</t>
  </si>
  <si>
    <t>RM1638</t>
  </si>
  <si>
    <t>RM1365</t>
  </si>
  <si>
    <t>RM1366</t>
  </si>
  <si>
    <t>RM1580</t>
  </si>
  <si>
    <t>RM1581</t>
  </si>
  <si>
    <t>RM002</t>
  </si>
  <si>
    <t>RM1303</t>
  </si>
  <si>
    <t>MSM</t>
    <phoneticPr fontId="36"/>
  </si>
  <si>
    <t>Clamp (84248-11010)</t>
    <phoneticPr fontId="36"/>
  </si>
  <si>
    <t>PHP-&gt;JPY</t>
    <phoneticPr fontId="36"/>
  </si>
  <si>
    <t>EPMI</t>
    <phoneticPr fontId="36"/>
  </si>
  <si>
    <t>Nitto Denko</t>
  </si>
  <si>
    <t>Nitto Denko</t>
    <phoneticPr fontId="36"/>
  </si>
  <si>
    <t>YM Tech</t>
  </si>
  <si>
    <t>YM Tech</t>
    <phoneticPr fontId="36"/>
  </si>
  <si>
    <t>TMR-051 FFC1 (FFC136 L754.5) w/ NC6002</t>
    <phoneticPr fontId="36"/>
  </si>
  <si>
    <t>TMR-051 FFC2 (FFC136 L878.5) w/ NC6002</t>
    <phoneticPr fontId="36"/>
  </si>
  <si>
    <t>FEAP</t>
    <phoneticPr fontId="36"/>
  </si>
  <si>
    <t>TMR-051 FFC1 (FFC136 L754.5), NC6002</t>
    <phoneticPr fontId="36"/>
  </si>
  <si>
    <t>TMR-051 FFC2 (FFC136 L878.5), NC6002</t>
    <phoneticPr fontId="36"/>
  </si>
  <si>
    <t>FAS</t>
    <phoneticPr fontId="36"/>
  </si>
  <si>
    <t>FAS</t>
    <phoneticPr fontId="36"/>
  </si>
  <si>
    <t>LOCAL</t>
    <phoneticPr fontId="36"/>
  </si>
  <si>
    <t>FEAP</t>
    <phoneticPr fontId="36"/>
  </si>
  <si>
    <t>TOTAL</t>
    <phoneticPr fontId="36"/>
  </si>
  <si>
    <t>PROCESS</t>
    <phoneticPr fontId="36"/>
  </si>
  <si>
    <t>IM</t>
    <phoneticPr fontId="36"/>
  </si>
  <si>
    <t>SRC</t>
    <phoneticPr fontId="36"/>
  </si>
  <si>
    <t>WHOLE</t>
    <phoneticPr fontId="36"/>
  </si>
  <si>
    <t>Except for FAS</t>
    <phoneticPr fontId="36"/>
  </si>
  <si>
    <t>for FAS</t>
    <phoneticPr fontId="36"/>
  </si>
  <si>
    <t>NON-Charge for OH</t>
    <phoneticPr fontId="36"/>
  </si>
  <si>
    <t>Except FAS Japan</t>
    <phoneticPr fontId="36"/>
  </si>
  <si>
    <t>TMR-050 SRC 16ch</t>
    <phoneticPr fontId="36"/>
  </si>
  <si>
    <t>$ or Php</t>
    <phoneticPr fontId="36"/>
  </si>
  <si>
    <t>Supplier</t>
    <phoneticPr fontId="36"/>
  </si>
  <si>
    <t>Updated 2019/5/31</t>
    <phoneticPr fontId="36"/>
  </si>
  <si>
    <t>FFC136 L754.5</t>
  </si>
  <si>
    <t>WP2468a</t>
  </si>
  <si>
    <t>WP2469a</t>
  </si>
  <si>
    <t>TMR-041 1ST MOLDING C1</t>
  </si>
  <si>
    <t>RM1254</t>
  </si>
  <si>
    <t>TMR-034 1ST MOLDING C2</t>
  </si>
  <si>
    <t>WP2829b</t>
  </si>
  <si>
    <t>SQSF02-1A (JST Ferrite Coil)</t>
    <phoneticPr fontId="36"/>
  </si>
  <si>
    <t>RM1715</t>
  </si>
  <si>
    <t>AESSX 0.3f (W) Lead Wire</t>
  </si>
  <si>
    <t>AESSX 0.3f (G) Lead Wire</t>
  </si>
  <si>
    <t>RM1693</t>
  </si>
  <si>
    <t>RM1692</t>
  </si>
  <si>
    <t>PET FILM (T0.125 W14.7)</t>
  </si>
  <si>
    <t>PET CLOSE TAPE NO 51036</t>
  </si>
  <si>
    <t>roll</t>
    <phoneticPr fontId="36"/>
  </si>
  <si>
    <t>TMR-051 SPRING 2</t>
  </si>
  <si>
    <t>RM1724</t>
  </si>
  <si>
    <t>MSM</t>
  </si>
  <si>
    <t>m</t>
    <phoneticPr fontId="36"/>
  </si>
  <si>
    <t>PET CLOSE TAPE NO 51036</t>
    <phoneticPr fontId="36"/>
  </si>
  <si>
    <t>PET CLOSE TAPE NO 51036 (Tesa tape)</t>
    <phoneticPr fontId="36"/>
  </si>
  <si>
    <t>Php -&gt; Yen</t>
    <phoneticPr fontId="36"/>
  </si>
  <si>
    <t>$ or Php</t>
  </si>
  <si>
    <t>Pigtail Assembly</t>
  </si>
  <si>
    <t>Pigtail Taping</t>
  </si>
  <si>
    <t>Subleader</t>
  </si>
  <si>
    <r>
      <t>（</t>
    </r>
    <r>
      <rPr>
        <sz val="11"/>
        <rFont val="Arial"/>
        <family val="2"/>
      </rPr>
      <t>Processing fee for Off-line FFC Assembly Process</t>
    </r>
    <r>
      <rPr>
        <sz val="11"/>
        <rFont val="ＭＳ Ｐゴシック"/>
        <family val="3"/>
        <charset val="128"/>
      </rPr>
      <t>）</t>
    </r>
    <phoneticPr fontId="36"/>
  </si>
  <si>
    <r>
      <t>（</t>
    </r>
    <r>
      <rPr>
        <sz val="11"/>
        <rFont val="Arial"/>
        <family val="2"/>
      </rPr>
      <t xml:space="preserve">Processing fee for Crimping Process and Off-line Pigtail Assembly Process </t>
    </r>
    <r>
      <rPr>
        <sz val="11"/>
        <rFont val="ＭＳ Ｐゴシック"/>
        <family val="3"/>
        <charset val="128"/>
      </rPr>
      <t>）</t>
    </r>
    <phoneticPr fontId="36"/>
  </si>
  <si>
    <t>O.A.</t>
  </si>
  <si>
    <t>O.A.</t>
    <phoneticPr fontId="36"/>
  </si>
  <si>
    <t>Insulok T30R-HSW-PA66(B)</t>
    <phoneticPr fontId="36"/>
  </si>
  <si>
    <t>Insulok T18R-HS-PA66(LG)</t>
    <phoneticPr fontId="36"/>
  </si>
  <si>
    <t>SQSKR-02H-7B-LM (Terminal)</t>
    <phoneticPr fontId="36"/>
  </si>
  <si>
    <t>pc</t>
    <phoneticPr fontId="36"/>
  </si>
  <si>
    <t>WP2562a</t>
  </si>
  <si>
    <t>WP3005</t>
  </si>
  <si>
    <t>Recycled PBT, B4520 Q120 (80/20)</t>
  </si>
  <si>
    <t>WP2564a</t>
  </si>
  <si>
    <t>WP2463a</t>
  </si>
  <si>
    <t>WP2866</t>
  </si>
  <si>
    <t>WP2880</t>
  </si>
  <si>
    <t>WP2873</t>
  </si>
  <si>
    <t>WP2830a</t>
  </si>
  <si>
    <t>WP2213a</t>
  </si>
  <si>
    <t>Part Number: FG573-JINHEc</t>
  </si>
  <si>
    <t>Customer: JINHE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</si>
</sst>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#,##0"/>
    <numFmt numFmtId="165" formatCode="_ * #,##0_ ;_ * \-#,##0_ ;_ * &quot;-&quot;_ ;_ @_ "/>
    <numFmt numFmtId="166" formatCode="_ * #,##0.00_ ;_ * \-#,##0.00_ ;_ * &quot;-&quot;??_ ;_ @_ "/>
    <numFmt numFmtId="167" formatCode="_-* #,##0_-;\-* #,##0_-;_-* &quot;-&quot;_-;_-@_-"/>
    <numFmt numFmtId="168" formatCode="_-* #,##0.00_-;\-* #,##0.00_-;_-* &quot;-&quot;??_-;_-@_-"/>
    <numFmt numFmtId="169" formatCode="#,##0.000;[Red]\-#,##0.000"/>
    <numFmt numFmtId="170" formatCode="0.0%"/>
    <numFmt numFmtId="171" formatCode="0.000_ "/>
    <numFmt numFmtId="172" formatCode="#,##0.00_ ;[Red]\-#,##0.00\ "/>
    <numFmt numFmtId="173" formatCode="#,##0;\-#,##0;&quot;-&quot;"/>
    <numFmt numFmtId="174" formatCode="0_ ;[Red]\-0\ "/>
    <numFmt numFmtId="175" formatCode="#,##0.0_);\(#,##0.0\)"/>
    <numFmt numFmtId="176" formatCode="_(* #,##0.0000_);_(* \(#,##0.0000\);_(* &quot;-&quot;??_);_(@_)"/>
    <numFmt numFmtId="177" formatCode="0.00000%"/>
    <numFmt numFmtId="178" formatCode="0%_);\(0%\)"/>
    <numFmt numFmtId="179" formatCode="&quot;DAT MS/CS - &quot;#,##0"/>
    <numFmt numFmtId="180" formatCode="&quot;DAT Peregrine 4GB - &quot;#,##0"/>
    <numFmt numFmtId="181" formatCode="&quot;DAT Scorpion 8GB - &quot;#,##0"/>
    <numFmt numFmtId="182" formatCode="0.000000000000000%"/>
    <numFmt numFmtId="183" formatCode="&quot;£&quot;#,##0;\-&quot;£&quot;#,##0"/>
    <numFmt numFmtId="184" formatCode="&quot;£&quot;#,##0;[Red]\-&quot;£&quot;#,##0"/>
    <numFmt numFmtId="185" formatCode="&quot;£&quot;#,##0.00;\-&quot;£&quot;#,##0.00"/>
    <numFmt numFmtId="186" formatCode="&quot;£&quot;#,##0.00;[Red]\-&quot;£&quot;#,##0.00"/>
    <numFmt numFmtId="187" formatCode="_-&quot;£&quot;* #,##0_-;\-&quot;£&quot;* #,##0_-;_-&quot;£&quot;* &quot;-&quot;_-;_-@_-"/>
    <numFmt numFmtId="188" formatCode="&quot;C$&quot;#,##0.00_);[Red]\(&quot;C$&quot;#,##0.00\)"/>
    <numFmt numFmtId="189" formatCode="_(&quot;C$&quot;* #,##0_);_(&quot;C$&quot;* \(#,##0\);_(&quot;C$&quot;* &quot;-&quot;_);_(@_)"/>
    <numFmt numFmtId="190" formatCode="_(&quot;C$&quot;* #,##0.00_);_(&quot;C$&quot;* \(#,##0.00\);_(&quot;C$&quot;* &quot;-&quot;??_);_(@_)"/>
    <numFmt numFmtId="191" formatCode="&quot;£ &quot;#,##0;[Red]\-&quot;£ &quot;#,##0"/>
    <numFmt numFmtId="192" formatCode="0.00_ "/>
    <numFmt numFmtId="193" formatCode="0.0000"/>
    <numFmt numFmtId="194" formatCode="#,##0.0000;[Red]\-#,##0.0000"/>
    <numFmt numFmtId="195" formatCode="\$#,##0.000;[Red]\-\$#,##0.000"/>
    <numFmt numFmtId="196" formatCode="\$#,##0.00000;[Red]\-\$#,##0.00000"/>
    <numFmt numFmtId="197" formatCode="[$-409]d\-mmm\-yy;@"/>
    <numFmt numFmtId="198" formatCode="&quot;$&quot;#,##0\ ;\(&quot;$&quot;#,##0\)"/>
    <numFmt numFmtId="199" formatCode="_([$€-2]* #,##0.00_);_([$€-2]* \(#,##0.00\);_([$€-2]* &quot;-&quot;??_)"/>
    <numFmt numFmtId="200" formatCode="_(&quot;Cr$&quot;* #,##0_);_(&quot;Cr$&quot;* \(#,##0\);_(&quot;Cr$&quot;* &quot;-&quot;_);_(@_)"/>
    <numFmt numFmtId="201" formatCode="_(&quot;Cr$&quot;* #,##0.00_);_(&quot;Cr$&quot;* \(#,##0.00\);_(&quot;Cr$&quot;* &quot;-&quot;??_);_(@_)"/>
    <numFmt numFmtId="202" formatCode="_(&quot;N$&quot;* #,##0_);_(&quot;N$&quot;* \(#,##0\);_(&quot;N$&quot;* &quot;-&quot;_);_(@_)"/>
    <numFmt numFmtId="203" formatCode="_(&quot;N$&quot;* #,##0.00_);_(&quot;N$&quot;* \(#,##0.00\);_(&quot;N$&quot;* &quot;-&quot;??_);_(@_)"/>
    <numFmt numFmtId="204" formatCode="_ * #,##0_)\ _R_$_ ;_ * \(#,##0\)\ _R_$_ ;_ * &quot;-&quot;_)\ _R_$_ ;_ @_ "/>
    <numFmt numFmtId="205" formatCode="_ * #,##0.00_)\ _R_$_ ;_ * \(#,##0.00\)\ _R_$_ ;_ * &quot;-&quot;??_)\ _R_$_ ;_ @_ "/>
    <numFmt numFmtId="206" formatCode="&quot;[&quot;0&quot;]&quot;"/>
    <numFmt numFmtId="207" formatCode="\(0\)"/>
    <numFmt numFmtId="208" formatCode="#,##0.000_);[Red]\(#,##0.000\)"/>
    <numFmt numFmtId="209" formatCode="#,##0.000;[Red]#,##0.000"/>
    <numFmt numFmtId="210" formatCode="0.00000"/>
    <numFmt numFmtId="211" formatCode="#,##0.00000_);[Red]\(#,##0.00000\)"/>
    <numFmt numFmtId="212" formatCode="\$#,##0.00000_);[Red]\(\$#,##0.00000\)"/>
    <numFmt numFmtId="213" formatCode="\$#,##0.00000;\-\$#,##0.00000"/>
    <numFmt numFmtId="214" formatCode="#,##0.00000;[Red]\-#,##0.00000"/>
    <numFmt numFmtId="215" formatCode="#,##0.00000"/>
    <numFmt numFmtId="216" formatCode="&quot;P&quot;\ #,##0.00"/>
  </numFmts>
  <fonts count="6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4"/>
      <name val="ＭＳ 明朝"/>
      <family val="1"/>
      <charset val="128"/>
    </font>
    <font>
      <sz val="11"/>
      <name val="Arial"/>
      <family val="2"/>
    </font>
    <font>
      <sz val="11"/>
      <color indexed="12"/>
      <name val="ＭＳ Ｐゴシック"/>
      <family val="3"/>
      <charset val="128"/>
    </font>
    <font>
      <sz val="11"/>
      <color indexed="12"/>
      <name val="Arial"/>
      <family val="2"/>
    </font>
    <font>
      <sz val="11"/>
      <color indexed="8"/>
      <name val="ＭＳ Ｐゴシック"/>
      <family val="3"/>
      <charset val="128"/>
    </font>
    <font>
      <u/>
      <sz val="11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  <font>
      <i/>
      <sz val="11"/>
      <color indexed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11"/>
      <color indexed="81"/>
      <name val="Arial"/>
      <family val="2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6"/>
      <name val="ＭＳ Ｐゴシック"/>
      <family val="3"/>
      <charset val="128"/>
    </font>
    <font>
      <strike/>
      <sz val="11"/>
      <name val="Arial"/>
      <family val="2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 MT"/>
      <family val="2"/>
    </font>
    <font>
      <sz val="11"/>
      <name val="돋움"/>
      <family val="2"/>
      <charset val="129"/>
    </font>
    <font>
      <sz val="11"/>
      <color indexed="8"/>
      <name val="Calibri"/>
      <family val="2"/>
    </font>
    <font>
      <b/>
      <sz val="24"/>
      <color indexed="10"/>
      <name val="Arial"/>
      <family val="2"/>
    </font>
    <font>
      <sz val="11"/>
      <name val="굴림체"/>
      <family val="3"/>
      <charset val="129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b/>
      <sz val="11"/>
      <name val="ＭＳ Ｐゴシック"/>
      <family val="3"/>
      <charset val="128"/>
    </font>
    <font>
      <sz val="14"/>
      <color indexed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rgb="FF0000FF"/>
      <name val="Arial"/>
      <family val="2"/>
    </font>
    <font>
      <b/>
      <i/>
      <sz val="14"/>
      <color rgb="FF0000FF"/>
      <name val="Arial"/>
      <family val="2"/>
    </font>
    <font>
      <b/>
      <sz val="11"/>
      <color rgb="FF0000FF"/>
      <name val="ＭＳ Ｐゴシック"/>
      <family val="3"/>
      <charset val="128"/>
    </font>
    <font>
      <sz val="14"/>
      <color rgb="FF0000FF"/>
      <name val="Arial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26">
    <xf numFmtId="0" fontId="0" fillId="0" borderId="0">
      <alignment vertical="center"/>
    </xf>
    <xf numFmtId="0" fontId="39" fillId="0" borderId="0" applyNumberFormat="0" applyBorder="0">
      <alignment vertical="center"/>
    </xf>
    <xf numFmtId="0" fontId="39" fillId="0" borderId="0" applyNumberFormat="0" applyBorder="0">
      <alignment vertical="center"/>
    </xf>
    <xf numFmtId="0" fontId="19" fillId="0" borderId="0">
      <alignment horizontal="center" wrapText="1"/>
      <protection locked="0"/>
    </xf>
    <xf numFmtId="0" fontId="40" fillId="0" borderId="0"/>
    <xf numFmtId="173" fontId="3" fillId="0" borderId="0" applyFill="0" applyBorder="0" applyAlignment="0"/>
    <xf numFmtId="175" fontId="20" fillId="0" borderId="0" applyFill="0" applyBorder="0" applyAlignment="0"/>
    <xf numFmtId="176" fontId="20" fillId="0" borderId="0" applyFill="0" applyBorder="0" applyAlignment="0"/>
    <xf numFmtId="183" fontId="5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184" fontId="5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197" fontId="41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2" fillId="0" borderId="0" applyFont="0" applyFill="0" applyBorder="0" applyAlignment="0" applyProtection="0"/>
    <xf numFmtId="44" fontId="20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2" fillId="0" borderId="0" applyFont="0" applyFill="0" applyBorder="0" applyAlignment="0" applyProtection="0"/>
    <xf numFmtId="40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1" fillId="0" borderId="0" applyNumberFormat="0" applyAlignment="0">
      <alignment horizontal="left"/>
    </xf>
    <xf numFmtId="0" fontId="22" fillId="0" borderId="0" applyNumberFormat="0" applyAlignment="0"/>
    <xf numFmtId="0" fontId="43" fillId="2" borderId="1">
      <alignment horizontal="centerContinuous"/>
    </xf>
    <xf numFmtId="164" fontId="2" fillId="0" borderId="0" applyFont="0" applyFill="0" applyBorder="0" applyAlignment="0" applyProtection="0">
      <alignment vertical="center"/>
    </xf>
    <xf numFmtId="175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2" fillId="0" borderId="0" applyFont="0" applyFill="0" applyBorder="0" applyAlignment="0" applyProtection="0"/>
    <xf numFmtId="198" fontId="5" fillId="0" borderId="0" applyFont="0" applyFill="0" applyBorder="0" applyAlignment="0" applyProtection="0"/>
    <xf numFmtId="0" fontId="44" fillId="0" borderId="0"/>
    <xf numFmtId="0" fontId="5" fillId="0" borderId="0" applyFont="0" applyFill="0" applyBorder="0" applyAlignment="0" applyProtection="0"/>
    <xf numFmtId="14" fontId="3" fillId="0" borderId="0" applyFill="0" applyBorder="0" applyAlignment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0" fontId="23" fillId="0" borderId="0" applyNumberFormat="0" applyAlignment="0">
      <alignment horizontal="left"/>
    </xf>
    <xf numFmtId="199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24" fillId="2" borderId="0" applyNumberFormat="0" applyBorder="0" applyAlignment="0" applyProtection="0"/>
    <xf numFmtId="0" fontId="45" fillId="0" borderId="0">
      <alignment vertical="center"/>
    </xf>
    <xf numFmtId="0" fontId="4" fillId="0" borderId="2" applyNumberFormat="0" applyAlignment="0" applyProtection="0">
      <alignment horizontal="left" vertical="center"/>
    </xf>
    <xf numFmtId="0" fontId="4" fillId="0" borderId="3">
      <alignment horizontal="left" vertical="center"/>
    </xf>
    <xf numFmtId="14" fontId="25" fillId="3" borderId="4">
      <alignment horizontal="center" vertical="center" wrapText="1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0" fontId="24" fillId="4" borderId="5" applyNumberFormat="0" applyBorder="0" applyAlignment="0" applyProtection="0"/>
    <xf numFmtId="175" fontId="26" fillId="5" borderId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75" fontId="27" fillId="6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0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5" fillId="0" borderId="0" applyFont="0" applyFill="0" applyBorder="0" applyAlignment="0" applyProtection="0"/>
    <xf numFmtId="37" fontId="48" fillId="0" borderId="0"/>
    <xf numFmtId="179" fontId="5" fillId="0" borderId="0"/>
    <xf numFmtId="179" fontId="5" fillId="0" borderId="0"/>
    <xf numFmtId="0" fontId="2" fillId="0" borderId="0"/>
    <xf numFmtId="0" fontId="41" fillId="0" borderId="0"/>
    <xf numFmtId="0" fontId="5" fillId="0" borderId="0"/>
    <xf numFmtId="0" fontId="5" fillId="0" borderId="0"/>
    <xf numFmtId="0" fontId="42" fillId="0" borderId="0"/>
    <xf numFmtId="0" fontId="58" fillId="0" borderId="0"/>
    <xf numFmtId="0" fontId="58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9" fillId="0" borderId="0"/>
    <xf numFmtId="0" fontId="49" fillId="0" borderId="0"/>
    <xf numFmtId="14" fontId="19" fillId="0" borderId="0">
      <alignment horizontal="center" wrapText="1"/>
      <protection locked="0"/>
    </xf>
    <xf numFmtId="9" fontId="2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2" fillId="0" borderId="0" applyFont="0" applyFill="0" applyBorder="0" applyAlignment="0" applyProtection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80" fontId="5" fillId="0" borderId="0"/>
    <xf numFmtId="180" fontId="5" fillId="0" borderId="0"/>
    <xf numFmtId="0" fontId="29" fillId="0" borderId="0" applyNumberFormat="0" applyFon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40" fontId="30" fillId="0" borderId="0" applyBorder="0">
      <alignment horizontal="right"/>
    </xf>
    <xf numFmtId="49" fontId="3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87" fontId="5" fillId="0" borderId="0" applyFill="0" applyBorder="0" applyAlignment="0"/>
    <xf numFmtId="187" fontId="5" fillId="0" borderId="0" applyFill="0" applyBorder="0" applyAlignment="0"/>
    <xf numFmtId="0" fontId="31" fillId="0" borderId="0" applyFill="0" applyBorder="0" applyProtection="0">
      <alignment horizontal="left" vertical="top"/>
    </xf>
    <xf numFmtId="181" fontId="5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horizontal="center"/>
    </xf>
    <xf numFmtId="206" fontId="50" fillId="0" borderId="0">
      <alignment horizontal="center" vertical="center"/>
    </xf>
    <xf numFmtId="207" fontId="50" fillId="0" borderId="0">
      <alignment horizontal="center" vertical="center"/>
    </xf>
    <xf numFmtId="0" fontId="45" fillId="0" borderId="0">
      <alignment horizontal="left"/>
    </xf>
    <xf numFmtId="0" fontId="2" fillId="0" borderId="0"/>
    <xf numFmtId="0" fontId="5" fillId="0" borderId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8" fillId="0" borderId="0"/>
    <xf numFmtId="40" fontId="51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2" fillId="0" borderId="0"/>
    <xf numFmtId="1" fontId="39" fillId="0" borderId="0" applyFill="0">
      <alignment vertical="center"/>
    </xf>
    <xf numFmtId="0" fontId="53" fillId="0" borderId="0">
      <alignment vertical="center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2" fillId="0" borderId="0"/>
    <xf numFmtId="0" fontId="2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49" fontId="54" fillId="0" borderId="0" applyNumberFormat="0" applyFill="0" applyAlignment="0">
      <alignment vertical="center"/>
    </xf>
    <xf numFmtId="0" fontId="7" fillId="0" borderId="0"/>
    <xf numFmtId="0" fontId="55" fillId="0" borderId="0"/>
    <xf numFmtId="38" fontId="2" fillId="0" borderId="0" applyFont="0" applyFill="0" applyBorder="0" applyAlignment="0" applyProtection="0"/>
    <xf numFmtId="167" fontId="4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4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1036">
    <xf numFmtId="0" fontId="0" fillId="0" borderId="0" xfId="0">
      <alignment vertical="center"/>
    </xf>
    <xf numFmtId="40" fontId="10" fillId="0" borderId="6" xfId="16" applyNumberFormat="1" applyFont="1" applyFill="1" applyBorder="1" applyAlignment="1"/>
    <xf numFmtId="40" fontId="10" fillId="0" borderId="6" xfId="16" applyNumberFormat="1" applyFont="1" applyBorder="1" applyAlignment="1"/>
    <xf numFmtId="40" fontId="10" fillId="0" borderId="7" xfId="16" applyNumberFormat="1" applyFont="1" applyFill="1" applyBorder="1" applyAlignment="1"/>
    <xf numFmtId="40" fontId="10" fillId="0" borderId="9" xfId="16" applyNumberFormat="1" applyFont="1" applyFill="1" applyBorder="1" applyAlignment="1"/>
    <xf numFmtId="40" fontId="8" fillId="0" borderId="0" xfId="16" applyNumberFormat="1" applyFont="1" applyAlignment="1"/>
    <xf numFmtId="40" fontId="8" fillId="0" borderId="0" xfId="16" applyNumberFormat="1" applyFont="1" applyAlignment="1">
      <alignment horizontal="right"/>
    </xf>
    <xf numFmtId="40" fontId="8" fillId="7" borderId="10" xfId="16" applyNumberFormat="1" applyFont="1" applyFill="1" applyBorder="1" applyAlignment="1">
      <alignment horizontal="centerContinuous"/>
    </xf>
    <xf numFmtId="40" fontId="8" fillId="7" borderId="11" xfId="16" applyNumberFormat="1" applyFont="1" applyFill="1" applyBorder="1" applyAlignment="1">
      <alignment horizontal="centerContinuous"/>
    </xf>
    <xf numFmtId="40" fontId="8" fillId="7" borderId="12" xfId="16" applyNumberFormat="1" applyFont="1" applyFill="1" applyBorder="1" applyAlignment="1">
      <alignment horizontal="center"/>
    </xf>
    <xf numFmtId="40" fontId="8" fillId="7" borderId="13" xfId="16" applyNumberFormat="1" applyFont="1" applyFill="1" applyBorder="1" applyAlignment="1">
      <alignment horizontal="center"/>
    </xf>
    <xf numFmtId="40" fontId="8" fillId="0" borderId="3" xfId="16" applyNumberFormat="1" applyFont="1" applyBorder="1" applyAlignment="1"/>
    <xf numFmtId="40" fontId="8" fillId="0" borderId="3" xfId="16" applyNumberFormat="1" applyFont="1" applyBorder="1" applyAlignment="1">
      <alignment horizontal="center"/>
    </xf>
    <xf numFmtId="40" fontId="8" fillId="0" borderId="14" xfId="16" applyNumberFormat="1" applyFont="1" applyBorder="1" applyAlignment="1"/>
    <xf numFmtId="40" fontId="8" fillId="0" borderId="16" xfId="16" applyNumberFormat="1" applyFont="1" applyBorder="1" applyAlignment="1"/>
    <xf numFmtId="40" fontId="13" fillId="0" borderId="3" xfId="16" applyNumberFormat="1" applyFont="1" applyBorder="1" applyAlignment="1"/>
    <xf numFmtId="40" fontId="8" fillId="0" borderId="17" xfId="16" applyNumberFormat="1" applyFont="1" applyBorder="1" applyAlignment="1"/>
    <xf numFmtId="40" fontId="8" fillId="0" borderId="18" xfId="16" applyNumberFormat="1" applyFont="1" applyBorder="1" applyAlignment="1"/>
    <xf numFmtId="40" fontId="8" fillId="0" borderId="0" xfId="16" applyNumberFormat="1" applyFont="1" applyBorder="1" applyAlignment="1"/>
    <xf numFmtId="40" fontId="8" fillId="0" borderId="0" xfId="16" applyNumberFormat="1" applyFont="1" applyBorder="1" applyAlignment="1">
      <alignment horizontal="center"/>
    </xf>
    <xf numFmtId="40" fontId="10" fillId="0" borderId="8" xfId="16" applyNumberFormat="1" applyFont="1" applyBorder="1" applyAlignment="1"/>
    <xf numFmtId="40" fontId="10" fillId="0" borderId="19" xfId="16" applyNumberFormat="1" applyFont="1" applyBorder="1" applyAlignment="1"/>
    <xf numFmtId="40" fontId="10" fillId="0" borderId="6" xfId="16" applyNumberFormat="1" applyFont="1" applyBorder="1" applyAlignment="1">
      <alignment horizontal="center"/>
    </xf>
    <xf numFmtId="169" fontId="10" fillId="0" borderId="6" xfId="16" applyNumberFormat="1" applyFont="1" applyBorder="1" applyAlignment="1"/>
    <xf numFmtId="10" fontId="13" fillId="0" borderId="6" xfId="16" applyNumberFormat="1" applyFont="1" applyBorder="1" applyAlignment="1"/>
    <xf numFmtId="171" fontId="14" fillId="0" borderId="6" xfId="16" applyNumberFormat="1" applyFont="1" applyBorder="1" applyAlignment="1"/>
    <xf numFmtId="40" fontId="8" fillId="0" borderId="6" xfId="16" applyNumberFormat="1" applyFont="1" applyBorder="1" applyAlignment="1"/>
    <xf numFmtId="40" fontId="8" fillId="0" borderId="20" xfId="16" applyNumberFormat="1" applyFont="1" applyBorder="1" applyAlignment="1"/>
    <xf numFmtId="38" fontId="13" fillId="0" borderId="6" xfId="16" applyNumberFormat="1" applyFont="1" applyBorder="1" applyAlignment="1"/>
    <xf numFmtId="40" fontId="8" fillId="0" borderId="0" xfId="16" applyNumberFormat="1" applyFont="1" applyAlignment="1">
      <alignment horizontal="center"/>
    </xf>
    <xf numFmtId="40" fontId="8" fillId="7" borderId="12" xfId="16" quotePrefix="1" applyNumberFormat="1" applyFont="1" applyFill="1" applyBorder="1" applyAlignment="1">
      <alignment horizontal="center"/>
    </xf>
    <xf numFmtId="40" fontId="8" fillId="0" borderId="3" xfId="16" applyNumberFormat="1" applyFont="1" applyBorder="1" applyAlignment="1">
      <alignment horizontal="right"/>
    </xf>
    <xf numFmtId="40" fontId="8" fillId="0" borderId="3" xfId="16" applyNumberFormat="1" applyFont="1" applyBorder="1" applyAlignment="1">
      <alignment horizontal="left"/>
    </xf>
    <xf numFmtId="170" fontId="13" fillId="0" borderId="6" xfId="16" applyNumberFormat="1" applyFont="1" applyBorder="1" applyAlignment="1"/>
    <xf numFmtId="40" fontId="8" fillId="0" borderId="24" xfId="16" applyNumberFormat="1" applyFont="1" applyBorder="1" applyAlignment="1">
      <alignment horizontal="left"/>
    </xf>
    <xf numFmtId="40" fontId="8" fillId="0" borderId="24" xfId="16" applyNumberFormat="1" applyFont="1" applyBorder="1" applyAlignment="1"/>
    <xf numFmtId="170" fontId="8" fillId="0" borderId="3" xfId="16" applyNumberFormat="1" applyFont="1" applyBorder="1" applyAlignment="1"/>
    <xf numFmtId="40" fontId="10" fillId="0" borderId="6" xfId="16" applyNumberFormat="1" applyFont="1" applyFill="1" applyBorder="1" applyAlignment="1">
      <alignment horizontal="center"/>
    </xf>
    <xf numFmtId="169" fontId="10" fillId="0" borderId="6" xfId="16" applyNumberFormat="1" applyFont="1" applyFill="1" applyBorder="1" applyAlignment="1"/>
    <xf numFmtId="170" fontId="13" fillId="0" borderId="6" xfId="16" applyNumberFormat="1" applyFont="1" applyFill="1" applyBorder="1" applyAlignment="1"/>
    <xf numFmtId="40" fontId="8" fillId="0" borderId="15" xfId="16" applyNumberFormat="1" applyFont="1" applyBorder="1" applyAlignment="1"/>
    <xf numFmtId="40" fontId="8" fillId="0" borderId="26" xfId="16" applyNumberFormat="1" applyFont="1" applyBorder="1" applyAlignment="1"/>
    <xf numFmtId="40" fontId="8" fillId="0" borderId="15" xfId="16" applyNumberFormat="1" applyFont="1" applyBorder="1" applyAlignment="1">
      <alignment horizontal="right"/>
    </xf>
    <xf numFmtId="170" fontId="13" fillId="0" borderId="15" xfId="16" applyNumberFormat="1" applyFont="1" applyBorder="1" applyAlignment="1"/>
    <xf numFmtId="170" fontId="13" fillId="0" borderId="7" xfId="16" applyNumberFormat="1" applyFont="1" applyFill="1" applyBorder="1" applyAlignment="1"/>
    <xf numFmtId="40" fontId="8" fillId="0" borderId="21" xfId="16" applyNumberFormat="1" applyFont="1" applyBorder="1" applyAlignment="1">
      <alignment horizontal="center"/>
    </xf>
    <xf numFmtId="40" fontId="8" fillId="0" borderId="30" xfId="16" applyNumberFormat="1" applyFont="1" applyFill="1" applyBorder="1" applyAlignment="1"/>
    <xf numFmtId="40" fontId="8" fillId="0" borderId="0" xfId="16" applyNumberFormat="1" applyFont="1" applyFill="1" applyAlignment="1"/>
    <xf numFmtId="40" fontId="8" fillId="0" borderId="21" xfId="16" applyNumberFormat="1" applyFont="1" applyBorder="1" applyAlignment="1"/>
    <xf numFmtId="40" fontId="8" fillId="0" borderId="0" xfId="16" applyNumberFormat="1" applyFont="1" applyBorder="1" applyAlignment="1">
      <alignment horizontal="right"/>
    </xf>
    <xf numFmtId="40" fontId="10" fillId="0" borderId="8" xfId="16" applyNumberFormat="1" applyFont="1" applyFill="1" applyBorder="1" applyAlignment="1"/>
    <xf numFmtId="170" fontId="8" fillId="0" borderId="0" xfId="90" applyNumberFormat="1" applyFont="1" applyAlignment="1"/>
    <xf numFmtId="40" fontId="8" fillId="0" borderId="21" xfId="16" applyNumberFormat="1" applyFont="1" applyBorder="1" applyAlignment="1">
      <alignment horizontal="left"/>
    </xf>
    <xf numFmtId="40" fontId="10" fillId="0" borderId="36" xfId="16" applyNumberFormat="1" applyFont="1" applyFill="1" applyBorder="1" applyAlignment="1"/>
    <xf numFmtId="40" fontId="8" fillId="0" borderId="20" xfId="16" applyNumberFormat="1" applyFont="1" applyFill="1" applyBorder="1" applyAlignment="1"/>
    <xf numFmtId="171" fontId="14" fillId="0" borderId="6" xfId="16" applyNumberFormat="1" applyFont="1" applyFill="1" applyBorder="1" applyAlignment="1"/>
    <xf numFmtId="40" fontId="8" fillId="0" borderId="6" xfId="16" applyNumberFormat="1" applyFont="1" applyFill="1" applyBorder="1" applyAlignment="1"/>
    <xf numFmtId="40" fontId="8" fillId="0" borderId="21" xfId="16" applyNumberFormat="1" applyFont="1" applyFill="1" applyBorder="1" applyAlignment="1"/>
    <xf numFmtId="40" fontId="8" fillId="0" borderId="27" xfId="16" applyNumberFormat="1" applyFont="1" applyFill="1" applyBorder="1" applyAlignment="1"/>
    <xf numFmtId="40" fontId="10" fillId="0" borderId="28" xfId="16" applyNumberFormat="1" applyFont="1" applyFill="1" applyBorder="1" applyAlignment="1"/>
    <xf numFmtId="40" fontId="8" fillId="0" borderId="37" xfId="16" applyNumberFormat="1" applyFont="1" applyFill="1" applyBorder="1" applyAlignment="1"/>
    <xf numFmtId="14" fontId="8" fillId="0" borderId="0" xfId="16" applyNumberFormat="1" applyFont="1" applyAlignment="1">
      <alignment horizontal="right"/>
    </xf>
    <xf numFmtId="40" fontId="8" fillId="0" borderId="28" xfId="16" applyNumberFormat="1" applyFont="1" applyFill="1" applyBorder="1" applyAlignment="1"/>
    <xf numFmtId="40" fontId="8" fillId="0" borderId="0" xfId="16" applyNumberFormat="1" applyFont="1" applyFill="1" applyBorder="1" applyAlignment="1"/>
    <xf numFmtId="40" fontId="10" fillId="0" borderId="38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40" fontId="8" fillId="7" borderId="13" xfId="16" applyNumberFormat="1" applyFont="1" applyFill="1" applyBorder="1" applyAlignment="1">
      <alignment horizontal="center" wrapText="1"/>
    </xf>
    <xf numFmtId="40" fontId="8" fillId="7" borderId="12" xfId="16" applyNumberFormat="1" applyFont="1" applyFill="1" applyBorder="1" applyAlignment="1">
      <alignment horizontal="center" wrapText="1"/>
    </xf>
    <xf numFmtId="40" fontId="8" fillId="7" borderId="10" xfId="16" applyNumberFormat="1" applyFont="1" applyFill="1" applyBorder="1" applyAlignment="1">
      <alignment horizontal="centerContinuous" wrapText="1"/>
    </xf>
    <xf numFmtId="40" fontId="8" fillId="7" borderId="11" xfId="16" applyNumberFormat="1" applyFont="1" applyFill="1" applyBorder="1" applyAlignment="1">
      <alignment horizontal="centerContinuous" wrapText="1"/>
    </xf>
    <xf numFmtId="40" fontId="8" fillId="7" borderId="12" xfId="16" quotePrefix="1" applyNumberFormat="1" applyFont="1" applyFill="1" applyBorder="1" applyAlignment="1">
      <alignment horizontal="center" wrapText="1"/>
    </xf>
    <xf numFmtId="40" fontId="8" fillId="7" borderId="39" xfId="16" applyNumberFormat="1" applyFont="1" applyFill="1" applyBorder="1" applyAlignment="1">
      <alignment horizontal="centerContinuous" wrapText="1"/>
    </xf>
    <xf numFmtId="40" fontId="32" fillId="0" borderId="0" xfId="16" applyNumberFormat="1" applyFont="1" applyAlignment="1"/>
    <xf numFmtId="40" fontId="32" fillId="0" borderId="0" xfId="16" applyNumberFormat="1" applyFont="1" applyFill="1" applyAlignment="1"/>
    <xf numFmtId="40" fontId="8" fillId="0" borderId="0" xfId="16" applyNumberFormat="1" applyFont="1" applyFill="1" applyAlignment="1">
      <alignment horizontal="right"/>
    </xf>
    <xf numFmtId="40" fontId="34" fillId="0" borderId="18" xfId="16" applyNumberFormat="1" applyFont="1" applyBorder="1" applyAlignment="1"/>
    <xf numFmtId="40" fontId="8" fillId="0" borderId="0" xfId="16" applyNumberFormat="1" applyFont="1" applyFill="1" applyAlignment="1">
      <alignment horizontal="center"/>
    </xf>
    <xf numFmtId="170" fontId="15" fillId="0" borderId="0" xfId="90" applyNumberFormat="1" applyFont="1" applyFill="1" applyAlignment="1"/>
    <xf numFmtId="170" fontId="8" fillId="0" borderId="0" xfId="90" applyNumberFormat="1" applyFont="1" applyFill="1" applyAlignment="1"/>
    <xf numFmtId="0" fontId="8" fillId="0" borderId="0" xfId="158" applyFont="1"/>
    <xf numFmtId="40" fontId="8" fillId="0" borderId="58" xfId="16" applyNumberFormat="1" applyFont="1" applyBorder="1" applyAlignment="1">
      <alignment horizontal="right"/>
    </xf>
    <xf numFmtId="171" fontId="14" fillId="0" borderId="38" xfId="16" applyNumberFormat="1" applyFont="1" applyFill="1" applyBorder="1" applyAlignment="1"/>
    <xf numFmtId="40" fontId="8" fillId="0" borderId="14" xfId="16" applyNumberFormat="1" applyFont="1" applyFill="1" applyBorder="1" applyAlignment="1"/>
    <xf numFmtId="40" fontId="8" fillId="0" borderId="24" xfId="16" applyNumberFormat="1" applyFont="1" applyFill="1" applyBorder="1" applyAlignment="1"/>
    <xf numFmtId="40" fontId="8" fillId="0" borderId="54" xfId="16" applyNumberFormat="1" applyFont="1" applyFill="1" applyBorder="1" applyAlignment="1"/>
    <xf numFmtId="38" fontId="10" fillId="0" borderId="0" xfId="16" applyFont="1" applyFill="1" applyAlignment="1">
      <alignment vertical="center"/>
    </xf>
    <xf numFmtId="40" fontId="0" fillId="0" borderId="0" xfId="16" applyNumberFormat="1" applyFont="1" applyAlignment="1"/>
    <xf numFmtId="40" fontId="34" fillId="0" borderId="63" xfId="16" applyNumberFormat="1" applyFont="1" applyBorder="1" applyAlignment="1"/>
    <xf numFmtId="40" fontId="8" fillId="0" borderId="24" xfId="16" applyNumberFormat="1" applyFont="1" applyBorder="1" applyAlignment="1">
      <alignment horizontal="center"/>
    </xf>
    <xf numFmtId="40" fontId="8" fillId="0" borderId="66" xfId="16" applyNumberFormat="1" applyFont="1" applyFill="1" applyBorder="1" applyAlignment="1"/>
    <xf numFmtId="40" fontId="8" fillId="0" borderId="68" xfId="16" applyNumberFormat="1" applyFont="1" applyFill="1" applyBorder="1" applyAlignment="1"/>
    <xf numFmtId="192" fontId="33" fillId="0" borderId="60" xfId="16" applyNumberFormat="1" applyFont="1" applyFill="1" applyBorder="1" applyAlignment="1"/>
    <xf numFmtId="40" fontId="8" fillId="0" borderId="64" xfId="16" applyNumberFormat="1" applyFont="1" applyFill="1" applyBorder="1" applyAlignment="1"/>
    <xf numFmtId="40" fontId="10" fillId="0" borderId="69" xfId="16" applyNumberFormat="1" applyFont="1" applyFill="1" applyBorder="1" applyAlignment="1"/>
    <xf numFmtId="40" fontId="8" fillId="0" borderId="65" xfId="16" applyNumberFormat="1" applyFont="1" applyFill="1" applyBorder="1" applyAlignment="1"/>
    <xf numFmtId="40" fontId="8" fillId="0" borderId="60" xfId="16" applyNumberFormat="1" applyFont="1" applyFill="1" applyBorder="1" applyAlignment="1"/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40" fontId="1" fillId="0" borderId="0" xfId="16" applyNumberFormat="1" applyFont="1" applyAlignment="1"/>
    <xf numFmtId="0" fontId="8" fillId="0" borderId="0" xfId="159" applyFont="1"/>
    <xf numFmtId="40" fontId="1" fillId="0" borderId="49" xfId="16" applyNumberFormat="1" applyFont="1" applyBorder="1" applyAlignment="1"/>
    <xf numFmtId="40" fontId="1" fillId="0" borderId="3" xfId="16" applyNumberFormat="1" applyFont="1" applyBorder="1" applyAlignment="1">
      <alignment horizontal="left"/>
    </xf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40" fontId="1" fillId="0" borderId="49" xfId="16" applyNumberFormat="1" applyFont="1" applyBorder="1" applyAlignment="1">
      <alignment horizontal="left"/>
    </xf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40" fontId="8" fillId="0" borderId="44" xfId="16" applyNumberFormat="1" applyFont="1" applyBorder="1" applyAlignment="1">
      <alignment vertical="center" wrapText="1"/>
    </xf>
    <xf numFmtId="0" fontId="8" fillId="0" borderId="3" xfId="156" applyFont="1" applyBorder="1"/>
    <xf numFmtId="2" fontId="8" fillId="0" borderId="0" xfId="156" applyNumberFormat="1" applyFont="1"/>
    <xf numFmtId="40" fontId="1" fillId="0" borderId="31" xfId="16" applyNumberFormat="1" applyFont="1" applyBorder="1" applyAlignment="1"/>
    <xf numFmtId="40" fontId="8" fillId="0" borderId="15" xfId="16" applyNumberFormat="1" applyFont="1" applyFill="1" applyBorder="1" applyAlignment="1"/>
    <xf numFmtId="2" fontId="8" fillId="0" borderId="25" xfId="16" applyNumberFormat="1" applyFont="1" applyFill="1" applyBorder="1" applyAlignment="1"/>
    <xf numFmtId="40" fontId="34" fillId="0" borderId="18" xfId="16" applyNumberFormat="1" applyFont="1" applyFill="1" applyBorder="1" applyAlignme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40" fontId="1" fillId="0" borderId="35" xfId="16" applyNumberFormat="1" applyFont="1" applyBorder="1" applyAlignment="1"/>
    <xf numFmtId="40" fontId="8" fillId="0" borderId="1" xfId="16" applyNumberFormat="1" applyFont="1" applyFill="1" applyBorder="1" applyAlignment="1">
      <alignment horizontal="left"/>
    </xf>
    <xf numFmtId="40" fontId="8" fillId="0" borderId="2" xfId="16" applyNumberFormat="1" applyFont="1" applyFill="1" applyBorder="1" applyAlignment="1">
      <alignment horizontal="center"/>
    </xf>
    <xf numFmtId="40" fontId="8" fillId="0" borderId="2" xfId="16" applyNumberFormat="1" applyFont="1" applyFill="1" applyBorder="1" applyAlignment="1"/>
    <xf numFmtId="0" fontId="8" fillId="0" borderId="2" xfId="0" applyFont="1" applyFill="1" applyBorder="1">
      <alignment vertical="center"/>
    </xf>
    <xf numFmtId="40" fontId="8" fillId="0" borderId="2" xfId="16" applyNumberFormat="1" applyFont="1" applyFill="1" applyBorder="1" applyAlignment="1">
      <alignment horizontal="right"/>
    </xf>
    <xf numFmtId="170" fontId="8" fillId="0" borderId="2" xfId="16" applyNumberFormat="1" applyFont="1" applyFill="1" applyBorder="1" applyAlignment="1"/>
    <xf numFmtId="40" fontId="34" fillId="9" borderId="72" xfId="16" applyNumberFormat="1" applyFont="1" applyFill="1" applyBorder="1" applyAlignment="1"/>
    <xf numFmtId="40" fontId="35" fillId="0" borderId="0" xfId="156" applyNumberFormat="1" applyFont="1"/>
    <xf numFmtId="40" fontId="10" fillId="0" borderId="59" xfId="16" applyNumberFormat="1" applyFont="1" applyFill="1" applyBorder="1" applyAlignment="1"/>
    <xf numFmtId="40" fontId="8" fillId="0" borderId="59" xfId="16" applyNumberFormat="1" applyFont="1" applyFill="1" applyBorder="1" applyAlignment="1"/>
    <xf numFmtId="40" fontId="8" fillId="0" borderId="73" xfId="16" applyNumberFormat="1" applyFont="1" applyFill="1" applyBorder="1" applyAlignment="1"/>
    <xf numFmtId="40" fontId="34" fillId="0" borderId="22" xfId="16" applyNumberFormat="1" applyFont="1" applyBorder="1" applyAlignment="1"/>
    <xf numFmtId="0" fontId="8" fillId="0" borderId="38" xfId="156" applyFont="1" applyBorder="1"/>
    <xf numFmtId="0" fontId="8" fillId="0" borderId="68" xfId="156" applyFont="1" applyBorder="1"/>
    <xf numFmtId="40" fontId="8" fillId="0" borderId="32" xfId="16" applyNumberFormat="1" applyFont="1" applyFill="1" applyBorder="1" applyAlignment="1"/>
    <xf numFmtId="40" fontId="8" fillId="0" borderId="74" xfId="16" applyNumberFormat="1" applyFont="1" applyFill="1" applyBorder="1" applyAlignment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40" fontId="8" fillId="0" borderId="35" xfId="16" applyNumberFormat="1" applyFont="1" applyFill="1" applyBorder="1" applyAlignment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40" fontId="59" fillId="0" borderId="7" xfId="16" applyNumberFormat="1" applyFont="1" applyFill="1" applyBorder="1" applyAlignment="1"/>
    <xf numFmtId="40" fontId="59" fillId="0" borderId="7" xfId="16" applyNumberFormat="1" applyFont="1" applyFill="1" applyBorder="1" applyAlignment="1">
      <alignment horizontal="center"/>
    </xf>
    <xf numFmtId="40" fontId="60" fillId="0" borderId="8" xfId="16" applyNumberFormat="1" applyFont="1" applyBorder="1" applyAlignment="1"/>
    <xf numFmtId="40" fontId="60" fillId="0" borderId="6" xfId="16" applyNumberFormat="1" applyFont="1" applyBorder="1" applyAlignment="1"/>
    <xf numFmtId="40" fontId="59" fillId="0" borderId="6" xfId="16" applyNumberFormat="1" applyFont="1" applyBorder="1" applyAlignment="1">
      <alignment horizontal="center"/>
    </xf>
    <xf numFmtId="169" fontId="60" fillId="0" borderId="6" xfId="16" applyNumberFormat="1" applyFont="1" applyBorder="1" applyAlignment="1"/>
    <xf numFmtId="40" fontId="59" fillId="0" borderId="6" xfId="16" applyNumberFormat="1" applyFont="1" applyBorder="1" applyAlignment="1"/>
    <xf numFmtId="40" fontId="60" fillId="0" borderId="49" xfId="16" applyNumberFormat="1" applyFont="1" applyBorder="1" applyAlignment="1"/>
    <xf numFmtId="40" fontId="59" fillId="0" borderId="3" xfId="16" applyNumberFormat="1" applyFont="1" applyBorder="1" applyAlignment="1"/>
    <xf numFmtId="40" fontId="59" fillId="0" borderId="3" xfId="16" applyNumberFormat="1" applyFont="1" applyBorder="1" applyAlignment="1">
      <alignment horizontal="center"/>
    </xf>
    <xf numFmtId="0" fontId="59" fillId="0" borderId="9" xfId="156" applyFont="1" applyBorder="1"/>
    <xf numFmtId="0" fontId="59" fillId="0" borderId="38" xfId="156" applyFont="1" applyBorder="1"/>
    <xf numFmtId="40" fontId="59" fillId="0" borderId="6" xfId="16" applyNumberFormat="1" applyFont="1" applyFill="1" applyBorder="1" applyAlignment="1">
      <alignment horizontal="center"/>
    </xf>
    <xf numFmtId="40" fontId="59" fillId="0" borderId="32" xfId="16" applyNumberFormat="1" applyFont="1" applyBorder="1" applyAlignment="1"/>
    <xf numFmtId="40" fontId="59" fillId="0" borderId="32" xfId="16" applyNumberFormat="1" applyFont="1" applyFill="1" applyBorder="1" applyAlignment="1"/>
    <xf numFmtId="40" fontId="59" fillId="0" borderId="9" xfId="16" applyNumberFormat="1" applyFont="1" applyFill="1" applyBorder="1" applyAlignment="1"/>
    <xf numFmtId="40" fontId="59" fillId="0" borderId="33" xfId="16" applyNumberFormat="1" applyFont="1" applyFill="1" applyBorder="1" applyAlignment="1">
      <alignment horizontal="center"/>
    </xf>
    <xf numFmtId="195" fontId="59" fillId="0" borderId="7" xfId="32" applyNumberFormat="1" applyFont="1" applyFill="1" applyBorder="1" applyAlignment="1"/>
    <xf numFmtId="169" fontId="59" fillId="0" borderId="9" xfId="16" applyNumberFormat="1" applyFont="1" applyFill="1" applyBorder="1" applyAlignment="1"/>
    <xf numFmtId="40" fontId="8" fillId="0" borderId="19" xfId="16" applyNumberFormat="1" applyFont="1" applyFill="1" applyBorder="1" applyAlignment="1">
      <alignment horizontal="left"/>
    </xf>
    <xf numFmtId="40" fontId="37" fillId="0" borderId="19" xfId="16" applyNumberFormat="1" applyFont="1" applyFill="1" applyBorder="1" applyAlignment="1">
      <alignment horizontal="left"/>
    </xf>
    <xf numFmtId="40" fontId="2" fillId="0" borderId="49" xfId="16" applyNumberFormat="1" applyFont="1" applyBorder="1" applyAlignment="1"/>
    <xf numFmtId="40" fontId="8" fillId="0" borderId="0" xfId="141" applyNumberFormat="1" applyFont="1" applyFill="1" applyAlignment="1">
      <alignment vertical="center"/>
    </xf>
    <xf numFmtId="40" fontId="8" fillId="0" borderId="0" xfId="141" applyNumberFormat="1" applyFont="1" applyFill="1" applyAlignment="1">
      <alignment horizontal="right" vertical="center"/>
    </xf>
    <xf numFmtId="40" fontId="5" fillId="0" borderId="0" xfId="141" applyNumberFormat="1" applyFont="1" applyFill="1" applyAlignment="1">
      <alignment vertical="center"/>
    </xf>
    <xf numFmtId="40" fontId="8" fillId="0" borderId="0" xfId="141" applyNumberFormat="1" applyFont="1" applyAlignment="1">
      <alignment vertical="center"/>
    </xf>
    <xf numFmtId="0" fontId="5" fillId="0" borderId="0" xfId="150" applyFont="1" applyFill="1" applyAlignment="1">
      <alignment vertical="center"/>
    </xf>
    <xf numFmtId="40" fontId="59" fillId="0" borderId="3" xfId="16" applyNumberFormat="1" applyFont="1" applyFill="1" applyBorder="1" applyAlignment="1"/>
    <xf numFmtId="40" fontId="59" fillId="0" borderId="3" xfId="16" applyNumberFormat="1" applyFont="1" applyFill="1" applyBorder="1" applyAlignment="1">
      <alignment horizontal="center"/>
    </xf>
    <xf numFmtId="0" fontId="16" fillId="0" borderId="0" xfId="154" applyFont="1" applyFill="1"/>
    <xf numFmtId="0" fontId="8" fillId="0" borderId="0" xfId="154" applyFont="1" applyFill="1"/>
    <xf numFmtId="40" fontId="8" fillId="0" borderId="3" xfId="16" applyNumberFormat="1" applyFont="1" applyFill="1" applyBorder="1" applyAlignment="1"/>
    <xf numFmtId="40" fontId="8" fillId="0" borderId="0" xfId="16" applyNumberFormat="1" applyFont="1" applyFill="1" applyBorder="1" applyAlignment="1">
      <alignment horizontal="right"/>
    </xf>
    <xf numFmtId="0" fontId="8" fillId="0" borderId="62" xfId="156" applyFont="1" applyFill="1" applyBorder="1"/>
    <xf numFmtId="40" fontId="8" fillId="0" borderId="24" xfId="16" applyNumberFormat="1" applyFont="1" applyFill="1" applyBorder="1" applyAlignment="1">
      <alignment horizontal="right"/>
    </xf>
    <xf numFmtId="40" fontId="9" fillId="0" borderId="6" xfId="16" applyNumberFormat="1" applyFont="1" applyFill="1" applyBorder="1" applyAlignment="1"/>
    <xf numFmtId="0" fontId="8" fillId="0" borderId="3" xfId="16" applyNumberFormat="1" applyFont="1" applyFill="1" applyBorder="1" applyAlignment="1">
      <alignment horizontal="right"/>
    </xf>
    <xf numFmtId="0" fontId="8" fillId="0" borderId="21" xfId="156" applyFont="1" applyFill="1" applyBorder="1"/>
    <xf numFmtId="40" fontId="8" fillId="0" borderId="58" xfId="16" applyNumberFormat="1" applyFont="1" applyFill="1" applyBorder="1" applyAlignment="1">
      <alignment horizontal="right"/>
    </xf>
    <xf numFmtId="40" fontId="8" fillId="0" borderId="3" xfId="16" applyNumberFormat="1" applyFont="1" applyFill="1" applyBorder="1" applyAlignment="1">
      <alignment horizontal="right"/>
    </xf>
    <xf numFmtId="0" fontId="59" fillId="0" borderId="36" xfId="156" applyFont="1" applyBorder="1"/>
    <xf numFmtId="40" fontId="10" fillId="0" borderId="27" xfId="16" applyNumberFormat="1" applyFont="1" applyFill="1" applyBorder="1" applyAlignment="1"/>
    <xf numFmtId="40" fontId="61" fillId="0" borderId="6" xfId="16" applyNumberFormat="1" applyFont="1" applyFill="1" applyBorder="1" applyAlignment="1"/>
    <xf numFmtId="40" fontId="61" fillId="0" borderId="33" xfId="16" applyNumberFormat="1" applyFont="1" applyFill="1" applyBorder="1" applyAlignment="1"/>
    <xf numFmtId="0" fontId="8" fillId="0" borderId="42" xfId="159" applyFont="1" applyFill="1" applyBorder="1"/>
    <xf numFmtId="40" fontId="61" fillId="0" borderId="59" xfId="16" applyNumberFormat="1" applyFont="1" applyFill="1" applyBorder="1" applyAlignment="1"/>
    <xf numFmtId="40" fontId="12" fillId="0" borderId="0" xfId="16" applyNumberFormat="1" applyFont="1" applyBorder="1" applyAlignment="1">
      <alignment horizontal="left"/>
    </xf>
    <xf numFmtId="0" fontId="62" fillId="0" borderId="0" xfId="154" applyFont="1" applyFill="1" applyAlignment="1">
      <alignment horizontal="center"/>
    </xf>
    <xf numFmtId="0" fontId="61" fillId="0" borderId="6" xfId="16" applyNumberFormat="1" applyFont="1" applyFill="1" applyBorder="1" applyAlignment="1">
      <alignment shrinkToFit="1"/>
    </xf>
    <xf numFmtId="40" fontId="61" fillId="0" borderId="8" xfId="16" applyNumberFormat="1" applyFont="1" applyFill="1" applyBorder="1" applyAlignment="1">
      <alignment horizontal="left"/>
    </xf>
    <xf numFmtId="169" fontId="61" fillId="0" borderId="6" xfId="16" applyNumberFormat="1" applyFont="1" applyFill="1" applyBorder="1" applyAlignment="1"/>
    <xf numFmtId="171" fontId="8" fillId="0" borderId="6" xfId="16" applyNumberFormat="1" applyFont="1" applyFill="1" applyBorder="1" applyAlignment="1"/>
    <xf numFmtId="40" fontId="8" fillId="10" borderId="12" xfId="16" applyNumberFormat="1" applyFont="1" applyFill="1" applyBorder="1" applyAlignment="1">
      <alignment horizontal="center" wrapText="1"/>
    </xf>
    <xf numFmtId="171" fontId="14" fillId="0" borderId="3" xfId="16" applyNumberFormat="1" applyFont="1" applyFill="1" applyBorder="1" applyAlignment="1"/>
    <xf numFmtId="40" fontId="8" fillId="0" borderId="49" xfId="16" applyNumberFormat="1" applyFont="1" applyFill="1" applyBorder="1" applyAlignment="1"/>
    <xf numFmtId="169" fontId="61" fillId="0" borderId="0" xfId="141" applyNumberFormat="1" applyFont="1" applyFill="1" applyAlignment="1">
      <alignment vertical="center"/>
    </xf>
    <xf numFmtId="170" fontId="61" fillId="0" borderId="6" xfId="16" applyNumberFormat="1" applyFont="1" applyFill="1" applyBorder="1" applyAlignment="1"/>
    <xf numFmtId="170" fontId="61" fillId="0" borderId="59" xfId="16" applyNumberFormat="1" applyFont="1" applyFill="1" applyBorder="1" applyAlignment="1"/>
    <xf numFmtId="170" fontId="61" fillId="0" borderId="27" xfId="16" applyNumberFormat="1" applyFont="1" applyFill="1" applyBorder="1" applyAlignment="1"/>
    <xf numFmtId="40" fontId="61" fillId="0" borderId="27" xfId="16" applyNumberFormat="1" applyFont="1" applyFill="1" applyBorder="1" applyAlignment="1"/>
    <xf numFmtId="170" fontId="61" fillId="0" borderId="32" xfId="16" applyNumberFormat="1" applyFont="1" applyFill="1" applyBorder="1" applyAlignment="1"/>
    <xf numFmtId="40" fontId="61" fillId="0" borderId="32" xfId="16" applyNumberFormat="1" applyFont="1" applyFill="1" applyBorder="1" applyAlignment="1"/>
    <xf numFmtId="170" fontId="61" fillId="0" borderId="31" xfId="16" applyNumberFormat="1" applyFont="1" applyBorder="1" applyAlignment="1"/>
    <xf numFmtId="170" fontId="61" fillId="0" borderId="35" xfId="16" applyNumberFormat="1" applyFont="1" applyBorder="1" applyAlignment="1"/>
    <xf numFmtId="40" fontId="61" fillId="0" borderId="59" xfId="141" applyNumberFormat="1" applyFont="1" applyFill="1" applyBorder="1" applyAlignment="1">
      <alignment horizontal="left" vertical="center"/>
    </xf>
    <xf numFmtId="40" fontId="61" fillId="0" borderId="23" xfId="16" applyNumberFormat="1" applyFont="1" applyFill="1" applyBorder="1" applyAlignment="1"/>
    <xf numFmtId="40" fontId="61" fillId="0" borderId="7" xfId="16" applyNumberFormat="1" applyFont="1" applyFill="1" applyBorder="1" applyAlignment="1"/>
    <xf numFmtId="40" fontId="61" fillId="0" borderId="36" xfId="16" applyNumberFormat="1" applyFont="1" applyFill="1" applyBorder="1" applyAlignment="1"/>
    <xf numFmtId="169" fontId="61" fillId="0" borderId="23" xfId="16" applyNumberFormat="1" applyFont="1" applyFill="1" applyBorder="1" applyAlignment="1"/>
    <xf numFmtId="170" fontId="61" fillId="0" borderId="23" xfId="16" applyNumberFormat="1" applyFont="1" applyFill="1" applyBorder="1" applyAlignment="1"/>
    <xf numFmtId="169" fontId="61" fillId="0" borderId="7" xfId="16" applyNumberFormat="1" applyFont="1" applyFill="1" applyBorder="1" applyAlignment="1"/>
    <xf numFmtId="170" fontId="61" fillId="0" borderId="7" xfId="16" applyNumberFormat="1" applyFont="1" applyFill="1" applyBorder="1" applyAlignment="1"/>
    <xf numFmtId="169" fontId="61" fillId="0" borderId="36" xfId="16" applyNumberFormat="1" applyFont="1" applyFill="1" applyBorder="1" applyAlignment="1"/>
    <xf numFmtId="170" fontId="61" fillId="0" borderId="36" xfId="16" applyNumberFormat="1" applyFont="1" applyFill="1" applyBorder="1" applyAlignment="1"/>
    <xf numFmtId="40" fontId="61" fillId="0" borderId="59" xfId="141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horizontal="center"/>
    </xf>
    <xf numFmtId="40" fontId="61" fillId="0" borderId="7" xfId="16" applyNumberFormat="1" applyFont="1" applyFill="1" applyBorder="1" applyAlignment="1">
      <alignment horizontal="left"/>
    </xf>
    <xf numFmtId="196" fontId="61" fillId="0" borderId="7" xfId="32" applyNumberFormat="1" applyFont="1" applyFill="1" applyBorder="1" applyAlignment="1"/>
    <xf numFmtId="40" fontId="61" fillId="0" borderId="6" xfId="16" applyNumberFormat="1" applyFont="1" applyFill="1" applyBorder="1" applyAlignment="1">
      <alignment horizontal="center"/>
    </xf>
    <xf numFmtId="196" fontId="61" fillId="0" borderId="6" xfId="32" applyNumberFormat="1" applyFont="1" applyFill="1" applyBorder="1" applyAlignment="1"/>
    <xf numFmtId="40" fontId="61" fillId="0" borderId="61" xfId="16" applyNumberFormat="1" applyFont="1" applyFill="1" applyBorder="1" applyAlignment="1"/>
    <xf numFmtId="40" fontId="61" fillId="0" borderId="34" xfId="16" applyNumberFormat="1" applyFont="1" applyFill="1" applyBorder="1" applyAlignment="1"/>
    <xf numFmtId="40" fontId="61" fillId="0" borderId="32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/>
    <xf numFmtId="194" fontId="61" fillId="0" borderId="9" xfId="16" applyNumberFormat="1" applyFont="1" applyFill="1" applyBorder="1" applyAlignment="1"/>
    <xf numFmtId="40" fontId="61" fillId="0" borderId="64" xfId="16" applyNumberFormat="1" applyFont="1" applyFill="1" applyBorder="1" applyAlignment="1"/>
    <xf numFmtId="170" fontId="61" fillId="0" borderId="64" xfId="16" applyNumberFormat="1" applyFont="1" applyFill="1" applyBorder="1" applyAlignment="1"/>
    <xf numFmtId="0" fontId="63" fillId="0" borderId="0" xfId="156" applyFont="1"/>
    <xf numFmtId="4" fontId="8" fillId="0" borderId="6" xfId="16" applyNumberFormat="1" applyFont="1" applyFill="1" applyBorder="1" applyAlignment="1"/>
    <xf numFmtId="4" fontId="8" fillId="0" borderId="59" xfId="16" applyNumberFormat="1" applyFont="1" applyFill="1" applyBorder="1" applyAlignment="1"/>
    <xf numFmtId="40" fontId="8" fillId="0" borderId="30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/>
    </xf>
    <xf numFmtId="169" fontId="61" fillId="0" borderId="7" xfId="142" applyNumberFormat="1" applyFont="1" applyFill="1" applyBorder="1" applyAlignment="1"/>
    <xf numFmtId="40" fontId="61" fillId="0" borderId="7" xfId="142" applyNumberFormat="1" applyFont="1" applyFill="1" applyBorder="1" applyAlignment="1"/>
    <xf numFmtId="170" fontId="61" fillId="0" borderId="7" xfId="142" applyNumberFormat="1" applyFont="1" applyFill="1" applyBorder="1" applyAlignment="1"/>
    <xf numFmtId="40" fontId="1" fillId="0" borderId="80" xfId="16" applyNumberFormat="1" applyFont="1" applyBorder="1" applyAlignment="1"/>
    <xf numFmtId="0" fontId="56" fillId="0" borderId="0" xfId="156" applyFont="1"/>
    <xf numFmtId="40" fontId="8" fillId="11" borderId="0" xfId="16" applyNumberFormat="1" applyFont="1" applyFill="1" applyAlignme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169" fontId="8" fillId="0" borderId="0" xfId="141" applyNumberFormat="1" applyFont="1" applyFill="1" applyAlignment="1">
      <alignment vertical="center"/>
    </xf>
    <xf numFmtId="40" fontId="8" fillId="0" borderId="20" xfId="142" applyNumberFormat="1" applyFont="1" applyFill="1" applyBorder="1" applyAlignment="1"/>
    <xf numFmtId="40" fontId="8" fillId="0" borderId="7" xfId="16" applyNumberFormat="1" applyFont="1" applyFill="1" applyBorder="1" applyAlignment="1"/>
    <xf numFmtId="40" fontId="8" fillId="0" borderId="36" xfId="16" applyNumberFormat="1" applyFont="1" applyFill="1" applyBorder="1" applyAlignment="1"/>
    <xf numFmtId="40" fontId="59" fillId="0" borderId="23" xfId="16" applyNumberFormat="1" applyFont="1" applyBorder="1" applyAlignment="1">
      <alignment horizontal="center" shrinkToFit="1"/>
    </xf>
    <xf numFmtId="40" fontId="59" fillId="0" borderId="6" xfId="16" applyNumberFormat="1" applyFont="1" applyBorder="1" applyAlignment="1">
      <alignment horizontal="center" shrinkToFit="1"/>
    </xf>
    <xf numFmtId="40" fontId="59" fillId="0" borderId="6" xfId="16" applyNumberFormat="1" applyFont="1" applyFill="1" applyBorder="1" applyAlignment="1">
      <alignment horizontal="center" shrinkToFit="1"/>
    </xf>
    <xf numFmtId="40" fontId="1" fillId="0" borderId="0" xfId="16" applyNumberFormat="1" applyFont="1" applyBorder="1" applyAlignment="1"/>
    <xf numFmtId="0" fontId="61" fillId="0" borderId="7" xfId="155" applyFont="1" applyFill="1" applyBorder="1"/>
    <xf numFmtId="40" fontId="61" fillId="0" borderId="6" xfId="142" applyNumberFormat="1" applyFont="1" applyFill="1" applyBorder="1" applyAlignment="1"/>
    <xf numFmtId="170" fontId="61" fillId="0" borderId="6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 shrinkToFit="1"/>
    </xf>
    <xf numFmtId="0" fontId="61" fillId="0" borderId="7" xfId="157" applyFont="1" applyFill="1" applyBorder="1"/>
    <xf numFmtId="193" fontId="61" fillId="0" borderId="7" xfId="142" applyNumberFormat="1" applyFont="1" applyFill="1" applyBorder="1" applyAlignment="1"/>
    <xf numFmtId="0" fontId="61" fillId="0" borderId="7" xfId="157" applyFont="1" applyFill="1" applyBorder="1" applyAlignment="1">
      <alignment horizontal="left"/>
    </xf>
    <xf numFmtId="40" fontId="61" fillId="0" borderId="9" xfId="142" applyNumberFormat="1" applyFont="1" applyFill="1" applyBorder="1" applyAlignment="1"/>
    <xf numFmtId="0" fontId="61" fillId="0" borderId="9" xfId="157" quotePrefix="1" applyFont="1" applyFill="1" applyBorder="1" applyAlignment="1">
      <alignment horizontal="left"/>
    </xf>
    <xf numFmtId="193" fontId="61" fillId="0" borderId="9" xfId="142" applyNumberFormat="1" applyFont="1" applyFill="1" applyBorder="1" applyAlignment="1"/>
    <xf numFmtId="40" fontId="61" fillId="11" borderId="60" xfId="142" applyNumberFormat="1" applyFont="1" applyFill="1" applyBorder="1" applyAlignment="1"/>
    <xf numFmtId="40" fontId="61" fillId="11" borderId="27" xfId="16" applyNumberFormat="1" applyFont="1" applyFill="1" applyBorder="1" applyAlignment="1"/>
    <xf numFmtId="40" fontId="34" fillId="0" borderId="22" xfId="16" applyNumberFormat="1" applyFont="1" applyFill="1" applyBorder="1" applyAlignment="1"/>
    <xf numFmtId="40" fontId="13" fillId="0" borderId="15" xfId="16" applyNumberFormat="1" applyFont="1" applyFill="1" applyBorder="1" applyAlignment="1"/>
    <xf numFmtId="40" fontId="61" fillId="0" borderId="32" xfId="142" applyNumberFormat="1" applyFont="1" applyFill="1" applyBorder="1" applyAlignment="1"/>
    <xf numFmtId="40" fontId="61" fillId="0" borderId="34" xfId="142" applyNumberFormat="1" applyFont="1" applyFill="1" applyBorder="1" applyAlignment="1"/>
    <xf numFmtId="169" fontId="61" fillId="0" borderId="6" xfId="142" applyNumberFormat="1" applyFont="1" applyFill="1" applyBorder="1" applyAlignment="1"/>
    <xf numFmtId="40" fontId="34" fillId="0" borderId="40" xfId="16" applyNumberFormat="1" applyFont="1" applyBorder="1" applyAlignment="1"/>
    <xf numFmtId="40" fontId="34" fillId="0" borderId="4" xfId="16" applyNumberFormat="1" applyFont="1" applyBorder="1" applyAlignment="1"/>
    <xf numFmtId="0" fontId="61" fillId="0" borderId="7" xfId="153" applyFont="1" applyFill="1" applyBorder="1" applyAlignment="1"/>
    <xf numFmtId="40" fontId="61" fillId="0" borderId="21" xfId="16" applyNumberFormat="1" applyFont="1" applyFill="1" applyBorder="1" applyAlignment="1">
      <alignment horizontal="left"/>
    </xf>
    <xf numFmtId="40" fontId="8" fillId="0" borderId="80" xfId="16" applyNumberFormat="1" applyFont="1" applyFill="1" applyBorder="1" applyAlignment="1"/>
    <xf numFmtId="0" fontId="61" fillId="0" borderId="7" xfId="16" applyNumberFormat="1" applyFont="1" applyFill="1" applyBorder="1" applyAlignment="1">
      <alignment shrinkToFit="1"/>
    </xf>
    <xf numFmtId="40" fontId="61" fillId="0" borderId="7" xfId="16" applyNumberFormat="1" applyFont="1" applyFill="1" applyBorder="1" applyAlignment="1">
      <alignment horizontal="center"/>
    </xf>
    <xf numFmtId="0" fontId="61" fillId="0" borderId="36" xfId="16" applyNumberFormat="1" applyFont="1" applyFill="1" applyBorder="1" applyAlignment="1">
      <alignment shrinkToFit="1"/>
    </xf>
    <xf numFmtId="171" fontId="14" fillId="0" borderId="36" xfId="16" applyNumberFormat="1" applyFont="1" applyFill="1" applyBorder="1" applyAlignment="1"/>
    <xf numFmtId="40" fontId="8" fillId="0" borderId="70" xfId="16" applyNumberFormat="1" applyFont="1" applyFill="1" applyBorder="1" applyAlignment="1"/>
    <xf numFmtId="171" fontId="8" fillId="0" borderId="7" xfId="16" applyNumberFormat="1" applyFont="1" applyFill="1" applyBorder="1" applyAlignment="1"/>
    <xf numFmtId="171" fontId="8" fillId="0" borderId="36" xfId="16" applyNumberFormat="1" applyFont="1" applyFill="1" applyBorder="1" applyAlignment="1"/>
    <xf numFmtId="40" fontId="8" fillId="0" borderId="33" xfId="16" applyNumberFormat="1" applyFont="1" applyFill="1" applyBorder="1" applyAlignment="1"/>
    <xf numFmtId="4" fontId="8" fillId="0" borderId="36" xfId="16" applyNumberFormat="1" applyFont="1" applyFill="1" applyBorder="1" applyAlignment="1"/>
    <xf numFmtId="40" fontId="60" fillId="0" borderId="53" xfId="16" applyNumberFormat="1" applyFont="1" applyBorder="1" applyAlignment="1"/>
    <xf numFmtId="40" fontId="59" fillId="0" borderId="24" xfId="16" applyNumberFormat="1" applyFont="1" applyFill="1" applyBorder="1" applyAlignment="1"/>
    <xf numFmtId="40" fontId="59" fillId="0" borderId="56" xfId="16" applyNumberFormat="1" applyFont="1" applyFill="1" applyBorder="1" applyAlignment="1"/>
    <xf numFmtId="40" fontId="59" fillId="0" borderId="24" xfId="16" applyNumberFormat="1" applyFont="1" applyFill="1" applyBorder="1" applyAlignment="1">
      <alignment horizontal="center"/>
    </xf>
    <xf numFmtId="40" fontId="59" fillId="0" borderId="24" xfId="16" applyNumberFormat="1" applyFont="1" applyBorder="1" applyAlignment="1"/>
    <xf numFmtId="170" fontId="8" fillId="0" borderId="24" xfId="16" applyNumberFormat="1" applyFont="1" applyBorder="1" applyAlignment="1"/>
    <xf numFmtId="40" fontId="8" fillId="0" borderId="78" xfId="16" applyNumberFormat="1" applyFont="1" applyFill="1" applyBorder="1" applyAlignment="1">
      <alignment horizontal="right"/>
    </xf>
    <xf numFmtId="40" fontId="61" fillId="0" borderId="60" xfId="16" applyNumberFormat="1" applyFont="1" applyFill="1" applyBorder="1" applyAlignment="1"/>
    <xf numFmtId="0" fontId="61" fillId="0" borderId="9" xfId="16" applyNumberFormat="1" applyFont="1" applyFill="1" applyBorder="1" applyAlignment="1">
      <alignment shrinkToFit="1"/>
    </xf>
    <xf numFmtId="40" fontId="61" fillId="0" borderId="9" xfId="16" applyNumberFormat="1" applyFont="1" applyFill="1" applyBorder="1" applyAlignment="1">
      <alignment horizontal="center"/>
    </xf>
    <xf numFmtId="169" fontId="61" fillId="0" borderId="9" xfId="16" applyNumberFormat="1" applyFont="1" applyFill="1" applyBorder="1" applyAlignment="1"/>
    <xf numFmtId="170" fontId="61" fillId="0" borderId="9" xfId="16" applyNumberFormat="1" applyFont="1" applyFill="1" applyBorder="1" applyAlignment="1"/>
    <xf numFmtId="40" fontId="8" fillId="0" borderId="38" xfId="16" applyNumberFormat="1" applyFont="1" applyFill="1" applyBorder="1" applyAlignment="1"/>
    <xf numFmtId="170" fontId="61" fillId="0" borderId="38" xfId="16" applyNumberFormat="1" applyFont="1" applyFill="1" applyBorder="1" applyAlignment="1"/>
    <xf numFmtId="4" fontId="8" fillId="0" borderId="38" xfId="16" applyNumberFormat="1" applyFont="1" applyFill="1" applyBorder="1" applyAlignment="1"/>
    <xf numFmtId="171" fontId="8" fillId="0" borderId="9" xfId="16" applyNumberFormat="1" applyFont="1" applyFill="1" applyBorder="1" applyAlignment="1"/>
    <xf numFmtId="40" fontId="8" fillId="0" borderId="9" xfId="16" applyNumberFormat="1" applyFont="1" applyFill="1" applyBorder="1" applyAlignment="1"/>
    <xf numFmtId="0" fontId="8" fillId="0" borderId="9" xfId="156" applyFont="1" applyBorder="1"/>
    <xf numFmtId="40" fontId="61" fillId="0" borderId="38" xfId="16" applyNumberFormat="1" applyFont="1" applyFill="1" applyBorder="1" applyAlignment="1"/>
    <xf numFmtId="40" fontId="61" fillId="0" borderId="87" xfId="16" applyNumberFormat="1" applyFont="1" applyFill="1" applyBorder="1" applyAlignment="1"/>
    <xf numFmtId="40" fontId="61" fillId="0" borderId="77" xfId="16" applyNumberFormat="1" applyFont="1" applyFill="1" applyBorder="1" applyAlignment="1"/>
    <xf numFmtId="40" fontId="61" fillId="0" borderId="36" xfId="16" applyNumberFormat="1" applyFont="1" applyFill="1" applyBorder="1" applyAlignment="1">
      <alignment horizontal="left"/>
    </xf>
    <xf numFmtId="40" fontId="8" fillId="0" borderId="0" xfId="156" applyNumberFormat="1" applyFont="1"/>
    <xf numFmtId="40" fontId="61" fillId="0" borderId="7" xfId="141" applyNumberFormat="1" applyFont="1" applyFill="1" applyBorder="1" applyAlignment="1">
      <alignment horizontal="left" vertical="center"/>
    </xf>
    <xf numFmtId="0" fontId="8" fillId="0" borderId="88" xfId="156" applyFont="1" applyBorder="1"/>
    <xf numFmtId="40" fontId="61" fillId="0" borderId="60" xfId="141" applyNumberFormat="1" applyFont="1" applyFill="1" applyBorder="1" applyAlignment="1">
      <alignment vertical="center"/>
    </xf>
    <xf numFmtId="40" fontId="59" fillId="0" borderId="36" xfId="16" applyNumberFormat="1" applyFont="1" applyBorder="1" applyAlignment="1">
      <alignment horizontal="center"/>
    </xf>
    <xf numFmtId="40" fontId="59" fillId="0" borderId="59" xfId="16" applyNumberFormat="1" applyFont="1" applyBorder="1" applyAlignment="1">
      <alignment horizontal="center" shrinkToFit="1"/>
    </xf>
    <xf numFmtId="0" fontId="10" fillId="0" borderId="0" xfId="156" applyFont="1" applyFill="1" applyAlignment="1">
      <alignment horizontal="right"/>
    </xf>
    <xf numFmtId="40" fontId="37" fillId="0" borderId="7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>
      <alignment horizontal="left"/>
    </xf>
    <xf numFmtId="40" fontId="37" fillId="0" borderId="9" xfId="16" applyNumberFormat="1" applyFont="1" applyFill="1" applyBorder="1" applyAlignment="1">
      <alignment horizontal="left"/>
    </xf>
    <xf numFmtId="40" fontId="61" fillId="0" borderId="62" xfId="16" applyNumberFormat="1" applyFont="1" applyFill="1" applyBorder="1" applyAlignment="1">
      <alignment horizontal="left"/>
    </xf>
    <xf numFmtId="40" fontId="37" fillId="0" borderId="70" xfId="16" applyNumberFormat="1" applyFont="1" applyFill="1" applyBorder="1" applyAlignment="1">
      <alignment horizontal="left"/>
    </xf>
    <xf numFmtId="40" fontId="37" fillId="0" borderId="34" xfId="16" applyNumberFormat="1" applyFont="1" applyFill="1" applyBorder="1" applyAlignment="1">
      <alignment horizontal="left"/>
    </xf>
    <xf numFmtId="40" fontId="37" fillId="0" borderId="33" xfId="16" applyNumberFormat="1" applyFont="1" applyFill="1" applyBorder="1" applyAlignment="1">
      <alignment horizontal="left"/>
    </xf>
    <xf numFmtId="40" fontId="61" fillId="0" borderId="70" xfId="16" applyNumberFormat="1" applyFont="1" applyFill="1" applyBorder="1" applyAlignment="1"/>
    <xf numFmtId="40" fontId="61" fillId="0" borderId="28" xfId="16" applyNumberFormat="1" applyFont="1" applyFill="1" applyBorder="1" applyAlignment="1"/>
    <xf numFmtId="40" fontId="61" fillId="0" borderId="35" xfId="16" applyNumberFormat="1" applyFont="1" applyFill="1" applyBorder="1" applyAlignment="1"/>
    <xf numFmtId="0" fontId="61" fillId="0" borderId="60" xfId="151" applyFont="1" applyFill="1" applyBorder="1"/>
    <xf numFmtId="2" fontId="61" fillId="0" borderId="83" xfId="156" applyNumberFormat="1" applyFont="1" applyFill="1" applyBorder="1"/>
    <xf numFmtId="40" fontId="8" fillId="0" borderId="16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right"/>
    </xf>
    <xf numFmtId="40" fontId="10" fillId="0" borderId="3" xfId="16" applyNumberFormat="1" applyFont="1" applyFill="1" applyBorder="1" applyAlignment="1"/>
    <xf numFmtId="40" fontId="11" fillId="0" borderId="3" xfId="16" applyNumberFormat="1" applyFont="1" applyFill="1" applyBorder="1" applyAlignment="1">
      <alignment horizontal="right"/>
    </xf>
    <xf numFmtId="0" fontId="2" fillId="0" borderId="0" xfId="156" applyFont="1" applyFill="1"/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40" fontId="10" fillId="0" borderId="64" xfId="16" applyNumberFormat="1" applyFont="1" applyFill="1" applyBorder="1" applyAlignment="1"/>
    <xf numFmtId="170" fontId="61" fillId="0" borderId="83" xfId="156" applyNumberFormat="1" applyFont="1" applyFill="1" applyBorder="1"/>
    <xf numFmtId="40" fontId="61" fillId="0" borderId="60" xfId="142" applyNumberFormat="1" applyFont="1" applyFill="1" applyBorder="1" applyAlignment="1"/>
    <xf numFmtId="40" fontId="61" fillId="0" borderId="7" xfId="142" quotePrefix="1" applyNumberFormat="1" applyFont="1" applyFill="1" applyBorder="1" applyAlignment="1"/>
    <xf numFmtId="40" fontId="61" fillId="11" borderId="7" xfId="142" applyNumberFormat="1" applyFont="1" applyFill="1" applyBorder="1" applyAlignment="1">
      <alignment horizontal="left"/>
    </xf>
    <xf numFmtId="40" fontId="8" fillId="11" borderId="30" xfId="16" applyNumberFormat="1" applyFont="1" applyFill="1" applyBorder="1" applyAlignment="1"/>
    <xf numFmtId="38" fontId="10" fillId="11" borderId="0" xfId="141" applyFont="1" applyFill="1" applyAlignment="1">
      <alignment vertical="center"/>
    </xf>
    <xf numFmtId="193" fontId="61" fillId="11" borderId="7" xfId="142" applyNumberFormat="1" applyFont="1" applyFill="1" applyBorder="1" applyAlignment="1"/>
    <xf numFmtId="193" fontId="61" fillId="11" borderId="9" xfId="142" applyNumberFormat="1" applyFont="1" applyFill="1" applyBorder="1" applyAlignment="1"/>
    <xf numFmtId="40" fontId="61" fillId="11" borderId="7" xfId="142" applyNumberFormat="1" applyFont="1" applyFill="1" applyBorder="1" applyAlignment="1"/>
    <xf numFmtId="169" fontId="61" fillId="11" borderId="7" xfId="142" applyNumberFormat="1" applyFont="1" applyFill="1" applyBorder="1" applyAlignment="1"/>
    <xf numFmtId="0" fontId="61" fillId="0" borderId="36" xfId="156" applyFont="1" applyBorder="1"/>
    <xf numFmtId="40" fontId="10" fillId="11" borderId="28" xfId="16" applyNumberFormat="1" applyFont="1" applyFill="1" applyBorder="1" applyAlignment="1"/>
    <xf numFmtId="40" fontId="10" fillId="11" borderId="27" xfId="16" applyNumberFormat="1" applyFont="1" applyFill="1" applyBorder="1" applyAlignment="1"/>
    <xf numFmtId="40" fontId="61" fillId="11" borderId="8" xfId="16" applyNumberFormat="1" applyFont="1" applyFill="1" applyBorder="1" applyAlignment="1">
      <alignment horizontal="left"/>
    </xf>
    <xf numFmtId="40" fontId="8" fillId="11" borderId="19" xfId="16" applyNumberFormat="1" applyFont="1" applyFill="1" applyBorder="1" applyAlignment="1">
      <alignment horizontal="left"/>
    </xf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90" applyNumberFormat="1" applyFont="1" applyFill="1" applyBorder="1" applyAlignment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169" fontId="61" fillId="11" borderId="6" xfId="16" applyNumberFormat="1" applyFont="1" applyFill="1" applyBorder="1" applyAlignment="1"/>
    <xf numFmtId="169" fontId="61" fillId="11" borderId="7" xfId="16" applyNumberFormat="1" applyFont="1" applyFill="1" applyBorder="1" applyAlignment="1"/>
    <xf numFmtId="40" fontId="61" fillId="11" borderId="6" xfId="16" applyNumberFormat="1" applyFont="1" applyFill="1" applyBorder="1" applyAlignment="1"/>
    <xf numFmtId="0" fontId="8" fillId="0" borderId="0" xfId="154" quotePrefix="1" applyFont="1" applyAlignment="1"/>
    <xf numFmtId="0" fontId="8" fillId="0" borderId="0" xfId="156" applyFont="1" applyFill="1" applyBorder="1"/>
    <xf numFmtId="40" fontId="59" fillId="0" borderId="64" xfId="16" applyNumberFormat="1" applyFont="1" applyFill="1" applyBorder="1" applyAlignment="1">
      <alignment horizontal="center" shrinkToFit="1"/>
    </xf>
    <xf numFmtId="0" fontId="8" fillId="0" borderId="7" xfId="156" applyFont="1" applyFill="1" applyBorder="1"/>
    <xf numFmtId="0" fontId="59" fillId="0" borderId="7" xfId="156" applyFont="1" applyFill="1" applyBorder="1"/>
    <xf numFmtId="2" fontId="61" fillId="0" borderId="61" xfId="151" applyNumberFormat="1" applyFont="1" applyFill="1" applyBorder="1"/>
    <xf numFmtId="40" fontId="8" fillId="0" borderId="3" xfId="16" applyNumberFormat="1" applyFont="1" applyFill="1" applyBorder="1" applyAlignment="1">
      <alignment horizontal="center"/>
    </xf>
    <xf numFmtId="170" fontId="61" fillId="11" borderId="27" xfId="16" applyNumberFormat="1" applyFont="1" applyFill="1" applyBorder="1" applyAlignment="1"/>
    <xf numFmtId="40" fontId="8" fillId="11" borderId="27" xfId="16" applyNumberFormat="1" applyFont="1" applyFill="1" applyBorder="1" applyAlignment="1"/>
    <xf numFmtId="40" fontId="8" fillId="11" borderId="60" xfId="16" applyNumberFormat="1" applyFont="1" applyFill="1" applyBorder="1" applyAlignment="1"/>
    <xf numFmtId="40" fontId="8" fillId="0" borderId="0" xfId="16" applyNumberFormat="1" applyFont="1" applyFill="1" applyAlignment="1">
      <alignment vertical="center"/>
    </xf>
    <xf numFmtId="40" fontId="8" fillId="0" borderId="0" xfId="16" applyNumberFormat="1" applyFont="1" applyAlignment="1">
      <alignment vertical="center"/>
    </xf>
    <xf numFmtId="0" fontId="61" fillId="0" borderId="5" xfId="156" applyFont="1" applyFill="1" applyBorder="1"/>
    <xf numFmtId="40" fontId="61" fillId="12" borderId="60" xfId="142" applyNumberFormat="1" applyFont="1" applyFill="1" applyBorder="1" applyAlignment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40" fontId="59" fillId="0" borderId="6" xfId="16" applyNumberFormat="1" applyFont="1" applyFill="1" applyBorder="1" applyAlignment="1">
      <alignment horizontal="center" vertical="center" shrinkToFit="1"/>
    </xf>
    <xf numFmtId="40" fontId="61" fillId="11" borderId="8" xfId="16" applyNumberFormat="1" applyFont="1" applyFill="1" applyBorder="1" applyAlignment="1">
      <alignment horizontal="left" vertical="center"/>
    </xf>
    <xf numFmtId="40" fontId="61" fillId="0" borderId="6" xfId="16" applyNumberFormat="1" applyFont="1" applyFill="1" applyBorder="1" applyAlignment="1">
      <alignment vertical="center"/>
    </xf>
    <xf numFmtId="169" fontId="61" fillId="0" borderId="6" xfId="16" applyNumberFormat="1" applyFont="1" applyFill="1" applyBorder="1" applyAlignment="1">
      <alignment vertical="center"/>
    </xf>
    <xf numFmtId="170" fontId="61" fillId="0" borderId="6" xfId="16" applyNumberFormat="1" applyFont="1" applyFill="1" applyBorder="1" applyAlignment="1">
      <alignment vertical="center"/>
    </xf>
    <xf numFmtId="40" fontId="8" fillId="0" borderId="20" xfId="16" applyNumberFormat="1" applyFont="1" applyFill="1" applyBorder="1" applyAlignment="1">
      <alignment vertical="center"/>
    </xf>
    <xf numFmtId="0" fontId="8" fillId="0" borderId="0" xfId="156" applyFont="1" applyAlignment="1">
      <alignment vertical="center"/>
    </xf>
    <xf numFmtId="40" fontId="59" fillId="0" borderId="6" xfId="16" applyNumberFormat="1" applyFont="1" applyFill="1" applyBorder="1" applyAlignment="1">
      <alignment horizontal="center" vertical="center"/>
    </xf>
    <xf numFmtId="40" fontId="8" fillId="0" borderId="1" xfId="16" applyNumberFormat="1" applyFont="1" applyFill="1" applyBorder="1" applyAlignment="1">
      <alignment horizontal="left" vertical="center"/>
    </xf>
    <xf numFmtId="40" fontId="8" fillId="0" borderId="2" xfId="16" applyNumberFormat="1" applyFont="1" applyFill="1" applyBorder="1" applyAlignment="1">
      <alignment horizontal="center" vertical="center"/>
    </xf>
    <xf numFmtId="40" fontId="8" fillId="0" borderId="2" xfId="16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0" fontId="8" fillId="0" borderId="2" xfId="16" applyNumberFormat="1" applyFont="1" applyFill="1" applyBorder="1" applyAlignment="1">
      <alignment horizontal="right" vertical="center"/>
    </xf>
    <xf numFmtId="170" fontId="8" fillId="0" borderId="2" xfId="16" applyNumberFormat="1" applyFont="1" applyFill="1" applyBorder="1" applyAlignment="1">
      <alignment vertical="center"/>
    </xf>
    <xf numFmtId="40" fontId="34" fillId="9" borderId="72" xfId="16" applyNumberFormat="1" applyFont="1" applyFill="1" applyBorder="1" applyAlignment="1">
      <alignment vertical="center"/>
    </xf>
    <xf numFmtId="40" fontId="61" fillId="0" borderId="8" xfId="16" applyNumberFormat="1" applyFont="1" applyFill="1" applyBorder="1" applyAlignment="1">
      <alignment horizontal="left" vertical="center"/>
    </xf>
    <xf numFmtId="0" fontId="8" fillId="0" borderId="0" xfId="154" applyFont="1" applyAlignment="1">
      <alignment vertical="center"/>
    </xf>
    <xf numFmtId="40" fontId="8" fillId="0" borderId="0" xfId="16" applyNumberFormat="1" applyFont="1" applyBorder="1" applyAlignment="1">
      <alignment vertical="center"/>
    </xf>
    <xf numFmtId="40" fontId="59" fillId="0" borderId="7" xfId="1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vertical="center"/>
    </xf>
    <xf numFmtId="169" fontId="61" fillId="0" borderId="7" xfId="16" applyNumberFormat="1" applyFont="1" applyFill="1" applyBorder="1" applyAlignment="1">
      <alignment vertical="center"/>
    </xf>
    <xf numFmtId="170" fontId="61" fillId="0" borderId="7" xfId="16" applyNumberFormat="1" applyFont="1" applyFill="1" applyBorder="1" applyAlignment="1">
      <alignment vertical="center"/>
    </xf>
    <xf numFmtId="40" fontId="61" fillId="0" borderId="60" xfId="16" applyNumberFormat="1" applyFont="1" applyFill="1" applyBorder="1" applyAlignment="1">
      <alignment vertical="center"/>
    </xf>
    <xf numFmtId="0" fontId="8" fillId="0" borderId="43" xfId="156" applyFont="1" applyBorder="1" applyAlignment="1">
      <alignment vertical="center"/>
    </xf>
    <xf numFmtId="0" fontId="8" fillId="0" borderId="14" xfId="156" applyFont="1" applyBorder="1" applyAlignment="1">
      <alignment vertical="center"/>
    </xf>
    <xf numFmtId="0" fontId="61" fillId="0" borderId="43" xfId="156" applyFont="1" applyBorder="1" applyAlignment="1">
      <alignment horizontal="center" vertical="center"/>
    </xf>
    <xf numFmtId="0" fontId="61" fillId="0" borderId="81" xfId="156" applyFont="1" applyBorder="1" applyAlignment="1">
      <alignment horizontal="center" vertical="center"/>
    </xf>
    <xf numFmtId="0" fontId="61" fillId="0" borderId="57" xfId="156" applyFont="1" applyFill="1" applyBorder="1" applyAlignment="1">
      <alignment horizontal="center" vertical="center"/>
    </xf>
    <xf numFmtId="170" fontId="8" fillId="0" borderId="0" xfId="90" applyNumberFormat="1" applyFont="1" applyAlignment="1">
      <alignment vertical="center"/>
    </xf>
    <xf numFmtId="0" fontId="8" fillId="0" borderId="9" xfId="156" applyFont="1" applyBorder="1" applyAlignment="1">
      <alignment vertical="center"/>
    </xf>
    <xf numFmtId="40" fontId="61" fillId="0" borderId="21" xfId="16" applyNumberFormat="1" applyFont="1" applyFill="1" applyBorder="1" applyAlignment="1">
      <alignment horizontal="left" vertical="center"/>
    </xf>
    <xf numFmtId="40" fontId="61" fillId="0" borderId="38" xfId="16" applyNumberFormat="1" applyFont="1" applyFill="1" applyBorder="1" applyAlignment="1">
      <alignment vertical="center"/>
    </xf>
    <xf numFmtId="169" fontId="61" fillId="0" borderId="9" xfId="16" applyNumberFormat="1" applyFont="1" applyFill="1" applyBorder="1" applyAlignment="1">
      <alignment vertical="center"/>
    </xf>
    <xf numFmtId="40" fontId="61" fillId="0" borderId="9" xfId="16" applyNumberFormat="1" applyFont="1" applyFill="1" applyBorder="1" applyAlignment="1">
      <alignment vertical="center"/>
    </xf>
    <xf numFmtId="170" fontId="61" fillId="0" borderId="9" xfId="16" applyNumberFormat="1" applyFont="1" applyFill="1" applyBorder="1" applyAlignment="1">
      <alignment vertical="center"/>
    </xf>
    <xf numFmtId="40" fontId="61" fillId="0" borderId="87" xfId="16" applyNumberFormat="1" applyFont="1" applyFill="1" applyBorder="1" applyAlignment="1">
      <alignment vertical="center"/>
    </xf>
    <xf numFmtId="40" fontId="8" fillId="0" borderId="80" xfId="16" applyNumberFormat="1" applyFont="1" applyFill="1" applyBorder="1" applyAlignment="1">
      <alignment vertical="center"/>
    </xf>
    <xf numFmtId="0" fontId="8" fillId="0" borderId="53" xfId="156" applyFont="1" applyBorder="1" applyAlignment="1">
      <alignment vertical="center"/>
    </xf>
    <xf numFmtId="0" fontId="8" fillId="0" borderId="24" xfId="156" applyFont="1" applyBorder="1" applyAlignment="1">
      <alignment vertical="center"/>
    </xf>
    <xf numFmtId="0" fontId="61" fillId="0" borderId="6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 shrinkToFit="1"/>
    </xf>
    <xf numFmtId="0" fontId="61" fillId="0" borderId="76" xfId="156" applyFont="1" applyFill="1" applyBorder="1" applyAlignment="1">
      <alignment horizontal="center" vertical="center" shrinkToFit="1"/>
    </xf>
    <xf numFmtId="0" fontId="8" fillId="0" borderId="36" xfId="156" applyFont="1" applyBorder="1" applyAlignment="1">
      <alignment vertical="center"/>
    </xf>
    <xf numFmtId="40" fontId="61" fillId="0" borderId="36" xfId="16" applyNumberFormat="1" applyFont="1" applyFill="1" applyBorder="1" applyAlignment="1">
      <alignment horizontal="left" vertical="center"/>
    </xf>
    <xf numFmtId="0" fontId="61" fillId="0" borderId="36" xfId="156" applyFont="1" applyBorder="1" applyAlignment="1">
      <alignment vertical="center"/>
    </xf>
    <xf numFmtId="169" fontId="61" fillId="0" borderId="36" xfId="16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vertical="center"/>
    </xf>
    <xf numFmtId="170" fontId="61" fillId="0" borderId="36" xfId="16" applyNumberFormat="1" applyFont="1" applyFill="1" applyBorder="1" applyAlignment="1">
      <alignment vertical="center"/>
    </xf>
    <xf numFmtId="40" fontId="61" fillId="0" borderId="77" xfId="16" applyNumberFormat="1" applyFont="1" applyFill="1" applyBorder="1" applyAlignment="1">
      <alignment vertical="center"/>
    </xf>
    <xf numFmtId="40" fontId="8" fillId="0" borderId="54" xfId="16" applyNumberFormat="1" applyFont="1" applyFill="1" applyBorder="1" applyAlignment="1">
      <alignment vertical="center"/>
    </xf>
    <xf numFmtId="2" fontId="61" fillId="0" borderId="43" xfId="156" applyNumberFormat="1" applyFont="1" applyBorder="1" applyAlignment="1">
      <alignment vertical="center"/>
    </xf>
    <xf numFmtId="2" fontId="61" fillId="0" borderId="81" xfId="156" applyNumberFormat="1" applyFont="1" applyBorder="1" applyAlignment="1">
      <alignment vertical="center"/>
    </xf>
    <xf numFmtId="2" fontId="61" fillId="0" borderId="57" xfId="156" applyNumberFormat="1" applyFont="1" applyFill="1" applyBorder="1" applyAlignment="1">
      <alignment vertical="center"/>
    </xf>
    <xf numFmtId="40" fontId="60" fillId="0" borderId="53" xfId="16" applyNumberFormat="1" applyFont="1" applyBorder="1" applyAlignment="1">
      <alignment vertical="center"/>
    </xf>
    <xf numFmtId="40" fontId="59" fillId="0" borderId="24" xfId="16" applyNumberFormat="1" applyFont="1" applyFill="1" applyBorder="1" applyAlignment="1">
      <alignment vertical="center"/>
    </xf>
    <xf numFmtId="40" fontId="59" fillId="0" borderId="56" xfId="16" applyNumberFormat="1" applyFont="1" applyFill="1" applyBorder="1" applyAlignment="1">
      <alignment vertical="center"/>
    </xf>
    <xf numFmtId="40" fontId="59" fillId="0" borderId="24" xfId="16" applyNumberFormat="1" applyFont="1" applyFill="1" applyBorder="1" applyAlignment="1">
      <alignment horizontal="center" vertical="center"/>
    </xf>
    <xf numFmtId="40" fontId="59" fillId="0" borderId="24" xfId="16" applyNumberFormat="1" applyFont="1" applyBorder="1" applyAlignment="1">
      <alignment vertical="center"/>
    </xf>
    <xf numFmtId="170" fontId="8" fillId="0" borderId="24" xfId="16" applyNumberFormat="1" applyFont="1" applyBorder="1" applyAlignment="1">
      <alignment vertical="center"/>
    </xf>
    <xf numFmtId="40" fontId="8" fillId="0" borderId="78" xfId="16" applyNumberFormat="1" applyFont="1" applyFill="1" applyBorder="1" applyAlignment="1">
      <alignment horizontal="right" vertical="center"/>
    </xf>
    <xf numFmtId="40" fontId="34" fillId="0" borderId="63" xfId="16" applyNumberFormat="1" applyFont="1" applyBorder="1" applyAlignment="1">
      <alignment vertical="center"/>
    </xf>
    <xf numFmtId="0" fontId="8" fillId="0" borderId="27" xfId="156" applyFont="1" applyBorder="1" applyAlignment="1">
      <alignment vertical="center"/>
    </xf>
    <xf numFmtId="0" fontId="8" fillId="0" borderId="28" xfId="156" applyFont="1" applyBorder="1" applyAlignment="1">
      <alignment vertical="center"/>
    </xf>
    <xf numFmtId="2" fontId="61" fillId="0" borderId="27" xfId="156" applyNumberFormat="1" applyFont="1" applyBorder="1" applyAlignment="1">
      <alignment vertical="center"/>
    </xf>
    <xf numFmtId="2" fontId="61" fillId="0" borderId="83" xfId="156" applyNumberFormat="1" applyFont="1" applyBorder="1" applyAlignment="1">
      <alignment vertical="center"/>
    </xf>
    <xf numFmtId="2" fontId="61" fillId="0" borderId="83" xfId="156" applyNumberFormat="1" applyFont="1" applyFill="1" applyBorder="1" applyAlignment="1">
      <alignment vertical="center"/>
    </xf>
    <xf numFmtId="2" fontId="61" fillId="0" borderId="34" xfId="156" applyNumberFormat="1" applyFont="1" applyFill="1" applyBorder="1" applyAlignment="1">
      <alignment vertical="center"/>
    </xf>
    <xf numFmtId="40" fontId="59" fillId="0" borderId="6" xfId="16" applyNumberFormat="1" applyFont="1" applyBorder="1" applyAlignment="1">
      <alignment horizontal="center" vertical="center" shrinkToFit="1"/>
    </xf>
    <xf numFmtId="196" fontId="61" fillId="0" borderId="6" xfId="32" applyNumberFormat="1" applyFont="1" applyFill="1" applyBorder="1" applyAlignment="1">
      <alignment vertical="center"/>
    </xf>
    <xf numFmtId="40" fontId="61" fillId="0" borderId="61" xfId="16" applyNumberFormat="1" applyFont="1" applyFill="1" applyBorder="1" applyAlignment="1">
      <alignment vertical="center"/>
    </xf>
    <xf numFmtId="0" fontId="8" fillId="0" borderId="0" xfId="156" applyFont="1" applyFill="1" applyAlignment="1">
      <alignment vertical="center"/>
    </xf>
    <xf numFmtId="170" fontId="61" fillId="0" borderId="27" xfId="156" applyNumberFormat="1" applyFont="1" applyBorder="1" applyAlignment="1">
      <alignment vertical="center"/>
    </xf>
    <xf numFmtId="170" fontId="61" fillId="0" borderId="83" xfId="156" applyNumberFormat="1" applyFont="1" applyBorder="1" applyAlignment="1">
      <alignment vertical="center"/>
    </xf>
    <xf numFmtId="170" fontId="61" fillId="0" borderId="83" xfId="156" applyNumberFormat="1" applyFont="1" applyFill="1" applyBorder="1" applyAlignment="1">
      <alignment vertical="center"/>
    </xf>
    <xf numFmtId="170" fontId="61" fillId="0" borderId="34" xfId="156" applyNumberFormat="1" applyFont="1" applyFill="1" applyBorder="1" applyAlignment="1">
      <alignment vertical="center"/>
    </xf>
    <xf numFmtId="40" fontId="59" fillId="0" borderId="32" xfId="16" applyNumberFormat="1" applyFont="1" applyBorder="1" applyAlignment="1">
      <alignment vertical="center"/>
    </xf>
    <xf numFmtId="2" fontId="8" fillId="0" borderId="53" xfId="156" applyNumberFormat="1" applyFont="1" applyBorder="1" applyAlignment="1">
      <alignment vertical="center"/>
    </xf>
    <xf numFmtId="2" fontId="8" fillId="0" borderId="84" xfId="156" applyNumberFormat="1" applyFont="1" applyBorder="1" applyAlignment="1">
      <alignment vertical="center"/>
    </xf>
    <xf numFmtId="2" fontId="8" fillId="0" borderId="55" xfId="156" applyNumberFormat="1" applyFont="1" applyFill="1" applyBorder="1" applyAlignment="1">
      <alignment vertical="center"/>
    </xf>
    <xf numFmtId="40" fontId="61" fillId="0" borderId="34" xfId="16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horizontal="left" vertical="center"/>
    </xf>
    <xf numFmtId="40" fontId="61" fillId="0" borderId="33" xfId="16" applyNumberFormat="1" applyFont="1" applyFill="1" applyBorder="1" applyAlignment="1">
      <alignment vertical="center"/>
    </xf>
    <xf numFmtId="40" fontId="61" fillId="0" borderId="7" xfId="142" applyNumberFormat="1" applyFont="1" applyFill="1" applyBorder="1" applyAlignment="1">
      <alignment vertical="center"/>
    </xf>
    <xf numFmtId="40" fontId="61" fillId="0" borderId="6" xfId="142" applyNumberFormat="1" applyFont="1" applyFill="1" applyBorder="1" applyAlignment="1">
      <alignment vertical="center"/>
    </xf>
    <xf numFmtId="40" fontId="61" fillId="0" borderId="34" xfId="142" applyNumberFormat="1" applyFont="1" applyFill="1" applyBorder="1" applyAlignment="1">
      <alignment vertical="center"/>
    </xf>
    <xf numFmtId="169" fontId="61" fillId="0" borderId="6" xfId="142" applyNumberFormat="1" applyFont="1" applyFill="1" applyBorder="1" applyAlignment="1">
      <alignment vertical="center"/>
    </xf>
    <xf numFmtId="170" fontId="61" fillId="0" borderId="6" xfId="142" applyNumberFormat="1" applyFont="1" applyFill="1" applyBorder="1" applyAlignment="1">
      <alignment vertical="center"/>
    </xf>
    <xf numFmtId="0" fontId="8" fillId="0" borderId="49" xfId="156" applyFont="1" applyBorder="1" applyAlignment="1">
      <alignment vertical="center"/>
    </xf>
    <xf numFmtId="0" fontId="8" fillId="0" borderId="3" xfId="156" applyFont="1" applyBorder="1" applyAlignment="1">
      <alignment vertical="center"/>
    </xf>
    <xf numFmtId="0" fontId="8" fillId="0" borderId="17" xfId="156" applyFont="1" applyBorder="1" applyAlignment="1">
      <alignment vertical="center"/>
    </xf>
    <xf numFmtId="0" fontId="8" fillId="0" borderId="85" xfId="156" applyFont="1" applyBorder="1" applyAlignment="1">
      <alignment horizontal="center" vertical="center"/>
    </xf>
    <xf numFmtId="0" fontId="8" fillId="0" borderId="86" xfId="156" applyFont="1" applyBorder="1" applyAlignment="1">
      <alignment horizontal="center" vertical="center"/>
    </xf>
    <xf numFmtId="0" fontId="8" fillId="0" borderId="26" xfId="156" applyFont="1" applyBorder="1" applyAlignment="1">
      <alignment vertical="center"/>
    </xf>
    <xf numFmtId="0" fontId="8" fillId="0" borderId="15" xfId="156" applyFont="1" applyBorder="1" applyAlignment="1">
      <alignment vertical="center"/>
    </xf>
    <xf numFmtId="2" fontId="61" fillId="0" borderId="89" xfId="156" applyNumberFormat="1" applyFont="1" applyFill="1" applyBorder="1" applyAlignment="1">
      <alignment vertical="center"/>
    </xf>
    <xf numFmtId="2" fontId="61" fillId="0" borderId="90" xfId="156" applyNumberFormat="1" applyFont="1" applyFill="1" applyBorder="1" applyAlignment="1">
      <alignment vertical="center"/>
    </xf>
    <xf numFmtId="2" fontId="61" fillId="0" borderId="91" xfId="156" applyNumberFormat="1" applyFont="1" applyFill="1" applyBorder="1" applyAlignment="1">
      <alignment vertical="center"/>
    </xf>
    <xf numFmtId="2" fontId="61" fillId="0" borderId="92" xfId="15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horizontal="left" vertical="center"/>
    </xf>
    <xf numFmtId="2" fontId="61" fillId="0" borderId="61" xfId="151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vertical="center"/>
    </xf>
    <xf numFmtId="194" fontId="61" fillId="0" borderId="9" xfId="16" applyNumberFormat="1" applyFont="1" applyFill="1" applyBorder="1" applyAlignment="1">
      <alignment vertical="center"/>
    </xf>
    <xf numFmtId="40" fontId="8" fillId="0" borderId="30" xfId="16" applyNumberFormat="1" applyFont="1" applyFill="1" applyBorder="1" applyAlignment="1">
      <alignment vertical="center"/>
    </xf>
    <xf numFmtId="0" fontId="8" fillId="0" borderId="62" xfId="156" applyFont="1" applyBorder="1" applyAlignment="1">
      <alignment vertical="center"/>
    </xf>
    <xf numFmtId="0" fontId="8" fillId="0" borderId="70" xfId="156" applyFont="1" applyBorder="1" applyAlignment="1">
      <alignment vertical="center"/>
    </xf>
    <xf numFmtId="2" fontId="61" fillId="0" borderId="93" xfId="156" applyNumberFormat="1" applyFont="1" applyFill="1" applyBorder="1" applyAlignment="1">
      <alignment vertical="center"/>
    </xf>
    <xf numFmtId="2" fontId="61" fillId="0" borderId="94" xfId="156" applyNumberFormat="1" applyFont="1" applyFill="1" applyBorder="1" applyAlignment="1">
      <alignment vertical="center"/>
    </xf>
    <xf numFmtId="40" fontId="61" fillId="11" borderId="32" xfId="16" applyNumberFormat="1" applyFont="1" applyFill="1" applyBorder="1" applyAlignment="1">
      <alignment vertical="center"/>
    </xf>
    <xf numFmtId="40" fontId="61" fillId="11" borderId="9" xfId="16" applyNumberFormat="1" applyFont="1" applyFill="1" applyBorder="1" applyAlignment="1">
      <alignment vertical="center"/>
    </xf>
    <xf numFmtId="40" fontId="61" fillId="11" borderId="33" xfId="16" applyNumberFormat="1" applyFont="1" applyFill="1" applyBorder="1" applyAlignment="1">
      <alignment vertical="center"/>
    </xf>
    <xf numFmtId="169" fontId="61" fillId="11" borderId="9" xfId="16" applyNumberFormat="1" applyFont="1" applyFill="1" applyBorder="1" applyAlignment="1">
      <alignment vertical="center"/>
    </xf>
    <xf numFmtId="170" fontId="61" fillId="11" borderId="7" xfId="16" applyNumberFormat="1" applyFont="1" applyFill="1" applyBorder="1" applyAlignment="1">
      <alignment vertical="center"/>
    </xf>
    <xf numFmtId="40" fontId="61" fillId="11" borderId="61" xfId="16" applyNumberFormat="1" applyFont="1" applyFill="1" applyBorder="1" applyAlignment="1">
      <alignment vertical="center"/>
    </xf>
    <xf numFmtId="40" fontId="8" fillId="11" borderId="30" xfId="16" applyNumberFormat="1" applyFont="1" applyFill="1" applyBorder="1" applyAlignment="1">
      <alignment vertical="center"/>
    </xf>
    <xf numFmtId="40" fontId="59" fillId="0" borderId="32" xfId="16" applyNumberFormat="1" applyFont="1" applyFill="1" applyBorder="1" applyAlignment="1">
      <alignment vertical="center"/>
    </xf>
    <xf numFmtId="40" fontId="59" fillId="0" borderId="9" xfId="16" applyNumberFormat="1" applyFont="1" applyFill="1" applyBorder="1" applyAlignment="1">
      <alignment vertical="center"/>
    </xf>
    <xf numFmtId="40" fontId="59" fillId="0" borderId="33" xfId="16" applyNumberFormat="1" applyFont="1" applyFill="1" applyBorder="1" applyAlignment="1">
      <alignment horizontal="center" vertical="center"/>
    </xf>
    <xf numFmtId="195" fontId="59" fillId="0" borderId="7" xfId="32" applyNumberFormat="1" applyFont="1" applyFill="1" applyBorder="1" applyAlignment="1">
      <alignment vertical="center"/>
    </xf>
    <xf numFmtId="169" fontId="59" fillId="0" borderId="9" xfId="16" applyNumberFormat="1" applyFont="1" applyFill="1" applyBorder="1" applyAlignment="1">
      <alignment vertical="center"/>
    </xf>
    <xf numFmtId="170" fontId="13" fillId="0" borderId="7" xfId="16" applyNumberFormat="1" applyFont="1" applyFill="1" applyBorder="1" applyAlignment="1">
      <alignment vertical="center"/>
    </xf>
    <xf numFmtId="192" fontId="33" fillId="0" borderId="60" xfId="16" applyNumberFormat="1" applyFont="1" applyFill="1" applyBorder="1" applyAlignment="1">
      <alignment vertical="center"/>
    </xf>
    <xf numFmtId="0" fontId="61" fillId="0" borderId="5" xfId="156" applyFont="1" applyFill="1" applyBorder="1" applyAlignment="1">
      <alignment vertical="center"/>
    </xf>
    <xf numFmtId="0" fontId="8" fillId="0" borderId="0" xfId="156" applyFont="1" applyFill="1" applyBorder="1" applyAlignment="1">
      <alignment vertical="center"/>
    </xf>
    <xf numFmtId="40" fontId="8" fillId="7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169" fontId="61" fillId="13" borderId="6" xfId="16" applyNumberFormat="1" applyFont="1" applyFill="1" applyBorder="1" applyAlignment="1"/>
    <xf numFmtId="40" fontId="61" fillId="13" borderId="36" xfId="16" applyNumberFormat="1" applyFont="1" applyFill="1" applyBorder="1" applyAlignment="1"/>
    <xf numFmtId="169" fontId="61" fillId="13" borderId="6" xfId="192" applyNumberFormat="1" applyFont="1" applyFill="1" applyBorder="1" applyAlignment="1"/>
    <xf numFmtId="40" fontId="61" fillId="13" borderId="7" xfId="16" applyNumberFormat="1" applyFont="1" applyFill="1" applyBorder="1" applyAlignment="1"/>
    <xf numFmtId="169" fontId="61" fillId="13" borderId="7" xfId="16" applyNumberFormat="1" applyFont="1" applyFill="1" applyBorder="1" applyAlignment="1"/>
    <xf numFmtId="40" fontId="61" fillId="13" borderId="33" xfId="16" applyNumberFormat="1" applyFont="1" applyFill="1" applyBorder="1" applyAlignment="1"/>
    <xf numFmtId="169" fontId="61" fillId="13" borderId="36" xfId="192" applyNumberFormat="1" applyFont="1" applyFill="1" applyBorder="1" applyAlignment="1"/>
    <xf numFmtId="193" fontId="61" fillId="13" borderId="7" xfId="142" applyNumberFormat="1" applyFont="1" applyFill="1" applyBorder="1" applyAlignment="1"/>
    <xf numFmtId="40" fontId="10" fillId="13" borderId="27" xfId="16" applyNumberFormat="1" applyFont="1" applyFill="1" applyBorder="1" applyAlignment="1"/>
    <xf numFmtId="169" fontId="61" fillId="13" borderId="9" xfId="192" applyNumberFormat="1" applyFont="1" applyFill="1" applyBorder="1" applyAlignment="1"/>
    <xf numFmtId="40" fontId="61" fillId="13" borderId="6" xfId="16" applyNumberFormat="1" applyFont="1" applyFill="1" applyBorder="1" applyAlignment="1"/>
    <xf numFmtId="211" fontId="61" fillId="13" borderId="7" xfId="16" applyNumberFormat="1" applyFont="1" applyFill="1" applyBorder="1" applyAlignment="1"/>
    <xf numFmtId="40" fontId="61" fillId="13" borderId="70" xfId="16" applyNumberFormat="1" applyFont="1" applyFill="1" applyBorder="1" applyAlignment="1"/>
    <xf numFmtId="40" fontId="61" fillId="13" borderId="34" xfId="16" applyNumberFormat="1" applyFont="1" applyFill="1" applyBorder="1" applyAlignment="1"/>
    <xf numFmtId="193" fontId="61" fillId="13" borderId="9" xfId="142" applyNumberFormat="1" applyFont="1" applyFill="1" applyBorder="1" applyAlignment="1"/>
    <xf numFmtId="40" fontId="8" fillId="13" borderId="64" xfId="192" applyNumberFormat="1" applyFont="1" applyFill="1" applyBorder="1" applyAlignment="1"/>
    <xf numFmtId="40" fontId="8" fillId="13" borderId="27" xfId="192" applyNumberFormat="1" applyFont="1" applyFill="1" applyBorder="1" applyAlignment="1"/>
    <xf numFmtId="2" fontId="8" fillId="13" borderId="36" xfId="156" applyNumberFormat="1" applyFont="1" applyFill="1" applyBorder="1"/>
    <xf numFmtId="0" fontId="8" fillId="13" borderId="49" xfId="0" applyFont="1" applyFill="1" applyBorder="1" applyAlignment="1">
      <alignment horizontal="right" vertical="center"/>
    </xf>
    <xf numFmtId="2" fontId="8" fillId="0" borderId="9" xfId="156" applyNumberFormat="1" applyFont="1" applyFill="1" applyBorder="1"/>
    <xf numFmtId="170" fontId="8" fillId="0" borderId="9" xfId="156" applyNumberFormat="1" applyFont="1" applyFill="1" applyBorder="1"/>
    <xf numFmtId="2" fontId="8" fillId="0" borderId="74" xfId="156" applyNumberFormat="1" applyFont="1" applyFill="1" applyBorder="1"/>
    <xf numFmtId="2" fontId="8" fillId="13" borderId="9" xfId="156" applyNumberFormat="1" applyFont="1" applyFill="1" applyBorder="1"/>
    <xf numFmtId="0" fontId="8" fillId="0" borderId="33" xfId="156" applyFont="1" applyFill="1" applyBorder="1"/>
    <xf numFmtId="170" fontId="8" fillId="0" borderId="9" xfId="90" applyNumberFormat="1" applyFont="1" applyFill="1" applyBorder="1" applyAlignment="1"/>
    <xf numFmtId="2" fontId="8" fillId="0" borderId="95" xfId="156" applyNumberFormat="1" applyFont="1" applyFill="1" applyBorder="1"/>
    <xf numFmtId="2" fontId="61" fillId="14" borderId="61" xfId="151" applyNumberFormat="1" applyFont="1" applyFill="1" applyBorder="1"/>
    <xf numFmtId="40" fontId="61" fillId="0" borderId="34" xfId="192" applyNumberFormat="1" applyFont="1" applyFill="1" applyBorder="1" applyAlignment="1"/>
    <xf numFmtId="40" fontId="61" fillId="0" borderId="34" xfId="195" applyNumberFormat="1" applyFont="1" applyFill="1" applyBorder="1" applyAlignment="1"/>
    <xf numFmtId="40" fontId="8" fillId="0" borderId="0" xfId="192" applyNumberFormat="1" applyFont="1" applyFill="1" applyAlignment="1"/>
    <xf numFmtId="40" fontId="8" fillId="0" borderId="27" xfId="192" applyNumberFormat="1" applyFont="1" applyFill="1" applyBorder="1" applyAlignment="1"/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0" fontId="8" fillId="0" borderId="0" xfId="159" applyFont="1"/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0" fontId="8" fillId="0" borderId="3" xfId="156" applyFont="1" applyBorder="1"/>
    <xf numFmtId="2" fontId="8" fillId="0" borderId="0" xfId="156" applyNumberFormat="1" applyFo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2" xfId="0" applyFont="1" applyFill="1" applyBorder="1">
      <alignment vertical="center"/>
    </xf>
    <xf numFmtId="40" fontId="35" fillId="0" borderId="0" xfId="156" applyNumberFormat="1" applyFont="1"/>
    <xf numFmtId="0" fontId="8" fillId="0" borderId="38" xfId="156" applyFont="1" applyBorder="1"/>
    <xf numFmtId="0" fontId="8" fillId="0" borderId="68" xfId="156" applyFont="1" applyBorder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0" fontId="59" fillId="0" borderId="9" xfId="156" applyFont="1" applyBorder="1"/>
    <xf numFmtId="0" fontId="59" fillId="0" borderId="38" xfId="156" applyFont="1" applyBorder="1"/>
    <xf numFmtId="0" fontId="16" fillId="0" borderId="0" xfId="154" applyFont="1" applyFill="1"/>
    <xf numFmtId="0" fontId="8" fillId="0" borderId="0" xfId="154" applyFont="1" applyFill="1"/>
    <xf numFmtId="0" fontId="8" fillId="0" borderId="62" xfId="156" applyFont="1" applyFill="1" applyBorder="1"/>
    <xf numFmtId="0" fontId="8" fillId="0" borderId="21" xfId="156" applyFont="1" applyFill="1" applyBorder="1"/>
    <xf numFmtId="0" fontId="59" fillId="0" borderId="36" xfId="156" applyFont="1" applyBorder="1"/>
    <xf numFmtId="0" fontId="8" fillId="0" borderId="42" xfId="159" applyFont="1" applyFill="1" applyBorder="1"/>
    <xf numFmtId="0" fontId="62" fillId="0" borderId="0" xfId="154" applyFont="1" applyFill="1" applyAlignment="1">
      <alignment horizontal="center"/>
    </xf>
    <xf numFmtId="0" fontId="63" fillId="0" borderId="0" xfId="156" applyFont="1"/>
    <xf numFmtId="0" fontId="56" fillId="0" borderId="0" xfId="156" applyFo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0" fontId="8" fillId="0" borderId="9" xfId="156" applyFont="1" applyBorder="1"/>
    <xf numFmtId="40" fontId="8" fillId="0" borderId="0" xfId="156" applyNumberFormat="1" applyFont="1"/>
    <xf numFmtId="0" fontId="8" fillId="0" borderId="88" xfId="156" applyFont="1" applyBorder="1"/>
    <xf numFmtId="0" fontId="10" fillId="0" borderId="0" xfId="156" applyFont="1" applyFill="1" applyAlignment="1">
      <alignment horizontal="right"/>
    </xf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170" fontId="61" fillId="0" borderId="83" xfId="156" applyNumberFormat="1" applyFont="1" applyFill="1" applyBorder="1"/>
    <xf numFmtId="0" fontId="61" fillId="0" borderId="36" xfId="156" applyFont="1" applyBorder="1"/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0" fontId="8" fillId="0" borderId="0" xfId="154" quotePrefix="1" applyFont="1" applyAlignment="1"/>
    <xf numFmtId="0" fontId="8" fillId="0" borderId="0" xfId="156" applyFont="1" applyFill="1" applyBorder="1"/>
    <xf numFmtId="0" fontId="8" fillId="0" borderId="7" xfId="156" applyFont="1" applyFill="1" applyBorder="1"/>
    <xf numFmtId="0" fontId="59" fillId="0" borderId="7" xfId="156" applyFont="1" applyFill="1" applyBorder="1"/>
    <xf numFmtId="0" fontId="61" fillId="0" borderId="5" xfId="156" applyFont="1" applyFill="1" applyBorder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196" fontId="61" fillId="14" borderId="6" xfId="196" applyNumberFormat="1" applyFont="1" applyFill="1" applyBorder="1" applyAlignment="1"/>
    <xf numFmtId="40" fontId="61" fillId="14" borderId="6" xfId="195" applyNumberFormat="1" applyFont="1" applyFill="1" applyBorder="1" applyAlignment="1"/>
    <xf numFmtId="40" fontId="61" fillId="14" borderId="7" xfId="195" applyNumberFormat="1" applyFont="1" applyFill="1" applyBorder="1" applyAlignment="1"/>
    <xf numFmtId="40" fontId="61" fillId="14" borderId="32" xfId="195" applyNumberFormat="1" applyFont="1" applyFill="1" applyBorder="1" applyAlignment="1"/>
    <xf numFmtId="2" fontId="61" fillId="14" borderId="60" xfId="151" applyNumberFormat="1" applyFont="1" applyFill="1" applyBorder="1"/>
    <xf numFmtId="40" fontId="61" fillId="14" borderId="60" xfId="195" applyNumberFormat="1" applyFont="1" applyFill="1" applyBorder="1" applyAlignment="1"/>
    <xf numFmtId="2" fontId="61" fillId="14" borderId="83" xfId="156" applyNumberFormat="1" applyFont="1" applyFill="1" applyBorder="1"/>
    <xf numFmtId="196" fontId="61" fillId="14" borderId="7" xfId="196" applyNumberFormat="1" applyFont="1" applyFill="1" applyBorder="1" applyAlignment="1"/>
    <xf numFmtId="40" fontId="61" fillId="15" borderId="7" xfId="142" applyNumberFormat="1" applyFont="1" applyFill="1" applyBorder="1" applyAlignment="1"/>
    <xf numFmtId="40" fontId="61" fillId="15" borderId="9" xfId="142" applyNumberFormat="1" applyFont="1" applyFill="1" applyBorder="1" applyAlignment="1"/>
    <xf numFmtId="40" fontId="61" fillId="15" borderId="6" xfId="142" applyNumberFormat="1" applyFont="1" applyFill="1" applyBorder="1" applyAlignment="1"/>
    <xf numFmtId="40" fontId="61" fillId="15" borderId="7" xfId="16" applyNumberFormat="1" applyFont="1" applyFill="1" applyBorder="1" applyAlignment="1"/>
    <xf numFmtId="40" fontId="61" fillId="15" borderId="7" xfId="16" applyNumberFormat="1" applyFont="1" applyFill="1" applyBorder="1" applyAlignment="1">
      <alignment horizontal="left"/>
    </xf>
    <xf numFmtId="0" fontId="8" fillId="15" borderId="0" xfId="156" applyFont="1" applyFill="1"/>
    <xf numFmtId="40" fontId="8" fillId="15" borderId="0" xfId="156" applyNumberFormat="1" applyFont="1" applyFill="1"/>
    <xf numFmtId="212" fontId="61" fillId="14" borderId="33" xfId="192" applyNumberFormat="1" applyFont="1" applyFill="1" applyBorder="1" applyAlignment="1"/>
    <xf numFmtId="40" fontId="61" fillId="14" borderId="61" xfId="16" applyNumberFormat="1" applyFont="1" applyFill="1" applyBorder="1" applyAlignment="1"/>
    <xf numFmtId="169" fontId="61" fillId="14" borderId="61" xfId="16" applyNumberFormat="1" applyFont="1" applyFill="1" applyBorder="1" applyAlignment="1"/>
    <xf numFmtId="0" fontId="8" fillId="13" borderId="43" xfId="0" applyFont="1" applyFill="1" applyBorder="1" applyAlignment="1">
      <alignment horizontal="right" vertical="center"/>
    </xf>
    <xf numFmtId="40" fontId="61" fillId="0" borderId="96" xfId="16" applyNumberFormat="1" applyFont="1" applyFill="1" applyBorder="1" applyAlignment="1"/>
    <xf numFmtId="0" fontId="8" fillId="13" borderId="27" xfId="0" applyFont="1" applyFill="1" applyBorder="1" applyAlignment="1">
      <alignment horizontal="right" vertical="center"/>
    </xf>
    <xf numFmtId="210" fontId="8" fillId="13" borderId="27" xfId="0" applyNumberFormat="1" applyFont="1" applyFill="1" applyBorder="1" applyAlignment="1">
      <alignment horizontal="right" vertical="center" shrinkToFit="1"/>
    </xf>
    <xf numFmtId="40" fontId="8" fillId="14" borderId="64" xfId="16" applyNumberFormat="1" applyFont="1" applyFill="1" applyBorder="1" applyAlignment="1"/>
    <xf numFmtId="40" fontId="8" fillId="14" borderId="27" xfId="16" applyNumberFormat="1" applyFont="1" applyFill="1" applyBorder="1" applyAlignment="1"/>
    <xf numFmtId="40" fontId="8" fillId="14" borderId="32" xfId="16" applyNumberFormat="1" applyFont="1" applyFill="1" applyBorder="1" applyAlignment="1"/>
    <xf numFmtId="2" fontId="8" fillId="14" borderId="9" xfId="156" applyNumberFormat="1" applyFont="1" applyFill="1" applyBorder="1"/>
    <xf numFmtId="2" fontId="8" fillId="14" borderId="36" xfId="156" applyNumberFormat="1" applyFont="1" applyFill="1" applyBorder="1"/>
    <xf numFmtId="4" fontId="8" fillId="14" borderId="6" xfId="16" applyNumberFormat="1" applyFont="1" applyFill="1" applyBorder="1" applyAlignment="1"/>
    <xf numFmtId="4" fontId="8" fillId="14" borderId="38" xfId="16" applyNumberFormat="1" applyFont="1" applyFill="1" applyBorder="1" applyAlignment="1"/>
    <xf numFmtId="4" fontId="8" fillId="14" borderId="36" xfId="16" applyNumberFormat="1" applyFont="1" applyFill="1" applyBorder="1" applyAlignment="1"/>
    <xf numFmtId="4" fontId="8" fillId="14" borderId="59" xfId="16" applyNumberFormat="1" applyFont="1" applyFill="1" applyBorder="1" applyAlignment="1"/>
    <xf numFmtId="0" fontId="61" fillId="0" borderId="32" xfId="156" applyFont="1" applyFill="1" applyBorder="1"/>
    <xf numFmtId="0" fontId="61" fillId="0" borderId="62" xfId="156" applyFont="1" applyFill="1" applyBorder="1"/>
    <xf numFmtId="0" fontId="61" fillId="15" borderId="7" xfId="153" applyFont="1" applyFill="1" applyBorder="1" applyAlignment="1"/>
    <xf numFmtId="4" fontId="8" fillId="0" borderId="0" xfId="156" applyNumberFormat="1" applyFont="1"/>
    <xf numFmtId="0" fontId="65" fillId="0" borderId="0" xfId="156" applyFont="1" applyFill="1"/>
    <xf numFmtId="40" fontId="65" fillId="0" borderId="0" xfId="156" applyNumberFormat="1" applyFont="1"/>
    <xf numFmtId="0" fontId="65" fillId="0" borderId="0" xfId="156" applyFont="1"/>
    <xf numFmtId="0" fontId="8" fillId="16" borderId="0" xfId="156" applyFont="1" applyFill="1"/>
    <xf numFmtId="40" fontId="8" fillId="16" borderId="0" xfId="156" applyNumberFormat="1" applyFont="1" applyFill="1"/>
    <xf numFmtId="40" fontId="34" fillId="0" borderId="0" xfId="16" applyNumberFormat="1" applyFont="1" applyBorder="1" applyAlignment="1"/>
    <xf numFmtId="211" fontId="61" fillId="0" borderId="7" xfId="16" applyNumberFormat="1" applyFont="1" applyFill="1" applyBorder="1" applyAlignment="1"/>
    <xf numFmtId="4" fontId="8" fillId="0" borderId="20" xfId="16" applyNumberFormat="1" applyFont="1" applyFill="1" applyBorder="1" applyAlignment="1"/>
    <xf numFmtId="14" fontId="8" fillId="0" borderId="0" xfId="16" applyNumberFormat="1" applyFont="1" applyFill="1" applyAlignment="1">
      <alignment horizontal="right"/>
    </xf>
    <xf numFmtId="38" fontId="10" fillId="0" borderId="0" xfId="141" applyFont="1" applyFill="1" applyAlignment="1">
      <alignment vertical="center"/>
    </xf>
    <xf numFmtId="0" fontId="8" fillId="0" borderId="0" xfId="154" quotePrefix="1" applyFont="1" applyFill="1" applyAlignment="1"/>
    <xf numFmtId="0" fontId="8" fillId="0" borderId="0" xfId="154" quotePrefix="1" applyFont="1" applyFill="1" applyAlignment="1">
      <alignment horizontal="right"/>
    </xf>
    <xf numFmtId="0" fontId="63" fillId="0" borderId="0" xfId="156" applyFont="1" applyFill="1"/>
    <xf numFmtId="0" fontId="56" fillId="0" borderId="0" xfId="156" applyFont="1" applyFill="1"/>
    <xf numFmtId="0" fontId="8" fillId="0" borderId="0" xfId="154" applyFont="1" applyFill="1" applyAlignment="1"/>
    <xf numFmtId="0" fontId="8" fillId="0" borderId="0" xfId="159" applyFont="1" applyFill="1"/>
    <xf numFmtId="40" fontId="8" fillId="0" borderId="12" xfId="16" applyNumberFormat="1" applyFont="1" applyFill="1" applyBorder="1" applyAlignment="1">
      <alignment horizontal="center" wrapText="1"/>
    </xf>
    <xf numFmtId="40" fontId="8" fillId="0" borderId="13" xfId="16" applyNumberFormat="1" applyFont="1" applyFill="1" applyBorder="1" applyAlignment="1">
      <alignment horizontal="center" wrapText="1"/>
    </xf>
    <xf numFmtId="169" fontId="61" fillId="0" borderId="6" xfId="192" applyNumberFormat="1" applyFont="1" applyFill="1" applyBorder="1" applyAlignment="1"/>
    <xf numFmtId="169" fontId="61" fillId="0" borderId="9" xfId="192" applyNumberFormat="1" applyFont="1" applyFill="1" applyBorder="1" applyAlignment="1"/>
    <xf numFmtId="169" fontId="61" fillId="0" borderId="36" xfId="192" applyNumberFormat="1" applyFont="1" applyFill="1" applyBorder="1" applyAlignment="1"/>
    <xf numFmtId="40" fontId="13" fillId="0" borderId="3" xfId="16" applyNumberFormat="1" applyFont="1" applyFill="1" applyBorder="1" applyAlignment="1"/>
    <xf numFmtId="0" fontId="8" fillId="0" borderId="0" xfId="158" applyFont="1" applyFill="1"/>
    <xf numFmtId="40" fontId="2" fillId="0" borderId="49" xfId="16" applyNumberFormat="1" applyFont="1" applyFill="1" applyBorder="1" applyAlignment="1"/>
    <xf numFmtId="40" fontId="8" fillId="0" borderId="17" xfId="16" applyNumberFormat="1" applyFont="1" applyFill="1" applyBorder="1" applyAlignment="1"/>
    <xf numFmtId="40" fontId="8" fillId="0" borderId="18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left"/>
    </xf>
    <xf numFmtId="40" fontId="8" fillId="0" borderId="0" xfId="16" applyNumberFormat="1" applyFont="1" applyFill="1" applyBorder="1" applyAlignment="1">
      <alignment horizontal="center"/>
    </xf>
    <xf numFmtId="40" fontId="12" fillId="0" borderId="0" xfId="16" applyNumberFormat="1" applyFont="1" applyFill="1" applyBorder="1" applyAlignment="1">
      <alignment horizontal="left"/>
    </xf>
    <xf numFmtId="40" fontId="0" fillId="0" borderId="0" xfId="16" applyNumberFormat="1" applyFont="1" applyFill="1" applyAlignment="1"/>
    <xf numFmtId="40" fontId="10" fillId="0" borderId="19" xfId="16" applyNumberFormat="1" applyFont="1" applyFill="1" applyBorder="1" applyAlignment="1"/>
    <xf numFmtId="10" fontId="13" fillId="0" borderId="6" xfId="16" applyNumberFormat="1" applyFont="1" applyFill="1" applyBorder="1" applyAlignment="1"/>
    <xf numFmtId="38" fontId="13" fillId="0" borderId="6" xfId="16" applyNumberFormat="1" applyFont="1" applyFill="1" applyBorder="1" applyAlignment="1"/>
    <xf numFmtId="40" fontId="1" fillId="0" borderId="49" xfId="16" applyNumberFormat="1" applyFont="1" applyFill="1" applyBorder="1" applyAlignment="1"/>
    <xf numFmtId="40" fontId="1" fillId="0" borderId="0" xfId="16" applyNumberFormat="1" applyFont="1" applyFill="1" applyAlignment="1"/>
    <xf numFmtId="40" fontId="8" fillId="0" borderId="10" xfId="16" applyNumberFormat="1" applyFont="1" applyFill="1" applyBorder="1" applyAlignment="1">
      <alignment horizontal="centerContinuous"/>
    </xf>
    <xf numFmtId="40" fontId="8" fillId="0" borderId="11" xfId="16" applyNumberFormat="1" applyFont="1" applyFill="1" applyBorder="1" applyAlignment="1">
      <alignment horizontal="centerContinuous"/>
    </xf>
    <xf numFmtId="40" fontId="8" fillId="0" borderId="12" xfId="16" applyNumberFormat="1" applyFont="1" applyFill="1" applyBorder="1" applyAlignment="1">
      <alignment horizontal="center"/>
    </xf>
    <xf numFmtId="40" fontId="8" fillId="0" borderId="12" xfId="16" quotePrefix="1" applyNumberFormat="1" applyFont="1" applyFill="1" applyBorder="1" applyAlignment="1">
      <alignment horizontal="center"/>
    </xf>
    <xf numFmtId="40" fontId="8" fillId="0" borderId="13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Continuous" wrapText="1"/>
    </xf>
    <xf numFmtId="40" fontId="8" fillId="0" borderId="39" xfId="16" applyNumberFormat="1" applyFont="1" applyFill="1" applyBorder="1" applyAlignment="1">
      <alignment horizontal="centerContinuous" wrapText="1"/>
    </xf>
    <xf numFmtId="40" fontId="8" fillId="0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Fill="1" applyBorder="1" applyAlignment="1">
      <alignment vertical="center" wrapText="1"/>
    </xf>
    <xf numFmtId="40" fontId="8" fillId="0" borderId="44" xfId="16" applyNumberFormat="1" applyFont="1" applyFill="1" applyBorder="1" applyAlignment="1">
      <alignment vertical="center" wrapText="1"/>
    </xf>
    <xf numFmtId="0" fontId="8" fillId="0" borderId="5" xfId="154" applyFont="1" applyFill="1" applyBorder="1" applyAlignment="1">
      <alignment horizontal="center"/>
    </xf>
    <xf numFmtId="0" fontId="8" fillId="0" borderId="45" xfId="154" applyFont="1" applyFill="1" applyBorder="1"/>
    <xf numFmtId="172" fontId="8" fillId="0" borderId="46" xfId="154" applyNumberFormat="1" applyFont="1" applyFill="1" applyBorder="1"/>
    <xf numFmtId="172" fontId="8" fillId="0" borderId="47" xfId="154" applyNumberFormat="1" applyFont="1" applyFill="1" applyBorder="1"/>
    <xf numFmtId="172" fontId="8" fillId="0" borderId="48" xfId="154" applyNumberFormat="1" applyFont="1" applyFill="1" applyBorder="1"/>
    <xf numFmtId="172" fontId="8" fillId="0" borderId="0" xfId="154" applyNumberFormat="1" applyFont="1" applyFill="1"/>
    <xf numFmtId="208" fontId="8" fillId="0" borderId="0" xfId="156" applyNumberFormat="1" applyFont="1" applyFill="1"/>
    <xf numFmtId="209" fontId="8" fillId="0" borderId="0" xfId="156" applyNumberFormat="1" applyFont="1" applyFill="1"/>
    <xf numFmtId="172" fontId="8" fillId="0" borderId="16" xfId="154" applyNumberFormat="1" applyFont="1" applyFill="1" applyBorder="1"/>
    <xf numFmtId="40" fontId="8" fillId="0" borderId="0" xfId="156" applyNumberFormat="1" applyFont="1" applyFill="1"/>
    <xf numFmtId="0" fontId="8" fillId="0" borderId="36" xfId="156" applyFont="1" applyFill="1" applyBorder="1"/>
    <xf numFmtId="0" fontId="8" fillId="0" borderId="67" xfId="156" applyFont="1" applyFill="1" applyBorder="1"/>
    <xf numFmtId="0" fontId="8" fillId="0" borderId="53" xfId="154" applyFont="1" applyFill="1" applyBorder="1"/>
    <xf numFmtId="172" fontId="8" fillId="0" borderId="54" xfId="154" applyNumberFormat="1" applyFont="1" applyFill="1" applyBorder="1" applyAlignment="1">
      <alignment horizontal="right"/>
    </xf>
    <xf numFmtId="172" fontId="8" fillId="0" borderId="55" xfId="154" applyNumberFormat="1" applyFont="1" applyFill="1" applyBorder="1" applyAlignment="1">
      <alignment horizontal="right"/>
    </xf>
    <xf numFmtId="172" fontId="8" fillId="0" borderId="56" xfId="154" applyNumberFormat="1" applyFont="1" applyFill="1" applyBorder="1" applyAlignment="1">
      <alignment horizontal="right"/>
    </xf>
    <xf numFmtId="40" fontId="60" fillId="0" borderId="49" xfId="16" applyNumberFormat="1" applyFont="1" applyFill="1" applyBorder="1" applyAlignment="1"/>
    <xf numFmtId="172" fontId="8" fillId="0" borderId="16" xfId="154" applyNumberFormat="1" applyFont="1" applyFill="1" applyBorder="1" applyAlignment="1">
      <alignment horizontal="right"/>
    </xf>
    <xf numFmtId="172" fontId="8" fillId="0" borderId="5" xfId="154" applyNumberFormat="1" applyFont="1" applyFill="1" applyBorder="1" applyAlignment="1">
      <alignment horizontal="right"/>
    </xf>
    <xf numFmtId="40" fontId="59" fillId="0" borderId="59" xfId="16" applyNumberFormat="1" applyFont="1" applyFill="1" applyBorder="1" applyAlignment="1">
      <alignment horizontal="center" shrinkToFit="1"/>
    </xf>
    <xf numFmtId="196" fontId="61" fillId="0" borderId="7" xfId="196" applyNumberFormat="1" applyFont="1" applyFill="1" applyBorder="1" applyAlignment="1"/>
    <xf numFmtId="0" fontId="8" fillId="0" borderId="75" xfId="156" applyFont="1" applyFill="1" applyBorder="1"/>
    <xf numFmtId="40" fontId="1" fillId="0" borderId="49" xfId="16" applyNumberFormat="1" applyFont="1" applyFill="1" applyBorder="1" applyAlignment="1">
      <alignment horizontal="left"/>
    </xf>
    <xf numFmtId="40" fontId="8" fillId="0" borderId="3" xfId="16" applyNumberFormat="1" applyFont="1" applyFill="1" applyBorder="1" applyAlignment="1">
      <alignment horizontal="left"/>
    </xf>
    <xf numFmtId="40" fontId="8" fillId="0" borderId="24" xfId="16" applyNumberFormat="1" applyFont="1" applyFill="1" applyBorder="1" applyAlignment="1">
      <alignment horizontal="center"/>
    </xf>
    <xf numFmtId="40" fontId="34" fillId="0" borderId="63" xfId="16" applyNumberFormat="1" applyFont="1" applyFill="1" applyBorder="1" applyAlignment="1"/>
    <xf numFmtId="172" fontId="8" fillId="0" borderId="54" xfId="154" applyNumberFormat="1" applyFont="1" applyFill="1" applyBorder="1"/>
    <xf numFmtId="172" fontId="8" fillId="0" borderId="56" xfId="154" applyNumberFormat="1" applyFont="1" applyFill="1" applyBorder="1"/>
    <xf numFmtId="40" fontId="8" fillId="0" borderId="11" xfId="16" applyNumberFormat="1" applyFont="1" applyFill="1" applyBorder="1" applyAlignment="1">
      <alignment horizontal="centerContinuous" wrapText="1"/>
    </xf>
    <xf numFmtId="40" fontId="8" fillId="0" borderId="12" xfId="16" quotePrefix="1" applyNumberFormat="1" applyFont="1" applyFill="1" applyBorder="1" applyAlignment="1">
      <alignment horizontal="center" wrapText="1"/>
    </xf>
    <xf numFmtId="40" fontId="59" fillId="0" borderId="23" xfId="16" applyNumberFormat="1" applyFont="1" applyFill="1" applyBorder="1" applyAlignment="1">
      <alignment horizontal="center" shrinkToFit="1"/>
    </xf>
    <xf numFmtId="40" fontId="60" fillId="0" borderId="8" xfId="16" applyNumberFormat="1" applyFont="1" applyFill="1" applyBorder="1" applyAlignment="1"/>
    <xf numFmtId="40" fontId="60" fillId="0" borderId="6" xfId="16" applyNumberFormat="1" applyFont="1" applyFill="1" applyBorder="1" applyAlignment="1"/>
    <xf numFmtId="169" fontId="60" fillId="0" borderId="6" xfId="16" applyNumberFormat="1" applyFont="1" applyFill="1" applyBorder="1" applyAlignment="1"/>
    <xf numFmtId="40" fontId="59" fillId="0" borderId="6" xfId="16" applyNumberFormat="1" applyFont="1" applyFill="1" applyBorder="1" applyAlignment="1"/>
    <xf numFmtId="40" fontId="1" fillId="0" borderId="80" xfId="16" applyNumberFormat="1" applyFont="1" applyFill="1" applyBorder="1" applyAlignment="1"/>
    <xf numFmtId="172" fontId="8" fillId="0" borderId="55" xfId="154" applyNumberFormat="1" applyFont="1" applyFill="1" applyBorder="1"/>
    <xf numFmtId="170" fontId="8" fillId="0" borderId="3" xfId="16" applyNumberFormat="1" applyFont="1" applyFill="1" applyBorder="1" applyAlignment="1"/>
    <xf numFmtId="40" fontId="35" fillId="0" borderId="0" xfId="156" applyNumberFormat="1" applyFont="1" applyFill="1"/>
    <xf numFmtId="40" fontId="61" fillId="0" borderId="7" xfId="195" applyNumberFormat="1" applyFont="1" applyFill="1" applyBorder="1" applyAlignment="1"/>
    <xf numFmtId="40" fontId="8" fillId="0" borderId="24" xfId="16" applyNumberFormat="1" applyFont="1" applyFill="1" applyBorder="1" applyAlignment="1">
      <alignment horizontal="left"/>
    </xf>
    <xf numFmtId="0" fontId="59" fillId="0" borderId="9" xfId="156" applyFont="1" applyFill="1" applyBorder="1"/>
    <xf numFmtId="0" fontId="8" fillId="0" borderId="63" xfId="156" applyFont="1" applyFill="1" applyBorder="1"/>
    <xf numFmtId="0" fontId="8" fillId="0" borderId="53" xfId="156" applyFont="1" applyFill="1" applyBorder="1"/>
    <xf numFmtId="0" fontId="8" fillId="0" borderId="55" xfId="156" applyFont="1" applyFill="1" applyBorder="1"/>
    <xf numFmtId="0" fontId="8" fillId="0" borderId="56" xfId="156" applyFont="1" applyFill="1" applyBorder="1"/>
    <xf numFmtId="0" fontId="8" fillId="0" borderId="77" xfId="156" applyFont="1" applyFill="1" applyBorder="1"/>
    <xf numFmtId="0" fontId="8" fillId="0" borderId="78" xfId="156" applyFont="1" applyFill="1" applyBorder="1"/>
    <xf numFmtId="0" fontId="8" fillId="0" borderId="3" xfId="156" applyFont="1" applyFill="1" applyBorder="1"/>
    <xf numFmtId="40" fontId="1" fillId="0" borderId="0" xfId="16" applyNumberFormat="1" applyFont="1" applyFill="1" applyBorder="1" applyAlignment="1"/>
    <xf numFmtId="40" fontId="34" fillId="0" borderId="40" xfId="16" applyNumberFormat="1" applyFont="1" applyFill="1" applyBorder="1" applyAlignment="1"/>
    <xf numFmtId="40" fontId="8" fillId="0" borderId="0" xfId="16" applyNumberFormat="1" applyFont="1" applyFill="1" applyBorder="1" applyAlignment="1">
      <alignment vertical="center" wrapText="1"/>
    </xf>
    <xf numFmtId="40" fontId="34" fillId="0" borderId="4" xfId="16" applyNumberFormat="1" applyFont="1" applyFill="1" applyBorder="1" applyAlignment="1"/>
    <xf numFmtId="40" fontId="8" fillId="0" borderId="26" xfId="16" applyNumberFormat="1" applyFont="1" applyFill="1" applyBorder="1" applyAlignment="1"/>
    <xf numFmtId="170" fontId="61" fillId="0" borderId="31" xfId="16" applyNumberFormat="1" applyFont="1" applyFill="1" applyBorder="1" applyAlignment="1"/>
    <xf numFmtId="40" fontId="1" fillId="0" borderId="31" xfId="16" applyNumberFormat="1" applyFont="1" applyFill="1" applyBorder="1" applyAlignment="1"/>
    <xf numFmtId="4" fontId="8" fillId="0" borderId="0" xfId="156" applyNumberFormat="1" applyFont="1" applyFill="1"/>
    <xf numFmtId="2" fontId="8" fillId="0" borderId="0" xfId="156" applyNumberFormat="1" applyFont="1" applyFill="1"/>
    <xf numFmtId="0" fontId="8" fillId="0" borderId="15" xfId="0" applyFont="1" applyFill="1" applyBorder="1">
      <alignment vertical="center"/>
    </xf>
    <xf numFmtId="40" fontId="8" fillId="0" borderId="15" xfId="16" applyNumberFormat="1" applyFont="1" applyFill="1" applyBorder="1" applyAlignment="1">
      <alignment horizontal="right"/>
    </xf>
    <xf numFmtId="170" fontId="13" fillId="0" borderId="15" xfId="16" applyNumberFormat="1" applyFont="1" applyFill="1" applyBorder="1" applyAlignment="1"/>
    <xf numFmtId="40" fontId="8" fillId="0" borderId="21" xfId="16" applyNumberFormat="1" applyFont="1" applyFill="1" applyBorder="1" applyAlignment="1">
      <alignment horizontal="left"/>
    </xf>
    <xf numFmtId="40" fontId="8" fillId="0" borderId="21" xfId="16" applyNumberFormat="1" applyFont="1" applyFill="1" applyBorder="1" applyAlignment="1">
      <alignment horizontal="center"/>
    </xf>
    <xf numFmtId="0" fontId="8" fillId="0" borderId="0" xfId="0" applyFont="1" applyFill="1" applyBorder="1">
      <alignment vertical="center"/>
    </xf>
    <xf numFmtId="170" fontId="61" fillId="0" borderId="35" xfId="16" applyNumberFormat="1" applyFont="1" applyFill="1" applyBorder="1" applyAlignment="1"/>
    <xf numFmtId="40" fontId="1" fillId="0" borderId="35" xfId="16" applyNumberFormat="1" applyFont="1" applyFill="1" applyBorder="1" applyAlignment="1"/>
    <xf numFmtId="40" fontId="34" fillId="0" borderId="72" xfId="16" applyNumberFormat="1" applyFont="1" applyFill="1" applyBorder="1" applyAlignment="1"/>
    <xf numFmtId="0" fontId="8" fillId="0" borderId="9" xfId="156" applyFont="1" applyFill="1" applyBorder="1"/>
    <xf numFmtId="0" fontId="61" fillId="0" borderId="36" xfId="156" applyFont="1" applyFill="1" applyBorder="1"/>
    <xf numFmtId="40" fontId="60" fillId="0" borderId="53" xfId="16" applyNumberFormat="1" applyFont="1" applyFill="1" applyBorder="1" applyAlignment="1"/>
    <xf numFmtId="170" fontId="8" fillId="0" borderId="24" xfId="16" applyNumberFormat="1" applyFont="1" applyFill="1" applyBorder="1" applyAlignment="1"/>
    <xf numFmtId="40" fontId="34" fillId="0" borderId="0" xfId="16" applyNumberFormat="1" applyFont="1" applyFill="1" applyBorder="1" applyAlignment="1"/>
    <xf numFmtId="196" fontId="61" fillId="0" borderId="6" xfId="196" applyNumberFormat="1" applyFont="1" applyFill="1" applyBorder="1" applyAlignment="1"/>
    <xf numFmtId="40" fontId="61" fillId="0" borderId="61" xfId="192" applyNumberFormat="1" applyFont="1" applyFill="1" applyBorder="1" applyAlignment="1"/>
    <xf numFmtId="4" fontId="65" fillId="0" borderId="0" xfId="156" applyNumberFormat="1" applyFont="1" applyFill="1"/>
    <xf numFmtId="40" fontId="59" fillId="0" borderId="56" xfId="16" applyNumberFormat="1" applyFont="1" applyFill="1" applyBorder="1" applyAlignment="1">
      <alignment horizontal="center"/>
    </xf>
    <xf numFmtId="40" fontId="61" fillId="0" borderId="23" xfId="141" applyNumberFormat="1" applyFont="1" applyFill="1" applyBorder="1" applyAlignment="1">
      <alignment horizontal="left" vertical="center"/>
    </xf>
    <xf numFmtId="0" fontId="8" fillId="0" borderId="64" xfId="0" applyFont="1" applyFill="1" applyBorder="1" applyAlignment="1">
      <alignment horizontal="right" vertical="center"/>
    </xf>
    <xf numFmtId="40" fontId="61" fillId="0" borderId="23" xfId="141" applyNumberFormat="1" applyFont="1" applyFill="1" applyBorder="1" applyAlignment="1">
      <alignment vertical="center"/>
    </xf>
    <xf numFmtId="0" fontId="8" fillId="0" borderId="27" xfId="0" applyFont="1" applyFill="1" applyBorder="1" applyAlignment="1">
      <alignment horizontal="right" vertical="center"/>
    </xf>
    <xf numFmtId="211" fontId="61" fillId="0" borderId="0" xfId="16" applyNumberFormat="1" applyFont="1" applyFill="1" applyBorder="1" applyAlignment="1"/>
    <xf numFmtId="170" fontId="61" fillId="0" borderId="0" xfId="16" applyNumberFormat="1" applyFont="1" applyFill="1" applyBorder="1" applyAlignment="1"/>
    <xf numFmtId="4" fontId="8" fillId="0" borderId="0" xfId="16" applyNumberFormat="1" applyFont="1" applyFill="1" applyBorder="1" applyAlignment="1"/>
    <xf numFmtId="4" fontId="8" fillId="0" borderId="0" xfId="156" applyNumberFormat="1" applyFont="1" applyFill="1" applyBorder="1"/>
    <xf numFmtId="40" fontId="8" fillId="0" borderId="12" xfId="16" applyNumberFormat="1" applyFont="1" applyFill="1" applyBorder="1" applyAlignment="1">
      <alignment horizontal="centerContinuous" wrapText="1"/>
    </xf>
    <xf numFmtId="2" fontId="61" fillId="0" borderId="0" xfId="156" applyNumberFormat="1" applyFont="1" applyFill="1" applyBorder="1"/>
    <xf numFmtId="0" fontId="8" fillId="0" borderId="0" xfId="156" applyFont="1" applyFill="1" applyBorder="1" applyAlignment="1">
      <alignment horizontal="center"/>
    </xf>
    <xf numFmtId="40" fontId="8" fillId="0" borderId="0" xfId="156" applyNumberFormat="1" applyFont="1" applyFill="1" applyBorder="1"/>
    <xf numFmtId="0" fontId="61" fillId="0" borderId="0" xfId="156" applyFont="1" applyFill="1" applyBorder="1"/>
    <xf numFmtId="0" fontId="65" fillId="0" borderId="0" xfId="156" applyFont="1" applyFill="1" applyBorder="1"/>
    <xf numFmtId="40" fontId="65" fillId="0" borderId="0" xfId="156" applyNumberFormat="1" applyFont="1" applyFill="1" applyBorder="1"/>
    <xf numFmtId="1" fontId="8" fillId="0" borderId="27" xfId="0" applyNumberFormat="1" applyFont="1" applyFill="1" applyBorder="1" applyAlignment="1">
      <alignment horizontal="right" vertical="center" shrinkToFit="1"/>
    </xf>
    <xf numFmtId="40" fontId="8" fillId="14" borderId="0" xfId="192" applyNumberFormat="1" applyFont="1" applyFill="1" applyAlignment="1"/>
    <xf numFmtId="40" fontId="61" fillId="14" borderId="7" xfId="142" applyNumberFormat="1" applyFont="1" applyFill="1" applyBorder="1" applyAlignment="1">
      <alignment horizontal="left"/>
    </xf>
    <xf numFmtId="40" fontId="61" fillId="0" borderId="60" xfId="195" applyNumberFormat="1" applyFont="1" applyFill="1" applyBorder="1" applyAlignment="1"/>
    <xf numFmtId="38" fontId="61" fillId="0" borderId="7" xfId="142" applyNumberFormat="1" applyFont="1" applyFill="1" applyBorder="1" applyAlignment="1"/>
    <xf numFmtId="0" fontId="8" fillId="14" borderId="63" xfId="156" applyFont="1" applyFill="1" applyBorder="1"/>
    <xf numFmtId="40" fontId="61" fillId="0" borderId="32" xfId="195" applyNumberFormat="1" applyFont="1" applyFill="1" applyBorder="1" applyAlignment="1"/>
    <xf numFmtId="40" fontId="61" fillId="0" borderId="6" xfId="195" applyNumberFormat="1" applyFont="1" applyFill="1" applyBorder="1" applyAlignment="1"/>
    <xf numFmtId="40" fontId="61" fillId="0" borderId="7" xfId="195" applyNumberFormat="1" applyFont="1" applyBorder="1" applyAlignment="1"/>
    <xf numFmtId="40" fontId="61" fillId="0" borderId="7" xfId="195" applyNumberFormat="1" applyFont="1" applyBorder="1" applyAlignment="1">
      <alignment horizontal="left"/>
    </xf>
    <xf numFmtId="170" fontId="61" fillId="0" borderId="7" xfId="195" applyNumberFormat="1" applyFont="1" applyBorder="1" applyAlignment="1"/>
    <xf numFmtId="40" fontId="8" fillId="0" borderId="30" xfId="195" applyNumberFormat="1" applyFont="1" applyBorder="1" applyAlignment="1"/>
    <xf numFmtId="40" fontId="61" fillId="0" borderId="9" xfId="195" applyNumberFormat="1" applyFont="1" applyBorder="1" applyAlignment="1"/>
    <xf numFmtId="0" fontId="61" fillId="0" borderId="9" xfId="157" quotePrefix="1" applyFont="1" applyBorder="1" applyAlignment="1">
      <alignment horizontal="left"/>
    </xf>
    <xf numFmtId="193" fontId="61" fillId="0" borderId="9" xfId="195" applyNumberFormat="1" applyFont="1" applyBorder="1" applyAlignment="1"/>
    <xf numFmtId="38" fontId="61" fillId="0" borderId="7" xfId="195" applyNumberFormat="1" applyFont="1" applyBorder="1" applyAlignment="1"/>
    <xf numFmtId="40" fontId="61" fillId="14" borderId="6" xfId="142" applyNumberFormat="1" applyFont="1" applyFill="1" applyBorder="1" applyAlignment="1"/>
    <xf numFmtId="40" fontId="61" fillId="14" borderId="7" xfId="16" applyNumberFormat="1" applyFont="1" applyFill="1" applyBorder="1" applyAlignment="1"/>
    <xf numFmtId="40" fontId="61" fillId="14" borderId="33" xfId="16" applyNumberFormat="1" applyFont="1" applyFill="1" applyBorder="1" applyAlignment="1"/>
    <xf numFmtId="40" fontId="61" fillId="14" borderId="34" xfId="192" applyNumberFormat="1" applyFont="1" applyFill="1" applyBorder="1" applyAlignment="1"/>
    <xf numFmtId="170" fontId="61" fillId="14" borderId="7" xfId="16" applyNumberFormat="1" applyFont="1" applyFill="1" applyBorder="1" applyAlignment="1"/>
    <xf numFmtId="40" fontId="61" fillId="14" borderId="61" xfId="192" applyNumberFormat="1" applyFont="1" applyFill="1" applyBorder="1" applyAlignment="1"/>
    <xf numFmtId="40" fontId="8" fillId="14" borderId="20" xfId="16" applyNumberFormat="1" applyFont="1" applyFill="1" applyBorder="1" applyAlignment="1"/>
    <xf numFmtId="0" fontId="8" fillId="14" borderId="0" xfId="156" applyFont="1" applyFill="1"/>
    <xf numFmtId="3" fontId="61" fillId="0" borderId="7" xfId="16" applyNumberFormat="1" applyFont="1" applyFill="1" applyBorder="1" applyAlignment="1"/>
    <xf numFmtId="3" fontId="61" fillId="14" borderId="7" xfId="16" applyNumberFormat="1" applyFont="1" applyFill="1" applyBorder="1" applyAlignment="1"/>
    <xf numFmtId="40" fontId="61" fillId="14" borderId="6" xfId="16" applyNumberFormat="1" applyFont="1" applyFill="1" applyBorder="1" applyAlignment="1"/>
    <xf numFmtId="170" fontId="61" fillId="14" borderId="6" xfId="16" applyNumberFormat="1" applyFont="1" applyFill="1" applyBorder="1" applyAlignment="1"/>
    <xf numFmtId="3" fontId="61" fillId="0" borderId="6" xfId="16" applyNumberFormat="1" applyFont="1" applyFill="1" applyBorder="1" applyAlignment="1"/>
    <xf numFmtId="215" fontId="61" fillId="0" borderId="7" xfId="16" applyNumberFormat="1" applyFont="1" applyFill="1" applyBorder="1" applyAlignment="1"/>
    <xf numFmtId="214" fontId="61" fillId="0" borderId="9" xfId="16" applyNumberFormat="1" applyFont="1" applyFill="1" applyBorder="1" applyAlignment="1"/>
    <xf numFmtId="40" fontId="61" fillId="14" borderId="32" xfId="16" applyNumberFormat="1" applyFont="1" applyFill="1" applyBorder="1" applyAlignment="1"/>
    <xf numFmtId="40" fontId="61" fillId="14" borderId="9" xfId="16" applyNumberFormat="1" applyFont="1" applyFill="1" applyBorder="1" applyAlignment="1"/>
    <xf numFmtId="214" fontId="61" fillId="14" borderId="9" xfId="16" applyNumberFormat="1" applyFont="1" applyFill="1" applyBorder="1" applyAlignment="1"/>
    <xf numFmtId="40" fontId="8" fillId="14" borderId="30" xfId="16" applyNumberFormat="1" applyFont="1" applyFill="1" applyBorder="1" applyAlignment="1"/>
    <xf numFmtId="214" fontId="8" fillId="0" borderId="0" xfId="16" applyNumberFormat="1" applyFont="1" applyFill="1" applyAlignment="1"/>
    <xf numFmtId="214" fontId="8" fillId="0" borderId="0" xfId="16" applyNumberFormat="1" applyFont="1" applyFill="1" applyBorder="1" applyAlignment="1">
      <alignment vertical="center" wrapText="1"/>
    </xf>
    <xf numFmtId="213" fontId="61" fillId="0" borderId="33" xfId="192" applyNumberFormat="1" applyFont="1" applyFill="1" applyBorder="1" applyAlignment="1"/>
    <xf numFmtId="2" fontId="61" fillId="0" borderId="60" xfId="151" applyNumberFormat="1" applyFont="1" applyFill="1" applyBorder="1"/>
    <xf numFmtId="40" fontId="61" fillId="0" borderId="9" xfId="195" applyNumberFormat="1" applyFont="1" applyFill="1" applyBorder="1" applyAlignment="1"/>
    <xf numFmtId="216" fontId="61" fillId="0" borderId="33" xfId="192" applyNumberFormat="1" applyFont="1" applyFill="1" applyBorder="1" applyAlignment="1"/>
    <xf numFmtId="40" fontId="61" fillId="0" borderId="0" xfId="141" applyNumberFormat="1" applyFont="1" applyFill="1" applyAlignment="1">
      <alignment vertical="center"/>
    </xf>
    <xf numFmtId="194" fontId="8" fillId="0" borderId="0" xfId="141" applyNumberFormat="1" applyFont="1" applyFill="1" applyAlignment="1">
      <alignment vertical="center"/>
    </xf>
    <xf numFmtId="194" fontId="61" fillId="0" borderId="0" xfId="16" applyNumberFormat="1" applyFont="1" applyFill="1" applyAlignment="1"/>
    <xf numFmtId="40" fontId="61" fillId="0" borderId="27" xfId="195" applyNumberFormat="1" applyFont="1" applyBorder="1" applyAlignment="1"/>
    <xf numFmtId="40" fontId="10" fillId="0" borderId="28" xfId="195" applyNumberFormat="1" applyFont="1" applyBorder="1" applyAlignment="1"/>
    <xf numFmtId="40" fontId="10" fillId="0" borderId="27" xfId="195" applyNumberFormat="1" applyFont="1" applyBorder="1" applyAlignment="1"/>
    <xf numFmtId="170" fontId="61" fillId="0" borderId="27" xfId="195" applyNumberFormat="1" applyFont="1" applyBorder="1" applyAlignment="1"/>
    <xf numFmtId="40" fontId="8" fillId="0" borderId="27" xfId="195" applyNumberFormat="1" applyFont="1" applyBorder="1" applyAlignment="1"/>
    <xf numFmtId="40" fontId="61" fillId="0" borderId="32" xfId="195" applyNumberFormat="1" applyFont="1" applyBorder="1" applyAlignment="1"/>
    <xf numFmtId="170" fontId="61" fillId="0" borderId="32" xfId="195" applyNumberFormat="1" applyFont="1" applyBorder="1" applyAlignment="1"/>
    <xf numFmtId="40" fontId="8" fillId="0" borderId="32" xfId="195" applyNumberFormat="1" applyFont="1" applyBorder="1" applyAlignment="1"/>
    <xf numFmtId="40" fontId="8" fillId="0" borderId="37" xfId="195" applyNumberFormat="1" applyFont="1" applyBorder="1" applyAlignment="1"/>
    <xf numFmtId="40" fontId="61" fillId="0" borderId="27" xfId="195" applyNumberFormat="1" applyFont="1" applyFill="1" applyBorder="1" applyAlignment="1"/>
    <xf numFmtId="170" fontId="61" fillId="0" borderId="27" xfId="195" applyNumberFormat="1" applyFont="1" applyFill="1" applyBorder="1" applyAlignment="1"/>
    <xf numFmtId="40" fontId="8" fillId="0" borderId="27" xfId="195" applyNumberFormat="1" applyFont="1" applyFill="1" applyBorder="1" applyAlignment="1"/>
    <xf numFmtId="40" fontId="8" fillId="0" borderId="60" xfId="195" applyNumberFormat="1" applyFont="1" applyFill="1" applyBorder="1" applyAlignment="1"/>
    <xf numFmtId="40" fontId="8" fillId="0" borderId="30" xfId="195" applyNumberFormat="1" applyFont="1" applyFill="1" applyBorder="1" applyAlignment="1"/>
    <xf numFmtId="40" fontId="61" fillId="0" borderId="27" xfId="192" applyNumberFormat="1" applyFont="1" applyFill="1" applyBorder="1" applyAlignment="1"/>
    <xf numFmtId="40" fontId="61" fillId="0" borderId="28" xfId="195" applyNumberFormat="1" applyFont="1" applyFill="1" applyBorder="1" applyAlignment="1"/>
    <xf numFmtId="40" fontId="61" fillId="0" borderId="28" xfId="195" applyNumberFormat="1" applyFont="1" applyBorder="1" applyAlignment="1"/>
    <xf numFmtId="40" fontId="61" fillId="0" borderId="35" xfId="195" applyNumberFormat="1" applyFont="1" applyBorder="1" applyAlignment="1"/>
    <xf numFmtId="0" fontId="61" fillId="0" borderId="27" xfId="156" applyFont="1" applyBorder="1"/>
    <xf numFmtId="0" fontId="61" fillId="0" borderId="34" xfId="156" applyFont="1" applyBorder="1"/>
    <xf numFmtId="0" fontId="61" fillId="14" borderId="36" xfId="156" applyFont="1" applyFill="1" applyBorder="1"/>
    <xf numFmtId="170" fontId="61" fillId="14" borderId="7" xfId="142" applyNumberFormat="1" applyFont="1" applyFill="1" applyBorder="1" applyAlignment="1"/>
    <xf numFmtId="40" fontId="61" fillId="14" borderId="33" xfId="16" applyNumberFormat="1" applyFont="1" applyFill="1" applyBorder="1" applyAlignment="1">
      <alignment horizontal="center"/>
    </xf>
    <xf numFmtId="195" fontId="61" fillId="14" borderId="7" xfId="32" applyNumberFormat="1" applyFont="1" applyFill="1" applyBorder="1" applyAlignment="1"/>
    <xf numFmtId="0" fontId="61" fillId="14" borderId="38" xfId="156" applyFont="1" applyFill="1" applyBorder="1"/>
    <xf numFmtId="40" fontId="61" fillId="13" borderId="60" xfId="195" applyNumberFormat="1" applyFont="1" applyFill="1" applyBorder="1" applyAlignment="1"/>
    <xf numFmtId="0" fontId="61" fillId="13" borderId="21" xfId="156" applyFont="1" applyFill="1" applyBorder="1"/>
    <xf numFmtId="196" fontId="61" fillId="13" borderId="6" xfId="196" applyNumberFormat="1" applyFont="1" applyFill="1" applyBorder="1" applyAlignment="1"/>
    <xf numFmtId="40" fontId="61" fillId="13" borderId="61" xfId="16" applyNumberFormat="1" applyFont="1" applyFill="1" applyBorder="1" applyAlignment="1"/>
    <xf numFmtId="40" fontId="61" fillId="13" borderId="61" xfId="192" applyNumberFormat="1" applyFont="1" applyFill="1" applyBorder="1" applyAlignment="1"/>
    <xf numFmtId="0" fontId="8" fillId="14" borderId="0" xfId="159" applyFont="1" applyFill="1"/>
    <xf numFmtId="40" fontId="59" fillId="0" borderId="21" xfId="16" applyNumberFormat="1" applyFont="1" applyFill="1" applyBorder="1" applyAlignment="1">
      <alignment horizontal="center" shrinkToFit="1"/>
    </xf>
    <xf numFmtId="40" fontId="61" fillId="17" borderId="7" xfId="142" applyNumberFormat="1" applyFont="1" applyFill="1" applyBorder="1" applyAlignment="1">
      <alignment horizontal="left"/>
    </xf>
    <xf numFmtId="40" fontId="61" fillId="17" borderId="7" xfId="142" applyNumberFormat="1" applyFont="1" applyFill="1" applyBorder="1" applyAlignment="1"/>
    <xf numFmtId="0" fontId="8" fillId="17" borderId="27" xfId="0" applyFont="1" applyFill="1" applyBorder="1" applyAlignment="1">
      <alignment horizontal="right" vertical="center"/>
    </xf>
    <xf numFmtId="170" fontId="61" fillId="17" borderId="7" xfId="142" applyNumberFormat="1" applyFont="1" applyFill="1" applyBorder="1" applyAlignment="1"/>
    <xf numFmtId="40" fontId="61" fillId="17" borderId="60" xfId="195" applyNumberFormat="1" applyFont="1" applyFill="1" applyBorder="1" applyAlignment="1"/>
    <xf numFmtId="40" fontId="8" fillId="17" borderId="30" xfId="16" applyNumberFormat="1" applyFont="1" applyFill="1" applyBorder="1" applyAlignment="1"/>
    <xf numFmtId="40" fontId="8" fillId="17" borderId="0" xfId="192" applyNumberFormat="1" applyFont="1" applyFill="1" applyAlignment="1"/>
    <xf numFmtId="40" fontId="61" fillId="0" borderId="27" xfId="16" applyNumberFormat="1" applyFont="1" applyFill="1" applyBorder="1" applyAlignment="1">
      <alignment horizontal="left"/>
    </xf>
    <xf numFmtId="0" fontId="8" fillId="17" borderId="0" xfId="156" applyFont="1" applyFill="1"/>
    <xf numFmtId="40" fontId="8" fillId="7" borderId="10" xfId="16" applyNumberFormat="1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40" fontId="8" fillId="0" borderId="43" xfId="154" applyNumberFormat="1" applyFont="1" applyFill="1" applyBorder="1" applyAlignment="1">
      <alignment horizontal="center"/>
    </xf>
    <xf numFmtId="40" fontId="8" fillId="0" borderId="3" xfId="154" applyNumberFormat="1" applyFont="1" applyFill="1" applyBorder="1" applyAlignment="1">
      <alignment horizontal="center"/>
    </xf>
    <xf numFmtId="40" fontId="8" fillId="0" borderId="17" xfId="154" applyNumberFormat="1" applyFont="1" applyFill="1" applyBorder="1" applyAlignment="1">
      <alignment horizontal="center"/>
    </xf>
    <xf numFmtId="0" fontId="8" fillId="0" borderId="62" xfId="156" applyFont="1" applyBorder="1" applyAlignment="1">
      <alignment shrinkToFit="1"/>
    </xf>
    <xf numFmtId="0" fontId="8" fillId="0" borderId="70" xfId="156" applyFont="1" applyBorder="1" applyAlignment="1">
      <alignment shrinkToFit="1"/>
    </xf>
    <xf numFmtId="0" fontId="8" fillId="0" borderId="76" xfId="156" applyFont="1" applyBorder="1" applyAlignment="1">
      <alignment shrinkToFit="1"/>
    </xf>
    <xf numFmtId="40" fontId="17" fillId="0" borderId="49" xfId="16" applyNumberFormat="1" applyFont="1" applyFill="1" applyBorder="1" applyAlignment="1"/>
    <xf numFmtId="40" fontId="17" fillId="0" borderId="17" xfId="16" applyNumberFormat="1" applyFont="1" applyFill="1" applyBorder="1" applyAlignment="1"/>
    <xf numFmtId="40" fontId="57" fillId="11" borderId="49" xfId="16" applyNumberFormat="1" applyFont="1" applyFill="1" applyBorder="1" applyAlignment="1">
      <alignment horizontal="center"/>
    </xf>
    <xf numFmtId="40" fontId="64" fillId="11" borderId="3" xfId="16" applyNumberFormat="1" applyFont="1" applyFill="1" applyBorder="1" applyAlignment="1">
      <alignment horizontal="center"/>
    </xf>
    <xf numFmtId="40" fontId="64" fillId="11" borderId="17" xfId="16" applyNumberFormat="1" applyFont="1" applyFill="1" applyBorder="1" applyAlignment="1">
      <alignment horizontal="center"/>
    </xf>
    <xf numFmtId="40" fontId="64" fillId="0" borderId="49" xfId="16" applyNumberFormat="1" applyFont="1" applyFill="1" applyBorder="1" applyAlignment="1">
      <alignment horizontal="center"/>
    </xf>
    <xf numFmtId="40" fontId="64" fillId="0" borderId="3" xfId="16" applyNumberFormat="1" applyFont="1" applyFill="1" applyBorder="1" applyAlignment="1">
      <alignment horizontal="center"/>
    </xf>
    <xf numFmtId="40" fontId="64" fillId="0" borderId="17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40" fontId="57" fillId="0" borderId="49" xfId="16" applyNumberFormat="1" applyFont="1" applyFill="1" applyBorder="1" applyAlignment="1">
      <alignment horizontal="center"/>
    </xf>
    <xf numFmtId="0" fontId="8" fillId="0" borderId="62" xfId="156" applyFont="1" applyBorder="1" applyAlignment="1">
      <alignment vertical="center" shrinkToFit="1"/>
    </xf>
    <xf numFmtId="0" fontId="8" fillId="0" borderId="70" xfId="156" applyFont="1" applyBorder="1" applyAlignment="1">
      <alignment vertical="center" shrinkToFit="1"/>
    </xf>
    <xf numFmtId="0" fontId="8" fillId="0" borderId="76" xfId="156" applyFont="1" applyBorder="1" applyAlignment="1">
      <alignment vertical="center" shrinkToFit="1"/>
    </xf>
  </cellXfs>
  <cellStyles count="226">
    <cellStyle name="1" xfId="1" xr:uid="{00000000-0005-0000-0000-000000000000}"/>
    <cellStyle name="1_091216 BMS算出 前提数量、見積提示方法、議事録 rev1【送付】" xfId="2" xr:uid="{00000000-0005-0000-0000-000001000000}"/>
    <cellStyle name="args.style" xfId="3" xr:uid="{00000000-0005-0000-0000-000002000000}"/>
    <cellStyle name="AutoFormat-Optionen" xfId="4" xr:uid="{00000000-0005-0000-0000-000003000000}"/>
    <cellStyle name="Calc Currency (0)" xfId="5" xr:uid="{00000000-0005-0000-0000-000004000000}"/>
    <cellStyle name="Calc Currency (2)" xfId="6" xr:uid="{00000000-0005-0000-0000-000005000000}"/>
    <cellStyle name="Calc Percent (0)" xfId="7" xr:uid="{00000000-0005-0000-0000-000006000000}"/>
    <cellStyle name="Calc Percent (1)" xfId="8" xr:uid="{00000000-0005-0000-0000-000007000000}"/>
    <cellStyle name="Calc Percent (1) 2" xfId="9" xr:uid="{00000000-0005-0000-0000-000008000000}"/>
    <cellStyle name="Calc Percent (2)" xfId="10" xr:uid="{00000000-0005-0000-0000-000009000000}"/>
    <cellStyle name="Calc Percent (2) 2" xfId="11" xr:uid="{00000000-0005-0000-0000-00000A000000}"/>
    <cellStyle name="Calc Units (0)" xfId="12" xr:uid="{00000000-0005-0000-0000-00000B000000}"/>
    <cellStyle name="Calc Units (1)" xfId="13" xr:uid="{00000000-0005-0000-0000-00000C000000}"/>
    <cellStyle name="Calc Units (1) 2" xfId="14" xr:uid="{00000000-0005-0000-0000-00000D000000}"/>
    <cellStyle name="Calc Units (2)" xfId="15" xr:uid="{00000000-0005-0000-0000-00000E000000}"/>
    <cellStyle name="Comma [0]" xfId="16" builtinId="6"/>
    <cellStyle name="Comma [0] 2" xfId="17" xr:uid="{00000000-0005-0000-0000-000010000000}"/>
    <cellStyle name="Comma [0] 2 2" xfId="18" xr:uid="{00000000-0005-0000-0000-000011000000}"/>
    <cellStyle name="Comma [0] 2 3" xfId="19" xr:uid="{00000000-0005-0000-0000-000012000000}"/>
    <cellStyle name="Comma [0] 2 4" xfId="200" xr:uid="{00000000-0005-0000-0000-000013000000}"/>
    <cellStyle name="Comma [0] 2 5" xfId="169" xr:uid="{00000000-0005-0000-0000-000014000000}"/>
    <cellStyle name="Comma [0] 3" xfId="20" xr:uid="{00000000-0005-0000-0000-000015000000}"/>
    <cellStyle name="Comma [0] 3 2" xfId="21" xr:uid="{00000000-0005-0000-0000-000016000000}"/>
    <cellStyle name="Comma [0] 4" xfId="22" xr:uid="{00000000-0005-0000-0000-000017000000}"/>
    <cellStyle name="Comma [0] 5" xfId="192" xr:uid="{00000000-0005-0000-0000-000018000000}"/>
    <cellStyle name="Comma [0] 6" xfId="168" xr:uid="{00000000-0005-0000-0000-000019000000}"/>
    <cellStyle name="Comma [00]" xfId="23" xr:uid="{00000000-0005-0000-0000-00001A000000}"/>
    <cellStyle name="Comma 2" xfId="24" xr:uid="{00000000-0005-0000-0000-00001B000000}"/>
    <cellStyle name="Comma 3" xfId="25" xr:uid="{00000000-0005-0000-0000-00001C000000}"/>
    <cellStyle name="Comma 4" xfId="26" xr:uid="{00000000-0005-0000-0000-00001D000000}"/>
    <cellStyle name="Comma 5" xfId="27" xr:uid="{00000000-0005-0000-0000-00001E000000}"/>
    <cellStyle name="Comma 5 2" xfId="170" xr:uid="{00000000-0005-0000-0000-00001F000000}"/>
    <cellStyle name="Comma0" xfId="28" xr:uid="{00000000-0005-0000-0000-000020000000}"/>
    <cellStyle name="Copied" xfId="29" xr:uid="{00000000-0005-0000-0000-000021000000}"/>
    <cellStyle name="COST1" xfId="30" xr:uid="{00000000-0005-0000-0000-000022000000}"/>
    <cellStyle name="Currency (0)" xfId="31" xr:uid="{00000000-0005-0000-0000-000023000000}"/>
    <cellStyle name="Currency [0]" xfId="32" builtinId="7"/>
    <cellStyle name="Currency [0] 2" xfId="196" xr:uid="{00000000-0005-0000-0000-000025000000}"/>
    <cellStyle name="Currency [0] 3" xfId="171" xr:uid="{00000000-0005-0000-0000-000026000000}"/>
    <cellStyle name="Currency [00]" xfId="33" xr:uid="{00000000-0005-0000-0000-000027000000}"/>
    <cellStyle name="Currency 2" xfId="34" xr:uid="{00000000-0005-0000-0000-000028000000}"/>
    <cellStyle name="Currency 3" xfId="35" xr:uid="{00000000-0005-0000-0000-000029000000}"/>
    <cellStyle name="Currency0" xfId="36" xr:uid="{00000000-0005-0000-0000-00002A000000}"/>
    <cellStyle name="Currency1" xfId="37" xr:uid="{00000000-0005-0000-0000-00002B000000}"/>
    <cellStyle name="Date" xfId="38" xr:uid="{00000000-0005-0000-0000-00002C000000}"/>
    <cellStyle name="Date Short" xfId="39" xr:uid="{00000000-0005-0000-0000-00002D000000}"/>
    <cellStyle name="Enter Currency (0)" xfId="40" xr:uid="{00000000-0005-0000-0000-00002E000000}"/>
    <cellStyle name="Enter Currency (2)" xfId="41" xr:uid="{00000000-0005-0000-0000-00002F000000}"/>
    <cellStyle name="Enter Units (0)" xfId="42" xr:uid="{00000000-0005-0000-0000-000030000000}"/>
    <cellStyle name="Enter Units (1)" xfId="43" xr:uid="{00000000-0005-0000-0000-000031000000}"/>
    <cellStyle name="Enter Units (1) 2" xfId="44" xr:uid="{00000000-0005-0000-0000-000032000000}"/>
    <cellStyle name="Enter Units (2)" xfId="45" xr:uid="{00000000-0005-0000-0000-000033000000}"/>
    <cellStyle name="Entered" xfId="46" xr:uid="{00000000-0005-0000-0000-000034000000}"/>
    <cellStyle name="Euro" xfId="47" xr:uid="{00000000-0005-0000-0000-000035000000}"/>
    <cellStyle name="Fixed" xfId="48" xr:uid="{00000000-0005-0000-0000-000036000000}"/>
    <cellStyle name="Grey" xfId="49" xr:uid="{00000000-0005-0000-0000-000037000000}"/>
    <cellStyle name="HC" xfId="50" xr:uid="{00000000-0005-0000-0000-000038000000}"/>
    <cellStyle name="Header1" xfId="51" xr:uid="{00000000-0005-0000-0000-000039000000}"/>
    <cellStyle name="Header2" xfId="52" xr:uid="{00000000-0005-0000-0000-00003A000000}"/>
    <cellStyle name="Heading" xfId="53" xr:uid="{00000000-0005-0000-0000-00003B000000}"/>
    <cellStyle name="Hyperlink 2" xfId="54" xr:uid="{00000000-0005-0000-0000-00003C000000}"/>
    <cellStyle name="Hyperlink 3" xfId="55" xr:uid="{00000000-0005-0000-0000-00003D000000}"/>
    <cellStyle name="Input [yellow]" xfId="56" xr:uid="{00000000-0005-0000-0000-00003E000000}"/>
    <cellStyle name="Input Cells" xfId="57" xr:uid="{00000000-0005-0000-0000-00003F000000}"/>
    <cellStyle name="Link Currency (0)" xfId="58" xr:uid="{00000000-0005-0000-0000-000040000000}"/>
    <cellStyle name="Link Currency (2)" xfId="59" xr:uid="{00000000-0005-0000-0000-000041000000}"/>
    <cellStyle name="Link Units (0)" xfId="60" xr:uid="{00000000-0005-0000-0000-000042000000}"/>
    <cellStyle name="Link Units (1)" xfId="61" xr:uid="{00000000-0005-0000-0000-000043000000}"/>
    <cellStyle name="Link Units (1) 2" xfId="62" xr:uid="{00000000-0005-0000-0000-000044000000}"/>
    <cellStyle name="Link Units (2)" xfId="63" xr:uid="{00000000-0005-0000-0000-000045000000}"/>
    <cellStyle name="Linked Cells" xfId="64" xr:uid="{00000000-0005-0000-0000-000046000000}"/>
    <cellStyle name="Millares [0]_PERSONAL" xfId="65" xr:uid="{00000000-0005-0000-0000-000047000000}"/>
    <cellStyle name="Millares_PERSONAL" xfId="66" xr:uid="{00000000-0005-0000-0000-000048000000}"/>
    <cellStyle name="Milliers [0]_!!!GO" xfId="67" xr:uid="{00000000-0005-0000-0000-000049000000}"/>
    <cellStyle name="Milliers_!!!GO" xfId="68" xr:uid="{00000000-0005-0000-0000-00004A000000}"/>
    <cellStyle name="Moeda [0]_aola" xfId="69" xr:uid="{00000000-0005-0000-0000-00004B000000}"/>
    <cellStyle name="Moeda_aola" xfId="70" xr:uid="{00000000-0005-0000-0000-00004C000000}"/>
    <cellStyle name="Moneda [0]_laroux" xfId="71" xr:uid="{00000000-0005-0000-0000-00004D000000}"/>
    <cellStyle name="Moneda_laroux" xfId="72" xr:uid="{00000000-0005-0000-0000-00004E000000}"/>
    <cellStyle name="Monétaire [0]_!!!GO" xfId="73" xr:uid="{00000000-0005-0000-0000-00004F000000}"/>
    <cellStyle name="Monétaire_!!!GO" xfId="74" xr:uid="{00000000-0005-0000-0000-000050000000}"/>
    <cellStyle name="no dec" xfId="75" xr:uid="{00000000-0005-0000-0000-000051000000}"/>
    <cellStyle name="Normal" xfId="0" builtinId="0"/>
    <cellStyle name="Normal - Style1" xfId="76" xr:uid="{00000000-0005-0000-0000-000053000000}"/>
    <cellStyle name="Normal - Style1 2" xfId="77" xr:uid="{00000000-0005-0000-0000-000054000000}"/>
    <cellStyle name="Normal 2" xfId="78" xr:uid="{00000000-0005-0000-0000-000055000000}"/>
    <cellStyle name="Normal 2 2" xfId="79" xr:uid="{00000000-0005-0000-0000-000056000000}"/>
    <cellStyle name="Normal 2 3" xfId="178" xr:uid="{00000000-0005-0000-0000-000057000000}"/>
    <cellStyle name="Normal 2 4" xfId="225" xr:uid="{F9681410-AB1A-4C85-B978-7FFF4DA40AD6}"/>
    <cellStyle name="Normal 3" xfId="80" xr:uid="{00000000-0005-0000-0000-000058000000}"/>
    <cellStyle name="Normal 4" xfId="81" xr:uid="{00000000-0005-0000-0000-000059000000}"/>
    <cellStyle name="Normal 5" xfId="82" xr:uid="{00000000-0005-0000-0000-00005A000000}"/>
    <cellStyle name="Normal 6" xfId="83" xr:uid="{00000000-0005-0000-0000-00005B000000}"/>
    <cellStyle name="Normal 7" xfId="84" xr:uid="{00000000-0005-0000-0000-00005C000000}"/>
    <cellStyle name="Normal 8" xfId="201" xr:uid="{00000000-0005-0000-0000-00005D000000}"/>
    <cellStyle name="Œ…‹æØ‚è [0.00]_laroux" xfId="85" xr:uid="{00000000-0005-0000-0000-00005E000000}"/>
    <cellStyle name="Œ…‹æØ‚è_laroux" xfId="86" xr:uid="{00000000-0005-0000-0000-00005F000000}"/>
    <cellStyle name="oft Excel]_x000a__x000d_Comment=open=/f を指定すると、ユーザー定義関数を関数貼り付けの一覧に登録することができます。_x000a__x000d_Maximized" xfId="87" xr:uid="{00000000-0005-0000-0000-000060000000}"/>
    <cellStyle name="oft Excel]_x000d__x000a_Comment=open=/f を指定すると、ユーザー定義関数を関数貼り付けの一覧に登録することができます。_x000d__x000a_Maximized" xfId="88" xr:uid="{00000000-0005-0000-0000-000061000000}"/>
    <cellStyle name="per.style" xfId="89" xr:uid="{00000000-0005-0000-0000-000062000000}"/>
    <cellStyle name="Percent" xfId="90" builtinId="5"/>
    <cellStyle name="Percent (0)" xfId="91" xr:uid="{00000000-0005-0000-0000-000064000000}"/>
    <cellStyle name="Percent (0) 2" xfId="92" xr:uid="{00000000-0005-0000-0000-000065000000}"/>
    <cellStyle name="Percent [0]" xfId="93" xr:uid="{00000000-0005-0000-0000-000066000000}"/>
    <cellStyle name="Percent [0] 2" xfId="94" xr:uid="{00000000-0005-0000-0000-000067000000}"/>
    <cellStyle name="Percent [00]" xfId="95" xr:uid="{00000000-0005-0000-0000-000068000000}"/>
    <cellStyle name="Percent [00] 2" xfId="96" xr:uid="{00000000-0005-0000-0000-000069000000}"/>
    <cellStyle name="Percent [2]" xfId="97" xr:uid="{00000000-0005-0000-0000-00006A000000}"/>
    <cellStyle name="Percent [2] 2" xfId="98" xr:uid="{00000000-0005-0000-0000-00006B000000}"/>
    <cellStyle name="Percent 10" xfId="174" xr:uid="{00000000-0005-0000-0000-00006C000000}"/>
    <cellStyle name="Percent 11" xfId="172" xr:uid="{00000000-0005-0000-0000-00006D000000}"/>
    <cellStyle name="Percent 12" xfId="203" xr:uid="{00000000-0005-0000-0000-00006E000000}"/>
    <cellStyle name="Percent 13" xfId="204" xr:uid="{00000000-0005-0000-0000-00006F000000}"/>
    <cellStyle name="Percent 14" xfId="205" xr:uid="{00000000-0005-0000-0000-000070000000}"/>
    <cellStyle name="Percent 15" xfId="206" xr:uid="{00000000-0005-0000-0000-000071000000}"/>
    <cellStyle name="Percent 16" xfId="207" xr:uid="{00000000-0005-0000-0000-000072000000}"/>
    <cellStyle name="Percent 17" xfId="208" xr:uid="{00000000-0005-0000-0000-000073000000}"/>
    <cellStyle name="Percent 18" xfId="181" xr:uid="{00000000-0005-0000-0000-000074000000}"/>
    <cellStyle name="Percent 19" xfId="177" xr:uid="{00000000-0005-0000-0000-000075000000}"/>
    <cellStyle name="Percent 2" xfId="99" xr:uid="{00000000-0005-0000-0000-000076000000}"/>
    <cellStyle name="Percent 2 2" xfId="100" xr:uid="{00000000-0005-0000-0000-000077000000}"/>
    <cellStyle name="Percent 2 3" xfId="180" xr:uid="{00000000-0005-0000-0000-000078000000}"/>
    <cellStyle name="Percent 20" xfId="167" xr:uid="{00000000-0005-0000-0000-000079000000}"/>
    <cellStyle name="Percent 21" xfId="209" xr:uid="{00000000-0005-0000-0000-00007A000000}"/>
    <cellStyle name="Percent 22" xfId="202" xr:uid="{00000000-0005-0000-0000-00007B000000}"/>
    <cellStyle name="Percent 23" xfId="220" xr:uid="{00000000-0005-0000-0000-00007C000000}"/>
    <cellStyle name="Percent 24" xfId="215" xr:uid="{00000000-0005-0000-0000-00007D000000}"/>
    <cellStyle name="Percent 25" xfId="217" xr:uid="{00000000-0005-0000-0000-00007E000000}"/>
    <cellStyle name="Percent 26" xfId="214" xr:uid="{00000000-0005-0000-0000-00007F000000}"/>
    <cellStyle name="Percent 27" xfId="218" xr:uid="{00000000-0005-0000-0000-000080000000}"/>
    <cellStyle name="Percent 28" xfId="213" xr:uid="{00000000-0005-0000-0000-000081000000}"/>
    <cellStyle name="Percent 29" xfId="221" xr:uid="{00000000-0005-0000-0000-000082000000}"/>
    <cellStyle name="Percent 3" xfId="101" xr:uid="{00000000-0005-0000-0000-000083000000}"/>
    <cellStyle name="Percent 30" xfId="212" xr:uid="{00000000-0005-0000-0000-000084000000}"/>
    <cellStyle name="Percent 31" xfId="224" xr:uid="{00000000-0005-0000-0000-000085000000}"/>
    <cellStyle name="Percent 32" xfId="216" xr:uid="{00000000-0005-0000-0000-000086000000}"/>
    <cellStyle name="Percent 33" xfId="222" xr:uid="{00000000-0005-0000-0000-000087000000}"/>
    <cellStyle name="Percent 34" xfId="211" xr:uid="{00000000-0005-0000-0000-000088000000}"/>
    <cellStyle name="Percent 35" xfId="219" xr:uid="{00000000-0005-0000-0000-000089000000}"/>
    <cellStyle name="Percent 36" xfId="210" xr:uid="{00000000-0005-0000-0000-00008A000000}"/>
    <cellStyle name="Percent 37" xfId="223" xr:uid="{00000000-0005-0000-0000-00008B000000}"/>
    <cellStyle name="Percent 4" xfId="102" xr:uid="{00000000-0005-0000-0000-00008C000000}"/>
    <cellStyle name="Percent 5" xfId="197" xr:uid="{00000000-0005-0000-0000-00008D000000}"/>
    <cellStyle name="Percent 6" xfId="179" xr:uid="{00000000-0005-0000-0000-00008E000000}"/>
    <cellStyle name="Percent 7" xfId="175" xr:uid="{00000000-0005-0000-0000-00008F000000}"/>
    <cellStyle name="Percent 8" xfId="176" xr:uid="{00000000-0005-0000-0000-000090000000}"/>
    <cellStyle name="Percent 9" xfId="173" xr:uid="{00000000-0005-0000-0000-000091000000}"/>
    <cellStyle name="PrePop Currency (0)" xfId="103" xr:uid="{00000000-0005-0000-0000-000092000000}"/>
    <cellStyle name="PrePop Currency (2)" xfId="104" xr:uid="{00000000-0005-0000-0000-000093000000}"/>
    <cellStyle name="PrePop Units (0)" xfId="105" xr:uid="{00000000-0005-0000-0000-000094000000}"/>
    <cellStyle name="PrePop Units (1)" xfId="106" xr:uid="{00000000-0005-0000-0000-000095000000}"/>
    <cellStyle name="PrePop Units (1) 2" xfId="107" xr:uid="{00000000-0005-0000-0000-000096000000}"/>
    <cellStyle name="PrePop Units (2)" xfId="108" xr:uid="{00000000-0005-0000-0000-000097000000}"/>
    <cellStyle name="pricing" xfId="109" xr:uid="{00000000-0005-0000-0000-000098000000}"/>
    <cellStyle name="pricing 2" xfId="110" xr:uid="{00000000-0005-0000-0000-000099000000}"/>
    <cellStyle name="PSChar" xfId="111" xr:uid="{00000000-0005-0000-0000-00009A000000}"/>
    <cellStyle name="RevList" xfId="112" xr:uid="{00000000-0005-0000-0000-00009B000000}"/>
    <cellStyle name="RevList 2" xfId="113" xr:uid="{00000000-0005-0000-0000-00009C000000}"/>
    <cellStyle name="Separador de milhares [0]_Person" xfId="114" xr:uid="{00000000-0005-0000-0000-00009D000000}"/>
    <cellStyle name="Separador de milhares_Person" xfId="115" xr:uid="{00000000-0005-0000-0000-00009E000000}"/>
    <cellStyle name="Standard_Basisblatt_aktuell_12.10.01_EUR_DCZins_CBD-DC_P2R" xfId="116" xr:uid="{00000000-0005-0000-0000-00009F000000}"/>
    <cellStyle name="Style 1" xfId="117" xr:uid="{00000000-0005-0000-0000-0000A0000000}"/>
    <cellStyle name="subhead" xfId="118" xr:uid="{00000000-0005-0000-0000-0000A1000000}"/>
    <cellStyle name="Subtotal" xfId="119" xr:uid="{00000000-0005-0000-0000-0000A2000000}"/>
    <cellStyle name="Text Indent A" xfId="120" xr:uid="{00000000-0005-0000-0000-0000A3000000}"/>
    <cellStyle name="Text Indent B" xfId="121" xr:uid="{00000000-0005-0000-0000-0000A4000000}"/>
    <cellStyle name="Text Indent B 2" xfId="122" xr:uid="{00000000-0005-0000-0000-0000A5000000}"/>
    <cellStyle name="Text Indent C" xfId="123" xr:uid="{00000000-0005-0000-0000-0000A6000000}"/>
    <cellStyle name="Text Indent C 2" xfId="124" xr:uid="{00000000-0005-0000-0000-0000A7000000}"/>
    <cellStyle name="Tickmark" xfId="125" xr:uid="{00000000-0005-0000-0000-0000A8000000}"/>
    <cellStyle name="_x0018_urrency_FY97COB1." xfId="126" xr:uid="{00000000-0005-0000-0000-0000A9000000}"/>
    <cellStyle name="wakasa" xfId="127" xr:uid="{00000000-0005-0000-0000-0000AA000000}"/>
    <cellStyle name="カテNo." xfId="128" xr:uid="{00000000-0005-0000-0000-0000AB000000}"/>
    <cellStyle name="カラムMA" xfId="129" xr:uid="{00000000-0005-0000-0000-0000AC000000}"/>
    <cellStyle name="カラムSA" xfId="130" xr:uid="{00000000-0005-0000-0000-0000AD000000}"/>
    <cellStyle name="ゴシック" xfId="131" xr:uid="{00000000-0005-0000-0000-0000AE000000}"/>
    <cellStyle name="ｻｲｽﾞ9" xfId="132" xr:uid="{00000000-0005-0000-0000-0000AF000000}"/>
    <cellStyle name="ｻｲｽﾞ9 2" xfId="182" xr:uid="{00000000-0005-0000-0000-0000B0000000}"/>
    <cellStyle name="スタイル 1" xfId="133" xr:uid="{00000000-0005-0000-0000-0000B1000000}"/>
    <cellStyle name="パーセント 2" xfId="134" xr:uid="{00000000-0005-0000-0000-0000B2000000}"/>
    <cellStyle name="パーセント 3" xfId="135" xr:uid="{00000000-0005-0000-0000-0000B3000000}"/>
    <cellStyle name="パーセント 3 2" xfId="183" xr:uid="{00000000-0005-0000-0000-0000B4000000}"/>
    <cellStyle name="パーセント 4" xfId="136" xr:uid="{00000000-0005-0000-0000-0000B5000000}"/>
    <cellStyle name="パーセント 4 2" xfId="184" xr:uid="{00000000-0005-0000-0000-0000B6000000}"/>
    <cellStyle name="뷭?_BOOKSHIP" xfId="162" xr:uid="{00000000-0005-0000-0000-0000B7000000}"/>
    <cellStyle name="쉼표 [0]_CWW_TR_재료비_STF(04.7.20)" xfId="163" xr:uid="{00000000-0005-0000-0000-0000B8000000}"/>
    <cellStyle name="콤마 [0]_(급)전세" xfId="164" xr:uid="{00000000-0005-0000-0000-0000B9000000}"/>
    <cellStyle name="콤마_(급)전세" xfId="165" xr:uid="{00000000-0005-0000-0000-0000BA000000}"/>
    <cellStyle name="표준_Book1" xfId="166" xr:uid="{00000000-0005-0000-0000-0000BB000000}"/>
    <cellStyle name="大島１" xfId="145" xr:uid="{00000000-0005-0000-0000-0000BC000000}"/>
    <cellStyle name="大島標準" xfId="146" xr:uid="{00000000-0005-0000-0000-0000BD000000}"/>
    <cellStyle name="常规_２３８Ｌ受注製品一覧表" xfId="144" xr:uid="{00000000-0005-0000-0000-0000BE000000}"/>
    <cellStyle name="服部" xfId="160" xr:uid="{00000000-0005-0000-0000-0000BF000000}"/>
    <cellStyle name="未定義" xfId="161" xr:uid="{00000000-0005-0000-0000-0000C0000000}"/>
    <cellStyle name="桁区切り [0.0]" xfId="138" xr:uid="{00000000-0005-0000-0000-0000C1000000}"/>
    <cellStyle name="桁区切り [0.00] 2" xfId="139" xr:uid="{00000000-0005-0000-0000-0000C2000000}"/>
    <cellStyle name="桁区切り 2" xfId="140" xr:uid="{00000000-0005-0000-0000-0000C3000000}"/>
    <cellStyle name="桁区切り 2 2" xfId="141" xr:uid="{00000000-0005-0000-0000-0000C4000000}"/>
    <cellStyle name="桁区切り 2 2 2" xfId="193" xr:uid="{00000000-0005-0000-0000-0000C5000000}"/>
    <cellStyle name="桁区切り 2 2 3" xfId="185" xr:uid="{00000000-0005-0000-0000-0000C6000000}"/>
    <cellStyle name="桁区切り 3" xfId="142" xr:uid="{00000000-0005-0000-0000-0000C7000000}"/>
    <cellStyle name="桁区切り 3 2" xfId="195" xr:uid="{00000000-0005-0000-0000-0000C8000000}"/>
    <cellStyle name="桁区切り 3 3" xfId="186" xr:uid="{00000000-0005-0000-0000-0000C9000000}"/>
    <cellStyle name="標準 2" xfId="149" xr:uid="{00000000-0005-0000-0000-0000CA000000}"/>
    <cellStyle name="標準 2 2" xfId="150" xr:uid="{00000000-0005-0000-0000-0000CB000000}"/>
    <cellStyle name="標準 2 2 2" xfId="194" xr:uid="{00000000-0005-0000-0000-0000CC000000}"/>
    <cellStyle name="標準 2 2 3" xfId="189" xr:uid="{00000000-0005-0000-0000-0000CD000000}"/>
    <cellStyle name="標準 2 3" xfId="151" xr:uid="{00000000-0005-0000-0000-0000CE000000}"/>
    <cellStyle name="標準 3" xfId="152" xr:uid="{00000000-0005-0000-0000-0000CF000000}"/>
    <cellStyle name="標準 3 2" xfId="190" xr:uid="{00000000-0005-0000-0000-0000D0000000}"/>
    <cellStyle name="標準 4" xfId="153" xr:uid="{00000000-0005-0000-0000-0000D1000000}"/>
    <cellStyle name="標準 4 2" xfId="198" xr:uid="{00000000-0005-0000-0000-0000D2000000}"/>
    <cellStyle name="標準 4 3" xfId="191" xr:uid="{00000000-0005-0000-0000-0000D3000000}"/>
    <cellStyle name="標準_(FEAP 2nd) T15 Cost 020122_2008 MZR014 Costing (1)_MI14 KHP costing_2010312_TMR-035 cost table110607" xfId="154" xr:uid="{00000000-0005-0000-0000-0000D4000000}"/>
    <cellStyle name="標準_(FEAP 2nd) T15 Cost 020122_2008 MZR014 Costing (1)_MI14 KHP costing_2010312_TMR-035 cost table110607 2" xfId="155" xr:uid="{00000000-0005-0000-0000-0000D5000000}"/>
    <cellStyle name="標準_D-Pla原価見積りJan272004(13ch)_Rev by Jay_2008 MZR014 Costing (1)_MI14 KHP costing_2010312_TMR-035 cost table110607" xfId="156" xr:uid="{00000000-0005-0000-0000-0000D6000000}"/>
    <cellStyle name="標準_D-Pla原価見積りJan272004(13ch)_Rev by Jay_2008 MZR014 Costing (1)_MI14 KHP costing_2010312_TMR-035 cost table110607 2" xfId="157" xr:uid="{00000000-0005-0000-0000-0000D7000000}"/>
    <cellStyle name="標準_D-Pla原価見積りJan272004(13ch)_Rev by Jay_2008 MZR014 Costing_MI14 KHP costing_2010312" xfId="158" xr:uid="{00000000-0005-0000-0000-0000D8000000}"/>
    <cellStyle name="標準_D-Pla原価見積りJan272004(13ch)_Rev by Jay_2008 MZR014 Costing_MI14 KHP costing_2010312_TMR-035 cost table110607" xfId="159" xr:uid="{00000000-0005-0000-0000-0000D9000000}"/>
    <cellStyle name="英文" xfId="137" xr:uid="{00000000-0005-0000-0000-0000DA000000}"/>
    <cellStyle name="通貨 2" xfId="147" xr:uid="{00000000-0005-0000-0000-0000DB000000}"/>
    <cellStyle name="通貨 2 2" xfId="187" xr:uid="{00000000-0005-0000-0000-0000DC000000}"/>
    <cellStyle name="通貨 3" xfId="148" xr:uid="{00000000-0005-0000-0000-0000DD000000}"/>
    <cellStyle name="通貨 3 2" xfId="199" xr:uid="{00000000-0005-0000-0000-0000DE000000}"/>
    <cellStyle name="通貨 3 3" xfId="188" xr:uid="{00000000-0005-0000-0000-0000DF000000}"/>
    <cellStyle name="集計要項" xfId="143" xr:uid="{00000000-0005-0000-0000-0000E0000000}"/>
  </cellStyles>
  <dxfs count="0"/>
  <tableStyles count="0" defaultTableStyle="TableStyleMedium9" defaultPivotStyle="PivotStyleLight16"/>
  <colors>
    <mruColors>
      <color rgb="FF0000FF"/>
      <color rgb="FF99FF99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1976437</xdr:colOff>
      <xdr:row>4</xdr:row>
      <xdr:rowOff>23812</xdr:rowOff>
    </xdr:from>
    <xdr:to>
      <xdr:col>18</xdr:col>
      <xdr:colOff>547687</xdr:colOff>
      <xdr:row>57</xdr:row>
      <xdr:rowOff>71437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738437" y="976312"/>
          <a:ext cx="12787313" cy="105013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2457450</xdr:colOff>
      <xdr:row>3</xdr:row>
      <xdr:rowOff>171450</xdr:rowOff>
    </xdr:from>
    <xdr:to>
      <xdr:col>19</xdr:col>
      <xdr:colOff>342900</xdr:colOff>
      <xdr:row>45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238500" y="876300"/>
          <a:ext cx="12839700" cy="8343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DUCTION%20STAFF%20FILES\HELEN\Monthly%20Report\October%202008\SRC\&#19981;&#33391;&#35299;&#26512;\2008-09\SRC%20ASSEMBLY%20(%20DEFECT%20)%20September%202008\Documents%20and%20Settings\HELEN1\Desktop\HELEN'S%20DOCUMENTS\Documents%202008\JUNE%202008\janette%20(production%20output%20for%20update)\docum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KAKU15\&#20849;&#26377;\&#22770;&#19978;&#38306;&#36899;\&#22770;&#19978;&#36039;&#26009;\&#30452;&#25163;&#37197;&#22770;&#19978;&#23455;&#3231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DROP DOWN"/>
      <sheetName val="DROP DOWN LIST"/>
      <sheetName val="Summary"/>
      <sheetName val="Sheet1"/>
      <sheetName val="Sheet12"/>
      <sheetName val="Database"/>
      <sheetName val="Attachment-4(2)"/>
      <sheetName val="Format"/>
      <sheetName val="12月分"/>
    </sheetNames>
    <sheetDataSet>
      <sheetData sheetId="0" refreshError="1"/>
      <sheetData sheetId="1" refreshError="1">
        <row r="24">
          <cell r="D24" t="b">
            <v>0</v>
          </cell>
        </row>
        <row r="28">
          <cell r="D28" t="b">
            <v>1</v>
          </cell>
        </row>
        <row r="30">
          <cell r="D30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まとめ"/>
      <sheetName val="Deefects summaru graph"/>
      <sheetName val="生産数"/>
      <sheetName val="Graph1"/>
      <sheetName val="Sheet5"/>
      <sheetName val="Graph4"/>
      <sheetName val="Sheet2"/>
      <sheetName val="表"/>
      <sheetName val="Sheet6"/>
      <sheetName val="生データ"/>
      <sheetName val="LOSS RATE"/>
      <sheetName val="T10 SRC"/>
      <sheetName val="T13 SRC"/>
      <sheetName val="T15 SRC #1"/>
      <sheetName val="T15 SRC #2"/>
      <sheetName val="T15 SRC #3"/>
      <sheetName val="T11 SRC"/>
      <sheetName val="T18 SRC"/>
      <sheetName val="TMR020 SRC"/>
      <sheetName val="TMR021 LINE #3"/>
      <sheetName val="TMR-021 LINE #5"/>
      <sheetName val="TMR-021 LINE #6"/>
      <sheetName val="TMR022 LINE#1 "/>
      <sheetName val="TMR025 SRC"/>
      <sheetName val="TMR026 #2 SRC"/>
      <sheetName val="TMR-027 SRC"/>
      <sheetName val="SZ07 SRC #1"/>
      <sheetName val="SZ07 SRC #3"/>
      <sheetName val="SZR009 SRC"/>
      <sheetName val="DK06 SRC"/>
      <sheetName val="IS05 SRC"/>
      <sheetName val="MI12 SRC"/>
      <sheetName val="MI14 SRC"/>
      <sheetName val="MZ06 SRC"/>
      <sheetName val="MZ07 SRC"/>
      <sheetName val="MZ08 SRC"/>
      <sheetName val="MZR009 SRC"/>
      <sheetName val="MZ010 SRC"/>
      <sheetName val="SZR010 SRC"/>
      <sheetName val="FU06 SRC"/>
      <sheetName val="FUR-007 SRC"/>
      <sheetName val="HMR007 SRC"/>
      <sheetName val="HMR012 SRC"/>
      <sheetName val="TMR021 Line #2"/>
      <sheetName val="TMR022 LINE#5"/>
      <sheetName val="TMR024 SRC"/>
      <sheetName val="TMR026 #5 SRC"/>
      <sheetName val="FU04 SRC"/>
      <sheetName val="SZR008 SRC"/>
      <sheetName val="Planvs.Actual"/>
      <sheetName val="Defect"/>
      <sheetName val="Sheet4"/>
      <sheetName val="_MISSION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1">
          <cell r="A1" t="str">
            <v>MI12 SRC Assembly</v>
          </cell>
        </row>
        <row r="2">
          <cell r="A2" t="str">
            <v>OCTOBER. 2007</v>
          </cell>
          <cell r="B2" t="str">
            <v>1</v>
          </cell>
          <cell r="C2" t="str">
            <v>2</v>
          </cell>
          <cell r="D2" t="str">
            <v>3</v>
          </cell>
          <cell r="E2" t="str">
            <v>4</v>
          </cell>
          <cell r="F2" t="str">
            <v>5</v>
          </cell>
          <cell r="G2" t="str">
            <v>6</v>
          </cell>
          <cell r="H2" t="str">
            <v>7</v>
          </cell>
          <cell r="I2" t="str">
            <v>8</v>
          </cell>
          <cell r="J2" t="str">
            <v>9</v>
          </cell>
          <cell r="K2" t="str">
            <v>10</v>
          </cell>
          <cell r="L2" t="str">
            <v>11</v>
          </cell>
          <cell r="M2" t="str">
            <v>12</v>
          </cell>
          <cell r="N2" t="str">
            <v>13</v>
          </cell>
          <cell r="O2" t="str">
            <v>14</v>
          </cell>
          <cell r="P2" t="str">
            <v>15</v>
          </cell>
          <cell r="Q2" t="str">
            <v>16</v>
          </cell>
          <cell r="R2" t="str">
            <v>17</v>
          </cell>
          <cell r="S2" t="str">
            <v>18</v>
          </cell>
          <cell r="T2" t="str">
            <v>19</v>
          </cell>
        </row>
        <row r="3">
          <cell r="A3" t="str">
            <v>IN PROCESS DEFECT</v>
          </cell>
        </row>
        <row r="4">
          <cell r="A4" t="str">
            <v>A. FUNCTION TESTER</v>
          </cell>
        </row>
        <row r="5">
          <cell r="A5" t="str">
            <v>Torque Error</v>
          </cell>
        </row>
        <row r="7">
          <cell r="A7" t="str">
            <v>B. ELECTRICAL TESTER</v>
          </cell>
        </row>
        <row r="8">
          <cell r="A8" t="str">
            <v>Barcode Error</v>
          </cell>
        </row>
        <row r="9">
          <cell r="A9" t="str">
            <v>C.R Error</v>
          </cell>
        </row>
        <row r="10">
          <cell r="A10" t="str">
            <v>Damaged Barcode</v>
          </cell>
        </row>
        <row r="11">
          <cell r="A11" t="str">
            <v>I.R Error</v>
          </cell>
        </row>
        <row r="12">
          <cell r="A12" t="str">
            <v>Pattern Error</v>
          </cell>
        </row>
        <row r="13">
          <cell r="A13" t="str">
            <v>Pattern Short</v>
          </cell>
        </row>
        <row r="14">
          <cell r="A14" t="str">
            <v>C. FINAL TESTER</v>
          </cell>
        </row>
        <row r="15">
          <cell r="A15" t="str">
            <v>Damage Busbar</v>
          </cell>
        </row>
        <row r="16">
          <cell r="A16" t="str">
            <v>Damaged Connector</v>
          </cell>
        </row>
        <row r="17">
          <cell r="A17" t="str">
            <v>Damaged Case(Broken Pin,Tab)</v>
          </cell>
        </row>
        <row r="18">
          <cell r="A18" t="str">
            <v>Excess Mold on Post Cover</v>
          </cell>
        </row>
        <row r="19">
          <cell r="A19" t="str">
            <v>Weld Line of Sleeve</v>
          </cell>
        </row>
        <row r="20">
          <cell r="A20" t="str">
            <v>Unlocked Busbar</v>
          </cell>
        </row>
        <row r="21">
          <cell r="A21" t="str">
            <v>Unlocked Post Cover</v>
          </cell>
        </row>
        <row r="22">
          <cell r="A22" t="str">
            <v>D. OTHER PROCESS</v>
          </cell>
        </row>
        <row r="42">
          <cell r="A42" t="str">
            <v>TOTAL DEFECTIVE QUANTITY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LOSS RATE (%)</v>
          </cell>
          <cell r="B43" t="e">
            <v>#DIV/0!</v>
          </cell>
          <cell r="C43" t="e">
            <v>#DIV/0!</v>
          </cell>
          <cell r="D43">
            <v>0</v>
          </cell>
          <cell r="E43" t="e">
            <v>#DIV/0!</v>
          </cell>
          <cell r="F43" t="e">
            <v>#DIV/0!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</row>
        <row r="44">
          <cell r="A44" t="str">
            <v>TOTAL GOOD QUANTITY</v>
          </cell>
          <cell r="D44">
            <v>192</v>
          </cell>
          <cell r="G44">
            <v>512</v>
          </cell>
        </row>
        <row r="45">
          <cell r="A45" t="str">
            <v>TOTAL PRODUCTION OUTPUT</v>
          </cell>
          <cell r="B45">
            <v>0</v>
          </cell>
          <cell r="C45">
            <v>0</v>
          </cell>
          <cell r="D45">
            <v>192</v>
          </cell>
          <cell r="E45">
            <v>0</v>
          </cell>
          <cell r="F45">
            <v>0</v>
          </cell>
          <cell r="G45">
            <v>512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OPERATION TIME (MINS.)</v>
          </cell>
          <cell r="D46">
            <v>140</v>
          </cell>
          <cell r="G46">
            <v>360</v>
          </cell>
        </row>
        <row r="47">
          <cell r="A47" t="str">
            <v>NO. OF PERSONS (operators)</v>
          </cell>
          <cell r="D47">
            <v>7</v>
          </cell>
          <cell r="G47">
            <v>7</v>
          </cell>
        </row>
        <row r="48">
          <cell r="A48" t="str">
            <v>NO. OF PERSONS (LL &amp; QC)</v>
          </cell>
          <cell r="D48">
            <v>2</v>
          </cell>
          <cell r="G48">
            <v>2</v>
          </cell>
        </row>
        <row r="49">
          <cell r="A49" t="str">
            <v>CYCLE TIME</v>
          </cell>
          <cell r="D49">
            <v>43.75</v>
          </cell>
          <cell r="G49">
            <v>42.1875</v>
          </cell>
          <cell r="O49" t="e">
            <v>#DIV/0!</v>
          </cell>
        </row>
        <row r="50">
          <cell r="A50" t="str">
            <v>MANSECOND</v>
          </cell>
          <cell r="D50">
            <v>350</v>
          </cell>
          <cell r="G50">
            <v>337.5</v>
          </cell>
          <cell r="O50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月次データ"/>
      <sheetName val="入力確認"/>
      <sheetName val="Sheet1"/>
      <sheetName val="Sheet2"/>
      <sheetName val="推移データ"/>
      <sheetName val="工数集計"/>
      <sheetName val="FW_STEXCEL"/>
      <sheetName val="主要WH売上"/>
      <sheetName val="HL extract"/>
      <sheetName val="①評価項目_メーカー"/>
      <sheetName val="直手配売上実績"/>
      <sheetName val="計算DATA"/>
      <sheetName val="MI12 SRC"/>
      <sheetName val="コード表"/>
      <sheetName val="部門ﾏｽﾀｰ"/>
      <sheetName val="３発デ－タ"/>
      <sheetName val="MOTO"/>
      <sheetName val="TBL"/>
      <sheetName val="賃率総括"/>
      <sheetName val="371国内試設変通知（日車記入）"/>
      <sheetName val="県別ﾏﾙﾁ"/>
      <sheetName val="After Sales Supplier #'s"/>
      <sheetName val="TW_STDATA"/>
      <sheetName val="74上"/>
      <sheetName val="A"/>
      <sheetName val="図面台帳"/>
      <sheetName val="名簿データ"/>
      <sheetName val="加工費Muster"/>
      <sheetName val="04年度長期操業予測_数量_0412月3発反映"/>
      <sheetName val="VN48 A,Btype 標準工数"/>
      <sheetName val="T_クロス集計テーブル【基データ】"/>
      <sheetName val="inspector"/>
      <sheetName val="点检表"/>
      <sheetName val="班部番別"/>
      <sheetName val="Data"/>
      <sheetName val="BAO-GIA"/>
      <sheetName val="Du_lieu"/>
      <sheetName val="DATABASE"/>
      <sheetName val="SC用内示データ2"/>
      <sheetName val="X02A (DF) TERMINAL LIST"/>
      <sheetName val="总"/>
      <sheetName val="INPUT SHEET"/>
      <sheetName val="週数量"/>
      <sheetName val="051110_金額_REV1"/>
      <sheetName val="FAV2_M_KHNHMK"/>
      <sheetName val="三重組立（1万）"/>
      <sheetName val="HL_extract"/>
      <sheetName val="MI12_SRC"/>
      <sheetName val="VN48_A,Btype_標準工数"/>
      <sheetName val="After_Sales_Supplier_#'s"/>
      <sheetName val="HL_extract1"/>
      <sheetName val="MI12_SRC1"/>
      <sheetName val="VN48_A,Btype_標準工数1"/>
      <sheetName val="After_Sales_Supplier_#'s1"/>
      <sheetName val="HL_extract2"/>
      <sheetName val="MI12_SRC2"/>
      <sheetName val="VN48_A,Btype_標準工数2"/>
      <sheetName val="After_Sales_Supplier_#'s2"/>
      <sheetName val="HL_extract3"/>
      <sheetName val="MI12_SRC3"/>
      <sheetName val="VN48_A,Btype_標準工数3"/>
      <sheetName val="After_Sales_Supplier_#'s3"/>
      <sheetName val="HL_extract4"/>
      <sheetName val="MI12_SRC4"/>
      <sheetName val="VN48_A,Btype_標準工数4"/>
      <sheetName val="After_Sales_Supplier_#'s4"/>
      <sheetName val="HL_extract5"/>
      <sheetName val="MI12_SRC5"/>
      <sheetName val="VN48_A,Btype_標準工数5"/>
      <sheetName val="After_Sales_Supplier_#'s5"/>
      <sheetName val="HL_extract6"/>
      <sheetName val="MI12_SRC6"/>
      <sheetName val="VN48_A,Btype_標準工数6"/>
      <sheetName val="After_Sales_Supplier_#'s6"/>
      <sheetName val="HL_extract7"/>
      <sheetName val="MI12_SRC7"/>
      <sheetName val="VN48_A,Btype_標準工数7"/>
      <sheetName val="After_Sales_Supplier_#'s7"/>
      <sheetName val="HL_extract8"/>
      <sheetName val="MI12_SRC8"/>
      <sheetName val="HL_extract9"/>
      <sheetName val="MI12_SRC9"/>
      <sheetName val="VN48_A,Btype_標準工数8"/>
      <sheetName val="After_Sales_Supplier_#'s8"/>
      <sheetName val="圧着条件"/>
      <sheetName val="ﾏﾙﾁ回路"/>
      <sheetName val="PROFILE"/>
      <sheetName val="静ﾊﾟﾀﾝ分析"/>
      <sheetName val="DT-XL"/>
      <sheetName val="Lban"/>
      <sheetName val="公差"/>
      <sheetName val="TM_SENSIZ（参考）"/>
      <sheetName val="部品情報"/>
      <sheetName val="BOM"/>
      <sheetName val="費用明細-ASSY盤"/>
      <sheetName val="費用明細-導通盤"/>
      <sheetName val="7 issue TS Report-Production"/>
      <sheetName val="4-m sheets"/>
      <sheetName val="Ramp-up"/>
      <sheetName val="Summary"/>
      <sheetName val="明細"/>
      <sheetName val="HYO"/>
      <sheetName val="Temperature Raw Data"/>
      <sheetName val="sample 2 "/>
      <sheetName val="VN48 A_Btype 標準工数"/>
      <sheetName val="集計表"/>
      <sheetName val="F-30"/>
      <sheetName val="V2プロジェクトチーム_予決算比較"/>
      <sheetName val="基準"/>
      <sheetName val="tong du toan"/>
      <sheetName val="00年9月"/>
      <sheetName val="フォーム1"/>
      <sheetName val="W_LBOOK"/>
      <sheetName val="売上総益ﾃﾞｰﾀ"/>
      <sheetName val="#REF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</sheetNames>
    <sheetDataSet>
      <sheetData sheetId="0" refreshError="1">
        <row r="3">
          <cell r="B3" t="str">
            <v>年月</v>
          </cell>
          <cell r="C3" t="str">
            <v>名称</v>
          </cell>
          <cell r="D3" t="str">
            <v>受注種類</v>
          </cell>
          <cell r="E3" t="str">
            <v>金額</v>
          </cell>
          <cell r="F3" t="str">
            <v>出荷数量</v>
          </cell>
          <cell r="G3" t="str">
            <v>手配件数</v>
          </cell>
          <cell r="H3" t="str">
            <v>見積有(新規)</v>
          </cell>
          <cell r="I3" t="str">
            <v>見積無試作A</v>
          </cell>
          <cell r="J3" t="str">
            <v>見積無旧単価</v>
          </cell>
          <cell r="K3" t="str">
            <v>見積無指値</v>
          </cell>
          <cell r="L3" t="str">
            <v>登録 件数計</v>
          </cell>
        </row>
        <row r="4">
          <cell r="B4">
            <v>35886</v>
          </cell>
          <cell r="C4" t="str">
            <v>ﾜｲﾔｰﾊｰﾈｽ</v>
          </cell>
          <cell r="D4">
            <v>1</v>
          </cell>
          <cell r="E4">
            <v>1832253</v>
          </cell>
          <cell r="F4">
            <v>2695</v>
          </cell>
          <cell r="G4">
            <v>54</v>
          </cell>
          <cell r="H4">
            <v>7</v>
          </cell>
          <cell r="I4">
            <v>322</v>
          </cell>
          <cell r="K4">
            <v>467</v>
          </cell>
          <cell r="L4">
            <v>796</v>
          </cell>
        </row>
        <row r="5">
          <cell r="B5">
            <v>35886</v>
          </cell>
          <cell r="C5" t="str">
            <v>ﾘｰﾄﾞ線</v>
          </cell>
          <cell r="D5">
            <v>2</v>
          </cell>
          <cell r="E5">
            <v>10590</v>
          </cell>
          <cell r="F5">
            <v>101</v>
          </cell>
          <cell r="G5">
            <v>2</v>
          </cell>
          <cell r="L5">
            <v>0</v>
          </cell>
        </row>
        <row r="6">
          <cell r="B6">
            <v>35886</v>
          </cell>
          <cell r="C6" t="str">
            <v>ﾊﾞｯﾃﾘｰ</v>
          </cell>
          <cell r="D6">
            <v>3</v>
          </cell>
          <cell r="E6">
            <v>35074</v>
          </cell>
          <cell r="F6">
            <v>78</v>
          </cell>
          <cell r="G6">
            <v>4</v>
          </cell>
          <cell r="L6">
            <v>0</v>
          </cell>
        </row>
        <row r="7">
          <cell r="B7">
            <v>35886</v>
          </cell>
          <cell r="C7" t="str">
            <v>部品</v>
          </cell>
          <cell r="D7">
            <v>4</v>
          </cell>
          <cell r="E7">
            <v>57068</v>
          </cell>
          <cell r="F7">
            <v>4439</v>
          </cell>
          <cell r="G7">
            <v>5</v>
          </cell>
          <cell r="L7">
            <v>0</v>
          </cell>
        </row>
        <row r="8">
          <cell r="B8">
            <v>35886</v>
          </cell>
          <cell r="C8" t="str">
            <v>ﾊﾟｰﾂﾊｰﾈｽ</v>
          </cell>
          <cell r="D8">
            <v>9</v>
          </cell>
          <cell r="E8">
            <v>7604806</v>
          </cell>
          <cell r="F8">
            <v>10496</v>
          </cell>
          <cell r="G8">
            <v>331</v>
          </cell>
          <cell r="L8">
            <v>0</v>
          </cell>
        </row>
        <row r="9">
          <cell r="B9">
            <v>35886</v>
          </cell>
          <cell r="C9" t="str">
            <v>試作品</v>
          </cell>
          <cell r="D9" t="str">
            <v>A</v>
          </cell>
          <cell r="E9">
            <v>18796812</v>
          </cell>
          <cell r="F9">
            <v>1151</v>
          </cell>
          <cell r="G9">
            <v>334</v>
          </cell>
          <cell r="L9">
            <v>0</v>
          </cell>
        </row>
        <row r="10">
          <cell r="B10">
            <v>35886</v>
          </cell>
          <cell r="C10" t="str">
            <v>量産確認</v>
          </cell>
          <cell r="D10" t="str">
            <v>B</v>
          </cell>
          <cell r="E10">
            <v>1854934</v>
          </cell>
          <cell r="F10">
            <v>380</v>
          </cell>
          <cell r="G10">
            <v>123</v>
          </cell>
          <cell r="L10">
            <v>0</v>
          </cell>
        </row>
        <row r="11">
          <cell r="B11">
            <v>35886</v>
          </cell>
          <cell r="C11" t="str">
            <v>先行量産</v>
          </cell>
          <cell r="D11" t="str">
            <v>C</v>
          </cell>
          <cell r="E11">
            <v>5344</v>
          </cell>
          <cell r="F11">
            <v>32</v>
          </cell>
          <cell r="G11">
            <v>3</v>
          </cell>
          <cell r="L11">
            <v>0</v>
          </cell>
        </row>
        <row r="12">
          <cell r="B12">
            <v>35916</v>
          </cell>
          <cell r="C12" t="str">
            <v>ﾜｲﾔｰﾊｰﾈｽ</v>
          </cell>
          <cell r="D12">
            <v>1</v>
          </cell>
          <cell r="E12">
            <v>1065209</v>
          </cell>
          <cell r="F12">
            <v>2396</v>
          </cell>
          <cell r="G12">
            <v>64</v>
          </cell>
          <cell r="H12">
            <v>20</v>
          </cell>
          <cell r="I12">
            <v>88</v>
          </cell>
          <cell r="K12">
            <v>423</v>
          </cell>
          <cell r="L12">
            <v>531</v>
          </cell>
        </row>
        <row r="13">
          <cell r="B13">
            <v>35916</v>
          </cell>
          <cell r="C13" t="str">
            <v>ﾘｰﾄﾞ線</v>
          </cell>
          <cell r="D13">
            <v>2</v>
          </cell>
          <cell r="E13">
            <v>55245</v>
          </cell>
          <cell r="F13">
            <v>868</v>
          </cell>
          <cell r="G13">
            <v>8</v>
          </cell>
          <cell r="L13">
            <v>0</v>
          </cell>
        </row>
        <row r="14">
          <cell r="B14">
            <v>35916</v>
          </cell>
          <cell r="C14" t="str">
            <v>部品</v>
          </cell>
          <cell r="D14">
            <v>4</v>
          </cell>
          <cell r="E14">
            <v>109380</v>
          </cell>
          <cell r="F14">
            <v>4000</v>
          </cell>
          <cell r="G14">
            <v>27</v>
          </cell>
          <cell r="L14">
            <v>0</v>
          </cell>
        </row>
        <row r="15">
          <cell r="B15">
            <v>35916</v>
          </cell>
          <cell r="C15" t="str">
            <v>ﾊﾟｰﾂﾊｰﾈｽ</v>
          </cell>
          <cell r="D15">
            <v>9</v>
          </cell>
          <cell r="E15">
            <v>5686038</v>
          </cell>
          <cell r="F15">
            <v>8327</v>
          </cell>
          <cell r="G15">
            <v>285</v>
          </cell>
          <cell r="L15">
            <v>0</v>
          </cell>
        </row>
        <row r="16">
          <cell r="B16">
            <v>35916</v>
          </cell>
          <cell r="C16" t="str">
            <v>試作品</v>
          </cell>
          <cell r="D16" t="str">
            <v>A</v>
          </cell>
          <cell r="E16">
            <v>5103739</v>
          </cell>
          <cell r="F16">
            <v>532</v>
          </cell>
          <cell r="G16">
            <v>88</v>
          </cell>
          <cell r="L16">
            <v>0</v>
          </cell>
        </row>
        <row r="17">
          <cell r="B17">
            <v>35916</v>
          </cell>
          <cell r="C17" t="str">
            <v>量産確認</v>
          </cell>
          <cell r="D17" t="str">
            <v>B</v>
          </cell>
          <cell r="E17">
            <v>2351775</v>
          </cell>
          <cell r="F17">
            <v>510</v>
          </cell>
          <cell r="G17">
            <v>93</v>
          </cell>
          <cell r="L17">
            <v>0</v>
          </cell>
        </row>
        <row r="18">
          <cell r="B18">
            <v>35916</v>
          </cell>
          <cell r="C18" t="str">
            <v>先行量産</v>
          </cell>
          <cell r="D18" t="str">
            <v>C</v>
          </cell>
          <cell r="E18">
            <v>125477</v>
          </cell>
          <cell r="F18">
            <v>224</v>
          </cell>
          <cell r="G18">
            <v>8</v>
          </cell>
          <cell r="L18">
            <v>0</v>
          </cell>
        </row>
        <row r="19">
          <cell r="B19">
            <v>35947</v>
          </cell>
          <cell r="C19" t="str">
            <v>ﾜｲﾔｰﾊｰﾈｽ</v>
          </cell>
          <cell r="D19">
            <v>1</v>
          </cell>
          <cell r="E19">
            <v>1434963</v>
          </cell>
          <cell r="F19">
            <v>1938</v>
          </cell>
          <cell r="G19">
            <v>41</v>
          </cell>
          <cell r="H19">
            <v>4</v>
          </cell>
          <cell r="I19">
            <v>204</v>
          </cell>
          <cell r="K19">
            <v>778</v>
          </cell>
          <cell r="L19">
            <v>986</v>
          </cell>
        </row>
        <row r="20">
          <cell r="B20">
            <v>35947</v>
          </cell>
          <cell r="C20" t="str">
            <v>ﾘｰﾄﾞ線</v>
          </cell>
          <cell r="D20">
            <v>2</v>
          </cell>
          <cell r="E20">
            <v>67341</v>
          </cell>
          <cell r="F20">
            <v>902</v>
          </cell>
          <cell r="G20">
            <v>3</v>
          </cell>
          <cell r="L20">
            <v>0</v>
          </cell>
        </row>
        <row r="21">
          <cell r="B21">
            <v>35947</v>
          </cell>
          <cell r="C21" t="str">
            <v>ﾊﾞｯﾃﾘｰ</v>
          </cell>
          <cell r="D21">
            <v>3</v>
          </cell>
          <cell r="E21">
            <v>2498</v>
          </cell>
          <cell r="F21">
            <v>42</v>
          </cell>
          <cell r="G21">
            <v>2</v>
          </cell>
          <cell r="L21">
            <v>0</v>
          </cell>
        </row>
        <row r="22">
          <cell r="B22">
            <v>35947</v>
          </cell>
          <cell r="C22" t="str">
            <v>部品</v>
          </cell>
          <cell r="D22">
            <v>4</v>
          </cell>
          <cell r="E22">
            <v>35672</v>
          </cell>
          <cell r="F22">
            <v>8037</v>
          </cell>
          <cell r="G22">
            <v>11</v>
          </cell>
          <cell r="L22">
            <v>0</v>
          </cell>
        </row>
        <row r="23">
          <cell r="B23">
            <v>35947</v>
          </cell>
          <cell r="C23" t="str">
            <v>ＦＬ</v>
          </cell>
          <cell r="D23">
            <v>5</v>
          </cell>
          <cell r="E23">
            <v>4517</v>
          </cell>
          <cell r="F23">
            <v>39</v>
          </cell>
          <cell r="G23">
            <v>4</v>
          </cell>
          <cell r="L23">
            <v>0</v>
          </cell>
        </row>
        <row r="24">
          <cell r="B24">
            <v>35947</v>
          </cell>
          <cell r="C24" t="str">
            <v>ﾊﾟｰﾂﾊｰﾈｽ</v>
          </cell>
          <cell r="D24">
            <v>9</v>
          </cell>
          <cell r="E24">
            <v>4853118</v>
          </cell>
          <cell r="F24">
            <v>11005</v>
          </cell>
          <cell r="G24">
            <v>321</v>
          </cell>
          <cell r="L24">
            <v>0</v>
          </cell>
        </row>
        <row r="25">
          <cell r="B25">
            <v>35947</v>
          </cell>
          <cell r="C25" t="str">
            <v>改造ﾊｰﾈｽ</v>
          </cell>
          <cell r="D25">
            <v>8</v>
          </cell>
          <cell r="E25">
            <v>139260</v>
          </cell>
          <cell r="F25">
            <v>30</v>
          </cell>
          <cell r="G25">
            <v>1</v>
          </cell>
          <cell r="L25">
            <v>0</v>
          </cell>
        </row>
        <row r="26">
          <cell r="B26">
            <v>35947</v>
          </cell>
          <cell r="C26" t="str">
            <v>試作品</v>
          </cell>
          <cell r="D26" t="str">
            <v>A</v>
          </cell>
          <cell r="E26">
            <v>13245993</v>
          </cell>
          <cell r="F26">
            <v>876</v>
          </cell>
          <cell r="G26">
            <v>223</v>
          </cell>
          <cell r="L26">
            <v>0</v>
          </cell>
        </row>
        <row r="27">
          <cell r="B27">
            <v>35947</v>
          </cell>
          <cell r="C27" t="str">
            <v>量産確認</v>
          </cell>
          <cell r="D27" t="str">
            <v>B</v>
          </cell>
          <cell r="E27">
            <v>3341092</v>
          </cell>
          <cell r="F27">
            <v>2190</v>
          </cell>
          <cell r="G27">
            <v>394</v>
          </cell>
          <cell r="L27">
            <v>0</v>
          </cell>
        </row>
        <row r="28">
          <cell r="B28">
            <v>35947</v>
          </cell>
          <cell r="C28" t="str">
            <v>先行量産</v>
          </cell>
          <cell r="D28" t="str">
            <v>C</v>
          </cell>
          <cell r="E28">
            <v>446204</v>
          </cell>
          <cell r="F28">
            <v>126</v>
          </cell>
          <cell r="G28">
            <v>34</v>
          </cell>
          <cell r="L28">
            <v>0</v>
          </cell>
        </row>
        <row r="29">
          <cell r="B29">
            <v>35947</v>
          </cell>
          <cell r="C29" t="str">
            <v>ﾘｰﾄﾞ線部品</v>
          </cell>
          <cell r="D29" t="str">
            <v>X</v>
          </cell>
          <cell r="E29">
            <v>951000</v>
          </cell>
          <cell r="F29">
            <v>30000</v>
          </cell>
          <cell r="G29">
            <v>3</v>
          </cell>
          <cell r="L29">
            <v>0</v>
          </cell>
        </row>
        <row r="30">
          <cell r="B30">
            <v>35977</v>
          </cell>
          <cell r="C30" t="str">
            <v>ﾜｲﾔｰﾊｰﾈｽ</v>
          </cell>
          <cell r="D30">
            <v>1</v>
          </cell>
          <cell r="E30">
            <v>920447</v>
          </cell>
          <cell r="F30">
            <v>741</v>
          </cell>
          <cell r="G30">
            <v>65</v>
          </cell>
          <cell r="H30">
            <v>19</v>
          </cell>
          <cell r="I30">
            <v>112</v>
          </cell>
          <cell r="K30">
            <v>628</v>
          </cell>
          <cell r="L30">
            <v>759</v>
          </cell>
        </row>
        <row r="31">
          <cell r="B31">
            <v>35977</v>
          </cell>
          <cell r="C31" t="str">
            <v>ﾘｰﾄﾞ線</v>
          </cell>
          <cell r="D31">
            <v>2</v>
          </cell>
          <cell r="E31">
            <v>95752</v>
          </cell>
          <cell r="F31">
            <v>1382</v>
          </cell>
          <cell r="G31">
            <v>8</v>
          </cell>
          <cell r="L31">
            <v>0</v>
          </cell>
        </row>
        <row r="32">
          <cell r="B32">
            <v>35977</v>
          </cell>
          <cell r="C32" t="str">
            <v>ﾊﾞｯﾃﾘｰ</v>
          </cell>
          <cell r="D32">
            <v>3</v>
          </cell>
          <cell r="E32">
            <v>1800</v>
          </cell>
          <cell r="F32">
            <v>4</v>
          </cell>
          <cell r="G32">
            <v>2</v>
          </cell>
          <cell r="L32">
            <v>0</v>
          </cell>
        </row>
        <row r="33">
          <cell r="B33">
            <v>35977</v>
          </cell>
          <cell r="C33" t="str">
            <v>部品</v>
          </cell>
          <cell r="D33">
            <v>4</v>
          </cell>
          <cell r="E33">
            <v>8221236</v>
          </cell>
          <cell r="F33">
            <v>6747</v>
          </cell>
          <cell r="G33">
            <v>39</v>
          </cell>
          <cell r="L33">
            <v>0</v>
          </cell>
        </row>
        <row r="34">
          <cell r="B34">
            <v>35977</v>
          </cell>
          <cell r="C34" t="str">
            <v>ＦＬ</v>
          </cell>
          <cell r="D34">
            <v>5</v>
          </cell>
          <cell r="E34">
            <v>15592</v>
          </cell>
          <cell r="F34">
            <v>132</v>
          </cell>
          <cell r="G34">
            <v>3</v>
          </cell>
          <cell r="L34">
            <v>0</v>
          </cell>
        </row>
        <row r="35">
          <cell r="B35">
            <v>35977</v>
          </cell>
          <cell r="C35" t="str">
            <v>ﾊﾟｰﾂﾊｰﾈｽ</v>
          </cell>
          <cell r="D35">
            <v>9</v>
          </cell>
          <cell r="E35">
            <v>5610968</v>
          </cell>
          <cell r="F35">
            <v>7812</v>
          </cell>
          <cell r="G35">
            <v>290</v>
          </cell>
          <cell r="L35">
            <v>0</v>
          </cell>
        </row>
        <row r="36">
          <cell r="B36">
            <v>35977</v>
          </cell>
          <cell r="C36" t="str">
            <v>試作品</v>
          </cell>
          <cell r="D36" t="str">
            <v>A</v>
          </cell>
          <cell r="E36">
            <v>8222296</v>
          </cell>
          <cell r="F36">
            <v>1334</v>
          </cell>
          <cell r="G36">
            <v>115</v>
          </cell>
          <cell r="L36">
            <v>0</v>
          </cell>
        </row>
        <row r="37">
          <cell r="B37">
            <v>35977</v>
          </cell>
          <cell r="C37" t="str">
            <v>量産確認</v>
          </cell>
          <cell r="D37" t="str">
            <v>B</v>
          </cell>
          <cell r="E37">
            <v>1906294</v>
          </cell>
          <cell r="F37">
            <v>1068</v>
          </cell>
          <cell r="G37">
            <v>263</v>
          </cell>
          <cell r="L37">
            <v>0</v>
          </cell>
        </row>
        <row r="38">
          <cell r="B38">
            <v>35977</v>
          </cell>
          <cell r="C38" t="str">
            <v>先行量産</v>
          </cell>
          <cell r="D38" t="str">
            <v>C</v>
          </cell>
          <cell r="E38">
            <v>64600</v>
          </cell>
          <cell r="F38">
            <v>8</v>
          </cell>
          <cell r="G38">
            <v>4</v>
          </cell>
          <cell r="L38">
            <v>0</v>
          </cell>
        </row>
        <row r="39">
          <cell r="B39">
            <v>35977</v>
          </cell>
          <cell r="C39" t="str">
            <v>ﾘｰﾄﾞ線部品</v>
          </cell>
          <cell r="D39" t="str">
            <v>X</v>
          </cell>
          <cell r="E39">
            <v>634000</v>
          </cell>
          <cell r="F39">
            <v>20000</v>
          </cell>
          <cell r="G39">
            <v>2</v>
          </cell>
          <cell r="L39">
            <v>0</v>
          </cell>
        </row>
        <row r="40">
          <cell r="B40">
            <v>36008</v>
          </cell>
          <cell r="C40" t="str">
            <v>ﾜｲﾔｰﾊｰﾈｽ</v>
          </cell>
          <cell r="D40">
            <v>1</v>
          </cell>
          <cell r="E40">
            <v>1196536</v>
          </cell>
          <cell r="F40">
            <v>1223</v>
          </cell>
          <cell r="G40">
            <v>85</v>
          </cell>
          <cell r="H40">
            <v>4</v>
          </cell>
          <cell r="I40">
            <v>141</v>
          </cell>
          <cell r="K40">
            <v>745</v>
          </cell>
          <cell r="L40">
            <v>890</v>
          </cell>
        </row>
        <row r="41">
          <cell r="B41">
            <v>36008</v>
          </cell>
          <cell r="C41" t="str">
            <v>ﾘｰﾄﾞ線</v>
          </cell>
          <cell r="D41">
            <v>2</v>
          </cell>
          <cell r="E41">
            <v>139877</v>
          </cell>
          <cell r="F41">
            <v>1678</v>
          </cell>
          <cell r="G41">
            <v>7</v>
          </cell>
          <cell r="L41">
            <v>0</v>
          </cell>
        </row>
        <row r="42">
          <cell r="B42">
            <v>36008</v>
          </cell>
          <cell r="C42" t="str">
            <v>部品</v>
          </cell>
          <cell r="D42">
            <v>4</v>
          </cell>
          <cell r="E42">
            <v>10177</v>
          </cell>
          <cell r="F42">
            <v>377</v>
          </cell>
          <cell r="G42">
            <v>9</v>
          </cell>
          <cell r="L42">
            <v>0</v>
          </cell>
        </row>
        <row r="43">
          <cell r="B43">
            <v>36008</v>
          </cell>
          <cell r="C43" t="str">
            <v>ﾊﾟｰﾂﾊｰﾈｽ</v>
          </cell>
          <cell r="D43">
            <v>9</v>
          </cell>
          <cell r="E43">
            <v>3234094</v>
          </cell>
          <cell r="F43">
            <v>5462</v>
          </cell>
          <cell r="G43">
            <v>262</v>
          </cell>
          <cell r="L43">
            <v>0</v>
          </cell>
        </row>
        <row r="44">
          <cell r="B44">
            <v>36008</v>
          </cell>
          <cell r="C44" t="str">
            <v>試作品</v>
          </cell>
          <cell r="D44" t="str">
            <v>A</v>
          </cell>
          <cell r="E44">
            <v>9350829</v>
          </cell>
          <cell r="F44">
            <v>525</v>
          </cell>
          <cell r="G44">
            <v>171</v>
          </cell>
          <cell r="L44">
            <v>0</v>
          </cell>
        </row>
        <row r="45">
          <cell r="B45">
            <v>36008</v>
          </cell>
          <cell r="C45" t="str">
            <v>量産確認</v>
          </cell>
          <cell r="D45" t="str">
            <v>B</v>
          </cell>
          <cell r="E45">
            <v>5725328</v>
          </cell>
          <cell r="F45">
            <v>2426</v>
          </cell>
          <cell r="G45">
            <v>421</v>
          </cell>
          <cell r="L45">
            <v>0</v>
          </cell>
        </row>
        <row r="46">
          <cell r="B46">
            <v>36008</v>
          </cell>
          <cell r="C46" t="str">
            <v>ﾘｰﾄﾞ線部品</v>
          </cell>
          <cell r="D46" t="str">
            <v>X</v>
          </cell>
          <cell r="E46">
            <v>1141200</v>
          </cell>
          <cell r="F46">
            <v>36000</v>
          </cell>
          <cell r="G46">
            <v>4</v>
          </cell>
          <cell r="L46">
            <v>0</v>
          </cell>
        </row>
        <row r="47">
          <cell r="B47">
            <v>36039</v>
          </cell>
          <cell r="C47" t="str">
            <v>ﾜｲﾔｰﾊｰﾈｽ</v>
          </cell>
          <cell r="D47">
            <v>1</v>
          </cell>
          <cell r="E47">
            <v>1035944</v>
          </cell>
          <cell r="F47">
            <v>2444</v>
          </cell>
          <cell r="G47">
            <v>51</v>
          </cell>
          <cell r="H47">
            <v>25</v>
          </cell>
          <cell r="I47">
            <v>151</v>
          </cell>
          <cell r="K47">
            <v>514</v>
          </cell>
          <cell r="L47">
            <v>690</v>
          </cell>
        </row>
        <row r="48">
          <cell r="B48">
            <v>36039</v>
          </cell>
          <cell r="C48" t="str">
            <v>ﾘｰﾄﾞ線</v>
          </cell>
          <cell r="D48">
            <v>2</v>
          </cell>
          <cell r="E48">
            <v>368757</v>
          </cell>
          <cell r="F48">
            <v>2824</v>
          </cell>
          <cell r="G48">
            <v>15</v>
          </cell>
          <cell r="L48">
            <v>0</v>
          </cell>
        </row>
        <row r="49">
          <cell r="B49">
            <v>36039</v>
          </cell>
          <cell r="C49" t="str">
            <v>ﾊﾞｯﾃﾘｰ</v>
          </cell>
          <cell r="D49">
            <v>3</v>
          </cell>
          <cell r="E49">
            <v>1300</v>
          </cell>
          <cell r="F49">
            <v>20</v>
          </cell>
          <cell r="G49">
            <v>1</v>
          </cell>
          <cell r="L49">
            <v>0</v>
          </cell>
        </row>
        <row r="50">
          <cell r="B50">
            <v>36039</v>
          </cell>
          <cell r="C50" t="str">
            <v>部品</v>
          </cell>
          <cell r="D50">
            <v>4</v>
          </cell>
          <cell r="E50">
            <v>376631</v>
          </cell>
          <cell r="F50">
            <v>53</v>
          </cell>
          <cell r="G50">
            <v>28</v>
          </cell>
          <cell r="L50">
            <v>0</v>
          </cell>
        </row>
        <row r="51">
          <cell r="B51">
            <v>36039</v>
          </cell>
          <cell r="C51" t="str">
            <v>ＦＬ</v>
          </cell>
          <cell r="D51">
            <v>5</v>
          </cell>
          <cell r="E51">
            <v>6300</v>
          </cell>
          <cell r="F51">
            <v>50</v>
          </cell>
          <cell r="G51">
            <v>2</v>
          </cell>
          <cell r="L51">
            <v>0</v>
          </cell>
        </row>
        <row r="52">
          <cell r="B52">
            <v>36039</v>
          </cell>
          <cell r="C52" t="str">
            <v>ﾊﾟｰﾂﾊｰﾈｽ</v>
          </cell>
          <cell r="D52">
            <v>9</v>
          </cell>
          <cell r="E52">
            <v>5790871</v>
          </cell>
          <cell r="F52">
            <v>7355</v>
          </cell>
          <cell r="G52">
            <v>373</v>
          </cell>
          <cell r="L52">
            <v>0</v>
          </cell>
        </row>
        <row r="53">
          <cell r="B53">
            <v>36039</v>
          </cell>
          <cell r="C53" t="str">
            <v>試作品</v>
          </cell>
          <cell r="D53" t="str">
            <v>A</v>
          </cell>
          <cell r="E53">
            <v>9659682</v>
          </cell>
          <cell r="F53">
            <v>1004</v>
          </cell>
          <cell r="G53">
            <v>167</v>
          </cell>
          <cell r="L53">
            <v>0</v>
          </cell>
        </row>
        <row r="54">
          <cell r="B54">
            <v>36039</v>
          </cell>
          <cell r="C54" t="str">
            <v>量産確認</v>
          </cell>
          <cell r="D54" t="str">
            <v>B</v>
          </cell>
          <cell r="E54">
            <v>1720870</v>
          </cell>
          <cell r="F54">
            <v>612</v>
          </cell>
          <cell r="G54">
            <v>128</v>
          </cell>
          <cell r="L54">
            <v>0</v>
          </cell>
        </row>
        <row r="55">
          <cell r="B55">
            <v>36039</v>
          </cell>
          <cell r="C55" t="str">
            <v>先行量産</v>
          </cell>
          <cell r="D55" t="str">
            <v>C</v>
          </cell>
          <cell r="E55">
            <v>68574</v>
          </cell>
          <cell r="F55">
            <v>4</v>
          </cell>
          <cell r="G55">
            <v>2</v>
          </cell>
          <cell r="L55">
            <v>0</v>
          </cell>
        </row>
        <row r="56">
          <cell r="B56">
            <v>36039</v>
          </cell>
          <cell r="C56" t="str">
            <v>ﾘｰﾄﾞ線部品</v>
          </cell>
          <cell r="D56" t="str">
            <v>X</v>
          </cell>
          <cell r="E56">
            <v>443800</v>
          </cell>
          <cell r="F56">
            <v>14000</v>
          </cell>
          <cell r="G56">
            <v>2</v>
          </cell>
          <cell r="L56">
            <v>0</v>
          </cell>
        </row>
        <row r="57">
          <cell r="B57">
            <v>36069</v>
          </cell>
          <cell r="C57" t="str">
            <v>ﾜｲﾔｰﾊｰﾈｽ</v>
          </cell>
          <cell r="D57">
            <v>1</v>
          </cell>
          <cell r="E57">
            <v>621790</v>
          </cell>
          <cell r="F57">
            <v>879</v>
          </cell>
          <cell r="G57">
            <v>67</v>
          </cell>
          <cell r="H57">
            <v>3</v>
          </cell>
          <cell r="I57">
            <v>140</v>
          </cell>
          <cell r="K57">
            <v>580</v>
          </cell>
          <cell r="L57">
            <v>723</v>
          </cell>
        </row>
        <row r="58">
          <cell r="B58">
            <v>36069</v>
          </cell>
          <cell r="C58" t="str">
            <v>ﾘｰﾄﾞ線</v>
          </cell>
          <cell r="D58">
            <v>2</v>
          </cell>
          <cell r="E58">
            <v>175586</v>
          </cell>
          <cell r="F58">
            <v>1346</v>
          </cell>
          <cell r="G58">
            <v>8</v>
          </cell>
          <cell r="L58">
            <v>0</v>
          </cell>
        </row>
        <row r="59">
          <cell r="B59">
            <v>36069</v>
          </cell>
          <cell r="C59" t="str">
            <v>部品</v>
          </cell>
          <cell r="D59">
            <v>4</v>
          </cell>
          <cell r="E59">
            <v>408326</v>
          </cell>
          <cell r="F59">
            <v>11354</v>
          </cell>
          <cell r="G59">
            <v>31</v>
          </cell>
          <cell r="L59">
            <v>0</v>
          </cell>
        </row>
        <row r="60">
          <cell r="B60">
            <v>36069</v>
          </cell>
          <cell r="C60" t="str">
            <v>ＦＬ</v>
          </cell>
          <cell r="D60">
            <v>5</v>
          </cell>
          <cell r="E60">
            <v>2520</v>
          </cell>
          <cell r="F60">
            <v>20</v>
          </cell>
          <cell r="G60">
            <v>2</v>
          </cell>
          <cell r="L60">
            <v>0</v>
          </cell>
        </row>
        <row r="61">
          <cell r="B61">
            <v>36069</v>
          </cell>
          <cell r="C61" t="str">
            <v>ﾊﾟｰﾂﾊｰﾈｽ</v>
          </cell>
          <cell r="D61">
            <v>9</v>
          </cell>
          <cell r="E61">
            <v>6399909</v>
          </cell>
          <cell r="F61">
            <v>7933</v>
          </cell>
          <cell r="G61">
            <v>362</v>
          </cell>
          <cell r="L61">
            <v>0</v>
          </cell>
        </row>
        <row r="62">
          <cell r="B62">
            <v>36069</v>
          </cell>
          <cell r="C62" t="str">
            <v>試作品</v>
          </cell>
          <cell r="D62" t="str">
            <v>A</v>
          </cell>
          <cell r="E62">
            <v>14912298</v>
          </cell>
          <cell r="F62">
            <v>1172</v>
          </cell>
          <cell r="G62">
            <v>163</v>
          </cell>
          <cell r="L62">
            <v>0</v>
          </cell>
        </row>
        <row r="63">
          <cell r="B63">
            <v>36069</v>
          </cell>
          <cell r="C63" t="str">
            <v>量産確認</v>
          </cell>
          <cell r="D63" t="str">
            <v>B</v>
          </cell>
          <cell r="E63">
            <v>1416220</v>
          </cell>
          <cell r="F63">
            <v>368</v>
          </cell>
          <cell r="G63">
            <v>154</v>
          </cell>
          <cell r="L63">
            <v>0</v>
          </cell>
        </row>
        <row r="64">
          <cell r="B64">
            <v>36069</v>
          </cell>
          <cell r="C64" t="str">
            <v>先行量産</v>
          </cell>
          <cell r="D64" t="str">
            <v>C</v>
          </cell>
          <cell r="E64">
            <v>31644</v>
          </cell>
          <cell r="F64">
            <v>5</v>
          </cell>
          <cell r="G64">
            <v>4</v>
          </cell>
          <cell r="L64">
            <v>0</v>
          </cell>
        </row>
        <row r="65">
          <cell r="B65">
            <v>36100</v>
          </cell>
          <cell r="C65" t="str">
            <v>ﾜｲﾔｰﾊｰﾈｽ</v>
          </cell>
          <cell r="D65">
            <v>1</v>
          </cell>
          <cell r="E65">
            <v>1023502</v>
          </cell>
          <cell r="F65">
            <v>3661</v>
          </cell>
          <cell r="G65">
            <v>52</v>
          </cell>
          <cell r="H65">
            <v>7</v>
          </cell>
          <cell r="I65">
            <v>162</v>
          </cell>
          <cell r="K65">
            <v>442</v>
          </cell>
          <cell r="L65">
            <v>611</v>
          </cell>
        </row>
        <row r="66">
          <cell r="B66">
            <v>36100</v>
          </cell>
          <cell r="C66" t="str">
            <v>ﾘｰﾄﾞ線</v>
          </cell>
          <cell r="D66">
            <v>2</v>
          </cell>
          <cell r="E66">
            <v>78900</v>
          </cell>
          <cell r="F66">
            <v>804</v>
          </cell>
          <cell r="G66">
            <v>3</v>
          </cell>
          <cell r="L66">
            <v>0</v>
          </cell>
        </row>
        <row r="67">
          <cell r="B67">
            <v>36100</v>
          </cell>
          <cell r="C67" t="str">
            <v>部品</v>
          </cell>
          <cell r="D67">
            <v>4</v>
          </cell>
          <cell r="E67">
            <v>52171</v>
          </cell>
          <cell r="F67">
            <v>958</v>
          </cell>
          <cell r="G67">
            <v>11</v>
          </cell>
          <cell r="L67">
            <v>0</v>
          </cell>
        </row>
        <row r="68">
          <cell r="B68">
            <v>36100</v>
          </cell>
          <cell r="C68" t="str">
            <v>ﾊﾟｰﾂﾊｰﾈｽ</v>
          </cell>
          <cell r="D68">
            <v>9</v>
          </cell>
          <cell r="E68">
            <v>6719242</v>
          </cell>
          <cell r="F68">
            <v>14397</v>
          </cell>
          <cell r="G68">
            <v>347</v>
          </cell>
          <cell r="L68">
            <v>0</v>
          </cell>
        </row>
        <row r="69">
          <cell r="B69">
            <v>36100</v>
          </cell>
          <cell r="C69" t="str">
            <v>試作品</v>
          </cell>
          <cell r="D69" t="str">
            <v>A</v>
          </cell>
          <cell r="E69">
            <v>11558825</v>
          </cell>
          <cell r="F69">
            <v>836</v>
          </cell>
          <cell r="G69">
            <v>166</v>
          </cell>
          <cell r="L69">
            <v>0</v>
          </cell>
        </row>
        <row r="70">
          <cell r="B70">
            <v>36100</v>
          </cell>
          <cell r="C70" t="str">
            <v>量産確認</v>
          </cell>
          <cell r="D70" t="str">
            <v>B</v>
          </cell>
          <cell r="E70">
            <v>747839</v>
          </cell>
          <cell r="F70">
            <v>233</v>
          </cell>
          <cell r="G70">
            <v>88</v>
          </cell>
          <cell r="L70">
            <v>0</v>
          </cell>
        </row>
        <row r="71">
          <cell r="B71">
            <v>36130</v>
          </cell>
          <cell r="C71" t="str">
            <v>ﾜｲﾔｰﾊｰﾈｽ</v>
          </cell>
          <cell r="D71">
            <v>1</v>
          </cell>
          <cell r="E71">
            <v>812599</v>
          </cell>
          <cell r="F71">
            <v>2664</v>
          </cell>
          <cell r="G71">
            <v>28</v>
          </cell>
          <cell r="H71">
            <v>7</v>
          </cell>
          <cell r="I71">
            <v>145</v>
          </cell>
          <cell r="K71">
            <v>387</v>
          </cell>
          <cell r="L71">
            <v>539</v>
          </cell>
        </row>
        <row r="72">
          <cell r="B72">
            <v>36130</v>
          </cell>
          <cell r="C72" t="str">
            <v>部品</v>
          </cell>
          <cell r="D72">
            <v>4</v>
          </cell>
          <cell r="E72">
            <v>22384</v>
          </cell>
          <cell r="F72">
            <v>867</v>
          </cell>
          <cell r="G72">
            <v>24</v>
          </cell>
          <cell r="L72">
            <v>0</v>
          </cell>
        </row>
        <row r="73">
          <cell r="B73">
            <v>36130</v>
          </cell>
          <cell r="C73" t="str">
            <v>ＦＬ</v>
          </cell>
          <cell r="D73">
            <v>5</v>
          </cell>
          <cell r="E73">
            <v>630</v>
          </cell>
          <cell r="F73">
            <v>6</v>
          </cell>
          <cell r="G73">
            <v>1</v>
          </cell>
          <cell r="L73">
            <v>0</v>
          </cell>
        </row>
        <row r="74">
          <cell r="B74">
            <v>36130</v>
          </cell>
          <cell r="C74" t="str">
            <v>ﾊﾟｰﾂﾊｰﾈｽ</v>
          </cell>
          <cell r="D74">
            <v>9</v>
          </cell>
          <cell r="E74">
            <v>4856474</v>
          </cell>
          <cell r="F74">
            <v>10824</v>
          </cell>
          <cell r="G74">
            <v>319</v>
          </cell>
          <cell r="L74">
            <v>0</v>
          </cell>
        </row>
        <row r="75">
          <cell r="B75">
            <v>36130</v>
          </cell>
          <cell r="C75" t="str">
            <v>改造ﾊｰﾈｽ</v>
          </cell>
          <cell r="D75">
            <v>8</v>
          </cell>
          <cell r="E75">
            <v>8500</v>
          </cell>
          <cell r="F75">
            <v>2</v>
          </cell>
          <cell r="G75">
            <v>2</v>
          </cell>
          <cell r="L75">
            <v>0</v>
          </cell>
        </row>
        <row r="76">
          <cell r="B76">
            <v>36130</v>
          </cell>
          <cell r="C76" t="str">
            <v>試作品</v>
          </cell>
          <cell r="D76" t="str">
            <v>A</v>
          </cell>
          <cell r="E76">
            <v>11567536</v>
          </cell>
          <cell r="F76">
            <v>825</v>
          </cell>
          <cell r="G76">
            <v>158</v>
          </cell>
          <cell r="L76">
            <v>0</v>
          </cell>
        </row>
        <row r="77">
          <cell r="B77">
            <v>36130</v>
          </cell>
          <cell r="C77" t="str">
            <v>量産確認</v>
          </cell>
          <cell r="D77" t="str">
            <v>B</v>
          </cell>
          <cell r="E77">
            <v>740978</v>
          </cell>
          <cell r="F77">
            <v>358</v>
          </cell>
          <cell r="G77">
            <v>55</v>
          </cell>
          <cell r="L77">
            <v>0</v>
          </cell>
        </row>
        <row r="78">
          <cell r="B78">
            <v>36161</v>
          </cell>
          <cell r="C78" t="str">
            <v>ﾜｲﾔｰﾊｰﾈｽ</v>
          </cell>
          <cell r="D78">
            <v>1</v>
          </cell>
          <cell r="E78">
            <v>1234753</v>
          </cell>
          <cell r="F78">
            <v>2697</v>
          </cell>
          <cell r="G78">
            <v>39</v>
          </cell>
          <cell r="H78">
            <v>16</v>
          </cell>
          <cell r="I78">
            <v>290</v>
          </cell>
          <cell r="K78">
            <v>330</v>
          </cell>
          <cell r="L78">
            <v>636</v>
          </cell>
        </row>
        <row r="79">
          <cell r="B79">
            <v>36161</v>
          </cell>
          <cell r="C79" t="str">
            <v>ﾘｰﾄﾞ線</v>
          </cell>
          <cell r="D79">
            <v>2</v>
          </cell>
          <cell r="E79">
            <v>17700</v>
          </cell>
          <cell r="F79">
            <v>150</v>
          </cell>
          <cell r="G79">
            <v>1</v>
          </cell>
          <cell r="L79">
            <v>0</v>
          </cell>
        </row>
        <row r="80">
          <cell r="B80">
            <v>36161</v>
          </cell>
          <cell r="C80" t="str">
            <v>ﾊﾞｯﾃﾘｰ</v>
          </cell>
          <cell r="D80">
            <v>3</v>
          </cell>
          <cell r="E80">
            <v>608</v>
          </cell>
          <cell r="F80">
            <v>2</v>
          </cell>
          <cell r="G80">
            <v>2</v>
          </cell>
          <cell r="L80">
            <v>0</v>
          </cell>
        </row>
        <row r="81">
          <cell r="B81">
            <v>36161</v>
          </cell>
          <cell r="C81" t="str">
            <v>部品</v>
          </cell>
          <cell r="D81">
            <v>4</v>
          </cell>
          <cell r="E81">
            <v>63251</v>
          </cell>
          <cell r="F81">
            <v>444</v>
          </cell>
          <cell r="G81">
            <v>29</v>
          </cell>
          <cell r="L81">
            <v>0</v>
          </cell>
        </row>
        <row r="82">
          <cell r="B82">
            <v>36161</v>
          </cell>
          <cell r="C82" t="str">
            <v>ﾊﾟｰﾂﾊｰﾈｽ</v>
          </cell>
          <cell r="D82">
            <v>9</v>
          </cell>
          <cell r="E82">
            <v>3641560</v>
          </cell>
          <cell r="F82">
            <v>12428</v>
          </cell>
          <cell r="G82">
            <v>261</v>
          </cell>
          <cell r="L82">
            <v>0</v>
          </cell>
        </row>
        <row r="83">
          <cell r="B83">
            <v>36161</v>
          </cell>
          <cell r="C83" t="str">
            <v>試作品</v>
          </cell>
          <cell r="D83" t="str">
            <v>A</v>
          </cell>
          <cell r="E83">
            <v>16401621</v>
          </cell>
          <cell r="F83">
            <v>965</v>
          </cell>
          <cell r="G83">
            <v>314</v>
          </cell>
          <cell r="L83">
            <v>0</v>
          </cell>
        </row>
        <row r="84">
          <cell r="B84">
            <v>36161</v>
          </cell>
          <cell r="C84" t="str">
            <v>量産確認</v>
          </cell>
          <cell r="D84" t="str">
            <v>B</v>
          </cell>
          <cell r="E84">
            <v>553329</v>
          </cell>
          <cell r="F84">
            <v>309</v>
          </cell>
          <cell r="G84">
            <v>53</v>
          </cell>
          <cell r="L84">
            <v>0</v>
          </cell>
        </row>
        <row r="85">
          <cell r="B85">
            <v>36192</v>
          </cell>
          <cell r="C85" t="str">
            <v>ﾜｲﾔｰﾊｰﾈｽ</v>
          </cell>
          <cell r="D85">
            <v>1</v>
          </cell>
          <cell r="E85">
            <v>716676</v>
          </cell>
          <cell r="F85">
            <v>1751</v>
          </cell>
          <cell r="G85">
            <v>27</v>
          </cell>
          <cell r="H85">
            <v>8</v>
          </cell>
          <cell r="I85">
            <v>218</v>
          </cell>
          <cell r="K85">
            <v>420</v>
          </cell>
          <cell r="L85">
            <v>646</v>
          </cell>
        </row>
        <row r="86">
          <cell r="B86">
            <v>36192</v>
          </cell>
          <cell r="C86" t="str">
            <v>ﾘｰﾄﾞ線</v>
          </cell>
          <cell r="D86">
            <v>2</v>
          </cell>
          <cell r="E86">
            <v>69150</v>
          </cell>
          <cell r="F86">
            <v>510</v>
          </cell>
          <cell r="G86">
            <v>6</v>
          </cell>
          <cell r="L86">
            <v>0</v>
          </cell>
        </row>
        <row r="87">
          <cell r="B87">
            <v>36192</v>
          </cell>
          <cell r="C87" t="str">
            <v>部品</v>
          </cell>
          <cell r="D87">
            <v>4</v>
          </cell>
          <cell r="E87">
            <v>21707</v>
          </cell>
          <cell r="F87">
            <v>519</v>
          </cell>
          <cell r="G87">
            <v>20</v>
          </cell>
          <cell r="L87">
            <v>0</v>
          </cell>
        </row>
        <row r="88">
          <cell r="B88">
            <v>36192</v>
          </cell>
          <cell r="C88" t="str">
            <v>ＦＬ</v>
          </cell>
          <cell r="D88">
            <v>5</v>
          </cell>
          <cell r="E88">
            <v>1520</v>
          </cell>
          <cell r="F88">
            <v>19</v>
          </cell>
          <cell r="G88">
            <v>4</v>
          </cell>
          <cell r="L88">
            <v>0</v>
          </cell>
        </row>
        <row r="89">
          <cell r="B89">
            <v>36192</v>
          </cell>
          <cell r="C89" t="str">
            <v>ﾊﾟｰﾂﾊｰﾈｽ</v>
          </cell>
          <cell r="D89">
            <v>9</v>
          </cell>
          <cell r="E89">
            <v>4246199</v>
          </cell>
          <cell r="F89">
            <v>6191</v>
          </cell>
          <cell r="G89">
            <v>315</v>
          </cell>
          <cell r="L89">
            <v>0</v>
          </cell>
        </row>
        <row r="90">
          <cell r="B90">
            <v>36192</v>
          </cell>
          <cell r="C90" t="str">
            <v>試作品</v>
          </cell>
          <cell r="D90" t="str">
            <v>A</v>
          </cell>
          <cell r="E90">
            <v>13163860</v>
          </cell>
          <cell r="F90">
            <v>871</v>
          </cell>
          <cell r="G90">
            <v>241</v>
          </cell>
          <cell r="L90">
            <v>0</v>
          </cell>
        </row>
        <row r="91">
          <cell r="B91">
            <v>36192</v>
          </cell>
          <cell r="C91" t="str">
            <v>量産確認</v>
          </cell>
          <cell r="D91" t="str">
            <v>B</v>
          </cell>
          <cell r="E91">
            <v>19281294</v>
          </cell>
          <cell r="F91">
            <v>43013</v>
          </cell>
          <cell r="G91">
            <v>123</v>
          </cell>
          <cell r="L91">
            <v>0</v>
          </cell>
        </row>
        <row r="92">
          <cell r="B92">
            <v>36220</v>
          </cell>
          <cell r="C92" t="str">
            <v>ﾜｲﾔｰﾊｰﾈｽ</v>
          </cell>
          <cell r="D92">
            <v>1</v>
          </cell>
          <cell r="E92">
            <v>981405</v>
          </cell>
          <cell r="F92">
            <v>1680</v>
          </cell>
          <cell r="G92">
            <v>28</v>
          </cell>
          <cell r="H92">
            <v>21</v>
          </cell>
          <cell r="I92">
            <v>133</v>
          </cell>
          <cell r="K92">
            <v>719</v>
          </cell>
          <cell r="L92">
            <v>873</v>
          </cell>
        </row>
        <row r="93">
          <cell r="B93">
            <v>36220</v>
          </cell>
          <cell r="C93" t="str">
            <v>ﾘｰﾄﾞ線</v>
          </cell>
          <cell r="D93">
            <v>2</v>
          </cell>
          <cell r="E93">
            <v>36337</v>
          </cell>
          <cell r="F93">
            <v>32</v>
          </cell>
          <cell r="G93">
            <v>3</v>
          </cell>
          <cell r="L93">
            <v>0</v>
          </cell>
        </row>
        <row r="94">
          <cell r="B94">
            <v>36220</v>
          </cell>
          <cell r="C94" t="str">
            <v>部品</v>
          </cell>
          <cell r="D94">
            <v>4</v>
          </cell>
          <cell r="E94">
            <v>562922</v>
          </cell>
          <cell r="F94">
            <v>2412</v>
          </cell>
          <cell r="G94">
            <v>32</v>
          </cell>
          <cell r="L94">
            <v>0</v>
          </cell>
        </row>
        <row r="95">
          <cell r="B95">
            <v>36220</v>
          </cell>
          <cell r="C95" t="str">
            <v>ﾊﾟｰﾂﾊｰﾈｽ</v>
          </cell>
          <cell r="D95">
            <v>9</v>
          </cell>
          <cell r="E95">
            <v>7121770</v>
          </cell>
          <cell r="F95">
            <v>13126</v>
          </cell>
          <cell r="G95">
            <v>419</v>
          </cell>
          <cell r="L95">
            <v>0</v>
          </cell>
        </row>
        <row r="96">
          <cell r="B96">
            <v>36220</v>
          </cell>
          <cell r="C96" t="str">
            <v>試作品</v>
          </cell>
          <cell r="D96" t="str">
            <v>A</v>
          </cell>
          <cell r="E96">
            <v>7917603</v>
          </cell>
          <cell r="F96">
            <v>543</v>
          </cell>
          <cell r="G96">
            <v>136</v>
          </cell>
          <cell r="L96">
            <v>0</v>
          </cell>
        </row>
        <row r="97">
          <cell r="B97">
            <v>36220</v>
          </cell>
          <cell r="C97" t="str">
            <v>量産確認</v>
          </cell>
          <cell r="D97" t="str">
            <v>B</v>
          </cell>
          <cell r="E97">
            <v>41048392</v>
          </cell>
          <cell r="F97">
            <v>46893</v>
          </cell>
          <cell r="G97">
            <v>360</v>
          </cell>
          <cell r="L97">
            <v>0</v>
          </cell>
        </row>
        <row r="98">
          <cell r="B98">
            <v>36220</v>
          </cell>
          <cell r="C98" t="str">
            <v>先行量産</v>
          </cell>
          <cell r="D98" t="str">
            <v>C</v>
          </cell>
          <cell r="E98">
            <v>458890</v>
          </cell>
          <cell r="F98">
            <v>86</v>
          </cell>
          <cell r="G98">
            <v>19</v>
          </cell>
          <cell r="L98">
            <v>0</v>
          </cell>
        </row>
        <row r="99">
          <cell r="B99">
            <v>36251</v>
          </cell>
          <cell r="C99" t="str">
            <v>ﾜｲﾔｰﾊｰﾈｽ</v>
          </cell>
          <cell r="D99">
            <v>1</v>
          </cell>
          <cell r="E99">
            <v>1532974</v>
          </cell>
          <cell r="F99">
            <v>17317</v>
          </cell>
          <cell r="G99">
            <v>45</v>
          </cell>
          <cell r="H99">
            <v>16</v>
          </cell>
          <cell r="I99">
            <v>147</v>
          </cell>
          <cell r="J99">
            <v>238</v>
          </cell>
          <cell r="K99">
            <v>481</v>
          </cell>
          <cell r="L99">
            <v>882</v>
          </cell>
        </row>
        <row r="100">
          <cell r="B100">
            <v>36251</v>
          </cell>
          <cell r="C100" t="str">
            <v>ﾘｰﾄﾞ線</v>
          </cell>
          <cell r="D100">
            <v>2</v>
          </cell>
          <cell r="E100">
            <v>3766</v>
          </cell>
          <cell r="F100">
            <v>41</v>
          </cell>
          <cell r="G100">
            <v>2</v>
          </cell>
          <cell r="L100">
            <v>0</v>
          </cell>
        </row>
        <row r="101">
          <cell r="B101">
            <v>36251</v>
          </cell>
          <cell r="C101" t="str">
            <v>ﾊﾞｯﾃﾘｰ</v>
          </cell>
          <cell r="D101">
            <v>3</v>
          </cell>
          <cell r="E101">
            <v>1250</v>
          </cell>
          <cell r="F101">
            <v>25</v>
          </cell>
          <cell r="G101">
            <v>1</v>
          </cell>
          <cell r="L101">
            <v>0</v>
          </cell>
        </row>
        <row r="102">
          <cell r="B102">
            <v>36251</v>
          </cell>
          <cell r="C102" t="str">
            <v>部品</v>
          </cell>
          <cell r="D102">
            <v>4</v>
          </cell>
          <cell r="E102">
            <v>22365</v>
          </cell>
          <cell r="F102">
            <v>896</v>
          </cell>
          <cell r="G102">
            <v>16</v>
          </cell>
          <cell r="L102">
            <v>0</v>
          </cell>
        </row>
        <row r="103">
          <cell r="B103">
            <v>36251</v>
          </cell>
          <cell r="C103" t="str">
            <v>ﾊﾟｰﾂﾊｰﾈｽ</v>
          </cell>
          <cell r="D103">
            <v>9</v>
          </cell>
          <cell r="E103">
            <v>4100634</v>
          </cell>
          <cell r="F103">
            <v>5945</v>
          </cell>
          <cell r="G103">
            <v>282</v>
          </cell>
          <cell r="L103">
            <v>0</v>
          </cell>
        </row>
        <row r="104">
          <cell r="B104">
            <v>36251</v>
          </cell>
          <cell r="C104" t="str">
            <v>試作品</v>
          </cell>
          <cell r="D104" t="str">
            <v>A</v>
          </cell>
          <cell r="E104">
            <v>14320152</v>
          </cell>
          <cell r="F104">
            <v>783</v>
          </cell>
          <cell r="G104">
            <v>174</v>
          </cell>
          <cell r="L104">
            <v>0</v>
          </cell>
        </row>
        <row r="105">
          <cell r="B105">
            <v>36251</v>
          </cell>
          <cell r="C105" t="str">
            <v>量産確認</v>
          </cell>
          <cell r="D105" t="str">
            <v>B</v>
          </cell>
          <cell r="E105">
            <v>24620667</v>
          </cell>
          <cell r="F105">
            <v>50075</v>
          </cell>
          <cell r="G105">
            <v>475</v>
          </cell>
          <cell r="L105">
            <v>0</v>
          </cell>
        </row>
        <row r="106">
          <cell r="B106">
            <v>36251</v>
          </cell>
          <cell r="C106" t="str">
            <v>先行量産</v>
          </cell>
          <cell r="D106" t="str">
            <v>C</v>
          </cell>
          <cell r="E106">
            <v>17480</v>
          </cell>
          <cell r="F106">
            <v>8</v>
          </cell>
          <cell r="G106">
            <v>5</v>
          </cell>
          <cell r="L106">
            <v>0</v>
          </cell>
        </row>
        <row r="107">
          <cell r="B107">
            <v>36281</v>
          </cell>
          <cell r="C107" t="str">
            <v>ﾜｲﾔｰﾊｰﾈｽ</v>
          </cell>
          <cell r="D107">
            <v>1</v>
          </cell>
          <cell r="E107">
            <v>1802271</v>
          </cell>
          <cell r="F107">
            <v>19536</v>
          </cell>
          <cell r="G107">
            <v>51</v>
          </cell>
          <cell r="H107">
            <v>232</v>
          </cell>
          <cell r="I107">
            <v>164</v>
          </cell>
          <cell r="J107">
            <v>396</v>
          </cell>
          <cell r="K107">
            <v>104</v>
          </cell>
          <cell r="L107">
            <v>896</v>
          </cell>
        </row>
        <row r="108">
          <cell r="B108">
            <v>36281</v>
          </cell>
          <cell r="C108" t="str">
            <v>ﾘｰﾄﾞ線</v>
          </cell>
          <cell r="D108">
            <v>2</v>
          </cell>
          <cell r="E108">
            <v>377352</v>
          </cell>
          <cell r="F108">
            <v>12721</v>
          </cell>
          <cell r="G108">
            <v>6</v>
          </cell>
          <cell r="L108">
            <v>0</v>
          </cell>
        </row>
        <row r="109">
          <cell r="B109">
            <v>36281</v>
          </cell>
          <cell r="C109" t="str">
            <v>ﾊﾞｯﾃﾘｰ</v>
          </cell>
          <cell r="D109">
            <v>3</v>
          </cell>
          <cell r="E109">
            <v>847</v>
          </cell>
          <cell r="F109">
            <v>3</v>
          </cell>
          <cell r="G109">
            <v>3</v>
          </cell>
          <cell r="L109">
            <v>0</v>
          </cell>
        </row>
        <row r="110">
          <cell r="B110">
            <v>36281</v>
          </cell>
          <cell r="C110" t="str">
            <v>部品</v>
          </cell>
          <cell r="D110">
            <v>4</v>
          </cell>
          <cell r="E110">
            <v>236986</v>
          </cell>
          <cell r="F110">
            <v>27126</v>
          </cell>
          <cell r="G110">
            <v>20</v>
          </cell>
          <cell r="L110">
            <v>0</v>
          </cell>
        </row>
        <row r="111">
          <cell r="B111">
            <v>36281</v>
          </cell>
          <cell r="C111" t="str">
            <v>ＦＬ</v>
          </cell>
          <cell r="D111">
            <v>5</v>
          </cell>
          <cell r="E111">
            <v>232</v>
          </cell>
          <cell r="F111">
            <v>7</v>
          </cell>
          <cell r="G111">
            <v>3</v>
          </cell>
          <cell r="L111">
            <v>0</v>
          </cell>
        </row>
        <row r="112">
          <cell r="B112">
            <v>36281</v>
          </cell>
          <cell r="C112" t="str">
            <v>ＡＶ</v>
          </cell>
          <cell r="D112">
            <v>6</v>
          </cell>
          <cell r="E112">
            <v>3649</v>
          </cell>
          <cell r="F112">
            <v>23</v>
          </cell>
          <cell r="G112">
            <v>2</v>
          </cell>
          <cell r="L112">
            <v>0</v>
          </cell>
        </row>
        <row r="113">
          <cell r="B113">
            <v>36281</v>
          </cell>
          <cell r="C113" t="str">
            <v>ﾊﾟｰﾂﾊｰﾈｽ</v>
          </cell>
          <cell r="D113">
            <v>9</v>
          </cell>
          <cell r="E113">
            <v>4052380</v>
          </cell>
          <cell r="F113">
            <v>8056</v>
          </cell>
          <cell r="G113">
            <v>391</v>
          </cell>
          <cell r="L113">
            <v>0</v>
          </cell>
        </row>
        <row r="114">
          <cell r="B114">
            <v>36281</v>
          </cell>
          <cell r="C114" t="str">
            <v>試作品</v>
          </cell>
          <cell r="D114" t="str">
            <v>A</v>
          </cell>
          <cell r="E114">
            <v>10076646</v>
          </cell>
          <cell r="F114">
            <v>532</v>
          </cell>
          <cell r="G114">
            <v>174</v>
          </cell>
          <cell r="L114">
            <v>0</v>
          </cell>
        </row>
        <row r="115">
          <cell r="B115">
            <v>36281</v>
          </cell>
          <cell r="C115" t="str">
            <v>量産確認</v>
          </cell>
          <cell r="D115" t="str">
            <v>B</v>
          </cell>
          <cell r="E115">
            <v>2542295</v>
          </cell>
          <cell r="F115">
            <v>677</v>
          </cell>
          <cell r="G115">
            <v>309</v>
          </cell>
          <cell r="L115">
            <v>0</v>
          </cell>
        </row>
        <row r="116">
          <cell r="B116">
            <v>36312</v>
          </cell>
          <cell r="C116" t="str">
            <v>ﾜｲﾔｰﾊｰﾈｽ</v>
          </cell>
          <cell r="D116">
            <v>1</v>
          </cell>
          <cell r="E116">
            <v>730029</v>
          </cell>
          <cell r="F116">
            <v>2803</v>
          </cell>
          <cell r="G116">
            <v>34</v>
          </cell>
          <cell r="H116">
            <v>518</v>
          </cell>
          <cell r="I116">
            <v>254</v>
          </cell>
          <cell r="J116">
            <v>141</v>
          </cell>
          <cell r="K116">
            <v>59</v>
          </cell>
          <cell r="L116">
            <v>972</v>
          </cell>
        </row>
        <row r="117">
          <cell r="B117">
            <v>36312</v>
          </cell>
          <cell r="C117" t="str">
            <v>ﾘｰﾄﾞ線</v>
          </cell>
          <cell r="D117">
            <v>2</v>
          </cell>
          <cell r="E117">
            <v>40401</v>
          </cell>
          <cell r="F117">
            <v>479</v>
          </cell>
          <cell r="G117">
            <v>6</v>
          </cell>
          <cell r="L117">
            <v>0</v>
          </cell>
        </row>
        <row r="118">
          <cell r="B118">
            <v>36312</v>
          </cell>
          <cell r="C118" t="str">
            <v>部品</v>
          </cell>
          <cell r="D118">
            <v>4</v>
          </cell>
          <cell r="E118">
            <v>45348</v>
          </cell>
          <cell r="F118">
            <v>5154</v>
          </cell>
          <cell r="G118">
            <v>25</v>
          </cell>
          <cell r="L118">
            <v>0</v>
          </cell>
        </row>
        <row r="119">
          <cell r="B119">
            <v>36312</v>
          </cell>
          <cell r="C119" t="str">
            <v>ＦＬ</v>
          </cell>
          <cell r="D119">
            <v>5</v>
          </cell>
          <cell r="E119">
            <v>1623</v>
          </cell>
          <cell r="F119">
            <v>30</v>
          </cell>
          <cell r="G119">
            <v>1</v>
          </cell>
          <cell r="L119">
            <v>0</v>
          </cell>
        </row>
        <row r="120">
          <cell r="B120">
            <v>36312</v>
          </cell>
          <cell r="C120" t="str">
            <v>ＡＶ</v>
          </cell>
          <cell r="D120">
            <v>6</v>
          </cell>
          <cell r="E120">
            <v>24928</v>
          </cell>
          <cell r="F120">
            <v>36</v>
          </cell>
          <cell r="G120">
            <v>7</v>
          </cell>
          <cell r="L120">
            <v>0</v>
          </cell>
        </row>
        <row r="121">
          <cell r="B121">
            <v>36312</v>
          </cell>
          <cell r="C121" t="str">
            <v>ﾊﾟｰﾂﾊｰﾈｽ</v>
          </cell>
          <cell r="D121">
            <v>9</v>
          </cell>
          <cell r="E121">
            <v>4343734</v>
          </cell>
          <cell r="F121">
            <v>8884</v>
          </cell>
          <cell r="G121">
            <v>358</v>
          </cell>
          <cell r="L121">
            <v>0</v>
          </cell>
        </row>
        <row r="122">
          <cell r="B122">
            <v>36312</v>
          </cell>
          <cell r="C122" t="str">
            <v>試作品</v>
          </cell>
          <cell r="D122" t="str">
            <v>A</v>
          </cell>
          <cell r="E122">
            <v>16663336</v>
          </cell>
          <cell r="F122">
            <v>822</v>
          </cell>
          <cell r="G122">
            <v>248</v>
          </cell>
          <cell r="L122">
            <v>0</v>
          </cell>
        </row>
        <row r="123">
          <cell r="B123">
            <v>36312</v>
          </cell>
          <cell r="C123" t="str">
            <v>量産確認</v>
          </cell>
          <cell r="D123" t="str">
            <v>B</v>
          </cell>
          <cell r="E123">
            <v>2645493</v>
          </cell>
          <cell r="F123">
            <v>985</v>
          </cell>
          <cell r="G123">
            <v>337</v>
          </cell>
          <cell r="L123">
            <v>0</v>
          </cell>
        </row>
        <row r="124">
          <cell r="B124">
            <v>36342</v>
          </cell>
          <cell r="C124" t="str">
            <v>ﾜｲﾔｰﾊｰﾈｽ</v>
          </cell>
          <cell r="D124">
            <v>1</v>
          </cell>
          <cell r="E124">
            <v>613154</v>
          </cell>
          <cell r="F124">
            <v>2658</v>
          </cell>
          <cell r="G124">
            <v>36</v>
          </cell>
          <cell r="H124">
            <v>389</v>
          </cell>
          <cell r="I124">
            <v>157</v>
          </cell>
          <cell r="J124">
            <v>154</v>
          </cell>
          <cell r="K124">
            <v>36</v>
          </cell>
          <cell r="L124">
            <v>736</v>
          </cell>
        </row>
        <row r="125">
          <cell r="B125">
            <v>36342</v>
          </cell>
          <cell r="C125" t="str">
            <v>ﾘｰﾄﾞ線</v>
          </cell>
          <cell r="D125">
            <v>2</v>
          </cell>
          <cell r="E125">
            <v>8607</v>
          </cell>
          <cell r="F125">
            <v>1</v>
          </cell>
          <cell r="G125">
            <v>1</v>
          </cell>
          <cell r="L125">
            <v>0</v>
          </cell>
        </row>
        <row r="126">
          <cell r="B126">
            <v>36342</v>
          </cell>
          <cell r="C126" t="str">
            <v>部品</v>
          </cell>
          <cell r="D126">
            <v>4</v>
          </cell>
          <cell r="E126">
            <v>115640</v>
          </cell>
          <cell r="F126">
            <v>3066</v>
          </cell>
          <cell r="G126">
            <v>31</v>
          </cell>
          <cell r="L126">
            <v>0</v>
          </cell>
        </row>
        <row r="127">
          <cell r="B127">
            <v>36342</v>
          </cell>
          <cell r="C127" t="str">
            <v>ＦＬ</v>
          </cell>
          <cell r="D127">
            <v>5</v>
          </cell>
          <cell r="E127">
            <v>2298</v>
          </cell>
          <cell r="F127">
            <v>30</v>
          </cell>
          <cell r="G127">
            <v>1</v>
          </cell>
          <cell r="L127">
            <v>0</v>
          </cell>
        </row>
        <row r="128">
          <cell r="B128">
            <v>36342</v>
          </cell>
          <cell r="C128" t="str">
            <v>ﾊﾟｰﾂﾊｰﾈｽ</v>
          </cell>
          <cell r="D128">
            <v>9</v>
          </cell>
          <cell r="E128">
            <v>5746567</v>
          </cell>
          <cell r="F128">
            <v>11182</v>
          </cell>
          <cell r="G128">
            <v>359</v>
          </cell>
          <cell r="L128">
            <v>0</v>
          </cell>
        </row>
        <row r="129">
          <cell r="B129">
            <v>36342</v>
          </cell>
          <cell r="C129" t="str">
            <v>試作品</v>
          </cell>
          <cell r="D129" t="str">
            <v>A</v>
          </cell>
          <cell r="E129">
            <v>13354483</v>
          </cell>
          <cell r="F129">
            <v>496</v>
          </cell>
          <cell r="G129">
            <v>166</v>
          </cell>
          <cell r="L129">
            <v>0</v>
          </cell>
        </row>
        <row r="130">
          <cell r="B130">
            <v>36342</v>
          </cell>
          <cell r="C130" t="str">
            <v>量産確認</v>
          </cell>
          <cell r="D130" t="str">
            <v>B</v>
          </cell>
          <cell r="E130">
            <v>3409022</v>
          </cell>
          <cell r="F130">
            <v>1400</v>
          </cell>
          <cell r="G130">
            <v>244</v>
          </cell>
          <cell r="L130">
            <v>0</v>
          </cell>
        </row>
        <row r="131">
          <cell r="C131" t="e">
            <v>#N/A</v>
          </cell>
          <cell r="L131">
            <v>0</v>
          </cell>
        </row>
        <row r="132">
          <cell r="C132" t="e">
            <v>#N/A</v>
          </cell>
          <cell r="L132">
            <v>0</v>
          </cell>
        </row>
        <row r="133">
          <cell r="C133" t="e">
            <v>#N/A</v>
          </cell>
          <cell r="L133">
            <v>0</v>
          </cell>
        </row>
        <row r="134">
          <cell r="C134" t="e">
            <v>#N/A</v>
          </cell>
          <cell r="L134">
            <v>0</v>
          </cell>
        </row>
        <row r="135">
          <cell r="C135" t="e">
            <v>#N/A</v>
          </cell>
          <cell r="L135">
            <v>0</v>
          </cell>
        </row>
        <row r="136">
          <cell r="C136" t="e">
            <v>#N/A</v>
          </cell>
          <cell r="L136">
            <v>0</v>
          </cell>
        </row>
        <row r="137">
          <cell r="C137" t="e">
            <v>#N/A</v>
          </cell>
          <cell r="L137">
            <v>0</v>
          </cell>
        </row>
        <row r="138">
          <cell r="C138" t="e">
            <v>#N/A</v>
          </cell>
          <cell r="L138">
            <v>0</v>
          </cell>
        </row>
        <row r="139">
          <cell r="C139" t="e">
            <v>#N/A</v>
          </cell>
          <cell r="L139">
            <v>0</v>
          </cell>
        </row>
        <row r="140">
          <cell r="C140" t="e">
            <v>#N/A</v>
          </cell>
          <cell r="L140">
            <v>0</v>
          </cell>
        </row>
        <row r="141">
          <cell r="C141" t="e">
            <v>#N/A</v>
          </cell>
          <cell r="L141">
            <v>0</v>
          </cell>
        </row>
        <row r="142">
          <cell r="C142" t="e">
            <v>#N/A</v>
          </cell>
          <cell r="L142">
            <v>0</v>
          </cell>
        </row>
        <row r="143">
          <cell r="C143" t="e">
            <v>#N/A</v>
          </cell>
          <cell r="L143">
            <v>0</v>
          </cell>
        </row>
        <row r="144">
          <cell r="C144" t="e">
            <v>#N/A</v>
          </cell>
          <cell r="L144">
            <v>0</v>
          </cell>
        </row>
        <row r="145">
          <cell r="C145" t="e">
            <v>#N/A</v>
          </cell>
          <cell r="L145">
            <v>0</v>
          </cell>
        </row>
        <row r="146">
          <cell r="C146" t="e">
            <v>#N/A</v>
          </cell>
          <cell r="L146">
            <v>0</v>
          </cell>
        </row>
        <row r="147">
          <cell r="C147" t="e">
            <v>#N/A</v>
          </cell>
          <cell r="L147">
            <v>0</v>
          </cell>
        </row>
        <row r="148">
          <cell r="C148" t="e">
            <v>#N/A</v>
          </cell>
          <cell r="L148">
            <v>0</v>
          </cell>
        </row>
        <row r="149">
          <cell r="C149" t="e">
            <v>#N/A</v>
          </cell>
          <cell r="L149">
            <v>0</v>
          </cell>
        </row>
        <row r="150">
          <cell r="C150" t="e">
            <v>#N/A</v>
          </cell>
          <cell r="L150">
            <v>0</v>
          </cell>
        </row>
        <row r="151">
          <cell r="C151" t="e">
            <v>#N/A</v>
          </cell>
          <cell r="L151">
            <v>0</v>
          </cell>
        </row>
        <row r="152">
          <cell r="C152" t="e">
            <v>#N/A</v>
          </cell>
          <cell r="L152">
            <v>0</v>
          </cell>
        </row>
        <row r="153">
          <cell r="C153" t="e">
            <v>#N/A</v>
          </cell>
          <cell r="L153">
            <v>0</v>
          </cell>
        </row>
        <row r="154">
          <cell r="C154" t="e">
            <v>#N/A</v>
          </cell>
          <cell r="L154">
            <v>0</v>
          </cell>
        </row>
        <row r="155">
          <cell r="C155" t="e">
            <v>#N/A</v>
          </cell>
          <cell r="L155">
            <v>0</v>
          </cell>
        </row>
        <row r="156">
          <cell r="C156" t="e">
            <v>#N/A</v>
          </cell>
          <cell r="L156">
            <v>0</v>
          </cell>
        </row>
        <row r="157">
          <cell r="C157" t="e">
            <v>#N/A</v>
          </cell>
          <cell r="L157">
            <v>0</v>
          </cell>
        </row>
        <row r="158">
          <cell r="C158" t="e">
            <v>#N/A</v>
          </cell>
          <cell r="L158">
            <v>0</v>
          </cell>
        </row>
        <row r="159">
          <cell r="C159" t="e">
            <v>#N/A</v>
          </cell>
          <cell r="L159">
            <v>0</v>
          </cell>
        </row>
        <row r="160">
          <cell r="C160" t="e">
            <v>#N/A</v>
          </cell>
          <cell r="L160">
            <v>0</v>
          </cell>
        </row>
        <row r="161">
          <cell r="C161" t="e">
            <v>#N/A</v>
          </cell>
          <cell r="L161">
            <v>0</v>
          </cell>
        </row>
        <row r="162">
          <cell r="C162" t="e">
            <v>#N/A</v>
          </cell>
          <cell r="L162">
            <v>0</v>
          </cell>
        </row>
        <row r="163">
          <cell r="C163" t="e">
            <v>#N/A</v>
          </cell>
          <cell r="L163">
            <v>0</v>
          </cell>
        </row>
        <row r="164">
          <cell r="C164" t="e">
            <v>#N/A</v>
          </cell>
          <cell r="L164">
            <v>0</v>
          </cell>
        </row>
        <row r="165">
          <cell r="C165" t="e">
            <v>#N/A</v>
          </cell>
          <cell r="L165">
            <v>0</v>
          </cell>
        </row>
        <row r="166">
          <cell r="C166" t="e">
            <v>#N/A</v>
          </cell>
          <cell r="L166">
            <v>0</v>
          </cell>
        </row>
        <row r="167">
          <cell r="C167" t="e">
            <v>#N/A</v>
          </cell>
          <cell r="L167">
            <v>0</v>
          </cell>
        </row>
        <row r="168">
          <cell r="C168" t="e">
            <v>#N/A</v>
          </cell>
          <cell r="L168">
            <v>0</v>
          </cell>
        </row>
        <row r="169">
          <cell r="C169" t="e">
            <v>#N/A</v>
          </cell>
          <cell r="L169">
            <v>0</v>
          </cell>
        </row>
        <row r="170">
          <cell r="C170" t="e">
            <v>#N/A</v>
          </cell>
          <cell r="L170">
            <v>0</v>
          </cell>
        </row>
        <row r="171">
          <cell r="C171" t="e">
            <v>#N/A</v>
          </cell>
          <cell r="L171">
            <v>0</v>
          </cell>
        </row>
        <row r="172">
          <cell r="C172" t="e">
            <v>#N/A</v>
          </cell>
          <cell r="L172">
            <v>0</v>
          </cell>
        </row>
        <row r="173">
          <cell r="C173" t="e">
            <v>#N/A</v>
          </cell>
          <cell r="L173">
            <v>0</v>
          </cell>
        </row>
        <row r="174">
          <cell r="C174" t="e">
            <v>#N/A</v>
          </cell>
          <cell r="L174">
            <v>0</v>
          </cell>
        </row>
        <row r="175">
          <cell r="C175" t="e">
            <v>#N/A</v>
          </cell>
          <cell r="L175">
            <v>0</v>
          </cell>
        </row>
        <row r="176">
          <cell r="C176" t="e">
            <v>#N/A</v>
          </cell>
          <cell r="L176">
            <v>0</v>
          </cell>
        </row>
        <row r="177">
          <cell r="C177" t="e">
            <v>#N/A</v>
          </cell>
          <cell r="L177">
            <v>0</v>
          </cell>
        </row>
        <row r="178">
          <cell r="C178" t="e">
            <v>#N/A</v>
          </cell>
          <cell r="L178">
            <v>0</v>
          </cell>
        </row>
        <row r="179">
          <cell r="C179" t="e">
            <v>#N/A</v>
          </cell>
          <cell r="L179">
            <v>0</v>
          </cell>
        </row>
        <row r="180">
          <cell r="C180" t="e">
            <v>#N/A</v>
          </cell>
          <cell r="L180">
            <v>0</v>
          </cell>
        </row>
        <row r="181">
          <cell r="C181" t="e">
            <v>#N/A</v>
          </cell>
          <cell r="L181">
            <v>0</v>
          </cell>
        </row>
        <row r="182">
          <cell r="C182" t="e">
            <v>#N/A</v>
          </cell>
          <cell r="L182">
            <v>0</v>
          </cell>
        </row>
        <row r="183">
          <cell r="C183" t="e">
            <v>#N/A</v>
          </cell>
          <cell r="L183">
            <v>0</v>
          </cell>
        </row>
        <row r="184">
          <cell r="C184" t="e">
            <v>#N/A</v>
          </cell>
          <cell r="L184">
            <v>0</v>
          </cell>
        </row>
        <row r="185">
          <cell r="C185" t="e">
            <v>#N/A</v>
          </cell>
          <cell r="L185">
            <v>0</v>
          </cell>
        </row>
        <row r="186">
          <cell r="C186" t="e">
            <v>#N/A</v>
          </cell>
          <cell r="L186">
            <v>0</v>
          </cell>
        </row>
        <row r="187">
          <cell r="C187" t="e">
            <v>#N/A</v>
          </cell>
          <cell r="L187">
            <v>0</v>
          </cell>
        </row>
        <row r="188">
          <cell r="C188" t="e">
            <v>#N/A</v>
          </cell>
          <cell r="L188">
            <v>0</v>
          </cell>
        </row>
        <row r="189">
          <cell r="C189" t="e">
            <v>#N/A</v>
          </cell>
          <cell r="L189">
            <v>0</v>
          </cell>
        </row>
        <row r="190">
          <cell r="C190" t="e">
            <v>#N/A</v>
          </cell>
          <cell r="L190">
            <v>0</v>
          </cell>
        </row>
        <row r="191">
          <cell r="C191" t="e">
            <v>#N/A</v>
          </cell>
          <cell r="L191">
            <v>0</v>
          </cell>
        </row>
        <row r="192">
          <cell r="C192" t="e">
            <v>#N/A</v>
          </cell>
          <cell r="L192">
            <v>0</v>
          </cell>
        </row>
        <row r="193">
          <cell r="C193" t="e">
            <v>#N/A</v>
          </cell>
          <cell r="L193">
            <v>0</v>
          </cell>
        </row>
        <row r="194">
          <cell r="C194" t="e">
            <v>#N/A</v>
          </cell>
          <cell r="L194">
            <v>0</v>
          </cell>
        </row>
        <row r="195">
          <cell r="C195" t="e">
            <v>#N/A</v>
          </cell>
          <cell r="L195">
            <v>0</v>
          </cell>
        </row>
        <row r="196">
          <cell r="C196" t="e">
            <v>#N/A</v>
          </cell>
          <cell r="L196">
            <v>0</v>
          </cell>
        </row>
        <row r="197">
          <cell r="C197" t="e">
            <v>#N/A</v>
          </cell>
          <cell r="L197">
            <v>0</v>
          </cell>
        </row>
        <row r="198">
          <cell r="C198" t="e">
            <v>#N/A</v>
          </cell>
          <cell r="L198">
            <v>0</v>
          </cell>
        </row>
        <row r="199">
          <cell r="C199" t="e">
            <v>#N/A</v>
          </cell>
          <cell r="L199">
            <v>0</v>
          </cell>
        </row>
        <row r="200">
          <cell r="C200" t="e">
            <v>#N/A</v>
          </cell>
          <cell r="L200">
            <v>0</v>
          </cell>
        </row>
        <row r="201">
          <cell r="C201" t="e">
            <v>#N/A</v>
          </cell>
          <cell r="L201">
            <v>0</v>
          </cell>
        </row>
        <row r="202">
          <cell r="C202" t="e">
            <v>#N/A</v>
          </cell>
          <cell r="L202">
            <v>0</v>
          </cell>
        </row>
        <row r="203">
          <cell r="C203" t="e">
            <v>#N/A</v>
          </cell>
          <cell r="L203">
            <v>0</v>
          </cell>
        </row>
        <row r="204">
          <cell r="C204" t="e">
            <v>#N/A</v>
          </cell>
          <cell r="L204">
            <v>0</v>
          </cell>
        </row>
        <row r="205">
          <cell r="C205" t="e">
            <v>#N/A</v>
          </cell>
          <cell r="L205">
            <v>0</v>
          </cell>
        </row>
        <row r="206">
          <cell r="C206" t="e">
            <v>#N/A</v>
          </cell>
          <cell r="L206">
            <v>0</v>
          </cell>
        </row>
        <row r="207">
          <cell r="C207" t="e">
            <v>#N/A</v>
          </cell>
          <cell r="L207">
            <v>0</v>
          </cell>
        </row>
        <row r="208">
          <cell r="C208" t="e">
            <v>#N/A</v>
          </cell>
          <cell r="L208">
            <v>0</v>
          </cell>
        </row>
        <row r="209">
          <cell r="C209" t="e">
            <v>#N/A</v>
          </cell>
          <cell r="L209">
            <v>0</v>
          </cell>
        </row>
        <row r="210">
          <cell r="C210" t="e">
            <v>#N/A</v>
          </cell>
          <cell r="L210">
            <v>0</v>
          </cell>
        </row>
        <row r="211">
          <cell r="C211" t="e">
            <v>#N/A</v>
          </cell>
          <cell r="L211">
            <v>0</v>
          </cell>
        </row>
        <row r="212">
          <cell r="C212" t="e">
            <v>#N/A</v>
          </cell>
          <cell r="L212">
            <v>0</v>
          </cell>
        </row>
        <row r="213">
          <cell r="C213" t="e">
            <v>#N/A</v>
          </cell>
          <cell r="L213">
            <v>0</v>
          </cell>
        </row>
        <row r="214">
          <cell r="C214" t="e">
            <v>#N/A</v>
          </cell>
          <cell r="L214">
            <v>0</v>
          </cell>
        </row>
        <row r="215">
          <cell r="C215" t="e">
            <v>#N/A</v>
          </cell>
          <cell r="L215">
            <v>0</v>
          </cell>
        </row>
        <row r="216">
          <cell r="C216" t="e">
            <v>#N/A</v>
          </cell>
          <cell r="L216">
            <v>0</v>
          </cell>
        </row>
        <row r="217">
          <cell r="C217" t="e">
            <v>#N/A</v>
          </cell>
          <cell r="L217">
            <v>0</v>
          </cell>
        </row>
        <row r="218">
          <cell r="C218" t="e">
            <v>#N/A</v>
          </cell>
          <cell r="L218">
            <v>0</v>
          </cell>
        </row>
        <row r="219">
          <cell r="C219" t="e">
            <v>#N/A</v>
          </cell>
          <cell r="L219">
            <v>0</v>
          </cell>
        </row>
        <row r="220">
          <cell r="C220" t="e">
            <v>#N/A</v>
          </cell>
          <cell r="L220">
            <v>0</v>
          </cell>
        </row>
        <row r="221">
          <cell r="C221" t="e">
            <v>#N/A</v>
          </cell>
          <cell r="L221">
            <v>0</v>
          </cell>
        </row>
        <row r="222">
          <cell r="C222" t="e">
            <v>#N/A</v>
          </cell>
          <cell r="L222">
            <v>0</v>
          </cell>
        </row>
        <row r="223">
          <cell r="C223" t="e">
            <v>#N/A</v>
          </cell>
          <cell r="L223">
            <v>0</v>
          </cell>
        </row>
        <row r="224">
          <cell r="C224" t="e">
            <v>#N/A</v>
          </cell>
          <cell r="L224">
            <v>0</v>
          </cell>
        </row>
        <row r="225">
          <cell r="C225" t="e">
            <v>#N/A</v>
          </cell>
          <cell r="L225">
            <v>0</v>
          </cell>
        </row>
        <row r="226">
          <cell r="C226" t="e">
            <v>#N/A</v>
          </cell>
          <cell r="L226">
            <v>0</v>
          </cell>
        </row>
        <row r="227">
          <cell r="C227" t="e">
            <v>#N/A</v>
          </cell>
          <cell r="L227">
            <v>0</v>
          </cell>
        </row>
        <row r="228">
          <cell r="C228" t="e">
            <v>#N/A</v>
          </cell>
          <cell r="L228">
            <v>0</v>
          </cell>
        </row>
        <row r="229">
          <cell r="C229" t="e">
            <v>#N/A</v>
          </cell>
          <cell r="L229">
            <v>0</v>
          </cell>
        </row>
        <row r="230">
          <cell r="C230" t="e">
            <v>#N/A</v>
          </cell>
          <cell r="L230">
            <v>0</v>
          </cell>
        </row>
        <row r="231">
          <cell r="C231" t="e">
            <v>#N/A</v>
          </cell>
          <cell r="L231">
            <v>0</v>
          </cell>
        </row>
        <row r="232">
          <cell r="C232" t="e">
            <v>#N/A</v>
          </cell>
          <cell r="L232">
            <v>0</v>
          </cell>
        </row>
        <row r="233">
          <cell r="C233" t="e">
            <v>#N/A</v>
          </cell>
          <cell r="L233">
            <v>0</v>
          </cell>
        </row>
        <row r="234">
          <cell r="C234" t="e">
            <v>#N/A</v>
          </cell>
          <cell r="L234">
            <v>0</v>
          </cell>
        </row>
        <row r="235">
          <cell r="C235" t="e">
            <v>#N/A</v>
          </cell>
          <cell r="L235">
            <v>0</v>
          </cell>
        </row>
        <row r="236">
          <cell r="C236" t="e">
            <v>#N/A</v>
          </cell>
          <cell r="L236">
            <v>0</v>
          </cell>
        </row>
        <row r="237">
          <cell r="C237" t="e">
            <v>#N/A</v>
          </cell>
          <cell r="L237">
            <v>0</v>
          </cell>
        </row>
        <row r="238">
          <cell r="C238" t="e">
            <v>#N/A</v>
          </cell>
          <cell r="L238">
            <v>0</v>
          </cell>
        </row>
        <row r="239">
          <cell r="C239" t="e">
            <v>#N/A</v>
          </cell>
          <cell r="L239">
            <v>0</v>
          </cell>
        </row>
        <row r="240">
          <cell r="C240" t="e">
            <v>#N/A</v>
          </cell>
          <cell r="L240">
            <v>0</v>
          </cell>
        </row>
        <row r="241">
          <cell r="C241" t="e">
            <v>#N/A</v>
          </cell>
          <cell r="L241">
            <v>0</v>
          </cell>
        </row>
        <row r="242">
          <cell r="C242" t="e">
            <v>#N/A</v>
          </cell>
          <cell r="L242">
            <v>0</v>
          </cell>
        </row>
        <row r="243">
          <cell r="C243" t="e">
            <v>#N/A</v>
          </cell>
          <cell r="L243">
            <v>0</v>
          </cell>
        </row>
        <row r="244">
          <cell r="C244" t="e">
            <v>#N/A</v>
          </cell>
          <cell r="L244">
            <v>0</v>
          </cell>
        </row>
        <row r="245">
          <cell r="C245" t="e">
            <v>#N/A</v>
          </cell>
          <cell r="L245">
            <v>0</v>
          </cell>
        </row>
        <row r="246">
          <cell r="C246" t="e">
            <v>#N/A</v>
          </cell>
          <cell r="L246">
            <v>0</v>
          </cell>
        </row>
        <row r="247">
          <cell r="C247" t="e">
            <v>#N/A</v>
          </cell>
          <cell r="L247">
            <v>0</v>
          </cell>
        </row>
        <row r="248">
          <cell r="C248" t="e">
            <v>#N/A</v>
          </cell>
          <cell r="L248">
            <v>0</v>
          </cell>
        </row>
        <row r="249">
          <cell r="C249" t="e">
            <v>#N/A</v>
          </cell>
          <cell r="L249">
            <v>0</v>
          </cell>
        </row>
        <row r="250">
          <cell r="C250" t="e">
            <v>#N/A</v>
          </cell>
          <cell r="L250">
            <v>0</v>
          </cell>
        </row>
        <row r="251">
          <cell r="C251" t="e">
            <v>#N/A</v>
          </cell>
          <cell r="L251">
            <v>0</v>
          </cell>
        </row>
        <row r="252">
          <cell r="C252" t="e">
            <v>#N/A</v>
          </cell>
          <cell r="L252">
            <v>0</v>
          </cell>
        </row>
        <row r="253">
          <cell r="C253" t="e">
            <v>#N/A</v>
          </cell>
          <cell r="L253">
            <v>0</v>
          </cell>
        </row>
        <row r="254">
          <cell r="C254" t="e">
            <v>#N/A</v>
          </cell>
          <cell r="L254">
            <v>0</v>
          </cell>
        </row>
        <row r="255">
          <cell r="C255" t="e">
            <v>#N/A</v>
          </cell>
          <cell r="L255">
            <v>0</v>
          </cell>
        </row>
        <row r="256">
          <cell r="C256" t="e">
            <v>#N/A</v>
          </cell>
          <cell r="L256">
            <v>0</v>
          </cell>
        </row>
        <row r="257">
          <cell r="C257" t="e">
            <v>#N/A</v>
          </cell>
          <cell r="L257">
            <v>0</v>
          </cell>
        </row>
        <row r="258">
          <cell r="C258" t="e">
            <v>#N/A</v>
          </cell>
          <cell r="L258">
            <v>0</v>
          </cell>
        </row>
        <row r="259">
          <cell r="C259" t="e">
            <v>#N/A</v>
          </cell>
          <cell r="L259">
            <v>0</v>
          </cell>
        </row>
        <row r="260">
          <cell r="C260" t="e">
            <v>#N/A</v>
          </cell>
          <cell r="L260">
            <v>0</v>
          </cell>
        </row>
        <row r="261">
          <cell r="C261" t="e">
            <v>#N/A</v>
          </cell>
          <cell r="L261">
            <v>0</v>
          </cell>
        </row>
        <row r="262">
          <cell r="C262" t="e">
            <v>#N/A</v>
          </cell>
          <cell r="L262">
            <v>0</v>
          </cell>
        </row>
        <row r="263">
          <cell r="C263" t="e">
            <v>#N/A</v>
          </cell>
          <cell r="L263">
            <v>0</v>
          </cell>
        </row>
        <row r="264">
          <cell r="C264" t="e">
            <v>#N/A</v>
          </cell>
          <cell r="L264">
            <v>0</v>
          </cell>
        </row>
        <row r="265">
          <cell r="C265" t="e">
            <v>#N/A</v>
          </cell>
          <cell r="L265">
            <v>0</v>
          </cell>
        </row>
        <row r="266">
          <cell r="C266" t="e">
            <v>#N/A</v>
          </cell>
          <cell r="L266">
            <v>0</v>
          </cell>
        </row>
        <row r="267">
          <cell r="C267" t="e">
            <v>#N/A</v>
          </cell>
          <cell r="L267">
            <v>0</v>
          </cell>
        </row>
        <row r="268">
          <cell r="C268" t="e">
            <v>#N/A</v>
          </cell>
          <cell r="L268">
            <v>0</v>
          </cell>
        </row>
        <row r="269">
          <cell r="C269" t="e">
            <v>#N/A</v>
          </cell>
          <cell r="L269">
            <v>0</v>
          </cell>
        </row>
        <row r="270">
          <cell r="C270" t="e">
            <v>#N/A</v>
          </cell>
          <cell r="L270">
            <v>0</v>
          </cell>
        </row>
        <row r="271">
          <cell r="C271" t="e">
            <v>#N/A</v>
          </cell>
          <cell r="L271">
            <v>0</v>
          </cell>
        </row>
        <row r="272">
          <cell r="C272" t="e">
            <v>#N/A</v>
          </cell>
          <cell r="L272">
            <v>0</v>
          </cell>
        </row>
        <row r="273">
          <cell r="C273" t="e">
            <v>#N/A</v>
          </cell>
          <cell r="L273">
            <v>0</v>
          </cell>
        </row>
        <row r="274">
          <cell r="C274" t="e">
            <v>#N/A</v>
          </cell>
          <cell r="L274">
            <v>0</v>
          </cell>
        </row>
        <row r="275">
          <cell r="C275" t="e">
            <v>#N/A</v>
          </cell>
          <cell r="L275">
            <v>0</v>
          </cell>
        </row>
        <row r="276">
          <cell r="C276" t="e">
            <v>#N/A</v>
          </cell>
          <cell r="L276">
            <v>0</v>
          </cell>
        </row>
        <row r="277">
          <cell r="C277" t="e">
            <v>#N/A</v>
          </cell>
          <cell r="L277">
            <v>0</v>
          </cell>
        </row>
        <row r="278">
          <cell r="C278" t="e">
            <v>#N/A</v>
          </cell>
          <cell r="L278">
            <v>0</v>
          </cell>
        </row>
        <row r="279">
          <cell r="C279" t="e">
            <v>#N/A</v>
          </cell>
          <cell r="L279">
            <v>0</v>
          </cell>
        </row>
        <row r="280">
          <cell r="C280" t="e">
            <v>#N/A</v>
          </cell>
          <cell r="L280">
            <v>0</v>
          </cell>
        </row>
        <row r="281">
          <cell r="C281" t="e">
            <v>#N/A</v>
          </cell>
          <cell r="L281">
            <v>0</v>
          </cell>
        </row>
        <row r="282">
          <cell r="C282" t="e">
            <v>#N/A</v>
          </cell>
          <cell r="L282">
            <v>0</v>
          </cell>
        </row>
        <row r="283">
          <cell r="C283" t="e">
            <v>#N/A</v>
          </cell>
          <cell r="L283">
            <v>0</v>
          </cell>
        </row>
        <row r="284">
          <cell r="C284" t="e">
            <v>#N/A</v>
          </cell>
          <cell r="L284">
            <v>0</v>
          </cell>
        </row>
        <row r="285">
          <cell r="C285" t="e">
            <v>#N/A</v>
          </cell>
          <cell r="L285">
            <v>0</v>
          </cell>
        </row>
        <row r="286">
          <cell r="C286" t="e">
            <v>#N/A</v>
          </cell>
          <cell r="L286">
            <v>0</v>
          </cell>
        </row>
        <row r="287">
          <cell r="C287" t="e">
            <v>#N/A</v>
          </cell>
          <cell r="L287">
            <v>0</v>
          </cell>
        </row>
        <row r="288">
          <cell r="C288" t="e">
            <v>#N/A</v>
          </cell>
          <cell r="L288">
            <v>0</v>
          </cell>
        </row>
        <row r="289">
          <cell r="C289" t="e">
            <v>#N/A</v>
          </cell>
          <cell r="L289">
            <v>0</v>
          </cell>
        </row>
        <row r="290">
          <cell r="C290" t="e">
            <v>#N/A</v>
          </cell>
          <cell r="L290">
            <v>0</v>
          </cell>
        </row>
        <row r="291">
          <cell r="C291" t="e">
            <v>#N/A</v>
          </cell>
          <cell r="L291">
            <v>0</v>
          </cell>
        </row>
        <row r="292">
          <cell r="C292" t="e">
            <v>#N/A</v>
          </cell>
          <cell r="L292">
            <v>0</v>
          </cell>
        </row>
        <row r="293">
          <cell r="C293" t="e">
            <v>#N/A</v>
          </cell>
          <cell r="L293">
            <v>0</v>
          </cell>
        </row>
        <row r="294">
          <cell r="C294" t="e">
            <v>#N/A</v>
          </cell>
          <cell r="L294">
            <v>0</v>
          </cell>
        </row>
        <row r="295">
          <cell r="C295" t="e">
            <v>#N/A</v>
          </cell>
          <cell r="L295">
            <v>0</v>
          </cell>
        </row>
        <row r="296">
          <cell r="C296" t="e">
            <v>#N/A</v>
          </cell>
          <cell r="L296">
            <v>0</v>
          </cell>
        </row>
        <row r="297">
          <cell r="C297" t="e">
            <v>#N/A</v>
          </cell>
          <cell r="L297">
            <v>0</v>
          </cell>
        </row>
        <row r="298">
          <cell r="C298" t="e">
            <v>#N/A</v>
          </cell>
          <cell r="L298">
            <v>0</v>
          </cell>
        </row>
        <row r="299">
          <cell r="C299" t="e">
            <v>#N/A</v>
          </cell>
          <cell r="L299">
            <v>0</v>
          </cell>
        </row>
        <row r="300">
          <cell r="C300" t="e">
            <v>#N/A</v>
          </cell>
          <cell r="L300">
            <v>0</v>
          </cell>
        </row>
        <row r="301">
          <cell r="C301" t="e">
            <v>#N/A</v>
          </cell>
          <cell r="L301">
            <v>0</v>
          </cell>
        </row>
        <row r="302">
          <cell r="C302" t="e">
            <v>#N/A</v>
          </cell>
          <cell r="L302">
            <v>0</v>
          </cell>
        </row>
        <row r="303">
          <cell r="C303" t="e">
            <v>#N/A</v>
          </cell>
          <cell r="L303">
            <v>0</v>
          </cell>
        </row>
        <row r="304">
          <cell r="C304" t="e">
            <v>#N/A</v>
          </cell>
          <cell r="L304">
            <v>0</v>
          </cell>
        </row>
        <row r="305">
          <cell r="C305" t="e">
            <v>#N/A</v>
          </cell>
          <cell r="L305">
            <v>0</v>
          </cell>
        </row>
        <row r="306">
          <cell r="C306" t="e">
            <v>#N/A</v>
          </cell>
          <cell r="L306">
            <v>0</v>
          </cell>
        </row>
        <row r="307">
          <cell r="C307" t="e">
            <v>#N/A</v>
          </cell>
          <cell r="L307">
            <v>0</v>
          </cell>
        </row>
        <row r="308">
          <cell r="C308" t="e">
            <v>#N/A</v>
          </cell>
          <cell r="L308">
            <v>0</v>
          </cell>
        </row>
        <row r="309">
          <cell r="C309" t="e">
            <v>#N/A</v>
          </cell>
          <cell r="L309">
            <v>0</v>
          </cell>
        </row>
        <row r="310">
          <cell r="C310" t="e">
            <v>#N/A</v>
          </cell>
          <cell r="L310">
            <v>0</v>
          </cell>
        </row>
        <row r="311">
          <cell r="C311" t="e">
            <v>#N/A</v>
          </cell>
          <cell r="L311">
            <v>0</v>
          </cell>
        </row>
        <row r="312">
          <cell r="C312" t="e">
            <v>#N/A</v>
          </cell>
          <cell r="L312">
            <v>0</v>
          </cell>
        </row>
        <row r="313">
          <cell r="C313" t="e">
            <v>#N/A</v>
          </cell>
          <cell r="L313">
            <v>0</v>
          </cell>
        </row>
        <row r="314">
          <cell r="C314" t="e">
            <v>#N/A</v>
          </cell>
          <cell r="L314">
            <v>0</v>
          </cell>
        </row>
        <row r="315">
          <cell r="C315" t="e">
            <v>#N/A</v>
          </cell>
          <cell r="L315">
            <v>0</v>
          </cell>
        </row>
        <row r="316">
          <cell r="C316" t="e">
            <v>#N/A</v>
          </cell>
          <cell r="L316">
            <v>0</v>
          </cell>
        </row>
        <row r="317">
          <cell r="C317" t="e">
            <v>#N/A</v>
          </cell>
          <cell r="L317">
            <v>0</v>
          </cell>
        </row>
        <row r="318">
          <cell r="C318" t="e">
            <v>#N/A</v>
          </cell>
          <cell r="L318">
            <v>0</v>
          </cell>
        </row>
        <row r="319">
          <cell r="C319" t="e">
            <v>#N/A</v>
          </cell>
          <cell r="L319">
            <v>0</v>
          </cell>
        </row>
        <row r="320">
          <cell r="C320" t="e">
            <v>#N/A</v>
          </cell>
          <cell r="L320">
            <v>0</v>
          </cell>
        </row>
        <row r="321">
          <cell r="C321" t="e">
            <v>#N/A</v>
          </cell>
          <cell r="L321">
            <v>0</v>
          </cell>
        </row>
        <row r="322">
          <cell r="C322" t="e">
            <v>#N/A</v>
          </cell>
          <cell r="L322">
            <v>0</v>
          </cell>
        </row>
        <row r="323">
          <cell r="C323" t="e">
            <v>#N/A</v>
          </cell>
          <cell r="L323">
            <v>0</v>
          </cell>
        </row>
        <row r="324">
          <cell r="C324" t="e">
            <v>#N/A</v>
          </cell>
          <cell r="L324">
            <v>0</v>
          </cell>
        </row>
        <row r="325">
          <cell r="C325" t="e">
            <v>#N/A</v>
          </cell>
          <cell r="L325">
            <v>0</v>
          </cell>
        </row>
        <row r="326">
          <cell r="C326" t="e">
            <v>#N/A</v>
          </cell>
          <cell r="L326">
            <v>0</v>
          </cell>
        </row>
        <row r="327">
          <cell r="C327" t="e">
            <v>#N/A</v>
          </cell>
          <cell r="L327">
            <v>0</v>
          </cell>
        </row>
        <row r="328">
          <cell r="C328" t="e">
            <v>#N/A</v>
          </cell>
          <cell r="L328">
            <v>0</v>
          </cell>
        </row>
        <row r="329">
          <cell r="C329" t="e">
            <v>#N/A</v>
          </cell>
          <cell r="L329">
            <v>0</v>
          </cell>
        </row>
        <row r="330">
          <cell r="C330" t="e">
            <v>#N/A</v>
          </cell>
          <cell r="L330">
            <v>0</v>
          </cell>
        </row>
        <row r="331">
          <cell r="C331" t="e">
            <v>#N/A</v>
          </cell>
          <cell r="L331">
            <v>0</v>
          </cell>
        </row>
        <row r="332">
          <cell r="C332" t="e">
            <v>#N/A</v>
          </cell>
          <cell r="L332">
            <v>0</v>
          </cell>
        </row>
        <row r="333">
          <cell r="C333" t="e">
            <v>#N/A</v>
          </cell>
          <cell r="L333">
            <v>0</v>
          </cell>
        </row>
        <row r="334">
          <cell r="C334" t="e">
            <v>#N/A</v>
          </cell>
          <cell r="L334">
            <v>0</v>
          </cell>
        </row>
        <row r="335">
          <cell r="C335" t="e">
            <v>#N/A</v>
          </cell>
          <cell r="L335">
            <v>0</v>
          </cell>
        </row>
        <row r="336">
          <cell r="C336" t="e">
            <v>#N/A</v>
          </cell>
          <cell r="L336">
            <v>0</v>
          </cell>
        </row>
        <row r="337">
          <cell r="C337" t="e">
            <v>#N/A</v>
          </cell>
          <cell r="L337">
            <v>0</v>
          </cell>
        </row>
        <row r="338">
          <cell r="C338" t="e">
            <v>#N/A</v>
          </cell>
          <cell r="L338">
            <v>0</v>
          </cell>
        </row>
        <row r="339">
          <cell r="C339" t="e">
            <v>#N/A</v>
          </cell>
          <cell r="L339">
            <v>0</v>
          </cell>
        </row>
        <row r="340">
          <cell r="C340" t="e">
            <v>#N/A</v>
          </cell>
          <cell r="L340">
            <v>0</v>
          </cell>
        </row>
        <row r="341">
          <cell r="C341" t="e">
            <v>#N/A</v>
          </cell>
          <cell r="L341">
            <v>0</v>
          </cell>
        </row>
        <row r="342">
          <cell r="C342" t="e">
            <v>#N/A</v>
          </cell>
          <cell r="L342">
            <v>0</v>
          </cell>
        </row>
        <row r="343">
          <cell r="C343" t="e">
            <v>#N/A</v>
          </cell>
          <cell r="L343">
            <v>0</v>
          </cell>
        </row>
        <row r="344">
          <cell r="C344" t="e">
            <v>#N/A</v>
          </cell>
          <cell r="L344">
            <v>0</v>
          </cell>
        </row>
        <row r="345">
          <cell r="C345" t="e">
            <v>#N/A</v>
          </cell>
          <cell r="L345">
            <v>0</v>
          </cell>
        </row>
        <row r="346">
          <cell r="C346" t="e">
            <v>#N/A</v>
          </cell>
          <cell r="L346">
            <v>0</v>
          </cell>
        </row>
        <row r="347">
          <cell r="C347" t="e">
            <v>#N/A</v>
          </cell>
          <cell r="L347">
            <v>0</v>
          </cell>
        </row>
        <row r="348">
          <cell r="C348" t="e">
            <v>#N/A</v>
          </cell>
          <cell r="L348">
            <v>0</v>
          </cell>
        </row>
        <row r="349">
          <cell r="C349" t="e">
            <v>#N/A</v>
          </cell>
          <cell r="L349">
            <v>0</v>
          </cell>
        </row>
        <row r="350">
          <cell r="C350" t="e">
            <v>#N/A</v>
          </cell>
          <cell r="L350">
            <v>0</v>
          </cell>
        </row>
        <row r="351">
          <cell r="C351" t="e">
            <v>#N/A</v>
          </cell>
          <cell r="L351">
            <v>0</v>
          </cell>
        </row>
        <row r="352">
          <cell r="C352" t="e">
            <v>#N/A</v>
          </cell>
          <cell r="L352">
            <v>0</v>
          </cell>
        </row>
        <row r="353">
          <cell r="C353" t="e">
            <v>#N/A</v>
          </cell>
          <cell r="L353">
            <v>0</v>
          </cell>
        </row>
        <row r="354">
          <cell r="C354" t="e">
            <v>#N/A</v>
          </cell>
          <cell r="L354">
            <v>0</v>
          </cell>
        </row>
        <row r="355">
          <cell r="C355" t="e">
            <v>#N/A</v>
          </cell>
          <cell r="L355">
            <v>0</v>
          </cell>
        </row>
        <row r="356">
          <cell r="C356" t="e">
            <v>#N/A</v>
          </cell>
          <cell r="L356">
            <v>0</v>
          </cell>
        </row>
        <row r="357">
          <cell r="C357" t="e">
            <v>#N/A</v>
          </cell>
          <cell r="L357">
            <v>0</v>
          </cell>
        </row>
        <row r="358">
          <cell r="C358" t="e">
            <v>#N/A</v>
          </cell>
          <cell r="L358">
            <v>0</v>
          </cell>
        </row>
        <row r="359">
          <cell r="C359" t="e">
            <v>#N/A</v>
          </cell>
          <cell r="L359">
            <v>0</v>
          </cell>
        </row>
        <row r="360">
          <cell r="C360" t="e">
            <v>#N/A</v>
          </cell>
          <cell r="L360">
            <v>0</v>
          </cell>
        </row>
        <row r="361">
          <cell r="C361" t="e">
            <v>#N/A</v>
          </cell>
          <cell r="L361">
            <v>0</v>
          </cell>
        </row>
        <row r="362">
          <cell r="C362" t="e">
            <v>#N/A</v>
          </cell>
          <cell r="L362">
            <v>0</v>
          </cell>
        </row>
        <row r="363">
          <cell r="C363" t="e">
            <v>#N/A</v>
          </cell>
          <cell r="L363">
            <v>0</v>
          </cell>
        </row>
        <row r="364">
          <cell r="C364" t="e">
            <v>#N/A</v>
          </cell>
          <cell r="L364">
            <v>0</v>
          </cell>
        </row>
        <row r="365">
          <cell r="C365" t="e">
            <v>#N/A</v>
          </cell>
          <cell r="L365">
            <v>0</v>
          </cell>
        </row>
        <row r="366">
          <cell r="C366" t="e">
            <v>#N/A</v>
          </cell>
          <cell r="L366">
            <v>0</v>
          </cell>
        </row>
        <row r="367">
          <cell r="C367" t="e">
            <v>#N/A</v>
          </cell>
          <cell r="L367">
            <v>0</v>
          </cell>
        </row>
        <row r="368">
          <cell r="C368" t="e">
            <v>#N/A</v>
          </cell>
          <cell r="L368">
            <v>0</v>
          </cell>
        </row>
        <row r="369">
          <cell r="C369" t="e">
            <v>#N/A</v>
          </cell>
          <cell r="L369">
            <v>0</v>
          </cell>
        </row>
        <row r="370">
          <cell r="C370" t="e">
            <v>#N/A</v>
          </cell>
          <cell r="L370">
            <v>0</v>
          </cell>
        </row>
        <row r="371">
          <cell r="C371" t="e">
            <v>#N/A</v>
          </cell>
          <cell r="L371">
            <v>0</v>
          </cell>
        </row>
        <row r="372">
          <cell r="C372" t="e">
            <v>#N/A</v>
          </cell>
          <cell r="L372">
            <v>0</v>
          </cell>
        </row>
        <row r="373">
          <cell r="C373" t="e">
            <v>#N/A</v>
          </cell>
          <cell r="L373">
            <v>0</v>
          </cell>
        </row>
        <row r="374">
          <cell r="C374" t="e">
            <v>#N/A</v>
          </cell>
          <cell r="L374">
            <v>0</v>
          </cell>
        </row>
        <row r="375">
          <cell r="C375" t="e">
            <v>#N/A</v>
          </cell>
          <cell r="L375">
            <v>0</v>
          </cell>
        </row>
        <row r="376">
          <cell r="C376" t="e">
            <v>#N/A</v>
          </cell>
          <cell r="L376">
            <v>0</v>
          </cell>
        </row>
        <row r="377">
          <cell r="C377" t="e">
            <v>#N/A</v>
          </cell>
          <cell r="L377">
            <v>0</v>
          </cell>
        </row>
        <row r="378">
          <cell r="C378" t="e">
            <v>#N/A</v>
          </cell>
          <cell r="L378">
            <v>0</v>
          </cell>
        </row>
        <row r="379">
          <cell r="C379" t="e">
            <v>#N/A</v>
          </cell>
          <cell r="L379">
            <v>0</v>
          </cell>
        </row>
        <row r="380">
          <cell r="C380" t="e">
            <v>#N/A</v>
          </cell>
          <cell r="L380">
            <v>0</v>
          </cell>
        </row>
        <row r="381">
          <cell r="C381" t="e">
            <v>#N/A</v>
          </cell>
          <cell r="L381">
            <v>0</v>
          </cell>
        </row>
        <row r="382">
          <cell r="C382" t="e">
            <v>#N/A</v>
          </cell>
          <cell r="L382">
            <v>0</v>
          </cell>
        </row>
        <row r="383">
          <cell r="C383" t="e">
            <v>#N/A</v>
          </cell>
          <cell r="L383">
            <v>0</v>
          </cell>
        </row>
        <row r="384">
          <cell r="C384" t="e">
            <v>#N/A</v>
          </cell>
          <cell r="L384">
            <v>0</v>
          </cell>
        </row>
        <row r="385">
          <cell r="C385" t="e">
            <v>#N/A</v>
          </cell>
          <cell r="L385">
            <v>0</v>
          </cell>
        </row>
        <row r="386">
          <cell r="C386" t="e">
            <v>#N/A</v>
          </cell>
          <cell r="L386">
            <v>0</v>
          </cell>
        </row>
        <row r="387">
          <cell r="C387" t="e">
            <v>#N/A</v>
          </cell>
          <cell r="L387">
            <v>0</v>
          </cell>
        </row>
        <row r="388">
          <cell r="C388" t="e">
            <v>#N/A</v>
          </cell>
          <cell r="L388">
            <v>0</v>
          </cell>
        </row>
        <row r="389">
          <cell r="C389" t="e">
            <v>#N/A</v>
          </cell>
          <cell r="L389">
            <v>0</v>
          </cell>
        </row>
        <row r="390">
          <cell r="C390" t="e">
            <v>#N/A</v>
          </cell>
          <cell r="L390">
            <v>0</v>
          </cell>
        </row>
        <row r="391">
          <cell r="C391" t="e">
            <v>#N/A</v>
          </cell>
          <cell r="L391">
            <v>0</v>
          </cell>
        </row>
        <row r="392">
          <cell r="C392" t="e">
            <v>#N/A</v>
          </cell>
          <cell r="L392">
            <v>0</v>
          </cell>
        </row>
        <row r="393">
          <cell r="C393" t="e">
            <v>#N/A</v>
          </cell>
          <cell r="L393">
            <v>0</v>
          </cell>
        </row>
        <row r="394">
          <cell r="C394" t="e">
            <v>#N/A</v>
          </cell>
          <cell r="L394">
            <v>0</v>
          </cell>
        </row>
        <row r="395">
          <cell r="C395" t="e">
            <v>#N/A</v>
          </cell>
          <cell r="L395">
            <v>0</v>
          </cell>
        </row>
        <row r="396">
          <cell r="C396" t="e">
            <v>#N/A</v>
          </cell>
          <cell r="L396">
            <v>0</v>
          </cell>
        </row>
        <row r="397">
          <cell r="C397" t="e">
            <v>#N/A</v>
          </cell>
          <cell r="L397">
            <v>0</v>
          </cell>
        </row>
        <row r="398">
          <cell r="C398" t="e">
            <v>#N/A</v>
          </cell>
          <cell r="L398">
            <v>0</v>
          </cell>
        </row>
        <row r="399">
          <cell r="C399" t="e">
            <v>#N/A</v>
          </cell>
          <cell r="L399">
            <v>0</v>
          </cell>
        </row>
        <row r="400">
          <cell r="C400" t="e">
            <v>#N/A</v>
          </cell>
          <cell r="L400">
            <v>0</v>
          </cell>
        </row>
        <row r="401">
          <cell r="C401" t="e">
            <v>#N/A</v>
          </cell>
          <cell r="L401">
            <v>0</v>
          </cell>
        </row>
        <row r="402">
          <cell r="C402" t="e">
            <v>#N/A</v>
          </cell>
          <cell r="L402">
            <v>0</v>
          </cell>
        </row>
        <row r="403">
          <cell r="C403" t="e">
            <v>#N/A</v>
          </cell>
          <cell r="L403">
            <v>0</v>
          </cell>
        </row>
        <row r="404">
          <cell r="C404" t="e">
            <v>#N/A</v>
          </cell>
          <cell r="L404">
            <v>0</v>
          </cell>
        </row>
        <row r="405">
          <cell r="C405" t="e">
            <v>#N/A</v>
          </cell>
          <cell r="L405">
            <v>0</v>
          </cell>
        </row>
        <row r="406">
          <cell r="C406" t="e">
            <v>#N/A</v>
          </cell>
          <cell r="L406">
            <v>0</v>
          </cell>
        </row>
        <row r="407">
          <cell r="C407" t="e">
            <v>#N/A</v>
          </cell>
          <cell r="L407">
            <v>0</v>
          </cell>
        </row>
        <row r="408">
          <cell r="C408" t="e">
            <v>#N/A</v>
          </cell>
          <cell r="L408">
            <v>0</v>
          </cell>
        </row>
        <row r="409">
          <cell r="C409" t="e">
            <v>#N/A</v>
          </cell>
          <cell r="L409">
            <v>0</v>
          </cell>
        </row>
        <row r="410">
          <cell r="C410" t="e">
            <v>#N/A</v>
          </cell>
          <cell r="L410">
            <v>0</v>
          </cell>
        </row>
        <row r="411">
          <cell r="C411" t="e">
            <v>#N/A</v>
          </cell>
          <cell r="L411">
            <v>0</v>
          </cell>
        </row>
        <row r="412">
          <cell r="C412" t="e">
            <v>#N/A</v>
          </cell>
          <cell r="L412">
            <v>0</v>
          </cell>
        </row>
        <row r="413">
          <cell r="C413" t="e">
            <v>#N/A</v>
          </cell>
          <cell r="L413">
            <v>0</v>
          </cell>
        </row>
        <row r="414">
          <cell r="C414" t="e">
            <v>#N/A</v>
          </cell>
          <cell r="L414">
            <v>0</v>
          </cell>
        </row>
        <row r="415">
          <cell r="C415" t="e">
            <v>#N/A</v>
          </cell>
          <cell r="L415">
            <v>0</v>
          </cell>
        </row>
        <row r="416">
          <cell r="C416" t="e">
            <v>#N/A</v>
          </cell>
          <cell r="L416">
            <v>0</v>
          </cell>
        </row>
        <row r="417">
          <cell r="C417" t="e">
            <v>#N/A</v>
          </cell>
          <cell r="L417">
            <v>0</v>
          </cell>
        </row>
        <row r="418">
          <cell r="C418" t="e">
            <v>#N/A</v>
          </cell>
          <cell r="L418">
            <v>0</v>
          </cell>
        </row>
        <row r="419">
          <cell r="C419" t="e">
            <v>#N/A</v>
          </cell>
          <cell r="L419">
            <v>0</v>
          </cell>
        </row>
        <row r="420">
          <cell r="C420" t="e">
            <v>#N/A</v>
          </cell>
          <cell r="L420">
            <v>0</v>
          </cell>
        </row>
        <row r="421">
          <cell r="C421" t="e">
            <v>#N/A</v>
          </cell>
          <cell r="L421">
            <v>0</v>
          </cell>
        </row>
        <row r="422">
          <cell r="C422" t="e">
            <v>#N/A</v>
          </cell>
          <cell r="L422">
            <v>0</v>
          </cell>
        </row>
        <row r="423">
          <cell r="C423" t="e">
            <v>#N/A</v>
          </cell>
          <cell r="L423">
            <v>0</v>
          </cell>
        </row>
        <row r="424">
          <cell r="C424" t="e">
            <v>#N/A</v>
          </cell>
          <cell r="L424">
            <v>0</v>
          </cell>
        </row>
        <row r="425">
          <cell r="C425" t="e">
            <v>#N/A</v>
          </cell>
          <cell r="L425">
            <v>0</v>
          </cell>
        </row>
        <row r="426">
          <cell r="C426" t="e">
            <v>#N/A</v>
          </cell>
          <cell r="L426">
            <v>0</v>
          </cell>
        </row>
        <row r="427">
          <cell r="C427" t="e">
            <v>#N/A</v>
          </cell>
          <cell r="L427">
            <v>0</v>
          </cell>
        </row>
        <row r="428">
          <cell r="C428" t="e">
            <v>#N/A</v>
          </cell>
          <cell r="L428">
            <v>0</v>
          </cell>
        </row>
        <row r="429">
          <cell r="C429" t="e">
            <v>#N/A</v>
          </cell>
          <cell r="L429">
            <v>0</v>
          </cell>
        </row>
        <row r="430">
          <cell r="C430" t="e">
            <v>#N/A</v>
          </cell>
          <cell r="L430">
            <v>0</v>
          </cell>
        </row>
        <row r="431">
          <cell r="C431" t="e">
            <v>#N/A</v>
          </cell>
          <cell r="L431">
            <v>0</v>
          </cell>
        </row>
        <row r="432">
          <cell r="C432" t="e">
            <v>#N/A</v>
          </cell>
          <cell r="L432">
            <v>0</v>
          </cell>
        </row>
        <row r="433">
          <cell r="C433" t="e">
            <v>#N/A</v>
          </cell>
          <cell r="L433">
            <v>0</v>
          </cell>
        </row>
        <row r="434">
          <cell r="C434" t="e">
            <v>#N/A</v>
          </cell>
          <cell r="L434">
            <v>0</v>
          </cell>
        </row>
        <row r="435">
          <cell r="C435" t="e">
            <v>#N/A</v>
          </cell>
          <cell r="L435">
            <v>0</v>
          </cell>
        </row>
        <row r="436">
          <cell r="C436" t="e">
            <v>#N/A</v>
          </cell>
          <cell r="L436">
            <v>0</v>
          </cell>
        </row>
        <row r="437">
          <cell r="C437" t="e">
            <v>#N/A</v>
          </cell>
          <cell r="L437">
            <v>0</v>
          </cell>
        </row>
        <row r="438">
          <cell r="C438" t="e">
            <v>#N/A</v>
          </cell>
          <cell r="L438">
            <v>0</v>
          </cell>
        </row>
        <row r="439">
          <cell r="C439" t="e">
            <v>#N/A</v>
          </cell>
          <cell r="L439">
            <v>0</v>
          </cell>
        </row>
        <row r="440">
          <cell r="C440" t="e">
            <v>#N/A</v>
          </cell>
          <cell r="L440">
            <v>0</v>
          </cell>
        </row>
        <row r="441">
          <cell r="C441" t="e">
            <v>#N/A</v>
          </cell>
          <cell r="L441">
            <v>0</v>
          </cell>
        </row>
        <row r="442">
          <cell r="C442" t="e">
            <v>#N/A</v>
          </cell>
          <cell r="L442">
            <v>0</v>
          </cell>
        </row>
        <row r="443">
          <cell r="C443" t="e">
            <v>#N/A</v>
          </cell>
          <cell r="L443">
            <v>0</v>
          </cell>
        </row>
        <row r="444">
          <cell r="C444" t="e">
            <v>#N/A</v>
          </cell>
          <cell r="L444">
            <v>0</v>
          </cell>
        </row>
        <row r="445">
          <cell r="C445" t="e">
            <v>#N/A</v>
          </cell>
          <cell r="L445">
            <v>0</v>
          </cell>
        </row>
        <row r="446">
          <cell r="C446" t="e">
            <v>#N/A</v>
          </cell>
          <cell r="L446">
            <v>0</v>
          </cell>
        </row>
        <row r="447">
          <cell r="C447" t="e">
            <v>#N/A</v>
          </cell>
          <cell r="L447">
            <v>0</v>
          </cell>
        </row>
        <row r="448">
          <cell r="C448" t="e">
            <v>#N/A</v>
          </cell>
          <cell r="L448">
            <v>0</v>
          </cell>
        </row>
        <row r="449">
          <cell r="C449" t="e">
            <v>#N/A</v>
          </cell>
          <cell r="L449">
            <v>0</v>
          </cell>
        </row>
        <row r="450">
          <cell r="C450" t="e">
            <v>#N/A</v>
          </cell>
          <cell r="L450">
            <v>0</v>
          </cell>
        </row>
        <row r="451">
          <cell r="C451" t="e">
            <v>#N/A</v>
          </cell>
          <cell r="L451">
            <v>0</v>
          </cell>
        </row>
        <row r="452">
          <cell r="C452" t="e">
            <v>#N/A</v>
          </cell>
          <cell r="L452">
            <v>0</v>
          </cell>
        </row>
        <row r="453">
          <cell r="C453" t="e">
            <v>#N/A</v>
          </cell>
          <cell r="L453">
            <v>0</v>
          </cell>
        </row>
        <row r="454">
          <cell r="C454" t="e">
            <v>#N/A</v>
          </cell>
          <cell r="L454">
            <v>0</v>
          </cell>
        </row>
        <row r="455">
          <cell r="C455" t="e">
            <v>#N/A</v>
          </cell>
          <cell r="L455">
            <v>0</v>
          </cell>
        </row>
        <row r="456">
          <cell r="C456" t="e">
            <v>#N/A</v>
          </cell>
          <cell r="L456">
            <v>0</v>
          </cell>
        </row>
        <row r="457">
          <cell r="C457" t="e">
            <v>#N/A</v>
          </cell>
          <cell r="L457">
            <v>0</v>
          </cell>
        </row>
        <row r="458">
          <cell r="C458" t="e">
            <v>#N/A</v>
          </cell>
          <cell r="L458">
            <v>0</v>
          </cell>
        </row>
        <row r="459">
          <cell r="C459" t="e">
            <v>#N/A</v>
          </cell>
          <cell r="L459">
            <v>0</v>
          </cell>
        </row>
        <row r="460">
          <cell r="C460" t="e">
            <v>#N/A</v>
          </cell>
          <cell r="L460">
            <v>0</v>
          </cell>
        </row>
        <row r="461">
          <cell r="C461" t="e">
            <v>#N/A</v>
          </cell>
          <cell r="L461">
            <v>0</v>
          </cell>
        </row>
        <row r="462">
          <cell r="C462" t="e">
            <v>#N/A</v>
          </cell>
          <cell r="L462">
            <v>0</v>
          </cell>
        </row>
        <row r="463">
          <cell r="C463" t="e">
            <v>#N/A</v>
          </cell>
          <cell r="L463">
            <v>0</v>
          </cell>
        </row>
        <row r="464">
          <cell r="C464" t="e">
            <v>#N/A</v>
          </cell>
          <cell r="L464">
            <v>0</v>
          </cell>
        </row>
        <row r="465">
          <cell r="C465" t="e">
            <v>#N/A</v>
          </cell>
          <cell r="L465">
            <v>0</v>
          </cell>
        </row>
        <row r="466">
          <cell r="C466" t="e">
            <v>#N/A</v>
          </cell>
          <cell r="L466">
            <v>0</v>
          </cell>
        </row>
        <row r="467">
          <cell r="C467" t="e">
            <v>#N/A</v>
          </cell>
          <cell r="L467">
            <v>0</v>
          </cell>
        </row>
        <row r="468">
          <cell r="C468" t="e">
            <v>#N/A</v>
          </cell>
          <cell r="L468">
            <v>0</v>
          </cell>
        </row>
        <row r="469">
          <cell r="C469" t="e">
            <v>#N/A</v>
          </cell>
          <cell r="L469">
            <v>0</v>
          </cell>
        </row>
        <row r="470">
          <cell r="C470" t="e">
            <v>#N/A</v>
          </cell>
          <cell r="L470">
            <v>0</v>
          </cell>
        </row>
        <row r="471">
          <cell r="C471" t="e">
            <v>#N/A</v>
          </cell>
          <cell r="L471">
            <v>0</v>
          </cell>
        </row>
        <row r="472">
          <cell r="C472" t="e">
            <v>#N/A</v>
          </cell>
          <cell r="L472">
            <v>0</v>
          </cell>
        </row>
        <row r="473">
          <cell r="C473" t="e">
            <v>#N/A</v>
          </cell>
          <cell r="L473">
            <v>0</v>
          </cell>
        </row>
        <row r="474">
          <cell r="C474" t="e">
            <v>#N/A</v>
          </cell>
          <cell r="L474">
            <v>0</v>
          </cell>
        </row>
        <row r="475">
          <cell r="C475" t="e">
            <v>#N/A</v>
          </cell>
          <cell r="L475">
            <v>0</v>
          </cell>
        </row>
        <row r="476">
          <cell r="C476" t="e">
            <v>#N/A</v>
          </cell>
          <cell r="L476">
            <v>0</v>
          </cell>
        </row>
        <row r="477">
          <cell r="C477" t="e">
            <v>#N/A</v>
          </cell>
          <cell r="L477">
            <v>0</v>
          </cell>
        </row>
        <row r="478">
          <cell r="C478" t="e">
            <v>#N/A</v>
          </cell>
          <cell r="L478">
            <v>0</v>
          </cell>
        </row>
        <row r="479">
          <cell r="C479" t="e">
            <v>#N/A</v>
          </cell>
          <cell r="L479">
            <v>0</v>
          </cell>
        </row>
        <row r="480">
          <cell r="C480" t="e">
            <v>#N/A</v>
          </cell>
          <cell r="L480">
            <v>0</v>
          </cell>
        </row>
        <row r="481">
          <cell r="C481" t="e">
            <v>#N/A</v>
          </cell>
          <cell r="L481">
            <v>0</v>
          </cell>
        </row>
        <row r="482">
          <cell r="C482" t="e">
            <v>#N/A</v>
          </cell>
          <cell r="L482">
            <v>0</v>
          </cell>
        </row>
        <row r="483">
          <cell r="C483" t="e">
            <v>#N/A</v>
          </cell>
          <cell r="L483">
            <v>0</v>
          </cell>
        </row>
        <row r="484">
          <cell r="C484" t="e">
            <v>#N/A</v>
          </cell>
          <cell r="L484">
            <v>0</v>
          </cell>
        </row>
        <row r="485">
          <cell r="C485" t="e">
            <v>#N/A</v>
          </cell>
          <cell r="L485">
            <v>0</v>
          </cell>
        </row>
        <row r="486">
          <cell r="C486" t="e">
            <v>#N/A</v>
          </cell>
          <cell r="L486">
            <v>0</v>
          </cell>
        </row>
        <row r="487">
          <cell r="C487" t="e">
            <v>#N/A</v>
          </cell>
          <cell r="L487">
            <v>0</v>
          </cell>
        </row>
        <row r="488">
          <cell r="C488" t="e">
            <v>#N/A</v>
          </cell>
          <cell r="L488">
            <v>0</v>
          </cell>
        </row>
        <row r="489">
          <cell r="C489" t="e">
            <v>#N/A</v>
          </cell>
          <cell r="L489">
            <v>0</v>
          </cell>
        </row>
        <row r="490">
          <cell r="C490" t="e">
            <v>#N/A</v>
          </cell>
          <cell r="L490">
            <v>0</v>
          </cell>
        </row>
        <row r="491">
          <cell r="C491" t="e">
            <v>#N/A</v>
          </cell>
          <cell r="L491">
            <v>0</v>
          </cell>
        </row>
        <row r="492">
          <cell r="C492" t="e">
            <v>#N/A</v>
          </cell>
          <cell r="L492">
            <v>0</v>
          </cell>
        </row>
        <row r="493">
          <cell r="C493" t="e">
            <v>#N/A</v>
          </cell>
          <cell r="L493">
            <v>0</v>
          </cell>
        </row>
        <row r="494">
          <cell r="C494" t="e">
            <v>#N/A</v>
          </cell>
          <cell r="L494">
            <v>0</v>
          </cell>
        </row>
        <row r="495">
          <cell r="C495" t="e">
            <v>#N/A</v>
          </cell>
          <cell r="L495">
            <v>0</v>
          </cell>
        </row>
        <row r="496">
          <cell r="C496" t="e">
            <v>#N/A</v>
          </cell>
          <cell r="L496">
            <v>0</v>
          </cell>
        </row>
        <row r="497">
          <cell r="C497" t="e">
            <v>#N/A</v>
          </cell>
          <cell r="L497">
            <v>0</v>
          </cell>
        </row>
        <row r="498">
          <cell r="C498" t="e">
            <v>#N/A</v>
          </cell>
          <cell r="L498">
            <v>0</v>
          </cell>
        </row>
        <row r="499">
          <cell r="C499" t="e">
            <v>#N/A</v>
          </cell>
          <cell r="L499">
            <v>0</v>
          </cell>
        </row>
        <row r="500">
          <cell r="C500" t="e">
            <v>#N/A</v>
          </cell>
          <cell r="L500">
            <v>0</v>
          </cell>
        </row>
        <row r="501">
          <cell r="C501" t="e">
            <v>#N/A</v>
          </cell>
          <cell r="L501">
            <v>0</v>
          </cell>
        </row>
        <row r="502">
          <cell r="C502" t="e">
            <v>#N/A</v>
          </cell>
          <cell r="L502">
            <v>0</v>
          </cell>
        </row>
        <row r="503">
          <cell r="C503" t="e">
            <v>#N/A</v>
          </cell>
          <cell r="L503">
            <v>0</v>
          </cell>
        </row>
        <row r="504">
          <cell r="C504" t="e">
            <v>#N/A</v>
          </cell>
          <cell r="L504">
            <v>0</v>
          </cell>
        </row>
        <row r="505">
          <cell r="C505" t="e">
            <v>#N/A</v>
          </cell>
          <cell r="L505">
            <v>0</v>
          </cell>
        </row>
        <row r="506">
          <cell r="C506" t="e">
            <v>#N/A</v>
          </cell>
          <cell r="L506">
            <v>0</v>
          </cell>
        </row>
        <row r="507">
          <cell r="C507" t="e">
            <v>#N/A</v>
          </cell>
          <cell r="L507">
            <v>0</v>
          </cell>
        </row>
        <row r="508">
          <cell r="C508" t="e">
            <v>#N/A</v>
          </cell>
          <cell r="L508">
            <v>0</v>
          </cell>
        </row>
        <row r="509">
          <cell r="C509" t="e">
            <v>#N/A</v>
          </cell>
          <cell r="L509">
            <v>0</v>
          </cell>
        </row>
        <row r="510">
          <cell r="C510" t="e">
            <v>#N/A</v>
          </cell>
          <cell r="L510">
            <v>0</v>
          </cell>
        </row>
        <row r="511">
          <cell r="C511" t="e">
            <v>#N/A</v>
          </cell>
          <cell r="L511">
            <v>0</v>
          </cell>
        </row>
        <row r="512">
          <cell r="C512" t="e">
            <v>#N/A</v>
          </cell>
          <cell r="L512">
            <v>0</v>
          </cell>
        </row>
        <row r="513">
          <cell r="C513" t="e">
            <v>#N/A</v>
          </cell>
          <cell r="L513">
            <v>0</v>
          </cell>
        </row>
        <row r="514">
          <cell r="C514" t="e">
            <v>#N/A</v>
          </cell>
          <cell r="L514">
            <v>0</v>
          </cell>
        </row>
        <row r="515">
          <cell r="C515" t="e">
            <v>#N/A</v>
          </cell>
          <cell r="L515">
            <v>0</v>
          </cell>
        </row>
        <row r="516">
          <cell r="C516" t="e">
            <v>#N/A</v>
          </cell>
          <cell r="L516">
            <v>0</v>
          </cell>
        </row>
        <row r="517">
          <cell r="C517" t="e">
            <v>#N/A</v>
          </cell>
          <cell r="L517">
            <v>0</v>
          </cell>
        </row>
        <row r="518">
          <cell r="C518" t="e">
            <v>#N/A</v>
          </cell>
          <cell r="L518">
            <v>0</v>
          </cell>
        </row>
        <row r="519">
          <cell r="C519" t="e">
            <v>#N/A</v>
          </cell>
          <cell r="L519">
            <v>0</v>
          </cell>
        </row>
        <row r="520">
          <cell r="C520" t="e">
            <v>#N/A</v>
          </cell>
          <cell r="L520">
            <v>0</v>
          </cell>
        </row>
        <row r="521">
          <cell r="C521" t="e">
            <v>#N/A</v>
          </cell>
          <cell r="L521">
            <v>0</v>
          </cell>
        </row>
        <row r="522">
          <cell r="C522" t="e">
            <v>#N/A</v>
          </cell>
          <cell r="L522">
            <v>0</v>
          </cell>
        </row>
        <row r="523">
          <cell r="C523" t="e">
            <v>#N/A</v>
          </cell>
          <cell r="L523">
            <v>0</v>
          </cell>
        </row>
        <row r="524">
          <cell r="C524" t="e">
            <v>#N/A</v>
          </cell>
          <cell r="L524">
            <v>0</v>
          </cell>
        </row>
        <row r="525">
          <cell r="C525" t="e">
            <v>#N/A</v>
          </cell>
          <cell r="L525">
            <v>0</v>
          </cell>
        </row>
        <row r="526">
          <cell r="C526" t="e">
            <v>#N/A</v>
          </cell>
          <cell r="L526">
            <v>0</v>
          </cell>
        </row>
        <row r="527">
          <cell r="C527" t="e">
            <v>#N/A</v>
          </cell>
          <cell r="L527">
            <v>0</v>
          </cell>
        </row>
        <row r="528">
          <cell r="C528" t="e">
            <v>#N/A</v>
          </cell>
          <cell r="L528">
            <v>0</v>
          </cell>
        </row>
        <row r="529">
          <cell r="C529" t="e">
            <v>#N/A</v>
          </cell>
          <cell r="L529">
            <v>0</v>
          </cell>
        </row>
        <row r="530">
          <cell r="C530" t="e">
            <v>#N/A</v>
          </cell>
          <cell r="L530">
            <v>0</v>
          </cell>
        </row>
        <row r="531">
          <cell r="C531" t="e">
            <v>#N/A</v>
          </cell>
          <cell r="L531">
            <v>0</v>
          </cell>
        </row>
        <row r="532">
          <cell r="C532" t="e">
            <v>#N/A</v>
          </cell>
          <cell r="L532">
            <v>0</v>
          </cell>
        </row>
        <row r="533">
          <cell r="C533" t="e">
            <v>#N/A</v>
          </cell>
          <cell r="L533">
            <v>0</v>
          </cell>
        </row>
        <row r="534">
          <cell r="C534" t="e">
            <v>#N/A</v>
          </cell>
          <cell r="L534">
            <v>0</v>
          </cell>
        </row>
        <row r="535">
          <cell r="C535" t="e">
            <v>#N/A</v>
          </cell>
          <cell r="L535">
            <v>0</v>
          </cell>
        </row>
        <row r="536">
          <cell r="C536" t="e">
            <v>#N/A</v>
          </cell>
          <cell r="L536">
            <v>0</v>
          </cell>
        </row>
        <row r="537">
          <cell r="C537" t="e">
            <v>#N/A</v>
          </cell>
          <cell r="L537">
            <v>0</v>
          </cell>
        </row>
        <row r="538">
          <cell r="C538" t="e">
            <v>#N/A</v>
          </cell>
          <cell r="L538">
            <v>0</v>
          </cell>
        </row>
        <row r="539">
          <cell r="C539" t="e">
            <v>#N/A</v>
          </cell>
          <cell r="L539">
            <v>0</v>
          </cell>
        </row>
        <row r="540">
          <cell r="C540" t="e">
            <v>#N/A</v>
          </cell>
          <cell r="L540">
            <v>0</v>
          </cell>
        </row>
        <row r="541">
          <cell r="C541" t="e">
            <v>#N/A</v>
          </cell>
          <cell r="L541">
            <v>0</v>
          </cell>
        </row>
        <row r="542">
          <cell r="C542" t="e">
            <v>#N/A</v>
          </cell>
          <cell r="L542">
            <v>0</v>
          </cell>
        </row>
        <row r="543">
          <cell r="C543" t="e">
            <v>#N/A</v>
          </cell>
          <cell r="L543">
            <v>0</v>
          </cell>
        </row>
        <row r="544">
          <cell r="C544" t="e">
            <v>#N/A</v>
          </cell>
          <cell r="L544">
            <v>0</v>
          </cell>
        </row>
        <row r="545">
          <cell r="C545" t="e">
            <v>#N/A</v>
          </cell>
          <cell r="L545">
            <v>0</v>
          </cell>
        </row>
        <row r="546">
          <cell r="C546" t="e">
            <v>#N/A</v>
          </cell>
          <cell r="L546">
            <v>0</v>
          </cell>
        </row>
        <row r="547">
          <cell r="C547" t="e">
            <v>#N/A</v>
          </cell>
          <cell r="L547">
            <v>0</v>
          </cell>
        </row>
        <row r="548">
          <cell r="C548" t="e">
            <v>#N/A</v>
          </cell>
          <cell r="L548">
            <v>0</v>
          </cell>
        </row>
        <row r="549">
          <cell r="C549" t="e">
            <v>#N/A</v>
          </cell>
          <cell r="L549">
            <v>0</v>
          </cell>
        </row>
        <row r="550">
          <cell r="C550" t="e">
            <v>#N/A</v>
          </cell>
          <cell r="L550">
            <v>0</v>
          </cell>
        </row>
        <row r="551">
          <cell r="C551" t="e">
            <v>#N/A</v>
          </cell>
          <cell r="L551">
            <v>0</v>
          </cell>
        </row>
        <row r="552">
          <cell r="C552" t="e">
            <v>#N/A</v>
          </cell>
          <cell r="L552">
            <v>0</v>
          </cell>
        </row>
        <row r="553">
          <cell r="C553" t="e">
            <v>#N/A</v>
          </cell>
          <cell r="L553">
            <v>0</v>
          </cell>
        </row>
        <row r="554">
          <cell r="C554" t="e">
            <v>#N/A</v>
          </cell>
          <cell r="L554">
            <v>0</v>
          </cell>
        </row>
        <row r="555">
          <cell r="C555" t="e">
            <v>#N/A</v>
          </cell>
          <cell r="L555">
            <v>0</v>
          </cell>
        </row>
        <row r="556">
          <cell r="C556" t="e">
            <v>#N/A</v>
          </cell>
          <cell r="L556">
            <v>0</v>
          </cell>
        </row>
        <row r="557">
          <cell r="C557" t="e">
            <v>#N/A</v>
          </cell>
          <cell r="L557">
            <v>0</v>
          </cell>
        </row>
        <row r="558">
          <cell r="C558" t="e">
            <v>#N/A</v>
          </cell>
          <cell r="L558">
            <v>0</v>
          </cell>
        </row>
        <row r="559">
          <cell r="C559" t="e">
            <v>#N/A</v>
          </cell>
          <cell r="L559">
            <v>0</v>
          </cell>
        </row>
        <row r="560">
          <cell r="C560" t="e">
            <v>#N/A</v>
          </cell>
          <cell r="L560">
            <v>0</v>
          </cell>
        </row>
        <row r="561">
          <cell r="C561" t="e">
            <v>#N/A</v>
          </cell>
          <cell r="L561">
            <v>0</v>
          </cell>
        </row>
        <row r="562">
          <cell r="C562" t="e">
            <v>#N/A</v>
          </cell>
          <cell r="L562">
            <v>0</v>
          </cell>
        </row>
        <row r="563">
          <cell r="C563" t="e">
            <v>#N/A</v>
          </cell>
          <cell r="L563">
            <v>0</v>
          </cell>
        </row>
        <row r="564">
          <cell r="C564" t="e">
            <v>#N/A</v>
          </cell>
          <cell r="L564">
            <v>0</v>
          </cell>
        </row>
        <row r="565">
          <cell r="C565" t="e">
            <v>#N/A</v>
          </cell>
          <cell r="L565">
            <v>0</v>
          </cell>
        </row>
        <row r="566">
          <cell r="C566" t="e">
            <v>#N/A</v>
          </cell>
          <cell r="L566">
            <v>0</v>
          </cell>
        </row>
        <row r="567">
          <cell r="C567" t="e">
            <v>#N/A</v>
          </cell>
          <cell r="L567">
            <v>0</v>
          </cell>
        </row>
        <row r="568">
          <cell r="C568" t="e">
            <v>#N/A</v>
          </cell>
          <cell r="L568">
            <v>0</v>
          </cell>
        </row>
        <row r="569">
          <cell r="C569" t="e">
            <v>#N/A</v>
          </cell>
          <cell r="L569">
            <v>0</v>
          </cell>
        </row>
        <row r="570">
          <cell r="C570" t="e">
            <v>#N/A</v>
          </cell>
          <cell r="L570">
            <v>0</v>
          </cell>
        </row>
        <row r="571">
          <cell r="C571" t="e">
            <v>#N/A</v>
          </cell>
          <cell r="L571">
            <v>0</v>
          </cell>
        </row>
        <row r="572">
          <cell r="C572" t="e">
            <v>#N/A</v>
          </cell>
          <cell r="L572">
            <v>0</v>
          </cell>
        </row>
        <row r="573">
          <cell r="C573" t="e">
            <v>#N/A</v>
          </cell>
          <cell r="L573">
            <v>0</v>
          </cell>
        </row>
        <row r="574">
          <cell r="C574" t="e">
            <v>#N/A</v>
          </cell>
          <cell r="L574">
            <v>0</v>
          </cell>
        </row>
        <row r="575">
          <cell r="C575" t="e">
            <v>#N/A</v>
          </cell>
          <cell r="L575">
            <v>0</v>
          </cell>
        </row>
        <row r="576">
          <cell r="C576" t="e">
            <v>#N/A</v>
          </cell>
          <cell r="L576">
            <v>0</v>
          </cell>
        </row>
        <row r="577">
          <cell r="C577" t="e">
            <v>#N/A</v>
          </cell>
          <cell r="L577">
            <v>0</v>
          </cell>
        </row>
        <row r="578">
          <cell r="C578" t="e">
            <v>#N/A</v>
          </cell>
          <cell r="L578">
            <v>0</v>
          </cell>
        </row>
        <row r="579">
          <cell r="C579" t="e">
            <v>#N/A</v>
          </cell>
          <cell r="L579">
            <v>0</v>
          </cell>
        </row>
        <row r="580">
          <cell r="C580" t="e">
            <v>#N/A</v>
          </cell>
          <cell r="L580">
            <v>0</v>
          </cell>
        </row>
        <row r="581">
          <cell r="C581" t="e">
            <v>#N/A</v>
          </cell>
          <cell r="L581">
            <v>0</v>
          </cell>
        </row>
        <row r="582">
          <cell r="C582" t="e">
            <v>#N/A</v>
          </cell>
          <cell r="L582">
            <v>0</v>
          </cell>
        </row>
        <row r="583">
          <cell r="C583" t="e">
            <v>#N/A</v>
          </cell>
          <cell r="L583">
            <v>0</v>
          </cell>
        </row>
        <row r="584">
          <cell r="C584" t="e">
            <v>#N/A</v>
          </cell>
          <cell r="L584">
            <v>0</v>
          </cell>
        </row>
        <row r="585">
          <cell r="C585" t="e">
            <v>#N/A</v>
          </cell>
          <cell r="L585">
            <v>0</v>
          </cell>
        </row>
        <row r="586">
          <cell r="C586" t="e">
            <v>#N/A</v>
          </cell>
          <cell r="L586">
            <v>0</v>
          </cell>
        </row>
        <row r="587">
          <cell r="C587" t="e">
            <v>#N/A</v>
          </cell>
          <cell r="L587">
            <v>0</v>
          </cell>
        </row>
        <row r="588">
          <cell r="C588" t="e">
            <v>#N/A</v>
          </cell>
          <cell r="L588">
            <v>0</v>
          </cell>
        </row>
        <row r="589">
          <cell r="C589" t="e">
            <v>#N/A</v>
          </cell>
          <cell r="L589">
            <v>0</v>
          </cell>
        </row>
        <row r="590">
          <cell r="C590" t="e">
            <v>#N/A</v>
          </cell>
          <cell r="L590">
            <v>0</v>
          </cell>
        </row>
        <row r="591">
          <cell r="C591" t="e">
            <v>#N/A</v>
          </cell>
          <cell r="L591">
            <v>0</v>
          </cell>
        </row>
        <row r="592">
          <cell r="C592" t="e">
            <v>#N/A</v>
          </cell>
          <cell r="L592">
            <v>0</v>
          </cell>
        </row>
        <row r="593">
          <cell r="C593" t="e">
            <v>#N/A</v>
          </cell>
          <cell r="L593">
            <v>0</v>
          </cell>
        </row>
        <row r="594">
          <cell r="C594" t="e">
            <v>#N/A</v>
          </cell>
          <cell r="L594">
            <v>0</v>
          </cell>
        </row>
        <row r="595">
          <cell r="C595" t="e">
            <v>#N/A</v>
          </cell>
          <cell r="L595">
            <v>0</v>
          </cell>
        </row>
        <row r="596">
          <cell r="C596" t="e">
            <v>#N/A</v>
          </cell>
          <cell r="L596">
            <v>0</v>
          </cell>
        </row>
        <row r="597">
          <cell r="C597" t="e">
            <v>#N/A</v>
          </cell>
          <cell r="L597">
            <v>0</v>
          </cell>
        </row>
        <row r="598">
          <cell r="C598" t="e">
            <v>#N/A</v>
          </cell>
          <cell r="L598">
            <v>0</v>
          </cell>
        </row>
        <row r="599">
          <cell r="C599" t="e">
            <v>#N/A</v>
          </cell>
          <cell r="L599">
            <v>0</v>
          </cell>
        </row>
        <row r="600">
          <cell r="C600" t="e">
            <v>#N/A</v>
          </cell>
          <cell r="L600">
            <v>0</v>
          </cell>
        </row>
        <row r="601">
          <cell r="C601" t="e">
            <v>#N/A</v>
          </cell>
          <cell r="L601">
            <v>0</v>
          </cell>
        </row>
        <row r="602">
          <cell r="C602" t="e">
            <v>#N/A</v>
          </cell>
          <cell r="L602">
            <v>0</v>
          </cell>
        </row>
        <row r="603">
          <cell r="C603" t="e">
            <v>#N/A</v>
          </cell>
          <cell r="L603">
            <v>0</v>
          </cell>
        </row>
        <row r="604">
          <cell r="C604" t="e">
            <v>#N/A</v>
          </cell>
          <cell r="L604">
            <v>0</v>
          </cell>
        </row>
        <row r="605">
          <cell r="C605" t="e">
            <v>#N/A</v>
          </cell>
          <cell r="L605">
            <v>0</v>
          </cell>
        </row>
        <row r="606">
          <cell r="C606" t="e">
            <v>#N/A</v>
          </cell>
          <cell r="L606">
            <v>0</v>
          </cell>
        </row>
        <row r="607">
          <cell r="C607" t="e">
            <v>#N/A</v>
          </cell>
          <cell r="L607">
            <v>0</v>
          </cell>
        </row>
        <row r="608">
          <cell r="C608" t="e">
            <v>#N/A</v>
          </cell>
          <cell r="L608">
            <v>0</v>
          </cell>
        </row>
        <row r="609">
          <cell r="C609" t="e">
            <v>#N/A</v>
          </cell>
          <cell r="L609">
            <v>0</v>
          </cell>
        </row>
        <row r="610">
          <cell r="C610" t="e">
            <v>#N/A</v>
          </cell>
          <cell r="L610">
            <v>0</v>
          </cell>
        </row>
        <row r="611">
          <cell r="C611" t="e">
            <v>#N/A</v>
          </cell>
          <cell r="L611">
            <v>0</v>
          </cell>
        </row>
        <row r="612">
          <cell r="C612" t="e">
            <v>#N/A</v>
          </cell>
          <cell r="L612">
            <v>0</v>
          </cell>
        </row>
        <row r="613">
          <cell r="C613" t="e">
            <v>#N/A</v>
          </cell>
          <cell r="L613">
            <v>0</v>
          </cell>
        </row>
        <row r="614">
          <cell r="C614" t="e">
            <v>#N/A</v>
          </cell>
          <cell r="L614">
            <v>0</v>
          </cell>
        </row>
        <row r="615">
          <cell r="C615" t="e">
            <v>#N/A</v>
          </cell>
          <cell r="L615">
            <v>0</v>
          </cell>
        </row>
        <row r="616">
          <cell r="C616" t="e">
            <v>#N/A</v>
          </cell>
          <cell r="L616">
            <v>0</v>
          </cell>
        </row>
        <row r="617">
          <cell r="C617" t="e">
            <v>#N/A</v>
          </cell>
          <cell r="L617">
            <v>0</v>
          </cell>
        </row>
        <row r="618">
          <cell r="C618" t="e">
            <v>#N/A</v>
          </cell>
          <cell r="L618">
            <v>0</v>
          </cell>
        </row>
        <row r="619">
          <cell r="C619" t="e">
            <v>#N/A</v>
          </cell>
          <cell r="L619">
            <v>0</v>
          </cell>
        </row>
        <row r="620">
          <cell r="C620" t="e">
            <v>#N/A</v>
          </cell>
          <cell r="L620">
            <v>0</v>
          </cell>
        </row>
        <row r="621">
          <cell r="C621" t="e">
            <v>#N/A</v>
          </cell>
          <cell r="L621">
            <v>0</v>
          </cell>
        </row>
        <row r="622">
          <cell r="C622" t="e">
            <v>#N/A</v>
          </cell>
          <cell r="L622">
            <v>0</v>
          </cell>
        </row>
        <row r="623">
          <cell r="C623" t="e">
            <v>#N/A</v>
          </cell>
          <cell r="L623">
            <v>0</v>
          </cell>
        </row>
        <row r="624">
          <cell r="C624" t="e">
            <v>#N/A</v>
          </cell>
          <cell r="L624">
            <v>0</v>
          </cell>
        </row>
        <row r="625">
          <cell r="C625" t="e">
            <v>#N/A</v>
          </cell>
          <cell r="L625">
            <v>0</v>
          </cell>
        </row>
        <row r="626">
          <cell r="C626" t="e">
            <v>#N/A</v>
          </cell>
          <cell r="L626">
            <v>0</v>
          </cell>
        </row>
        <row r="627">
          <cell r="C627" t="e">
            <v>#N/A</v>
          </cell>
          <cell r="L627">
            <v>0</v>
          </cell>
        </row>
        <row r="628">
          <cell r="C628" t="e">
            <v>#N/A</v>
          </cell>
          <cell r="L628">
            <v>0</v>
          </cell>
        </row>
        <row r="629">
          <cell r="C629" t="e">
            <v>#N/A</v>
          </cell>
          <cell r="L629">
            <v>0</v>
          </cell>
        </row>
        <row r="630">
          <cell r="C630" t="e">
            <v>#N/A</v>
          </cell>
          <cell r="L630">
            <v>0</v>
          </cell>
        </row>
        <row r="631">
          <cell r="C631" t="e">
            <v>#N/A</v>
          </cell>
          <cell r="L631">
            <v>0</v>
          </cell>
        </row>
        <row r="632">
          <cell r="C632" t="e">
            <v>#N/A</v>
          </cell>
          <cell r="L632">
            <v>0</v>
          </cell>
        </row>
        <row r="633">
          <cell r="C633" t="e">
            <v>#N/A</v>
          </cell>
          <cell r="L633">
            <v>0</v>
          </cell>
        </row>
        <row r="634">
          <cell r="C634" t="e">
            <v>#N/A</v>
          </cell>
          <cell r="L634">
            <v>0</v>
          </cell>
        </row>
        <row r="635">
          <cell r="C635" t="e">
            <v>#N/A</v>
          </cell>
          <cell r="L635">
            <v>0</v>
          </cell>
        </row>
        <row r="636">
          <cell r="C636" t="e">
            <v>#N/A</v>
          </cell>
          <cell r="L636">
            <v>0</v>
          </cell>
        </row>
        <row r="637">
          <cell r="C637" t="e">
            <v>#N/A</v>
          </cell>
          <cell r="L637">
            <v>0</v>
          </cell>
        </row>
        <row r="638">
          <cell r="C638" t="e">
            <v>#N/A</v>
          </cell>
          <cell r="L638">
            <v>0</v>
          </cell>
        </row>
        <row r="639">
          <cell r="C639" t="e">
            <v>#N/A</v>
          </cell>
          <cell r="L639">
            <v>0</v>
          </cell>
        </row>
        <row r="640">
          <cell r="C640" t="e">
            <v>#N/A</v>
          </cell>
          <cell r="L640">
            <v>0</v>
          </cell>
        </row>
        <row r="641">
          <cell r="C641" t="e">
            <v>#N/A</v>
          </cell>
          <cell r="L641">
            <v>0</v>
          </cell>
        </row>
        <row r="642">
          <cell r="C642" t="e">
            <v>#N/A</v>
          </cell>
          <cell r="L642">
            <v>0</v>
          </cell>
        </row>
        <row r="643">
          <cell r="C643" t="e">
            <v>#N/A</v>
          </cell>
          <cell r="L643">
            <v>0</v>
          </cell>
        </row>
        <row r="644">
          <cell r="C644" t="e">
            <v>#N/A</v>
          </cell>
          <cell r="L644">
            <v>0</v>
          </cell>
        </row>
        <row r="645">
          <cell r="C645" t="e">
            <v>#N/A</v>
          </cell>
          <cell r="L645">
            <v>0</v>
          </cell>
        </row>
        <row r="646">
          <cell r="C646" t="e">
            <v>#N/A</v>
          </cell>
          <cell r="L646">
            <v>0</v>
          </cell>
        </row>
        <row r="647">
          <cell r="C647" t="e">
            <v>#N/A</v>
          </cell>
          <cell r="L647">
            <v>0</v>
          </cell>
        </row>
        <row r="648">
          <cell r="C648" t="e">
            <v>#N/A</v>
          </cell>
          <cell r="L648">
            <v>0</v>
          </cell>
        </row>
        <row r="649">
          <cell r="C649" t="e">
            <v>#N/A</v>
          </cell>
          <cell r="L649">
            <v>0</v>
          </cell>
        </row>
        <row r="650">
          <cell r="C650" t="e">
            <v>#N/A</v>
          </cell>
          <cell r="L650">
            <v>0</v>
          </cell>
        </row>
        <row r="651">
          <cell r="C651" t="e">
            <v>#N/A</v>
          </cell>
          <cell r="L651">
            <v>0</v>
          </cell>
        </row>
        <row r="652">
          <cell r="C652" t="e">
            <v>#N/A</v>
          </cell>
          <cell r="L652">
            <v>0</v>
          </cell>
        </row>
        <row r="653">
          <cell r="C653" t="e">
            <v>#N/A</v>
          </cell>
          <cell r="L653">
            <v>0</v>
          </cell>
        </row>
        <row r="654">
          <cell r="C654" t="e">
            <v>#N/A</v>
          </cell>
          <cell r="L654">
            <v>0</v>
          </cell>
        </row>
        <row r="655">
          <cell r="C655" t="e">
            <v>#N/A</v>
          </cell>
          <cell r="L655">
            <v>0</v>
          </cell>
        </row>
        <row r="656">
          <cell r="C656" t="e">
            <v>#N/A</v>
          </cell>
          <cell r="L656">
            <v>0</v>
          </cell>
        </row>
        <row r="657">
          <cell r="C657" t="e">
            <v>#N/A</v>
          </cell>
          <cell r="L657">
            <v>0</v>
          </cell>
        </row>
        <row r="658">
          <cell r="C658" t="e">
            <v>#N/A</v>
          </cell>
          <cell r="L658">
            <v>0</v>
          </cell>
        </row>
        <row r="659">
          <cell r="C659" t="e">
            <v>#N/A</v>
          </cell>
          <cell r="L659">
            <v>0</v>
          </cell>
        </row>
        <row r="660">
          <cell r="C660" t="e">
            <v>#N/A</v>
          </cell>
          <cell r="L660">
            <v>0</v>
          </cell>
        </row>
        <row r="661">
          <cell r="C661" t="e">
            <v>#N/A</v>
          </cell>
          <cell r="L661">
            <v>0</v>
          </cell>
        </row>
        <row r="662">
          <cell r="C662" t="e">
            <v>#N/A</v>
          </cell>
          <cell r="L662">
            <v>0</v>
          </cell>
        </row>
        <row r="663">
          <cell r="C663" t="e">
            <v>#N/A</v>
          </cell>
          <cell r="L663">
            <v>0</v>
          </cell>
        </row>
        <row r="664">
          <cell r="C664" t="e">
            <v>#N/A</v>
          </cell>
          <cell r="L664">
            <v>0</v>
          </cell>
        </row>
        <row r="665">
          <cell r="C665" t="e">
            <v>#N/A</v>
          </cell>
          <cell r="L665">
            <v>0</v>
          </cell>
        </row>
        <row r="666">
          <cell r="C666" t="e">
            <v>#N/A</v>
          </cell>
          <cell r="L666">
            <v>0</v>
          </cell>
        </row>
        <row r="667">
          <cell r="C667" t="e">
            <v>#N/A</v>
          </cell>
          <cell r="L667">
            <v>0</v>
          </cell>
        </row>
        <row r="668">
          <cell r="C668" t="e">
            <v>#N/A</v>
          </cell>
          <cell r="L668">
            <v>0</v>
          </cell>
        </row>
        <row r="669">
          <cell r="C669" t="e">
            <v>#N/A</v>
          </cell>
          <cell r="L669">
            <v>0</v>
          </cell>
        </row>
        <row r="670">
          <cell r="C670" t="e">
            <v>#N/A</v>
          </cell>
          <cell r="L670">
            <v>0</v>
          </cell>
        </row>
        <row r="671">
          <cell r="C671" t="e">
            <v>#N/A</v>
          </cell>
          <cell r="L671">
            <v>0</v>
          </cell>
        </row>
        <row r="672">
          <cell r="C672" t="e">
            <v>#N/A</v>
          </cell>
          <cell r="L672">
            <v>0</v>
          </cell>
        </row>
        <row r="673">
          <cell r="C673" t="e">
            <v>#N/A</v>
          </cell>
          <cell r="L673">
            <v>0</v>
          </cell>
        </row>
        <row r="674">
          <cell r="C674" t="e">
            <v>#N/A</v>
          </cell>
          <cell r="L674">
            <v>0</v>
          </cell>
        </row>
        <row r="675">
          <cell r="C675" t="e">
            <v>#N/A</v>
          </cell>
          <cell r="L675">
            <v>0</v>
          </cell>
        </row>
        <row r="676">
          <cell r="C676" t="e">
            <v>#N/A</v>
          </cell>
          <cell r="L676">
            <v>0</v>
          </cell>
        </row>
        <row r="677">
          <cell r="C677" t="e">
            <v>#N/A</v>
          </cell>
          <cell r="L677">
            <v>0</v>
          </cell>
        </row>
        <row r="678">
          <cell r="C678" t="e">
            <v>#N/A</v>
          </cell>
          <cell r="L678">
            <v>0</v>
          </cell>
        </row>
        <row r="679">
          <cell r="C679" t="e">
            <v>#N/A</v>
          </cell>
          <cell r="L679">
            <v>0</v>
          </cell>
        </row>
        <row r="680">
          <cell r="C680" t="e">
            <v>#N/A</v>
          </cell>
          <cell r="L680">
            <v>0</v>
          </cell>
        </row>
        <row r="681">
          <cell r="C681" t="e">
            <v>#N/A</v>
          </cell>
          <cell r="L681">
            <v>0</v>
          </cell>
        </row>
        <row r="682">
          <cell r="C682" t="e">
            <v>#N/A</v>
          </cell>
          <cell r="L682">
            <v>0</v>
          </cell>
        </row>
        <row r="683">
          <cell r="C683" t="e">
            <v>#N/A</v>
          </cell>
          <cell r="L683">
            <v>0</v>
          </cell>
        </row>
        <row r="684">
          <cell r="C684" t="e">
            <v>#N/A</v>
          </cell>
          <cell r="L684">
            <v>0</v>
          </cell>
        </row>
        <row r="685">
          <cell r="C685" t="e">
            <v>#N/A</v>
          </cell>
          <cell r="L685">
            <v>0</v>
          </cell>
        </row>
        <row r="686">
          <cell r="C686" t="e">
            <v>#N/A</v>
          </cell>
          <cell r="L686">
            <v>0</v>
          </cell>
        </row>
        <row r="687">
          <cell r="C687" t="e">
            <v>#N/A</v>
          </cell>
          <cell r="L687">
            <v>0</v>
          </cell>
        </row>
        <row r="688">
          <cell r="C688" t="e">
            <v>#N/A</v>
          </cell>
          <cell r="L688">
            <v>0</v>
          </cell>
        </row>
        <row r="689">
          <cell r="C689" t="e">
            <v>#N/A</v>
          </cell>
          <cell r="L689">
            <v>0</v>
          </cell>
        </row>
        <row r="690">
          <cell r="C690" t="e">
            <v>#N/A</v>
          </cell>
          <cell r="L690">
            <v>0</v>
          </cell>
        </row>
        <row r="691">
          <cell r="C691" t="e">
            <v>#N/A</v>
          </cell>
          <cell r="L691">
            <v>0</v>
          </cell>
        </row>
        <row r="692">
          <cell r="C692" t="e">
            <v>#N/A</v>
          </cell>
          <cell r="L692">
            <v>0</v>
          </cell>
        </row>
        <row r="693">
          <cell r="C693" t="e">
            <v>#N/A</v>
          </cell>
          <cell r="L693">
            <v>0</v>
          </cell>
        </row>
        <row r="694">
          <cell r="C694" t="e">
            <v>#N/A</v>
          </cell>
          <cell r="L694">
            <v>0</v>
          </cell>
        </row>
        <row r="695">
          <cell r="C695" t="e">
            <v>#N/A</v>
          </cell>
          <cell r="L695">
            <v>0</v>
          </cell>
        </row>
        <row r="696">
          <cell r="C696" t="e">
            <v>#N/A</v>
          </cell>
          <cell r="L696">
            <v>0</v>
          </cell>
        </row>
        <row r="697">
          <cell r="C697" t="e">
            <v>#N/A</v>
          </cell>
          <cell r="L697">
            <v>0</v>
          </cell>
        </row>
        <row r="698">
          <cell r="C698" t="e">
            <v>#N/A</v>
          </cell>
          <cell r="L698">
            <v>0</v>
          </cell>
        </row>
        <row r="699">
          <cell r="C699" t="e">
            <v>#N/A</v>
          </cell>
          <cell r="L699">
            <v>0</v>
          </cell>
        </row>
        <row r="700">
          <cell r="C700" t="e">
            <v>#N/A</v>
          </cell>
          <cell r="L700">
            <v>0</v>
          </cell>
        </row>
        <row r="701">
          <cell r="C701" t="e">
            <v>#N/A</v>
          </cell>
          <cell r="L701">
            <v>0</v>
          </cell>
        </row>
        <row r="702">
          <cell r="C702" t="e">
            <v>#N/A</v>
          </cell>
          <cell r="L702">
            <v>0</v>
          </cell>
        </row>
        <row r="703">
          <cell r="C703" t="e">
            <v>#N/A</v>
          </cell>
          <cell r="L703">
            <v>0</v>
          </cell>
        </row>
        <row r="704">
          <cell r="C704" t="e">
            <v>#N/A</v>
          </cell>
          <cell r="L704">
            <v>0</v>
          </cell>
        </row>
        <row r="705">
          <cell r="C705" t="e">
            <v>#N/A</v>
          </cell>
          <cell r="L705">
            <v>0</v>
          </cell>
        </row>
        <row r="706">
          <cell r="C706" t="e">
            <v>#N/A</v>
          </cell>
          <cell r="L706">
            <v>0</v>
          </cell>
        </row>
        <row r="707">
          <cell r="C707" t="e">
            <v>#N/A</v>
          </cell>
          <cell r="L707">
            <v>0</v>
          </cell>
        </row>
        <row r="708">
          <cell r="C708" t="e">
            <v>#N/A</v>
          </cell>
          <cell r="L708">
            <v>0</v>
          </cell>
        </row>
        <row r="709">
          <cell r="C709" t="e">
            <v>#N/A</v>
          </cell>
          <cell r="L709">
            <v>0</v>
          </cell>
        </row>
        <row r="710">
          <cell r="C710" t="e">
            <v>#N/A</v>
          </cell>
          <cell r="L710">
            <v>0</v>
          </cell>
        </row>
        <row r="711">
          <cell r="C711" t="e">
            <v>#N/A</v>
          </cell>
          <cell r="L711">
            <v>0</v>
          </cell>
        </row>
        <row r="712">
          <cell r="C712" t="e">
            <v>#N/A</v>
          </cell>
          <cell r="L712">
            <v>0</v>
          </cell>
        </row>
        <row r="713">
          <cell r="C713" t="e">
            <v>#N/A</v>
          </cell>
          <cell r="L713">
            <v>0</v>
          </cell>
        </row>
        <row r="714">
          <cell r="C714" t="e">
            <v>#N/A</v>
          </cell>
          <cell r="L714">
            <v>0</v>
          </cell>
        </row>
        <row r="715">
          <cell r="C715" t="e">
            <v>#N/A</v>
          </cell>
          <cell r="L715">
            <v>0</v>
          </cell>
        </row>
        <row r="716">
          <cell r="C716" t="e">
            <v>#N/A</v>
          </cell>
          <cell r="L716">
            <v>0</v>
          </cell>
        </row>
        <row r="717">
          <cell r="C717" t="e">
            <v>#N/A</v>
          </cell>
          <cell r="L717">
            <v>0</v>
          </cell>
        </row>
        <row r="718">
          <cell r="C718" t="e">
            <v>#N/A</v>
          </cell>
          <cell r="L718">
            <v>0</v>
          </cell>
        </row>
        <row r="719">
          <cell r="C719" t="e">
            <v>#N/A</v>
          </cell>
          <cell r="L719">
            <v>0</v>
          </cell>
        </row>
        <row r="720">
          <cell r="C720" t="e">
            <v>#N/A</v>
          </cell>
          <cell r="L720">
            <v>0</v>
          </cell>
        </row>
        <row r="721">
          <cell r="C721" t="e">
            <v>#N/A</v>
          </cell>
          <cell r="L721">
            <v>0</v>
          </cell>
        </row>
        <row r="722">
          <cell r="C722" t="e">
            <v>#N/A</v>
          </cell>
          <cell r="L722">
            <v>0</v>
          </cell>
        </row>
        <row r="723">
          <cell r="C723" t="e">
            <v>#N/A</v>
          </cell>
          <cell r="L723">
            <v>0</v>
          </cell>
        </row>
        <row r="724">
          <cell r="C724" t="e">
            <v>#N/A</v>
          </cell>
          <cell r="L724">
            <v>0</v>
          </cell>
        </row>
        <row r="725">
          <cell r="C725" t="e">
            <v>#N/A</v>
          </cell>
          <cell r="L725">
            <v>0</v>
          </cell>
        </row>
        <row r="726">
          <cell r="C726" t="e">
            <v>#N/A</v>
          </cell>
          <cell r="L726">
            <v>0</v>
          </cell>
        </row>
        <row r="727">
          <cell r="C727" t="e">
            <v>#N/A</v>
          </cell>
          <cell r="L727">
            <v>0</v>
          </cell>
        </row>
        <row r="728">
          <cell r="C728" t="e">
            <v>#N/A</v>
          </cell>
          <cell r="L728">
            <v>0</v>
          </cell>
        </row>
        <row r="729">
          <cell r="C729" t="e">
            <v>#N/A</v>
          </cell>
          <cell r="L729">
            <v>0</v>
          </cell>
        </row>
        <row r="730">
          <cell r="C730" t="e">
            <v>#N/A</v>
          </cell>
          <cell r="L730">
            <v>0</v>
          </cell>
        </row>
        <row r="731">
          <cell r="C731" t="e">
            <v>#N/A</v>
          </cell>
          <cell r="L731">
            <v>0</v>
          </cell>
        </row>
        <row r="732">
          <cell r="C732" t="e">
            <v>#N/A</v>
          </cell>
          <cell r="L732">
            <v>0</v>
          </cell>
        </row>
        <row r="733">
          <cell r="C733" t="e">
            <v>#N/A</v>
          </cell>
          <cell r="L733">
            <v>0</v>
          </cell>
        </row>
        <row r="734">
          <cell r="C734" t="e">
            <v>#N/A</v>
          </cell>
          <cell r="L734">
            <v>0</v>
          </cell>
        </row>
        <row r="735">
          <cell r="C735" t="e">
            <v>#N/A</v>
          </cell>
          <cell r="L735">
            <v>0</v>
          </cell>
        </row>
        <row r="736">
          <cell r="C736" t="e">
            <v>#N/A</v>
          </cell>
          <cell r="L736">
            <v>0</v>
          </cell>
        </row>
        <row r="737">
          <cell r="C737" t="e">
            <v>#N/A</v>
          </cell>
          <cell r="L737">
            <v>0</v>
          </cell>
        </row>
        <row r="738">
          <cell r="C738" t="e">
            <v>#N/A</v>
          </cell>
          <cell r="L738">
            <v>0</v>
          </cell>
        </row>
        <row r="739">
          <cell r="C739" t="e">
            <v>#N/A</v>
          </cell>
          <cell r="L739">
            <v>0</v>
          </cell>
        </row>
        <row r="740">
          <cell r="C740" t="e">
            <v>#N/A</v>
          </cell>
          <cell r="L740">
            <v>0</v>
          </cell>
        </row>
        <row r="741">
          <cell r="C741" t="e">
            <v>#N/A</v>
          </cell>
          <cell r="L741">
            <v>0</v>
          </cell>
        </row>
        <row r="742">
          <cell r="C742" t="e">
            <v>#N/A</v>
          </cell>
          <cell r="L742">
            <v>0</v>
          </cell>
        </row>
        <row r="743">
          <cell r="C743" t="e">
            <v>#N/A</v>
          </cell>
          <cell r="L743">
            <v>0</v>
          </cell>
        </row>
        <row r="744">
          <cell r="C744" t="e">
            <v>#N/A</v>
          </cell>
          <cell r="L744">
            <v>0</v>
          </cell>
        </row>
        <row r="745">
          <cell r="C745" t="e">
            <v>#N/A</v>
          </cell>
          <cell r="L745">
            <v>0</v>
          </cell>
        </row>
        <row r="746">
          <cell r="C746" t="e">
            <v>#N/A</v>
          </cell>
          <cell r="L746">
            <v>0</v>
          </cell>
        </row>
        <row r="747">
          <cell r="C747" t="e">
            <v>#N/A</v>
          </cell>
          <cell r="L747">
            <v>0</v>
          </cell>
        </row>
        <row r="748">
          <cell r="C748" t="e">
            <v>#N/A</v>
          </cell>
          <cell r="L748">
            <v>0</v>
          </cell>
        </row>
        <row r="749">
          <cell r="C749" t="e">
            <v>#N/A</v>
          </cell>
          <cell r="L749">
            <v>0</v>
          </cell>
        </row>
        <row r="750">
          <cell r="C750" t="e">
            <v>#N/A</v>
          </cell>
          <cell r="L750">
            <v>0</v>
          </cell>
        </row>
        <row r="751">
          <cell r="C751" t="e">
            <v>#N/A</v>
          </cell>
          <cell r="L751">
            <v>0</v>
          </cell>
        </row>
        <row r="752">
          <cell r="C752" t="e">
            <v>#N/A</v>
          </cell>
          <cell r="L752">
            <v>0</v>
          </cell>
        </row>
        <row r="753">
          <cell r="C753" t="e">
            <v>#N/A</v>
          </cell>
          <cell r="L753">
            <v>0</v>
          </cell>
        </row>
        <row r="754">
          <cell r="C754" t="e">
            <v>#N/A</v>
          </cell>
          <cell r="L754">
            <v>0</v>
          </cell>
        </row>
        <row r="755">
          <cell r="C755" t="e">
            <v>#N/A</v>
          </cell>
          <cell r="L755">
            <v>0</v>
          </cell>
        </row>
        <row r="756">
          <cell r="C756" t="e">
            <v>#N/A</v>
          </cell>
          <cell r="L756">
            <v>0</v>
          </cell>
        </row>
        <row r="757">
          <cell r="C757" t="e">
            <v>#N/A</v>
          </cell>
          <cell r="L757">
            <v>0</v>
          </cell>
        </row>
        <row r="758">
          <cell r="C758" t="e">
            <v>#N/A</v>
          </cell>
          <cell r="L758">
            <v>0</v>
          </cell>
        </row>
        <row r="759">
          <cell r="C759" t="e">
            <v>#N/A</v>
          </cell>
          <cell r="L759">
            <v>0</v>
          </cell>
        </row>
        <row r="760">
          <cell r="C760" t="e">
            <v>#N/A</v>
          </cell>
          <cell r="L760">
            <v>0</v>
          </cell>
        </row>
        <row r="761">
          <cell r="C761" t="e">
            <v>#N/A</v>
          </cell>
          <cell r="L761">
            <v>0</v>
          </cell>
        </row>
        <row r="762">
          <cell r="C762" t="e">
            <v>#N/A</v>
          </cell>
          <cell r="L762">
            <v>0</v>
          </cell>
        </row>
        <row r="763">
          <cell r="C763" t="e">
            <v>#N/A</v>
          </cell>
          <cell r="L763">
            <v>0</v>
          </cell>
        </row>
        <row r="764">
          <cell r="C764" t="e">
            <v>#N/A</v>
          </cell>
          <cell r="L764">
            <v>0</v>
          </cell>
        </row>
        <row r="765">
          <cell r="C765" t="e">
            <v>#N/A</v>
          </cell>
          <cell r="L765">
            <v>0</v>
          </cell>
        </row>
        <row r="766">
          <cell r="C766" t="e">
            <v>#N/A</v>
          </cell>
          <cell r="L766">
            <v>0</v>
          </cell>
        </row>
        <row r="767">
          <cell r="C767" t="e">
            <v>#N/A</v>
          </cell>
          <cell r="L767">
            <v>0</v>
          </cell>
        </row>
        <row r="768">
          <cell r="C768" t="e">
            <v>#N/A</v>
          </cell>
          <cell r="L768">
            <v>0</v>
          </cell>
        </row>
        <row r="769">
          <cell r="C769" t="e">
            <v>#N/A</v>
          </cell>
          <cell r="L769">
            <v>0</v>
          </cell>
        </row>
        <row r="770">
          <cell r="C770" t="e">
            <v>#N/A</v>
          </cell>
          <cell r="L770">
            <v>0</v>
          </cell>
        </row>
        <row r="771">
          <cell r="C771" t="e">
            <v>#N/A</v>
          </cell>
          <cell r="L771">
            <v>0</v>
          </cell>
        </row>
        <row r="772">
          <cell r="C772" t="e">
            <v>#N/A</v>
          </cell>
          <cell r="L772">
            <v>0</v>
          </cell>
        </row>
        <row r="773">
          <cell r="C773" t="e">
            <v>#N/A</v>
          </cell>
          <cell r="L773">
            <v>0</v>
          </cell>
        </row>
        <row r="774">
          <cell r="C774" t="e">
            <v>#N/A</v>
          </cell>
          <cell r="L774">
            <v>0</v>
          </cell>
        </row>
        <row r="775">
          <cell r="C775" t="e">
            <v>#N/A</v>
          </cell>
          <cell r="L775">
            <v>0</v>
          </cell>
        </row>
        <row r="776">
          <cell r="C776" t="e">
            <v>#N/A</v>
          </cell>
          <cell r="L776">
            <v>0</v>
          </cell>
        </row>
        <row r="777">
          <cell r="C777" t="e">
            <v>#N/A</v>
          </cell>
          <cell r="L777">
            <v>0</v>
          </cell>
        </row>
        <row r="778">
          <cell r="C778" t="e">
            <v>#N/A</v>
          </cell>
          <cell r="L778">
            <v>0</v>
          </cell>
        </row>
        <row r="779">
          <cell r="C779" t="e">
            <v>#N/A</v>
          </cell>
          <cell r="L779">
            <v>0</v>
          </cell>
        </row>
        <row r="780">
          <cell r="C780" t="e">
            <v>#N/A</v>
          </cell>
          <cell r="L780">
            <v>0</v>
          </cell>
        </row>
        <row r="781">
          <cell r="C781" t="e">
            <v>#N/A</v>
          </cell>
          <cell r="L781">
            <v>0</v>
          </cell>
        </row>
        <row r="782">
          <cell r="C782" t="e">
            <v>#N/A</v>
          </cell>
          <cell r="L782">
            <v>0</v>
          </cell>
        </row>
        <row r="783">
          <cell r="C783" t="e">
            <v>#N/A</v>
          </cell>
          <cell r="L783">
            <v>0</v>
          </cell>
        </row>
        <row r="784">
          <cell r="C784" t="e">
            <v>#N/A</v>
          </cell>
          <cell r="L784">
            <v>0</v>
          </cell>
        </row>
        <row r="785">
          <cell r="C785" t="e">
            <v>#N/A</v>
          </cell>
          <cell r="L785">
            <v>0</v>
          </cell>
        </row>
        <row r="786">
          <cell r="C786" t="e">
            <v>#N/A</v>
          </cell>
          <cell r="L786">
            <v>0</v>
          </cell>
        </row>
        <row r="787">
          <cell r="C787" t="e">
            <v>#N/A</v>
          </cell>
          <cell r="L787">
            <v>0</v>
          </cell>
        </row>
        <row r="788">
          <cell r="C788" t="e">
            <v>#N/A</v>
          </cell>
          <cell r="L788">
            <v>0</v>
          </cell>
        </row>
        <row r="789">
          <cell r="C789" t="e">
            <v>#N/A</v>
          </cell>
          <cell r="L789">
            <v>0</v>
          </cell>
        </row>
        <row r="790">
          <cell r="C790" t="e">
            <v>#N/A</v>
          </cell>
          <cell r="L790">
            <v>0</v>
          </cell>
        </row>
        <row r="791">
          <cell r="C791" t="e">
            <v>#N/A</v>
          </cell>
          <cell r="L791">
            <v>0</v>
          </cell>
        </row>
        <row r="792">
          <cell r="C792" t="e">
            <v>#N/A</v>
          </cell>
          <cell r="L792">
            <v>0</v>
          </cell>
        </row>
        <row r="793">
          <cell r="C793" t="e">
            <v>#N/A</v>
          </cell>
          <cell r="L793">
            <v>0</v>
          </cell>
        </row>
        <row r="794">
          <cell r="C794" t="e">
            <v>#N/A</v>
          </cell>
          <cell r="L794">
            <v>0</v>
          </cell>
        </row>
        <row r="795">
          <cell r="C795" t="e">
            <v>#N/A</v>
          </cell>
          <cell r="L795">
            <v>0</v>
          </cell>
        </row>
        <row r="796">
          <cell r="C796" t="e">
            <v>#N/A</v>
          </cell>
          <cell r="L796">
            <v>0</v>
          </cell>
        </row>
        <row r="797">
          <cell r="C797" t="e">
            <v>#N/A</v>
          </cell>
          <cell r="L797">
            <v>0</v>
          </cell>
        </row>
        <row r="798">
          <cell r="C798" t="e">
            <v>#N/A</v>
          </cell>
          <cell r="L798">
            <v>0</v>
          </cell>
        </row>
        <row r="799">
          <cell r="C799" t="e">
            <v>#N/A</v>
          </cell>
          <cell r="L799">
            <v>0</v>
          </cell>
        </row>
        <row r="800">
          <cell r="C800" t="e">
            <v>#N/A</v>
          </cell>
          <cell r="L800">
            <v>0</v>
          </cell>
        </row>
        <row r="801">
          <cell r="C801" t="e">
            <v>#N/A</v>
          </cell>
          <cell r="L801">
            <v>0</v>
          </cell>
        </row>
        <row r="802">
          <cell r="C802" t="e">
            <v>#N/A</v>
          </cell>
          <cell r="L802">
            <v>0</v>
          </cell>
        </row>
        <row r="803">
          <cell r="C803" t="e">
            <v>#N/A</v>
          </cell>
          <cell r="L803">
            <v>0</v>
          </cell>
        </row>
        <row r="804">
          <cell r="C804" t="e">
            <v>#N/A</v>
          </cell>
          <cell r="L804">
            <v>0</v>
          </cell>
        </row>
        <row r="805">
          <cell r="C805" t="e">
            <v>#N/A</v>
          </cell>
          <cell r="L805">
            <v>0</v>
          </cell>
        </row>
        <row r="806">
          <cell r="C806" t="e">
            <v>#N/A</v>
          </cell>
          <cell r="L806">
            <v>0</v>
          </cell>
        </row>
        <row r="807">
          <cell r="C807" t="e">
            <v>#N/A</v>
          </cell>
          <cell r="L807">
            <v>0</v>
          </cell>
        </row>
        <row r="808">
          <cell r="C808" t="e">
            <v>#N/A</v>
          </cell>
          <cell r="L808">
            <v>0</v>
          </cell>
        </row>
        <row r="809">
          <cell r="C809" t="e">
            <v>#N/A</v>
          </cell>
          <cell r="L809">
            <v>0</v>
          </cell>
        </row>
        <row r="810">
          <cell r="C810" t="e">
            <v>#N/A</v>
          </cell>
          <cell r="L810">
            <v>0</v>
          </cell>
        </row>
        <row r="811">
          <cell r="C811" t="e">
            <v>#N/A</v>
          </cell>
          <cell r="L811">
            <v>0</v>
          </cell>
        </row>
        <row r="812">
          <cell r="C812" t="e">
            <v>#N/A</v>
          </cell>
          <cell r="L812">
            <v>0</v>
          </cell>
        </row>
        <row r="813">
          <cell r="C813" t="e">
            <v>#N/A</v>
          </cell>
          <cell r="L813">
            <v>0</v>
          </cell>
        </row>
        <row r="814">
          <cell r="C814" t="e">
            <v>#N/A</v>
          </cell>
          <cell r="L814">
            <v>0</v>
          </cell>
        </row>
        <row r="815">
          <cell r="C815" t="e">
            <v>#N/A</v>
          </cell>
          <cell r="L815">
            <v>0</v>
          </cell>
        </row>
        <row r="816">
          <cell r="C816" t="e">
            <v>#N/A</v>
          </cell>
          <cell r="L816">
            <v>0</v>
          </cell>
        </row>
        <row r="817">
          <cell r="C817" t="e">
            <v>#N/A</v>
          </cell>
          <cell r="L817">
            <v>0</v>
          </cell>
        </row>
        <row r="818">
          <cell r="C818" t="e">
            <v>#N/A</v>
          </cell>
          <cell r="L818">
            <v>0</v>
          </cell>
        </row>
        <row r="819">
          <cell r="C819" t="e">
            <v>#N/A</v>
          </cell>
          <cell r="L819">
            <v>0</v>
          </cell>
        </row>
        <row r="820">
          <cell r="C820" t="e">
            <v>#N/A</v>
          </cell>
          <cell r="L820">
            <v>0</v>
          </cell>
        </row>
        <row r="821">
          <cell r="C821" t="e">
            <v>#N/A</v>
          </cell>
          <cell r="L821">
            <v>0</v>
          </cell>
        </row>
        <row r="822">
          <cell r="C822" t="e">
            <v>#N/A</v>
          </cell>
          <cell r="L822">
            <v>0</v>
          </cell>
        </row>
        <row r="823">
          <cell r="C823" t="e">
            <v>#N/A</v>
          </cell>
          <cell r="L823">
            <v>0</v>
          </cell>
        </row>
        <row r="824">
          <cell r="C824" t="e">
            <v>#N/A</v>
          </cell>
          <cell r="L824">
            <v>0</v>
          </cell>
        </row>
        <row r="825">
          <cell r="C825" t="e">
            <v>#N/A</v>
          </cell>
          <cell r="L825">
            <v>0</v>
          </cell>
        </row>
        <row r="826">
          <cell r="C826" t="e">
            <v>#N/A</v>
          </cell>
          <cell r="L826">
            <v>0</v>
          </cell>
        </row>
        <row r="827">
          <cell r="C827" t="e">
            <v>#N/A</v>
          </cell>
          <cell r="L827">
            <v>0</v>
          </cell>
        </row>
        <row r="828">
          <cell r="C828" t="e">
            <v>#N/A</v>
          </cell>
          <cell r="L828">
            <v>0</v>
          </cell>
        </row>
        <row r="829">
          <cell r="C829" t="e">
            <v>#N/A</v>
          </cell>
          <cell r="L829">
            <v>0</v>
          </cell>
        </row>
        <row r="830">
          <cell r="C830" t="e">
            <v>#N/A</v>
          </cell>
          <cell r="L830">
            <v>0</v>
          </cell>
        </row>
        <row r="831">
          <cell r="C831" t="e">
            <v>#N/A</v>
          </cell>
          <cell r="L831">
            <v>0</v>
          </cell>
        </row>
        <row r="832">
          <cell r="C832" t="e">
            <v>#N/A</v>
          </cell>
          <cell r="L832">
            <v>0</v>
          </cell>
        </row>
        <row r="833">
          <cell r="C833" t="e">
            <v>#N/A</v>
          </cell>
          <cell r="L833">
            <v>0</v>
          </cell>
        </row>
        <row r="834">
          <cell r="C834" t="e">
            <v>#N/A</v>
          </cell>
          <cell r="L834">
            <v>0</v>
          </cell>
        </row>
        <row r="835">
          <cell r="C835" t="e">
            <v>#N/A</v>
          </cell>
          <cell r="L835">
            <v>0</v>
          </cell>
        </row>
        <row r="836">
          <cell r="C836" t="e">
            <v>#N/A</v>
          </cell>
          <cell r="L836">
            <v>0</v>
          </cell>
        </row>
        <row r="837">
          <cell r="C837" t="e">
            <v>#N/A</v>
          </cell>
          <cell r="L837">
            <v>0</v>
          </cell>
        </row>
        <row r="838">
          <cell r="C838" t="e">
            <v>#N/A</v>
          </cell>
          <cell r="L838">
            <v>0</v>
          </cell>
        </row>
        <row r="839">
          <cell r="C839" t="e">
            <v>#N/A</v>
          </cell>
          <cell r="L839">
            <v>0</v>
          </cell>
        </row>
        <row r="840">
          <cell r="C840" t="e">
            <v>#N/A</v>
          </cell>
          <cell r="L840">
            <v>0</v>
          </cell>
        </row>
        <row r="841">
          <cell r="C841" t="e">
            <v>#N/A</v>
          </cell>
          <cell r="L841">
            <v>0</v>
          </cell>
        </row>
        <row r="842">
          <cell r="C842" t="e">
            <v>#N/A</v>
          </cell>
          <cell r="L842">
            <v>0</v>
          </cell>
        </row>
        <row r="843">
          <cell r="C843" t="e">
            <v>#N/A</v>
          </cell>
          <cell r="L843">
            <v>0</v>
          </cell>
        </row>
        <row r="844">
          <cell r="C844" t="e">
            <v>#N/A</v>
          </cell>
          <cell r="L844">
            <v>0</v>
          </cell>
        </row>
        <row r="845">
          <cell r="C845" t="e">
            <v>#N/A</v>
          </cell>
          <cell r="L845">
            <v>0</v>
          </cell>
        </row>
        <row r="846">
          <cell r="C846" t="e">
            <v>#N/A</v>
          </cell>
          <cell r="L846">
            <v>0</v>
          </cell>
        </row>
        <row r="847">
          <cell r="C847" t="e">
            <v>#N/A</v>
          </cell>
          <cell r="L847">
            <v>0</v>
          </cell>
        </row>
        <row r="848">
          <cell r="C848" t="e">
            <v>#N/A</v>
          </cell>
          <cell r="L848">
            <v>0</v>
          </cell>
        </row>
        <row r="849">
          <cell r="C849" t="e">
            <v>#N/A</v>
          </cell>
          <cell r="L849">
            <v>0</v>
          </cell>
        </row>
        <row r="850">
          <cell r="C850" t="e">
            <v>#N/A</v>
          </cell>
          <cell r="L850">
            <v>0</v>
          </cell>
        </row>
        <row r="851">
          <cell r="C851" t="e">
            <v>#N/A</v>
          </cell>
          <cell r="L851">
            <v>0</v>
          </cell>
        </row>
        <row r="852">
          <cell r="C852" t="e">
            <v>#N/A</v>
          </cell>
          <cell r="L852">
            <v>0</v>
          </cell>
        </row>
        <row r="853">
          <cell r="C853" t="e">
            <v>#N/A</v>
          </cell>
          <cell r="L853">
            <v>0</v>
          </cell>
        </row>
        <row r="854">
          <cell r="C854" t="e">
            <v>#N/A</v>
          </cell>
          <cell r="L854">
            <v>0</v>
          </cell>
        </row>
        <row r="855">
          <cell r="C855" t="e">
            <v>#N/A</v>
          </cell>
          <cell r="L855">
            <v>0</v>
          </cell>
        </row>
        <row r="856">
          <cell r="C856" t="e">
            <v>#N/A</v>
          </cell>
          <cell r="L856">
            <v>0</v>
          </cell>
        </row>
        <row r="857">
          <cell r="C857" t="e">
            <v>#N/A</v>
          </cell>
          <cell r="L857">
            <v>0</v>
          </cell>
        </row>
        <row r="858">
          <cell r="C858" t="e">
            <v>#N/A</v>
          </cell>
          <cell r="L858">
            <v>0</v>
          </cell>
        </row>
        <row r="859">
          <cell r="C859" t="e">
            <v>#N/A</v>
          </cell>
          <cell r="L859">
            <v>0</v>
          </cell>
        </row>
        <row r="860">
          <cell r="C860" t="e">
            <v>#N/A</v>
          </cell>
          <cell r="L860">
            <v>0</v>
          </cell>
        </row>
        <row r="861">
          <cell r="C861" t="e">
            <v>#N/A</v>
          </cell>
          <cell r="L861">
            <v>0</v>
          </cell>
        </row>
        <row r="862">
          <cell r="C862" t="e">
            <v>#N/A</v>
          </cell>
          <cell r="L862">
            <v>0</v>
          </cell>
        </row>
        <row r="863">
          <cell r="C863" t="e">
            <v>#N/A</v>
          </cell>
          <cell r="L863">
            <v>0</v>
          </cell>
        </row>
        <row r="864">
          <cell r="C864" t="e">
            <v>#N/A</v>
          </cell>
          <cell r="L864">
            <v>0</v>
          </cell>
        </row>
        <row r="865">
          <cell r="C865" t="e">
            <v>#N/A</v>
          </cell>
          <cell r="L865">
            <v>0</v>
          </cell>
        </row>
        <row r="866">
          <cell r="C866" t="e">
            <v>#N/A</v>
          </cell>
          <cell r="L866">
            <v>0</v>
          </cell>
        </row>
        <row r="867">
          <cell r="C867" t="e">
            <v>#N/A</v>
          </cell>
          <cell r="L867">
            <v>0</v>
          </cell>
        </row>
        <row r="868">
          <cell r="C868" t="e">
            <v>#N/A</v>
          </cell>
          <cell r="L868">
            <v>0</v>
          </cell>
        </row>
        <row r="869">
          <cell r="C869" t="e">
            <v>#N/A</v>
          </cell>
          <cell r="L869">
            <v>0</v>
          </cell>
        </row>
        <row r="870">
          <cell r="C870" t="e">
            <v>#N/A</v>
          </cell>
          <cell r="L870">
            <v>0</v>
          </cell>
        </row>
        <row r="871">
          <cell r="C871" t="e">
            <v>#N/A</v>
          </cell>
          <cell r="L871">
            <v>0</v>
          </cell>
        </row>
        <row r="872">
          <cell r="C872" t="e">
            <v>#N/A</v>
          </cell>
          <cell r="L872">
            <v>0</v>
          </cell>
        </row>
        <row r="873">
          <cell r="C873" t="e">
            <v>#N/A</v>
          </cell>
          <cell r="L873">
            <v>0</v>
          </cell>
        </row>
        <row r="874">
          <cell r="C874" t="e">
            <v>#N/A</v>
          </cell>
          <cell r="L874">
            <v>0</v>
          </cell>
        </row>
        <row r="875">
          <cell r="C875" t="e">
            <v>#N/A</v>
          </cell>
          <cell r="L875">
            <v>0</v>
          </cell>
        </row>
        <row r="876">
          <cell r="C876" t="e">
            <v>#N/A</v>
          </cell>
          <cell r="L876">
            <v>0</v>
          </cell>
        </row>
        <row r="877">
          <cell r="C877" t="e">
            <v>#N/A</v>
          </cell>
          <cell r="L877">
            <v>0</v>
          </cell>
        </row>
        <row r="878">
          <cell r="C878" t="e">
            <v>#N/A</v>
          </cell>
          <cell r="L878">
            <v>0</v>
          </cell>
        </row>
        <row r="879">
          <cell r="C879" t="e">
            <v>#N/A</v>
          </cell>
          <cell r="L879">
            <v>0</v>
          </cell>
        </row>
        <row r="880">
          <cell r="C880" t="e">
            <v>#N/A</v>
          </cell>
          <cell r="L880">
            <v>0</v>
          </cell>
        </row>
        <row r="881">
          <cell r="C881" t="e">
            <v>#N/A</v>
          </cell>
          <cell r="L881">
            <v>0</v>
          </cell>
        </row>
        <row r="882">
          <cell r="C882" t="e">
            <v>#N/A</v>
          </cell>
          <cell r="L882">
            <v>0</v>
          </cell>
        </row>
        <row r="883">
          <cell r="C883" t="e">
            <v>#N/A</v>
          </cell>
          <cell r="L883">
            <v>0</v>
          </cell>
        </row>
        <row r="884">
          <cell r="C884" t="e">
            <v>#N/A</v>
          </cell>
          <cell r="L884">
            <v>0</v>
          </cell>
        </row>
        <row r="885">
          <cell r="C885" t="e">
            <v>#N/A</v>
          </cell>
          <cell r="L885">
            <v>0</v>
          </cell>
        </row>
        <row r="886">
          <cell r="C886" t="e">
            <v>#N/A</v>
          </cell>
          <cell r="L886">
            <v>0</v>
          </cell>
        </row>
        <row r="887">
          <cell r="C887" t="e">
            <v>#N/A</v>
          </cell>
          <cell r="L887">
            <v>0</v>
          </cell>
        </row>
        <row r="888">
          <cell r="C888" t="e">
            <v>#N/A</v>
          </cell>
          <cell r="L888">
            <v>0</v>
          </cell>
        </row>
        <row r="889">
          <cell r="C889" t="e">
            <v>#N/A</v>
          </cell>
          <cell r="L889">
            <v>0</v>
          </cell>
        </row>
        <row r="890">
          <cell r="C890" t="e">
            <v>#N/A</v>
          </cell>
          <cell r="L890">
            <v>0</v>
          </cell>
        </row>
        <row r="891">
          <cell r="C891" t="e">
            <v>#N/A</v>
          </cell>
          <cell r="L891">
            <v>0</v>
          </cell>
        </row>
        <row r="892">
          <cell r="C892" t="e">
            <v>#N/A</v>
          </cell>
          <cell r="L892">
            <v>0</v>
          </cell>
        </row>
        <row r="893">
          <cell r="C893" t="e">
            <v>#N/A</v>
          </cell>
          <cell r="L893">
            <v>0</v>
          </cell>
        </row>
        <row r="894">
          <cell r="C894" t="e">
            <v>#N/A</v>
          </cell>
          <cell r="L894">
            <v>0</v>
          </cell>
        </row>
        <row r="895">
          <cell r="C895" t="e">
            <v>#N/A</v>
          </cell>
          <cell r="L895">
            <v>0</v>
          </cell>
        </row>
        <row r="896">
          <cell r="C896" t="e">
            <v>#N/A</v>
          </cell>
          <cell r="L896">
            <v>0</v>
          </cell>
        </row>
        <row r="897">
          <cell r="C897" t="e">
            <v>#N/A</v>
          </cell>
          <cell r="L897">
            <v>0</v>
          </cell>
        </row>
        <row r="898">
          <cell r="C898" t="e">
            <v>#N/A</v>
          </cell>
          <cell r="L898">
            <v>0</v>
          </cell>
        </row>
        <row r="899">
          <cell r="C899" t="e">
            <v>#N/A</v>
          </cell>
          <cell r="L899">
            <v>0</v>
          </cell>
        </row>
        <row r="900">
          <cell r="C900" t="e">
            <v>#N/A</v>
          </cell>
          <cell r="L900">
            <v>0</v>
          </cell>
        </row>
        <row r="901">
          <cell r="C901" t="e">
            <v>#N/A</v>
          </cell>
          <cell r="L901">
            <v>0</v>
          </cell>
        </row>
        <row r="902">
          <cell r="C902" t="e">
            <v>#N/A</v>
          </cell>
          <cell r="L902">
            <v>0</v>
          </cell>
        </row>
        <row r="903">
          <cell r="C903" t="e">
            <v>#N/A</v>
          </cell>
          <cell r="L903">
            <v>0</v>
          </cell>
        </row>
        <row r="904">
          <cell r="C904" t="e">
            <v>#N/A</v>
          </cell>
          <cell r="L904">
            <v>0</v>
          </cell>
        </row>
        <row r="905">
          <cell r="C905" t="e">
            <v>#N/A</v>
          </cell>
          <cell r="L905">
            <v>0</v>
          </cell>
        </row>
        <row r="906">
          <cell r="C906" t="e">
            <v>#N/A</v>
          </cell>
          <cell r="L906">
            <v>0</v>
          </cell>
        </row>
        <row r="907">
          <cell r="C907" t="e">
            <v>#N/A</v>
          </cell>
          <cell r="L907">
            <v>0</v>
          </cell>
        </row>
        <row r="908">
          <cell r="C908" t="e">
            <v>#N/A</v>
          </cell>
          <cell r="L908">
            <v>0</v>
          </cell>
        </row>
        <row r="909">
          <cell r="C909" t="e">
            <v>#N/A</v>
          </cell>
          <cell r="L909">
            <v>0</v>
          </cell>
        </row>
        <row r="910">
          <cell r="C910" t="e">
            <v>#N/A</v>
          </cell>
          <cell r="L910">
            <v>0</v>
          </cell>
        </row>
        <row r="911">
          <cell r="C911" t="e">
            <v>#N/A</v>
          </cell>
          <cell r="L911">
            <v>0</v>
          </cell>
        </row>
        <row r="912">
          <cell r="C912" t="e">
            <v>#N/A</v>
          </cell>
          <cell r="L912">
            <v>0</v>
          </cell>
        </row>
        <row r="913">
          <cell r="C913" t="e">
            <v>#N/A</v>
          </cell>
          <cell r="L913">
            <v>0</v>
          </cell>
        </row>
        <row r="914">
          <cell r="C914" t="e">
            <v>#N/A</v>
          </cell>
          <cell r="L914">
            <v>0</v>
          </cell>
        </row>
        <row r="915">
          <cell r="C915" t="e">
            <v>#N/A</v>
          </cell>
          <cell r="L915">
            <v>0</v>
          </cell>
        </row>
        <row r="916">
          <cell r="C916" t="e">
            <v>#N/A</v>
          </cell>
          <cell r="L916">
            <v>0</v>
          </cell>
        </row>
        <row r="917">
          <cell r="C917" t="e">
            <v>#N/A</v>
          </cell>
          <cell r="L917">
            <v>0</v>
          </cell>
        </row>
        <row r="918">
          <cell r="C918" t="e">
            <v>#N/A</v>
          </cell>
          <cell r="L918">
            <v>0</v>
          </cell>
        </row>
        <row r="919">
          <cell r="C919" t="e">
            <v>#N/A</v>
          </cell>
          <cell r="L919">
            <v>0</v>
          </cell>
        </row>
        <row r="920">
          <cell r="C920" t="e">
            <v>#N/A</v>
          </cell>
          <cell r="L920">
            <v>0</v>
          </cell>
        </row>
        <row r="921">
          <cell r="C921" t="e">
            <v>#N/A</v>
          </cell>
          <cell r="L921">
            <v>0</v>
          </cell>
        </row>
        <row r="922">
          <cell r="C922" t="e">
            <v>#N/A</v>
          </cell>
          <cell r="L922">
            <v>0</v>
          </cell>
        </row>
        <row r="923">
          <cell r="C923" t="e">
            <v>#N/A</v>
          </cell>
          <cell r="L923">
            <v>0</v>
          </cell>
        </row>
        <row r="924">
          <cell r="C924" t="e">
            <v>#N/A</v>
          </cell>
          <cell r="L924">
            <v>0</v>
          </cell>
        </row>
        <row r="925">
          <cell r="C925" t="e">
            <v>#N/A</v>
          </cell>
          <cell r="L925">
            <v>0</v>
          </cell>
        </row>
        <row r="926">
          <cell r="C926" t="e">
            <v>#N/A</v>
          </cell>
          <cell r="L926">
            <v>0</v>
          </cell>
        </row>
        <row r="927">
          <cell r="C927" t="e">
            <v>#N/A</v>
          </cell>
          <cell r="L927">
            <v>0</v>
          </cell>
        </row>
        <row r="928">
          <cell r="C928" t="e">
            <v>#N/A</v>
          </cell>
          <cell r="L928">
            <v>0</v>
          </cell>
        </row>
        <row r="929">
          <cell r="C929" t="e">
            <v>#N/A</v>
          </cell>
          <cell r="L929">
            <v>0</v>
          </cell>
        </row>
        <row r="930">
          <cell r="C930" t="e">
            <v>#N/A</v>
          </cell>
          <cell r="L930">
            <v>0</v>
          </cell>
        </row>
        <row r="931">
          <cell r="C931" t="e">
            <v>#N/A</v>
          </cell>
          <cell r="L931">
            <v>0</v>
          </cell>
        </row>
        <row r="932">
          <cell r="C932" t="e">
            <v>#N/A</v>
          </cell>
          <cell r="L932">
            <v>0</v>
          </cell>
        </row>
        <row r="933">
          <cell r="C933" t="e">
            <v>#N/A</v>
          </cell>
          <cell r="L933">
            <v>0</v>
          </cell>
        </row>
        <row r="934">
          <cell r="C934" t="e">
            <v>#N/A</v>
          </cell>
          <cell r="L934">
            <v>0</v>
          </cell>
        </row>
        <row r="935">
          <cell r="C935" t="e">
            <v>#N/A</v>
          </cell>
          <cell r="L935">
            <v>0</v>
          </cell>
        </row>
        <row r="936">
          <cell r="C936" t="e">
            <v>#N/A</v>
          </cell>
          <cell r="L936">
            <v>0</v>
          </cell>
        </row>
        <row r="937">
          <cell r="C937" t="e">
            <v>#N/A</v>
          </cell>
          <cell r="L937">
            <v>0</v>
          </cell>
        </row>
        <row r="938">
          <cell r="C938" t="e">
            <v>#N/A</v>
          </cell>
          <cell r="L938">
            <v>0</v>
          </cell>
        </row>
        <row r="939">
          <cell r="C939" t="e">
            <v>#N/A</v>
          </cell>
          <cell r="L939">
            <v>0</v>
          </cell>
        </row>
        <row r="940">
          <cell r="C940" t="e">
            <v>#N/A</v>
          </cell>
          <cell r="L940">
            <v>0</v>
          </cell>
        </row>
        <row r="941">
          <cell r="C941" t="e">
            <v>#N/A</v>
          </cell>
          <cell r="L941">
            <v>0</v>
          </cell>
        </row>
        <row r="942">
          <cell r="C942" t="e">
            <v>#N/A</v>
          </cell>
          <cell r="L942">
            <v>0</v>
          </cell>
        </row>
        <row r="943">
          <cell r="C943" t="e">
            <v>#N/A</v>
          </cell>
          <cell r="L943">
            <v>0</v>
          </cell>
        </row>
        <row r="944">
          <cell r="C944" t="e">
            <v>#N/A</v>
          </cell>
          <cell r="L944">
            <v>0</v>
          </cell>
        </row>
        <row r="945">
          <cell r="C945" t="e">
            <v>#N/A</v>
          </cell>
          <cell r="L945">
            <v>0</v>
          </cell>
        </row>
        <row r="946">
          <cell r="C946" t="e">
            <v>#N/A</v>
          </cell>
          <cell r="L946">
            <v>0</v>
          </cell>
        </row>
        <row r="947">
          <cell r="C947" t="e">
            <v>#N/A</v>
          </cell>
          <cell r="L947">
            <v>0</v>
          </cell>
        </row>
        <row r="948">
          <cell r="C948" t="e">
            <v>#N/A</v>
          </cell>
          <cell r="L948">
            <v>0</v>
          </cell>
        </row>
        <row r="949">
          <cell r="C949" t="e">
            <v>#N/A</v>
          </cell>
          <cell r="L949">
            <v>0</v>
          </cell>
        </row>
        <row r="950">
          <cell r="C950" t="e">
            <v>#N/A</v>
          </cell>
          <cell r="L950">
            <v>0</v>
          </cell>
        </row>
        <row r="951">
          <cell r="C951" t="e">
            <v>#N/A</v>
          </cell>
          <cell r="L951">
            <v>0</v>
          </cell>
        </row>
        <row r="952">
          <cell r="C952" t="e">
            <v>#N/A</v>
          </cell>
          <cell r="L952">
            <v>0</v>
          </cell>
        </row>
        <row r="953">
          <cell r="C953" t="e">
            <v>#N/A</v>
          </cell>
          <cell r="L953">
            <v>0</v>
          </cell>
        </row>
        <row r="954">
          <cell r="C954" t="e">
            <v>#N/A</v>
          </cell>
          <cell r="L954">
            <v>0</v>
          </cell>
        </row>
        <row r="955">
          <cell r="C955" t="e">
            <v>#N/A</v>
          </cell>
          <cell r="L955">
            <v>0</v>
          </cell>
        </row>
        <row r="956">
          <cell r="C956" t="e">
            <v>#N/A</v>
          </cell>
          <cell r="L956">
            <v>0</v>
          </cell>
        </row>
        <row r="957">
          <cell r="C957" t="e">
            <v>#N/A</v>
          </cell>
          <cell r="L957">
            <v>0</v>
          </cell>
        </row>
        <row r="958">
          <cell r="C958" t="e">
            <v>#N/A</v>
          </cell>
          <cell r="L958">
            <v>0</v>
          </cell>
        </row>
        <row r="959">
          <cell r="C959" t="e">
            <v>#N/A</v>
          </cell>
          <cell r="L959">
            <v>0</v>
          </cell>
        </row>
        <row r="960">
          <cell r="C960" t="e">
            <v>#N/A</v>
          </cell>
          <cell r="L960">
            <v>0</v>
          </cell>
        </row>
        <row r="961">
          <cell r="C961" t="e">
            <v>#N/A</v>
          </cell>
          <cell r="L961">
            <v>0</v>
          </cell>
        </row>
        <row r="962">
          <cell r="C962" t="e">
            <v>#N/A</v>
          </cell>
          <cell r="L962">
            <v>0</v>
          </cell>
        </row>
        <row r="963">
          <cell r="C963" t="e">
            <v>#N/A</v>
          </cell>
          <cell r="L963">
            <v>0</v>
          </cell>
        </row>
        <row r="964">
          <cell r="C964" t="e">
            <v>#N/A</v>
          </cell>
          <cell r="L964">
            <v>0</v>
          </cell>
        </row>
        <row r="965">
          <cell r="C965" t="e">
            <v>#N/A</v>
          </cell>
          <cell r="L965">
            <v>0</v>
          </cell>
        </row>
        <row r="966">
          <cell r="C966" t="e">
            <v>#N/A</v>
          </cell>
          <cell r="L966">
            <v>0</v>
          </cell>
        </row>
        <row r="967">
          <cell r="C967" t="e">
            <v>#N/A</v>
          </cell>
          <cell r="L967">
            <v>0</v>
          </cell>
        </row>
        <row r="968">
          <cell r="C968" t="e">
            <v>#N/A</v>
          </cell>
          <cell r="L968">
            <v>0</v>
          </cell>
        </row>
        <row r="969">
          <cell r="C969" t="e">
            <v>#N/A</v>
          </cell>
          <cell r="L969">
            <v>0</v>
          </cell>
        </row>
        <row r="970">
          <cell r="C970" t="e">
            <v>#N/A</v>
          </cell>
          <cell r="L970">
            <v>0</v>
          </cell>
        </row>
        <row r="971">
          <cell r="C971" t="e">
            <v>#N/A</v>
          </cell>
          <cell r="L971">
            <v>0</v>
          </cell>
        </row>
        <row r="972">
          <cell r="C972" t="e">
            <v>#N/A</v>
          </cell>
          <cell r="L972">
            <v>0</v>
          </cell>
        </row>
        <row r="973">
          <cell r="C973" t="e">
            <v>#N/A</v>
          </cell>
          <cell r="L973">
            <v>0</v>
          </cell>
        </row>
        <row r="974">
          <cell r="C974" t="e">
            <v>#N/A</v>
          </cell>
          <cell r="L974">
            <v>0</v>
          </cell>
        </row>
        <row r="975">
          <cell r="C975" t="e">
            <v>#N/A</v>
          </cell>
          <cell r="L975">
            <v>0</v>
          </cell>
        </row>
        <row r="976">
          <cell r="C976" t="e">
            <v>#N/A</v>
          </cell>
          <cell r="L976">
            <v>0</v>
          </cell>
        </row>
        <row r="977">
          <cell r="C977" t="e">
            <v>#N/A</v>
          </cell>
          <cell r="L977">
            <v>0</v>
          </cell>
        </row>
        <row r="978">
          <cell r="C978" t="e">
            <v>#N/A</v>
          </cell>
          <cell r="L978">
            <v>0</v>
          </cell>
        </row>
        <row r="979">
          <cell r="C979" t="e">
            <v>#N/A</v>
          </cell>
          <cell r="L979">
            <v>0</v>
          </cell>
        </row>
        <row r="980">
          <cell r="C980" t="e">
            <v>#N/A</v>
          </cell>
          <cell r="L980">
            <v>0</v>
          </cell>
        </row>
        <row r="981">
          <cell r="C981" t="e">
            <v>#N/A</v>
          </cell>
          <cell r="L981">
            <v>0</v>
          </cell>
        </row>
        <row r="982">
          <cell r="C982" t="e">
            <v>#N/A</v>
          </cell>
          <cell r="L982">
            <v>0</v>
          </cell>
        </row>
        <row r="983">
          <cell r="C983" t="e">
            <v>#N/A</v>
          </cell>
          <cell r="L983">
            <v>0</v>
          </cell>
        </row>
        <row r="984">
          <cell r="C984" t="e">
            <v>#N/A</v>
          </cell>
          <cell r="L984">
            <v>0</v>
          </cell>
        </row>
        <row r="985">
          <cell r="C985" t="e">
            <v>#N/A</v>
          </cell>
          <cell r="L985">
            <v>0</v>
          </cell>
        </row>
        <row r="986">
          <cell r="C986" t="e">
            <v>#N/A</v>
          </cell>
          <cell r="L986">
            <v>0</v>
          </cell>
        </row>
        <row r="987">
          <cell r="C987" t="e">
            <v>#N/A</v>
          </cell>
          <cell r="L987">
            <v>0</v>
          </cell>
        </row>
        <row r="988">
          <cell r="C988" t="e">
            <v>#N/A</v>
          </cell>
          <cell r="L988">
            <v>0</v>
          </cell>
        </row>
        <row r="989">
          <cell r="C989" t="e">
            <v>#N/A</v>
          </cell>
          <cell r="L989">
            <v>0</v>
          </cell>
        </row>
        <row r="990">
          <cell r="C990" t="e">
            <v>#N/A</v>
          </cell>
          <cell r="L990">
            <v>0</v>
          </cell>
        </row>
        <row r="991">
          <cell r="C991" t="e">
            <v>#N/A</v>
          </cell>
          <cell r="L991">
            <v>0</v>
          </cell>
        </row>
        <row r="992">
          <cell r="C992" t="e">
            <v>#N/A</v>
          </cell>
          <cell r="L992">
            <v>0</v>
          </cell>
        </row>
        <row r="993">
          <cell r="C993" t="e">
            <v>#N/A</v>
          </cell>
          <cell r="L993">
            <v>0</v>
          </cell>
        </row>
        <row r="994">
          <cell r="C994" t="e">
            <v>#N/A</v>
          </cell>
          <cell r="L994">
            <v>0</v>
          </cell>
        </row>
        <row r="995">
          <cell r="C995" t="e">
            <v>#N/A</v>
          </cell>
          <cell r="L995">
            <v>0</v>
          </cell>
        </row>
        <row r="996">
          <cell r="C996" t="e">
            <v>#N/A</v>
          </cell>
          <cell r="L996">
            <v>0</v>
          </cell>
        </row>
        <row r="997">
          <cell r="C997" t="e">
            <v>#N/A</v>
          </cell>
          <cell r="L997">
            <v>0</v>
          </cell>
        </row>
        <row r="998">
          <cell r="C998" t="e">
            <v>#N/A</v>
          </cell>
          <cell r="L998">
            <v>0</v>
          </cell>
        </row>
        <row r="999">
          <cell r="C999" t="e">
            <v>#N/A</v>
          </cell>
          <cell r="L999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98"/>
  <sheetViews>
    <sheetView showGridLines="0" zoomScale="60" zoomScaleNormal="60" zoomScaleSheetLayoutView="100" workbookViewId="0">
      <selection activeCell="E48" sqref="E48"/>
    </sheetView>
  </sheetViews>
  <sheetFormatPr defaultColWidth="7.75" defaultRowHeight="14.25"/>
  <cols>
    <col min="1" max="1" width="7.75" style="616"/>
    <col min="2" max="2" width="2.375" style="616" customWidth="1"/>
    <col min="3" max="3" width="7.625" style="616" customWidth="1"/>
    <col min="4" max="4" width="40.75" style="616" customWidth="1"/>
    <col min="5" max="5" width="20.375" style="616" customWidth="1"/>
    <col min="6" max="6" width="10.125" style="616" customWidth="1"/>
    <col min="7" max="8" width="10" style="616" customWidth="1"/>
    <col min="9" max="9" width="7.125" style="616" customWidth="1"/>
    <col min="10" max="10" width="5.875" style="616" customWidth="1"/>
    <col min="11" max="11" width="9.25" style="616" customWidth="1"/>
    <col min="12" max="12" width="10.125" style="616" customWidth="1"/>
    <col min="13" max="13" width="11.25" style="616" customWidth="1"/>
    <col min="14" max="15" width="8.75" style="616" customWidth="1"/>
    <col min="16" max="18" width="8.375" style="616" customWidth="1"/>
    <col min="19" max="19" width="9.125" style="616" customWidth="1"/>
    <col min="20" max="20" width="8.375" style="616" customWidth="1"/>
    <col min="21" max="22" width="9.375" style="616" customWidth="1"/>
    <col min="23" max="23" width="8.375" style="616" customWidth="1"/>
    <col min="24" max="24" width="10.125" style="616" customWidth="1"/>
    <col min="25" max="25" width="10" style="616" customWidth="1"/>
    <col min="26" max="26" width="2.875" style="616" customWidth="1"/>
    <col min="27" max="27" width="12.375" style="616" customWidth="1"/>
    <col min="28" max="28" width="14.5" style="616" customWidth="1"/>
    <col min="29" max="32" width="7.75" style="616" customWidth="1"/>
    <col min="33" max="33" width="1.625" style="616" customWidth="1"/>
    <col min="34" max="34" width="7.75" style="616"/>
    <col min="35" max="35" width="8.25" style="616" bestFit="1" customWidth="1"/>
    <col min="36" max="36" width="9.375" style="616" customWidth="1"/>
    <col min="37" max="16384" width="7.75" style="616"/>
  </cols>
  <sheetData>
    <row r="1" spans="1:25" ht="18.75">
      <c r="C1" s="695" t="s">
        <v>42</v>
      </c>
      <c r="D1" s="701">
        <v>2018</v>
      </c>
      <c r="E1" s="696"/>
      <c r="F1" s="696"/>
      <c r="G1" s="696"/>
      <c r="H1" s="696"/>
      <c r="I1" s="672"/>
      <c r="J1" s="672"/>
      <c r="K1" s="47"/>
      <c r="L1" s="85"/>
      <c r="M1" s="5"/>
      <c r="S1" s="5"/>
      <c r="T1" s="61"/>
      <c r="X1" s="672"/>
      <c r="Y1" s="731" t="s">
        <v>224</v>
      </c>
    </row>
    <row r="2" spans="1:25" ht="18">
      <c r="C2" s="1022" t="s">
        <v>43</v>
      </c>
      <c r="D2" s="1023"/>
      <c r="E2" s="1024" t="s">
        <v>226</v>
      </c>
      <c r="F2" s="1025"/>
      <c r="G2" s="1025"/>
      <c r="H2" s="1026"/>
      <c r="I2" s="672"/>
      <c r="J2" s="47"/>
      <c r="K2" s="220" t="s">
        <v>113</v>
      </c>
      <c r="L2" s="421">
        <v>68766</v>
      </c>
      <c r="M2" s="223" t="s">
        <v>161</v>
      </c>
      <c r="N2" s="220"/>
      <c r="R2" s="295"/>
      <c r="S2" s="749" t="s">
        <v>216</v>
      </c>
      <c r="V2" s="5"/>
      <c r="W2" s="5"/>
      <c r="Y2" s="618"/>
    </row>
    <row r="3" spans="1:25" ht="18">
      <c r="C3" s="1022" t="s">
        <v>79</v>
      </c>
      <c r="D3" s="1023"/>
      <c r="E3" s="1027"/>
      <c r="F3" s="1028"/>
      <c r="G3" s="1028"/>
      <c r="H3" s="1029"/>
      <c r="I3" s="672"/>
      <c r="J3" s="47"/>
      <c r="K3" s="221" t="s">
        <v>114</v>
      </c>
      <c r="L3" s="253">
        <v>110</v>
      </c>
      <c r="M3" s="220"/>
      <c r="N3" s="224"/>
      <c r="V3" s="5"/>
      <c r="W3" s="702" t="s">
        <v>119</v>
      </c>
      <c r="X3" s="618"/>
    </row>
    <row r="4" spans="1:25" ht="18">
      <c r="C4" s="1022" t="s">
        <v>44</v>
      </c>
      <c r="D4" s="1023"/>
      <c r="E4" s="1027"/>
      <c r="F4" s="1028"/>
      <c r="G4" s="1028"/>
      <c r="H4" s="1029"/>
      <c r="I4" s="672"/>
      <c r="J4" s="47"/>
      <c r="K4" s="221" t="s">
        <v>115</v>
      </c>
      <c r="L4" s="320">
        <f>1/L3</f>
        <v>9.0909090909090905E-3</v>
      </c>
      <c r="M4" s="220"/>
      <c r="N4" s="222"/>
      <c r="V4" s="5"/>
      <c r="W4" s="703" t="s">
        <v>141</v>
      </c>
    </row>
    <row r="5" spans="1: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Q5" s="47"/>
      <c r="V5" s="619"/>
    </row>
    <row r="6" spans="1:25" ht="14.25" customHeight="1" thickBot="1">
      <c r="B6" s="5"/>
      <c r="C6" s="5" t="s">
        <v>151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" s="620" customFormat="1" ht="43.5" thickBot="1">
      <c r="B7" s="5"/>
      <c r="C7" s="1014" t="s">
        <v>118</v>
      </c>
      <c r="D7" s="1015"/>
      <c r="E7" s="67" t="s">
        <v>3</v>
      </c>
      <c r="F7" s="67" t="s">
        <v>4</v>
      </c>
      <c r="G7" s="67" t="s">
        <v>5</v>
      </c>
      <c r="H7" s="67" t="s">
        <v>6</v>
      </c>
      <c r="I7" s="67" t="s">
        <v>7</v>
      </c>
      <c r="J7" s="67" t="s">
        <v>8</v>
      </c>
      <c r="K7" s="67" t="s">
        <v>9</v>
      </c>
      <c r="L7" s="67" t="s">
        <v>45</v>
      </c>
      <c r="M7" s="67" t="s">
        <v>10</v>
      </c>
      <c r="N7" s="67" t="s">
        <v>18</v>
      </c>
      <c r="O7" s="67" t="s">
        <v>19</v>
      </c>
      <c r="P7" s="67" t="s">
        <v>11</v>
      </c>
      <c r="Q7" s="67" t="s">
        <v>12</v>
      </c>
      <c r="R7" s="66" t="s">
        <v>20</v>
      </c>
      <c r="S7" s="67" t="s">
        <v>13</v>
      </c>
      <c r="T7" s="67" t="s">
        <v>117</v>
      </c>
      <c r="U7" s="67" t="s">
        <v>14</v>
      </c>
      <c r="V7" s="67" t="s">
        <v>15</v>
      </c>
      <c r="W7" s="67" t="s">
        <v>16</v>
      </c>
      <c r="X7" s="66" t="s">
        <v>22</v>
      </c>
      <c r="Y7" s="66" t="s">
        <v>17</v>
      </c>
    </row>
    <row r="8" spans="1:25" s="620" customFormat="1" ht="14.25" customHeight="1" thickTop="1">
      <c r="A8" s="620" t="s">
        <v>229</v>
      </c>
      <c r="B8" s="5"/>
      <c r="C8" s="247" t="s">
        <v>213</v>
      </c>
      <c r="D8" s="217"/>
      <c r="E8" s="246" t="s">
        <v>187</v>
      </c>
      <c r="F8" s="276" t="s">
        <v>111</v>
      </c>
      <c r="G8" s="595">
        <v>1</v>
      </c>
      <c r="H8" s="585">
        <v>31.41</v>
      </c>
      <c r="I8" s="585">
        <v>8.81</v>
      </c>
      <c r="J8" s="254">
        <v>0.01</v>
      </c>
      <c r="K8" s="55">
        <f t="shared" ref="K8:K14" si="0">(H8+(I8/G8))*(1+J8)</f>
        <v>40.622199999999999</v>
      </c>
      <c r="L8" s="439">
        <f>V81</f>
        <v>477.6</v>
      </c>
      <c r="M8" s="56">
        <f t="shared" ref="M8:M14" si="1">K8*L8/1000</f>
        <v>19.401162719999999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19.401162719999999</v>
      </c>
      <c r="S8" s="595">
        <v>18.989999999999998</v>
      </c>
      <c r="T8" s="785">
        <v>243.90922898672292</v>
      </c>
      <c r="U8" s="56">
        <f>S8*T8/3600/G8</f>
        <v>1.2866211829049634</v>
      </c>
      <c r="V8" s="56">
        <f t="shared" ref="V8:V14" si="5">$S$85</f>
        <v>0</v>
      </c>
      <c r="W8" s="56">
        <f>S8*V8/3600/G8</f>
        <v>0</v>
      </c>
      <c r="X8" s="54">
        <f t="shared" ref="X8:X14" si="6">U8+W8</f>
        <v>1.2866211829049634</v>
      </c>
      <c r="Y8" s="54">
        <f t="shared" ref="Y8:Y14" si="7">R8+X8</f>
        <v>20.687783902904961</v>
      </c>
    </row>
    <row r="9" spans="1:25" s="620" customFormat="1" ht="14.25" customHeight="1">
      <c r="A9" s="620" t="s">
        <v>230</v>
      </c>
      <c r="B9" s="5"/>
      <c r="C9" s="247" t="s">
        <v>214</v>
      </c>
      <c r="D9" s="217"/>
      <c r="E9" s="367" t="s">
        <v>197</v>
      </c>
      <c r="F9" s="276" t="s">
        <v>111</v>
      </c>
      <c r="G9" s="240">
        <v>2</v>
      </c>
      <c r="H9" s="585">
        <v>35.119999999999997</v>
      </c>
      <c r="I9" s="585">
        <v>25.26</v>
      </c>
      <c r="J9" s="254">
        <v>0.01</v>
      </c>
      <c r="K9" s="55">
        <f t="shared" si="0"/>
        <v>48.227499999999999</v>
      </c>
      <c r="L9" s="439">
        <f>W81</f>
        <v>277.27999999999997</v>
      </c>
      <c r="M9" s="56">
        <f t="shared" si="1"/>
        <v>13.3725212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13.3725212</v>
      </c>
      <c r="S9" s="595">
        <v>19.899999999999999</v>
      </c>
      <c r="T9" s="785">
        <v>243.90922898672292</v>
      </c>
      <c r="U9" s="56">
        <f t="shared" ref="U9:U14" si="8">S9*T9/3600/G9</f>
        <v>0.67413800789385914</v>
      </c>
      <c r="V9" s="56">
        <f t="shared" si="5"/>
        <v>0</v>
      </c>
      <c r="W9" s="56">
        <f t="shared" ref="W9:W14" si="9">S9*V9/3600/G9</f>
        <v>0</v>
      </c>
      <c r="X9" s="54">
        <f t="shared" si="6"/>
        <v>0.67413800789385914</v>
      </c>
      <c r="Y9" s="54">
        <f t="shared" si="7"/>
        <v>14.046659207893859</v>
      </c>
    </row>
    <row r="10" spans="1:25" s="620" customFormat="1" ht="14.25" customHeight="1">
      <c r="A10" s="620" t="s">
        <v>231</v>
      </c>
      <c r="B10" s="5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585">
        <v>25.268000000000001</v>
      </c>
      <c r="I10" s="585">
        <v>16.568999999999999</v>
      </c>
      <c r="J10" s="254">
        <v>0.01</v>
      </c>
      <c r="K10" s="55">
        <f t="shared" si="0"/>
        <v>33.888024999999999</v>
      </c>
      <c r="L10" s="439">
        <f>X81</f>
        <v>609.1</v>
      </c>
      <c r="M10" s="56">
        <f t="shared" si="1"/>
        <v>20.641196027500001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20.641196027500001</v>
      </c>
      <c r="S10" s="595">
        <v>18.989999999999998</v>
      </c>
      <c r="T10" s="785">
        <v>243.90922898672292</v>
      </c>
      <c r="U10" s="56">
        <f t="shared" si="8"/>
        <v>0.64331059145248171</v>
      </c>
      <c r="V10" s="56">
        <f t="shared" si="5"/>
        <v>0</v>
      </c>
      <c r="W10" s="56">
        <f t="shared" si="9"/>
        <v>0</v>
      </c>
      <c r="X10" s="54">
        <f t="shared" si="6"/>
        <v>0.64331059145248171</v>
      </c>
      <c r="Y10" s="54">
        <f t="shared" si="7"/>
        <v>21.284506618952484</v>
      </c>
    </row>
    <row r="11" spans="1:25" s="620" customFormat="1" ht="14.25" customHeight="1">
      <c r="A11" s="620" t="s">
        <v>232</v>
      </c>
      <c r="B11" s="5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587">
        <v>6.67</v>
      </c>
      <c r="I11" s="587">
        <v>3.39</v>
      </c>
      <c r="J11" s="254">
        <v>0.01</v>
      </c>
      <c r="K11" s="55">
        <f t="shared" si="0"/>
        <v>8.4486500000000007</v>
      </c>
      <c r="L11" s="240">
        <f>X81</f>
        <v>609.1</v>
      </c>
      <c r="M11" s="56">
        <f t="shared" si="1"/>
        <v>5.1460727149999999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5.1460727149999999</v>
      </c>
      <c r="S11" s="595">
        <v>23.27</v>
      </c>
      <c r="T11" s="785">
        <v>243.90922898672292</v>
      </c>
      <c r="U11" s="56">
        <f t="shared" si="8"/>
        <v>0.788301077572367</v>
      </c>
      <c r="V11" s="56">
        <f t="shared" si="5"/>
        <v>0</v>
      </c>
      <c r="W11" s="56">
        <f t="shared" si="9"/>
        <v>0</v>
      </c>
      <c r="X11" s="54">
        <f t="shared" si="6"/>
        <v>0.788301077572367</v>
      </c>
      <c r="Y11" s="54">
        <f t="shared" si="7"/>
        <v>5.9343737925723667</v>
      </c>
    </row>
    <row r="12" spans="1:25" s="620" customFormat="1" ht="14.25" customHeight="1">
      <c r="A12" s="620" t="s">
        <v>233</v>
      </c>
      <c r="B12" s="5"/>
      <c r="C12" s="274" t="s">
        <v>194</v>
      </c>
      <c r="D12" s="388"/>
      <c r="E12" s="367" t="s">
        <v>157</v>
      </c>
      <c r="F12" s="351" t="s">
        <v>180</v>
      </c>
      <c r="G12" s="588">
        <v>2</v>
      </c>
      <c r="H12" s="589">
        <v>1.99</v>
      </c>
      <c r="I12" s="589">
        <v>1.135</v>
      </c>
      <c r="J12" s="269">
        <v>0.01</v>
      </c>
      <c r="K12" s="55">
        <f t="shared" si="0"/>
        <v>2.583075</v>
      </c>
      <c r="L12" s="264">
        <f>W81</f>
        <v>277.27999999999997</v>
      </c>
      <c r="M12" s="56">
        <f t="shared" si="1"/>
        <v>0.71623503599999994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0.71623503599999994</v>
      </c>
      <c r="S12" s="598">
        <v>10.07</v>
      </c>
      <c r="T12" s="785">
        <v>243.90922898672292</v>
      </c>
      <c r="U12" s="56">
        <f t="shared" si="8"/>
        <v>0.34113415776337497</v>
      </c>
      <c r="V12" s="56">
        <f t="shared" si="5"/>
        <v>0</v>
      </c>
      <c r="W12" s="56">
        <f t="shared" si="9"/>
        <v>0</v>
      </c>
      <c r="X12" s="54">
        <f t="shared" si="6"/>
        <v>0.34113415776337497</v>
      </c>
      <c r="Y12" s="54">
        <f t="shared" si="7"/>
        <v>1.0573691937633749</v>
      </c>
    </row>
    <row r="13" spans="1:25" s="620" customFormat="1" ht="14.25" customHeight="1">
      <c r="A13" s="620" t="s">
        <v>235</v>
      </c>
      <c r="B13" s="5"/>
      <c r="C13" s="389" t="s">
        <v>195</v>
      </c>
      <c r="D13" s="390"/>
      <c r="E13" s="367" t="s">
        <v>157</v>
      </c>
      <c r="F13" s="368" t="s">
        <v>180</v>
      </c>
      <c r="G13" s="281">
        <v>4</v>
      </c>
      <c r="H13" s="594">
        <v>5.96</v>
      </c>
      <c r="I13" s="594">
        <v>1.46</v>
      </c>
      <c r="J13" s="370">
        <v>0.01</v>
      </c>
      <c r="K13" s="81">
        <f t="shared" si="0"/>
        <v>6.3882500000000002</v>
      </c>
      <c r="L13" s="281">
        <f>W81</f>
        <v>277.27999999999997</v>
      </c>
      <c r="M13" s="371">
        <f t="shared" si="1"/>
        <v>1.77133396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1.77133396</v>
      </c>
      <c r="S13" s="590">
        <v>20.98</v>
      </c>
      <c r="T13" s="786">
        <v>243.90922898672292</v>
      </c>
      <c r="U13" s="371">
        <f t="shared" si="8"/>
        <v>0.35536219612093378</v>
      </c>
      <c r="V13" s="371">
        <f t="shared" si="5"/>
        <v>0</v>
      </c>
      <c r="W13" s="371">
        <f t="shared" si="9"/>
        <v>0</v>
      </c>
      <c r="X13" s="349">
        <f t="shared" si="6"/>
        <v>0.35536219612093378</v>
      </c>
      <c r="Y13" s="349">
        <f t="shared" si="7"/>
        <v>2.1266961561209339</v>
      </c>
    </row>
    <row r="14" spans="1:25" s="620" customFormat="1" ht="14.25" customHeight="1">
      <c r="A14" s="620" t="s">
        <v>234</v>
      </c>
      <c r="B14" s="5"/>
      <c r="C14" s="391" t="s">
        <v>196</v>
      </c>
      <c r="D14" s="392"/>
      <c r="E14" s="367" t="s">
        <v>157</v>
      </c>
      <c r="F14" s="273" t="s">
        <v>180</v>
      </c>
      <c r="G14" s="586">
        <v>2</v>
      </c>
      <c r="H14" s="591">
        <v>1.47</v>
      </c>
      <c r="I14" s="591">
        <v>2.92</v>
      </c>
      <c r="J14" s="271">
        <v>0.01</v>
      </c>
      <c r="K14" s="353">
        <f t="shared" si="0"/>
        <v>2.9592999999999998</v>
      </c>
      <c r="L14" s="265">
        <f>W81</f>
        <v>277.27999999999997</v>
      </c>
      <c r="M14" s="323">
        <f t="shared" si="1"/>
        <v>0.82055470399999986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0.82055470399999986</v>
      </c>
      <c r="S14" s="597">
        <v>15.37</v>
      </c>
      <c r="T14" s="787">
        <v>243.90922898672292</v>
      </c>
      <c r="U14" s="323">
        <f t="shared" si="8"/>
        <v>0.52067845132304602</v>
      </c>
      <c r="V14" s="323">
        <f t="shared" si="5"/>
        <v>0</v>
      </c>
      <c r="W14" s="323">
        <f t="shared" si="9"/>
        <v>0</v>
      </c>
      <c r="X14" s="90">
        <f t="shared" si="6"/>
        <v>0.52067845132304602</v>
      </c>
      <c r="Y14" s="90">
        <f t="shared" si="7"/>
        <v>1.3412331553230459</v>
      </c>
    </row>
    <row r="15" spans="1:25" s="620" customFormat="1" ht="14.25" customHeight="1">
      <c r="B15" s="5"/>
      <c r="C15" s="252" t="s">
        <v>46</v>
      </c>
      <c r="D15" s="229"/>
      <c r="E15" s="229"/>
      <c r="F15" s="12"/>
      <c r="G15" s="11"/>
      <c r="H15" s="229"/>
      <c r="I15" s="229"/>
      <c r="J15" s="13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76</v>
      </c>
      <c r="U15" s="402"/>
      <c r="V15" s="403" t="s">
        <v>47</v>
      </c>
      <c r="W15" s="15"/>
      <c r="X15" s="14">
        <f>U15*W15</f>
        <v>0</v>
      </c>
      <c r="Y15" s="14">
        <f>X15</f>
        <v>0</v>
      </c>
    </row>
    <row r="16" spans="1:25" s="79" customFormat="1" ht="14.25" customHeight="1">
      <c r="A16" s="620" t="s">
        <v>229</v>
      </c>
      <c r="B16" s="5"/>
      <c r="C16" s="247" t="s">
        <v>213</v>
      </c>
      <c r="D16" s="217"/>
      <c r="E16" s="246" t="s">
        <v>187</v>
      </c>
      <c r="F16" s="276" t="s">
        <v>111</v>
      </c>
      <c r="G16" s="243">
        <v>1.00159</v>
      </c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f t="shared" ref="M16:M22" si="11">K16*L16/1000/G16</f>
        <v>0</v>
      </c>
      <c r="N16" s="178">
        <f t="shared" ref="N16:N22" si="12">I16+(H16+I16)*J16/100</f>
        <v>0</v>
      </c>
      <c r="O16" s="255">
        <v>0.9</v>
      </c>
      <c r="P16" s="177">
        <v>0</v>
      </c>
      <c r="Q16" s="178">
        <f t="shared" ref="Q16:Q22" si="13">N16*O16*P16/1000/G16</f>
        <v>0</v>
      </c>
      <c r="R16" s="179">
        <f t="shared" ref="R16:R22" si="14">M16-Q16</f>
        <v>0</v>
      </c>
      <c r="S16" s="243">
        <v>0</v>
      </c>
      <c r="T16" s="788">
        <v>243.90922898672292</v>
      </c>
      <c r="U16" s="178">
        <f t="shared" ref="U16:U22" si="15">S16*T16/3600</f>
        <v>0</v>
      </c>
      <c r="V16" s="178">
        <f t="shared" ref="V16:V21" si="16">$S$86</f>
        <v>0</v>
      </c>
      <c r="W16" s="178">
        <f t="shared" ref="W16:W22" si="17">S16*V16/3600/G16</f>
        <v>0</v>
      </c>
      <c r="X16" s="179">
        <f t="shared" ref="X16:X22" si="18">U16+W16</f>
        <v>0</v>
      </c>
      <c r="Y16" s="179">
        <f t="shared" ref="Y16:Y22" si="19">R16+X16</f>
        <v>0</v>
      </c>
    </row>
    <row r="17" spans="1:36" s="79" customFormat="1" ht="14.25" customHeight="1">
      <c r="A17" s="620" t="s">
        <v>230</v>
      </c>
      <c r="B17" s="5"/>
      <c r="C17" s="247" t="s">
        <v>214</v>
      </c>
      <c r="D17" s="217"/>
      <c r="E17" s="246" t="s">
        <v>197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si="11"/>
        <v>0</v>
      </c>
      <c r="N17" s="56">
        <f t="shared" si="12"/>
        <v>0</v>
      </c>
      <c r="O17" s="254">
        <v>0.9</v>
      </c>
      <c r="P17" s="1">
        <v>0</v>
      </c>
      <c r="Q17" s="56">
        <f t="shared" si="13"/>
        <v>0</v>
      </c>
      <c r="R17" s="54">
        <f t="shared" si="14"/>
        <v>0</v>
      </c>
      <c r="S17" s="595">
        <v>20</v>
      </c>
      <c r="T17" s="785">
        <v>243.90922898672292</v>
      </c>
      <c r="U17" s="56">
        <f t="shared" si="15"/>
        <v>1.3550512721484607</v>
      </c>
      <c r="V17" s="56">
        <f t="shared" si="16"/>
        <v>0</v>
      </c>
      <c r="W17" s="56">
        <f t="shared" si="17"/>
        <v>0</v>
      </c>
      <c r="X17" s="54">
        <f t="shared" si="18"/>
        <v>1.3550512721484607</v>
      </c>
      <c r="Y17" s="54">
        <f t="shared" si="19"/>
        <v>1.3550512721484607</v>
      </c>
    </row>
    <row r="18" spans="1:36" s="79" customFormat="1" ht="14.25" customHeight="1">
      <c r="A18" s="620" t="s">
        <v>231</v>
      </c>
      <c r="B18" s="5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 t="shared" si="11"/>
        <v>0</v>
      </c>
      <c r="N18" s="56">
        <f t="shared" si="12"/>
        <v>0</v>
      </c>
      <c r="O18" s="254">
        <v>0.9</v>
      </c>
      <c r="P18" s="1">
        <v>0</v>
      </c>
      <c r="Q18" s="56">
        <f t="shared" si="13"/>
        <v>0</v>
      </c>
      <c r="R18" s="54">
        <f t="shared" si="14"/>
        <v>0</v>
      </c>
      <c r="S18" s="595">
        <v>50</v>
      </c>
      <c r="T18" s="785">
        <v>243.90922898672292</v>
      </c>
      <c r="U18" s="56">
        <f t="shared" si="15"/>
        <v>3.3876281803711517</v>
      </c>
      <c r="V18" s="56">
        <f t="shared" si="16"/>
        <v>0</v>
      </c>
      <c r="W18" s="56">
        <f t="shared" si="17"/>
        <v>0</v>
      </c>
      <c r="X18" s="54">
        <f t="shared" si="18"/>
        <v>3.3876281803711517</v>
      </c>
      <c r="Y18" s="54">
        <f t="shared" si="19"/>
        <v>3.3876281803711517</v>
      </c>
    </row>
    <row r="19" spans="1:36" s="79" customFormat="1" ht="14.25" customHeight="1">
      <c r="A19" s="620" t="s">
        <v>232</v>
      </c>
      <c r="B19" s="5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1"/>
        <v>0</v>
      </c>
      <c r="N19" s="56">
        <f t="shared" si="12"/>
        <v>0</v>
      </c>
      <c r="O19" s="254">
        <v>0.9</v>
      </c>
      <c r="P19" s="1">
        <v>0</v>
      </c>
      <c r="Q19" s="56">
        <f t="shared" si="13"/>
        <v>0</v>
      </c>
      <c r="R19" s="54">
        <f t="shared" si="14"/>
        <v>0</v>
      </c>
      <c r="S19" s="240">
        <v>10</v>
      </c>
      <c r="T19" s="785">
        <v>243.90922898672292</v>
      </c>
      <c r="U19" s="56">
        <f t="shared" si="15"/>
        <v>0.67752563607423033</v>
      </c>
      <c r="V19" s="56">
        <f t="shared" si="16"/>
        <v>0</v>
      </c>
      <c r="W19" s="56">
        <f t="shared" si="17"/>
        <v>0</v>
      </c>
      <c r="X19" s="54">
        <f t="shared" si="18"/>
        <v>0.67752563607423033</v>
      </c>
      <c r="Y19" s="54">
        <f t="shared" si="19"/>
        <v>0.67752563607423033</v>
      </c>
    </row>
    <row r="20" spans="1:36" s="79" customFormat="1" ht="14.25" customHeight="1">
      <c r="A20" s="620" t="s">
        <v>233</v>
      </c>
      <c r="B20" s="5"/>
      <c r="C20" s="274" t="s">
        <v>194</v>
      </c>
      <c r="D20" s="393"/>
      <c r="E20" s="350" t="s">
        <v>157</v>
      </c>
      <c r="F20" s="351" t="s">
        <v>180</v>
      </c>
      <c r="G20" s="264">
        <v>1</v>
      </c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f t="shared" si="11"/>
        <v>0</v>
      </c>
      <c r="N20" s="322">
        <f t="shared" si="12"/>
        <v>0</v>
      </c>
      <c r="O20" s="269">
        <v>0.9</v>
      </c>
      <c r="P20" s="3">
        <v>0</v>
      </c>
      <c r="Q20" s="95">
        <f t="shared" si="13"/>
        <v>0</v>
      </c>
      <c r="R20" s="46">
        <f t="shared" si="14"/>
        <v>0</v>
      </c>
      <c r="S20" s="396">
        <v>0</v>
      </c>
      <c r="T20" s="785">
        <v>243.90922898672292</v>
      </c>
      <c r="U20" s="56">
        <f t="shared" si="15"/>
        <v>0</v>
      </c>
      <c r="V20" s="56">
        <f t="shared" si="16"/>
        <v>0</v>
      </c>
      <c r="W20" s="56">
        <f t="shared" si="17"/>
        <v>0</v>
      </c>
      <c r="X20" s="54">
        <f t="shared" si="18"/>
        <v>0</v>
      </c>
      <c r="Y20" s="54">
        <f t="shared" si="19"/>
        <v>0</v>
      </c>
    </row>
    <row r="21" spans="1:36" s="79" customFormat="1" ht="14.25" customHeight="1">
      <c r="A21" s="620" t="s">
        <v>235</v>
      </c>
      <c r="B21" s="5"/>
      <c r="C21" s="389" t="s">
        <v>195</v>
      </c>
      <c r="D21" s="394"/>
      <c r="E21" s="367" t="s">
        <v>157</v>
      </c>
      <c r="F21" s="368" t="s">
        <v>180</v>
      </c>
      <c r="G21" s="281">
        <v>1</v>
      </c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75">
        <f t="shared" si="11"/>
        <v>0</v>
      </c>
      <c r="N21" s="375">
        <f t="shared" si="12"/>
        <v>0</v>
      </c>
      <c r="O21" s="370">
        <v>0.9</v>
      </c>
      <c r="P21" s="4">
        <v>0</v>
      </c>
      <c r="Q21" s="184">
        <f t="shared" si="13"/>
        <v>0</v>
      </c>
      <c r="R21" s="60">
        <f t="shared" si="14"/>
        <v>0</v>
      </c>
      <c r="S21" s="397">
        <v>0</v>
      </c>
      <c r="T21" s="786">
        <v>243.90922898672292</v>
      </c>
      <c r="U21" s="371">
        <f t="shared" si="15"/>
        <v>0</v>
      </c>
      <c r="V21" s="371">
        <f t="shared" si="16"/>
        <v>0</v>
      </c>
      <c r="W21" s="371">
        <f t="shared" si="17"/>
        <v>0</v>
      </c>
      <c r="X21" s="349">
        <f t="shared" si="18"/>
        <v>0</v>
      </c>
      <c r="Y21" s="349">
        <f t="shared" si="19"/>
        <v>0</v>
      </c>
    </row>
    <row r="22" spans="1:36" s="79" customFormat="1" ht="14.25" customHeight="1" thickBot="1">
      <c r="A22" s="620" t="s">
        <v>234</v>
      </c>
      <c r="B22" s="5"/>
      <c r="C22" s="391" t="s">
        <v>196</v>
      </c>
      <c r="D22" s="392"/>
      <c r="E22" s="352" t="s">
        <v>157</v>
      </c>
      <c r="F22" s="273" t="s">
        <v>180</v>
      </c>
      <c r="G22" s="265">
        <v>1</v>
      </c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3">
        <f t="shared" si="11"/>
        <v>0</v>
      </c>
      <c r="N22" s="323">
        <f t="shared" si="12"/>
        <v>0</v>
      </c>
      <c r="O22" s="271">
        <v>0.9</v>
      </c>
      <c r="P22" s="53">
        <v>0</v>
      </c>
      <c r="Q22" s="354">
        <f t="shared" si="13"/>
        <v>0</v>
      </c>
      <c r="R22" s="60">
        <f t="shared" si="14"/>
        <v>0</v>
      </c>
      <c r="S22" s="397">
        <v>0</v>
      </c>
      <c r="T22" s="787">
        <v>243.90922898672292</v>
      </c>
      <c r="U22" s="323">
        <f t="shared" si="15"/>
        <v>0</v>
      </c>
      <c r="V22" s="323">
        <f>V21</f>
        <v>0</v>
      </c>
      <c r="W22" s="357">
        <f t="shared" si="17"/>
        <v>0</v>
      </c>
      <c r="X22" s="60">
        <f t="shared" si="18"/>
        <v>0</v>
      </c>
      <c r="Y22" s="60">
        <f t="shared" si="19"/>
        <v>0</v>
      </c>
    </row>
    <row r="23" spans="1:36" s="620" customFormat="1" ht="14.25" customHeight="1" thickBot="1">
      <c r="B23" s="5"/>
      <c r="C23" s="219" t="s">
        <v>33</v>
      </c>
      <c r="D23" s="11"/>
      <c r="E23" s="11"/>
      <c r="F23" s="12"/>
      <c r="G23" s="11"/>
      <c r="H23" s="11"/>
      <c r="I23" s="11"/>
      <c r="J23" s="11"/>
      <c r="K23" s="11"/>
      <c r="L23" s="229"/>
      <c r="M23" s="11"/>
      <c r="N23" s="11"/>
      <c r="O23" s="11"/>
      <c r="P23" s="11"/>
      <c r="Q23" s="16"/>
      <c r="R23" s="17">
        <f>SUM(R8:R22)</f>
        <v>61.869076362500003</v>
      </c>
      <c r="S23" s="105" t="s">
        <v>32</v>
      </c>
      <c r="T23" s="11"/>
      <c r="U23" s="11"/>
      <c r="V23" s="11"/>
      <c r="W23" s="16"/>
      <c r="X23" s="17">
        <f>SUM(X8:X19)</f>
        <v>10.029750753624869</v>
      </c>
      <c r="Y23" s="75">
        <f>SUM(Y8:Y22)</f>
        <v>71.898827116124878</v>
      </c>
    </row>
    <row r="24" spans="1:36" s="620" customFormat="1" ht="14.25" customHeight="1">
      <c r="B24" s="5"/>
      <c r="C24" s="18"/>
      <c r="D24" s="18"/>
      <c r="E24" s="18"/>
      <c r="F24" s="19"/>
      <c r="G24" s="18"/>
      <c r="H24" s="63"/>
      <c r="I24" s="63"/>
      <c r="J24" s="63"/>
      <c r="K24" s="63"/>
      <c r="L24" s="63"/>
      <c r="M24" s="63"/>
      <c r="N24" s="63"/>
      <c r="O24" s="63"/>
      <c r="P24" s="18"/>
      <c r="Q24" s="18"/>
      <c r="R24" s="18"/>
      <c r="S24" s="244" t="s">
        <v>48</v>
      </c>
      <c r="T24" s="18"/>
      <c r="U24" s="18"/>
      <c r="V24" s="18"/>
      <c r="W24" s="18"/>
      <c r="X24" s="18"/>
    </row>
    <row r="25" spans="1:36" ht="14.25" customHeight="1" thickBot="1">
      <c r="B25" s="5"/>
      <c r="C25" s="86" t="s">
        <v>150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36" ht="14.25" customHeight="1" thickBot="1">
      <c r="B26" s="5"/>
      <c r="C26" s="1014" t="s">
        <v>118</v>
      </c>
      <c r="D26" s="1015"/>
      <c r="E26" s="67" t="s">
        <v>3</v>
      </c>
      <c r="F26" s="67" t="s">
        <v>4</v>
      </c>
      <c r="G26" s="67" t="s">
        <v>5</v>
      </c>
      <c r="H26" s="67" t="s">
        <v>6</v>
      </c>
      <c r="I26" s="67" t="s">
        <v>7</v>
      </c>
      <c r="J26" s="67" t="s">
        <v>8</v>
      </c>
      <c r="K26" s="67" t="s">
        <v>9</v>
      </c>
      <c r="L26" s="67" t="s">
        <v>24</v>
      </c>
      <c r="M26" s="67" t="s">
        <v>10</v>
      </c>
      <c r="N26" s="67" t="s">
        <v>18</v>
      </c>
      <c r="O26" s="67" t="s">
        <v>19</v>
      </c>
      <c r="P26" s="67" t="s">
        <v>11</v>
      </c>
      <c r="Q26" s="67" t="s">
        <v>12</v>
      </c>
      <c r="R26" s="66" t="s">
        <v>20</v>
      </c>
      <c r="S26" s="67" t="s">
        <v>13</v>
      </c>
      <c r="T26" s="67" t="s">
        <v>21</v>
      </c>
      <c r="U26" s="67" t="s">
        <v>14</v>
      </c>
      <c r="V26" s="67" t="s">
        <v>15</v>
      </c>
      <c r="W26" s="67" t="s">
        <v>16</v>
      </c>
      <c r="X26" s="66" t="s">
        <v>22</v>
      </c>
      <c r="Y26" s="66" t="s">
        <v>17</v>
      </c>
    </row>
    <row r="27" spans="1:36" ht="14.25" customHeight="1" thickTop="1" thickBot="1">
      <c r="B27" s="5"/>
      <c r="C27" s="20"/>
      <c r="D27" s="21"/>
      <c r="E27" s="2"/>
      <c r="F27" s="22"/>
      <c r="G27" s="2"/>
      <c r="H27" s="23"/>
      <c r="I27" s="23"/>
      <c r="J27" s="24"/>
      <c r="K27" s="25"/>
      <c r="L27" s="2"/>
      <c r="M27" s="26"/>
      <c r="N27" s="26"/>
      <c r="O27" s="24"/>
      <c r="P27" s="2"/>
      <c r="Q27" s="26"/>
      <c r="R27" s="27"/>
      <c r="S27" s="2"/>
      <c r="T27" s="28"/>
      <c r="U27" s="26"/>
      <c r="V27" s="28"/>
      <c r="W27" s="26"/>
      <c r="X27" s="27"/>
      <c r="Y27" s="27"/>
    </row>
    <row r="28" spans="1:36" ht="14.25" customHeight="1" thickBot="1">
      <c r="B28" s="5"/>
      <c r="C28" s="104" t="s">
        <v>33</v>
      </c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"/>
      <c r="R28" s="17">
        <f>SUM(R27:R27)</f>
        <v>0</v>
      </c>
      <c r="S28" s="105" t="s">
        <v>32</v>
      </c>
      <c r="T28" s="11" t="s">
        <v>0</v>
      </c>
      <c r="U28" s="11"/>
      <c r="V28" s="11"/>
      <c r="W28" s="16"/>
      <c r="X28" s="17">
        <f>SUM(X27:X27)</f>
        <v>0</v>
      </c>
      <c r="Y28" s="75">
        <f>SUM(Y27:Y27)</f>
        <v>0</v>
      </c>
    </row>
    <row r="29" spans="1:36" ht="14.25" customHeight="1">
      <c r="B29" s="5"/>
      <c r="C29" s="5"/>
      <c r="D29" s="5"/>
      <c r="E29" s="5"/>
      <c r="F29" s="2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36" ht="14.25" customHeight="1" thickBot="1">
      <c r="B30" s="5"/>
      <c r="C30" s="86" t="s">
        <v>149</v>
      </c>
      <c r="D30" s="5"/>
      <c r="E30" s="5"/>
      <c r="F30" s="29"/>
      <c r="G30" s="5"/>
      <c r="H30" s="5"/>
      <c r="I30" s="5"/>
      <c r="J30" s="5"/>
      <c r="K30" s="5"/>
      <c r="L30" s="5"/>
      <c r="M30" s="5"/>
      <c r="O30" s="102" t="s">
        <v>82</v>
      </c>
      <c r="P30" s="5"/>
      <c r="Q30" s="5"/>
      <c r="R30" s="5"/>
      <c r="S30" s="5"/>
      <c r="T30" s="5"/>
      <c r="U30" s="5"/>
      <c r="V30" s="5"/>
      <c r="W30" s="5"/>
      <c r="X30" s="5"/>
    </row>
    <row r="31" spans="1:36" ht="14.25" customHeight="1" thickBot="1">
      <c r="B31" s="5"/>
      <c r="C31" s="7" t="s">
        <v>2</v>
      </c>
      <c r="D31" s="8"/>
      <c r="E31" s="9" t="s">
        <v>3</v>
      </c>
      <c r="F31" s="9" t="s">
        <v>4</v>
      </c>
      <c r="G31" s="30" t="s">
        <v>49</v>
      </c>
      <c r="H31" s="9" t="s">
        <v>23</v>
      </c>
      <c r="I31" s="67" t="s">
        <v>169</v>
      </c>
      <c r="J31" s="9" t="s">
        <v>8</v>
      </c>
      <c r="K31" s="9" t="s">
        <v>24</v>
      </c>
      <c r="L31" s="10" t="s">
        <v>50</v>
      </c>
      <c r="M31" s="72" t="s">
        <v>40</v>
      </c>
      <c r="O31" s="68" t="s">
        <v>26</v>
      </c>
      <c r="P31" s="71"/>
      <c r="Q31" s="582" t="s">
        <v>13</v>
      </c>
      <c r="R31" s="582" t="s">
        <v>27</v>
      </c>
      <c r="S31" s="582" t="s">
        <v>28</v>
      </c>
      <c r="T31" s="582" t="s">
        <v>8</v>
      </c>
      <c r="U31" s="582" t="s">
        <v>29</v>
      </c>
      <c r="V31" s="582" t="s">
        <v>14</v>
      </c>
      <c r="W31" s="582" t="s">
        <v>30</v>
      </c>
      <c r="X31" s="582" t="s">
        <v>16</v>
      </c>
      <c r="Y31" s="66" t="s">
        <v>31</v>
      </c>
      <c r="AA31" s="621">
        <f>E3</f>
        <v>0</v>
      </c>
      <c r="AB31" s="1016" t="str">
        <f>E2</f>
        <v>TMR-050 SRC 18ch For Japan</v>
      </c>
      <c r="AC31" s="1017"/>
      <c r="AD31" s="1017"/>
      <c r="AE31" s="1018"/>
    </row>
    <row r="32" spans="1:36" ht="14.25" customHeight="1" thickTop="1" thickBot="1">
      <c r="A32" s="614" t="s">
        <v>236</v>
      </c>
      <c r="B32" s="5"/>
      <c r="C32" s="442" t="s">
        <v>51</v>
      </c>
      <c r="D32" s="262" t="s">
        <v>273</v>
      </c>
      <c r="E32" s="263" t="s">
        <v>275</v>
      </c>
      <c r="F32" s="263" t="s">
        <v>111</v>
      </c>
      <c r="G32" s="263"/>
      <c r="H32" s="776">
        <v>1.00817</v>
      </c>
      <c r="I32" s="777" t="s">
        <v>140</v>
      </c>
      <c r="J32" s="267">
        <v>5.0000000000000001E-3</v>
      </c>
      <c r="K32" s="272">
        <v>21.24</v>
      </c>
      <c r="L32" s="89">
        <f t="shared" ref="L32:L37" si="20">H32*(1+J32)*K32</f>
        <v>21.520598453999995</v>
      </c>
      <c r="M32" s="583"/>
      <c r="N32" s="159"/>
      <c r="O32" s="283" t="s">
        <v>158</v>
      </c>
      <c r="P32" s="93"/>
      <c r="Q32" s="600">
        <v>6.87</v>
      </c>
      <c r="R32" s="415">
        <v>0</v>
      </c>
      <c r="S32" s="284">
        <v>0.9</v>
      </c>
      <c r="T32" s="284">
        <v>5.0000000000000001E-3</v>
      </c>
      <c r="U32" s="780">
        <v>247.0617336936528</v>
      </c>
      <c r="V32" s="92">
        <f t="shared" ref="V32:V37" si="21">Q32*R32/S32*(1+T32)*U32/3600</f>
        <v>0</v>
      </c>
      <c r="W32" s="780">
        <v>370</v>
      </c>
      <c r="X32" s="94">
        <f t="shared" ref="X32:X37" si="22">Q32/S32*(1+T32)*W32/3600</f>
        <v>0.78845972222222205</v>
      </c>
      <c r="Y32" s="89">
        <f t="shared" ref="Y32:Y37" si="23">V32+X32</f>
        <v>0.78845972222222205</v>
      </c>
      <c r="AA32" s="622">
        <f>D1</f>
        <v>2018</v>
      </c>
      <c r="AB32" s="623" t="s">
        <v>52</v>
      </c>
      <c r="AC32" s="624" t="s">
        <v>39</v>
      </c>
      <c r="AD32" s="625" t="s">
        <v>53</v>
      </c>
      <c r="AE32" s="625" t="s">
        <v>54</v>
      </c>
      <c r="AF32" s="617" t="s">
        <v>55</v>
      </c>
      <c r="AG32" s="617"/>
      <c r="AI32" s="616" t="s">
        <v>54</v>
      </c>
      <c r="AJ32" s="616" t="s">
        <v>53</v>
      </c>
    </row>
    <row r="33" spans="1:36" ht="14.25" customHeight="1">
      <c r="A33" s="614" t="s">
        <v>237</v>
      </c>
      <c r="B33" s="5"/>
      <c r="C33" s="199"/>
      <c r="D33" s="382" t="s">
        <v>274</v>
      </c>
      <c r="E33" s="264" t="s">
        <v>275</v>
      </c>
      <c r="F33" s="264" t="s">
        <v>111</v>
      </c>
      <c r="G33" s="264"/>
      <c r="H33" s="778">
        <v>1.00817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24.438645701999999</v>
      </c>
      <c r="M33" s="583"/>
      <c r="N33" s="159"/>
      <c r="O33" s="257" t="s">
        <v>159</v>
      </c>
      <c r="P33" s="59"/>
      <c r="Q33" s="601">
        <v>6.87</v>
      </c>
      <c r="R33" s="239">
        <v>0</v>
      </c>
      <c r="S33" s="256">
        <v>0.9</v>
      </c>
      <c r="T33" s="256">
        <v>5.0000000000000001E-3</v>
      </c>
      <c r="U33" s="781">
        <v>247.0617336936528</v>
      </c>
      <c r="V33" s="58">
        <f t="shared" si="21"/>
        <v>0</v>
      </c>
      <c r="W33" s="781">
        <v>370</v>
      </c>
      <c r="X33" s="95">
        <f t="shared" si="22"/>
        <v>0.78845972222222205</v>
      </c>
      <c r="Y33" s="46">
        <f t="shared" si="23"/>
        <v>0.78845972222222205</v>
      </c>
      <c r="AA33" s="626" t="s">
        <v>56</v>
      </c>
      <c r="AB33" s="627">
        <f>R23</f>
        <v>61.869076362500003</v>
      </c>
      <c r="AC33" s="628">
        <f>R23</f>
        <v>61.869076362500003</v>
      </c>
      <c r="AD33" s="629">
        <f>T23</f>
        <v>0</v>
      </c>
      <c r="AE33" s="629">
        <v>0</v>
      </c>
      <c r="AF33" s="630">
        <f t="shared" ref="AF33:AF47" si="24">SUM(AC33:AE33)</f>
        <v>61.869076362500003</v>
      </c>
      <c r="AG33" s="630">
        <f t="shared" ref="AG33:AG47" si="25">AB33-AF33</f>
        <v>0</v>
      </c>
      <c r="AI33" s="756">
        <f>L48+L49+L50+L51+L52+L53+L55+L56+L57+L58+L59+L60+L61+L79+L80+L81+L82+L83</f>
        <v>342.77559593775163</v>
      </c>
      <c r="AJ33" s="757">
        <f>AB47-AI33-AI37-AJ37</f>
        <v>277.09020682309705</v>
      </c>
    </row>
    <row r="34" spans="1:36" ht="14.25" customHeight="1">
      <c r="A34" s="616" t="s">
        <v>238</v>
      </c>
      <c r="B34" s="5"/>
      <c r="C34" s="199"/>
      <c r="D34" s="289" t="s">
        <v>188</v>
      </c>
      <c r="E34" s="291" t="s">
        <v>39</v>
      </c>
      <c r="F34" s="418" t="s">
        <v>111</v>
      </c>
      <c r="G34" s="291"/>
      <c r="H34" s="779">
        <v>1.00637</v>
      </c>
      <c r="I34" s="291" t="s">
        <v>77</v>
      </c>
      <c r="J34" s="292">
        <v>5.0000000000000001E-3</v>
      </c>
      <c r="K34" s="417">
        <v>18.7</v>
      </c>
      <c r="L34" s="46">
        <f t="shared" si="20"/>
        <v>18.913214594999999</v>
      </c>
      <c r="M34" s="404"/>
      <c r="N34" s="159"/>
      <c r="O34" s="257" t="s">
        <v>163</v>
      </c>
      <c r="P34" s="59"/>
      <c r="Q34" s="601">
        <v>14.86</v>
      </c>
      <c r="R34" s="239">
        <v>2</v>
      </c>
      <c r="S34" s="256">
        <v>0.9</v>
      </c>
      <c r="T34" s="256">
        <v>5.0000000000000001E-3</v>
      </c>
      <c r="U34" s="781">
        <v>247.0617336936528</v>
      </c>
      <c r="V34" s="58">
        <f>Q34*R34/S34*(1+T34)*U34/3600</f>
        <v>2.2775889194451349</v>
      </c>
      <c r="W34" s="58">
        <v>0</v>
      </c>
      <c r="X34" s="95">
        <f>Q34/S34*(1+T34)*W34/3600</f>
        <v>0</v>
      </c>
      <c r="Y34" s="46">
        <f>V34+X34</f>
        <v>2.2775889194451349</v>
      </c>
      <c r="AA34" s="631" t="s">
        <v>57</v>
      </c>
      <c r="AB34" s="632">
        <f>L39+L42</f>
        <v>179.9264588115</v>
      </c>
      <c r="AC34" s="633">
        <v>0</v>
      </c>
      <c r="AD34" s="634">
        <f>+L42</f>
        <v>6.1076652945000003</v>
      </c>
      <c r="AE34" s="634">
        <f>L39</f>
        <v>173.81879351699999</v>
      </c>
      <c r="AF34" s="630">
        <f t="shared" si="24"/>
        <v>179.9264588115</v>
      </c>
      <c r="AG34" s="630">
        <f t="shared" si="25"/>
        <v>0</v>
      </c>
    </row>
    <row r="35" spans="1:36" ht="14.25" customHeight="1">
      <c r="A35" s="616" t="s">
        <v>239</v>
      </c>
      <c r="B35" s="5"/>
      <c r="C35" s="751"/>
      <c r="D35" s="289" t="s">
        <v>189</v>
      </c>
      <c r="E35" s="291" t="s">
        <v>39</v>
      </c>
      <c r="F35" s="291" t="s">
        <v>111</v>
      </c>
      <c r="G35" s="291"/>
      <c r="H35" s="779">
        <v>1.00637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19.358231408999998</v>
      </c>
      <c r="M35" s="404"/>
      <c r="N35" s="159"/>
      <c r="O35" s="257" t="s">
        <v>164</v>
      </c>
      <c r="P35" s="59"/>
      <c r="Q35" s="601">
        <v>14.86</v>
      </c>
      <c r="R35" s="239">
        <v>2</v>
      </c>
      <c r="S35" s="256">
        <v>0.9</v>
      </c>
      <c r="T35" s="256">
        <v>5.0000000000000001E-3</v>
      </c>
      <c r="U35" s="781">
        <v>247.0617336936528</v>
      </c>
      <c r="V35" s="58">
        <f>Q35*R35/S35*(1+T35)*U35/3600</f>
        <v>2.2775889194451349</v>
      </c>
      <c r="W35" s="58">
        <v>0</v>
      </c>
      <c r="X35" s="95">
        <f>Q35/S35*(1+T35)*W35/3600</f>
        <v>0</v>
      </c>
      <c r="Y35" s="46">
        <f>V35+X35</f>
        <v>2.2775889194451349</v>
      </c>
      <c r="AA35" s="631" t="s">
        <v>59</v>
      </c>
      <c r="AB35" s="632">
        <f>L47+L63</f>
        <v>108.44858318999999</v>
      </c>
      <c r="AC35" s="633">
        <f>L47</f>
        <v>0</v>
      </c>
      <c r="AD35" s="634">
        <f>+L63</f>
        <v>108.44858318999999</v>
      </c>
      <c r="AE35" s="634">
        <f>+L47</f>
        <v>0</v>
      </c>
      <c r="AF35" s="630">
        <f t="shared" si="24"/>
        <v>108.44858318999999</v>
      </c>
      <c r="AG35" s="630">
        <f t="shared" si="25"/>
        <v>0</v>
      </c>
    </row>
    <row r="36" spans="1:36" ht="14.25" customHeight="1">
      <c r="A36" s="614" t="s">
        <v>88</v>
      </c>
      <c r="B36" s="5"/>
      <c r="C36" s="751"/>
      <c r="D36" s="289" t="s">
        <v>174</v>
      </c>
      <c r="E36" s="291" t="s">
        <v>268</v>
      </c>
      <c r="F36" s="291" t="s">
        <v>88</v>
      </c>
      <c r="G36" s="291"/>
      <c r="H36" s="778">
        <v>1.00817</v>
      </c>
      <c r="I36" s="291" t="s">
        <v>77</v>
      </c>
      <c r="J36" s="292">
        <v>5.0000000000000001E-3</v>
      </c>
      <c r="K36" s="763">
        <v>44.49</v>
      </c>
      <c r="L36" s="46">
        <f t="shared" si="20"/>
        <v>45.077750716499999</v>
      </c>
      <c r="M36" s="404"/>
      <c r="O36" s="257" t="s">
        <v>108</v>
      </c>
      <c r="P36" s="59"/>
      <c r="Q36" s="601">
        <v>21.89</v>
      </c>
      <c r="R36" s="239">
        <v>3</v>
      </c>
      <c r="S36" s="256">
        <v>0.9</v>
      </c>
      <c r="T36" s="256">
        <v>5.0000000000000001E-3</v>
      </c>
      <c r="U36" s="781">
        <v>247.0617336936528</v>
      </c>
      <c r="V36" s="58">
        <f t="shared" si="21"/>
        <v>5.0326132012100269</v>
      </c>
      <c r="W36" s="58">
        <v>0</v>
      </c>
      <c r="X36" s="95">
        <f t="shared" si="22"/>
        <v>0</v>
      </c>
      <c r="Y36" s="46">
        <f t="shared" si="23"/>
        <v>5.0326132012100269</v>
      </c>
      <c r="AA36" s="631" t="s">
        <v>60</v>
      </c>
      <c r="AB36" s="632">
        <f>L74+L87-AB33-AB38</f>
        <v>267.83591019868504</v>
      </c>
      <c r="AC36" s="633" t="e">
        <f>AB36-AD36-AE36</f>
        <v>#REF!</v>
      </c>
      <c r="AD36" s="634" t="e">
        <f>#REF!+#REF!</f>
        <v>#REF!</v>
      </c>
      <c r="AE36" s="634" t="e">
        <f>L87-#REF!-#REF!</f>
        <v>#REF!</v>
      </c>
      <c r="AF36" s="630" t="e">
        <f t="shared" si="24"/>
        <v>#REF!</v>
      </c>
      <c r="AG36" s="630" t="e">
        <f>AB36-AF36</f>
        <v>#REF!</v>
      </c>
      <c r="AI36" s="616" t="s">
        <v>143</v>
      </c>
      <c r="AJ36" s="616" t="s">
        <v>144</v>
      </c>
    </row>
    <row r="37" spans="1:36" ht="14.25" customHeight="1" thickBot="1">
      <c r="A37" s="614" t="s">
        <v>87</v>
      </c>
      <c r="B37" s="5"/>
      <c r="C37" s="199"/>
      <c r="D37" s="289" t="s">
        <v>175</v>
      </c>
      <c r="E37" s="291" t="s">
        <v>268</v>
      </c>
      <c r="F37" s="291" t="s">
        <v>87</v>
      </c>
      <c r="G37" s="291"/>
      <c r="H37" s="778">
        <v>1.00817</v>
      </c>
      <c r="I37" s="291" t="s">
        <v>77</v>
      </c>
      <c r="J37" s="292">
        <v>5.0000000000000001E-3</v>
      </c>
      <c r="K37" s="763">
        <v>43.93</v>
      </c>
      <c r="L37" s="46">
        <f t="shared" si="20"/>
        <v>44.510352640499995</v>
      </c>
      <c r="M37" s="404"/>
      <c r="O37" s="257" t="s">
        <v>109</v>
      </c>
      <c r="P37" s="59"/>
      <c r="Q37" s="601">
        <v>21.89</v>
      </c>
      <c r="R37" s="239">
        <v>3</v>
      </c>
      <c r="S37" s="256">
        <v>0.9</v>
      </c>
      <c r="T37" s="256">
        <v>5.0000000000000001E-3</v>
      </c>
      <c r="U37" s="781">
        <v>247.0617336936528</v>
      </c>
      <c r="V37" s="58">
        <f t="shared" si="21"/>
        <v>5.0326132012100269</v>
      </c>
      <c r="W37" s="58">
        <v>0</v>
      </c>
      <c r="X37" s="95">
        <f t="shared" si="22"/>
        <v>0</v>
      </c>
      <c r="Y37" s="46">
        <f t="shared" si="23"/>
        <v>5.0326132012100269</v>
      </c>
      <c r="AA37" s="636" t="s">
        <v>61</v>
      </c>
      <c r="AB37" s="637">
        <f>SUM(AB33:AB36)</f>
        <v>618.08002856268502</v>
      </c>
      <c r="AC37" s="638" t="e">
        <f>SUM(AC33:AC36)</f>
        <v>#REF!</v>
      </c>
      <c r="AD37" s="639" t="e">
        <f>SUM(AD33:AD36)</f>
        <v>#REF!</v>
      </c>
      <c r="AE37" s="639" t="e">
        <f>SUM(AE33:AE36)</f>
        <v>#REF!</v>
      </c>
      <c r="AF37" s="630" t="e">
        <f t="shared" si="24"/>
        <v>#REF!</v>
      </c>
      <c r="AG37" s="630" t="e">
        <f>AB37-AF37</f>
        <v>#REF!</v>
      </c>
      <c r="AI37" s="729">
        <f>SUM(U8:U22)+SUM(V32:V40)+SUM(V45:V53)+SUM(V58:V60)</f>
        <v>74.681087754042522</v>
      </c>
      <c r="AJ37" s="729">
        <f>SUM(W8:W22)+SUM(X32:X40)+SUM(X45:X53)+SUM(X58:X60)</f>
        <v>11.064013095238094</v>
      </c>
    </row>
    <row r="38" spans="1:36" ht="14.25" customHeight="1" thickBot="1">
      <c r="B38" s="5"/>
      <c r="C38" s="385"/>
      <c r="D38" s="666"/>
      <c r="E38" s="666"/>
      <c r="F38" s="666"/>
      <c r="G38" s="666"/>
      <c r="H38" s="686"/>
      <c r="I38" s="686"/>
      <c r="J38" s="666"/>
      <c r="K38" s="681"/>
      <c r="L38" s="730"/>
      <c r="M38" s="5"/>
      <c r="O38" s="257" t="s">
        <v>222</v>
      </c>
      <c r="P38" s="59"/>
      <c r="Q38" s="428">
        <v>0</v>
      </c>
      <c r="R38" s="239">
        <v>0</v>
      </c>
      <c r="S38" s="256">
        <v>0.9</v>
      </c>
      <c r="T38" s="256">
        <v>5.0000000000000001E-3</v>
      </c>
      <c r="U38" s="781">
        <v>247.0617336936528</v>
      </c>
      <c r="V38" s="58">
        <f>Q38*R38/S38*(1+T38)*U38/3600</f>
        <v>0</v>
      </c>
      <c r="W38" s="58">
        <v>0</v>
      </c>
      <c r="X38" s="95">
        <f>Q38/S38*(1+T38)*W38/3600</f>
        <v>0</v>
      </c>
      <c r="Y38" s="46">
        <f>V38+X38</f>
        <v>0</v>
      </c>
      <c r="AA38" s="641" t="s">
        <v>56</v>
      </c>
      <c r="AB38" s="642">
        <f>X23</f>
        <v>10.029750753624869</v>
      </c>
      <c r="AC38" s="643">
        <f>AB38</f>
        <v>10.029750753624869</v>
      </c>
      <c r="AD38" s="644"/>
      <c r="AE38" s="644"/>
      <c r="AF38" s="630">
        <f t="shared" si="24"/>
        <v>10.029750753624869</v>
      </c>
      <c r="AG38" s="630">
        <f t="shared" si="25"/>
        <v>0</v>
      </c>
    </row>
    <row r="39" spans="1:36" ht="14.25" customHeight="1" thickBot="1">
      <c r="B39" s="5"/>
      <c r="C39" s="205" t="s">
        <v>110</v>
      </c>
      <c r="D39" s="225"/>
      <c r="E39" s="225"/>
      <c r="F39" s="226"/>
      <c r="G39" s="225"/>
      <c r="H39" s="206"/>
      <c r="I39" s="206"/>
      <c r="J39" s="229"/>
      <c r="K39" s="236" t="s">
        <v>58</v>
      </c>
      <c r="L39" s="165">
        <f>SUM(L32:L38)</f>
        <v>173.81879351699999</v>
      </c>
      <c r="M39" s="5"/>
      <c r="O39" s="257" t="s">
        <v>221</v>
      </c>
      <c r="P39" s="59"/>
      <c r="Q39" s="428">
        <v>26</v>
      </c>
      <c r="R39" s="239">
        <v>1</v>
      </c>
      <c r="S39" s="256">
        <v>0.9</v>
      </c>
      <c r="T39" s="256">
        <v>5.0000000000000001E-3</v>
      </c>
      <c r="U39" s="781">
        <v>247.0617336936528</v>
      </c>
      <c r="V39" s="58">
        <f>Q39*R39/S39*(1+T39)*U39/3600</f>
        <v>1.9925071300664035</v>
      </c>
      <c r="W39" s="58">
        <v>0</v>
      </c>
      <c r="X39" s="95">
        <f>Q39/S39*(1+T39)*W39/3600</f>
        <v>0</v>
      </c>
      <c r="Y39" s="46">
        <f>V39+X39</f>
        <v>1.9925071300664035</v>
      </c>
      <c r="AA39" s="645" t="s">
        <v>57</v>
      </c>
      <c r="AB39" s="646">
        <f>+Y66-AB34</f>
        <v>18.189830815821182</v>
      </c>
      <c r="AC39" s="643">
        <f>AB39</f>
        <v>18.189830815821182</v>
      </c>
      <c r="AD39" s="647"/>
      <c r="AE39" s="647"/>
      <c r="AF39" s="630">
        <f t="shared" si="24"/>
        <v>18.189830815821182</v>
      </c>
      <c r="AG39" s="630">
        <f t="shared" si="25"/>
        <v>0</v>
      </c>
    </row>
    <row r="40" spans="1:36" ht="14.25" customHeight="1">
      <c r="A40" s="616" t="s">
        <v>240</v>
      </c>
      <c r="B40" s="5"/>
      <c r="C40" s="386" t="s">
        <v>139</v>
      </c>
      <c r="D40" s="274" t="s">
        <v>176</v>
      </c>
      <c r="E40" s="257" t="s">
        <v>86</v>
      </c>
      <c r="F40" s="264" t="s">
        <v>85</v>
      </c>
      <c r="G40" s="765">
        <v>1.37E-2</v>
      </c>
      <c r="H40" s="603">
        <v>4.0327000000000002</v>
      </c>
      <c r="I40" s="264" t="s">
        <v>128</v>
      </c>
      <c r="J40" s="269">
        <v>5.0000000000000001E-3</v>
      </c>
      <c r="K40" s="366">
        <f>G40*$L$3</f>
        <v>1.5070000000000001</v>
      </c>
      <c r="L40" s="46">
        <f>H40*(1+J40)*K40</f>
        <v>6.1076652945000003</v>
      </c>
      <c r="M40" s="404"/>
      <c r="O40" s="635"/>
      <c r="P40" s="683"/>
      <c r="Q40" s="666"/>
      <c r="R40" s="666"/>
      <c r="S40" s="666"/>
      <c r="T40" s="666"/>
      <c r="U40" s="666"/>
      <c r="V40" s="666"/>
      <c r="W40" s="666"/>
      <c r="X40" s="681"/>
      <c r="Y40" s="682"/>
      <c r="AA40" s="645" t="s">
        <v>59</v>
      </c>
      <c r="AB40" s="646">
        <f>+Y68-AB35</f>
        <v>16.753648927579704</v>
      </c>
      <c r="AC40" s="643">
        <f>AB40</f>
        <v>16.753648927579704</v>
      </c>
      <c r="AD40" s="647"/>
      <c r="AE40" s="647"/>
      <c r="AF40" s="630">
        <f t="shared" si="24"/>
        <v>16.753648927579704</v>
      </c>
      <c r="AG40" s="630">
        <f>AB40-AF40</f>
        <v>0</v>
      </c>
    </row>
    <row r="41" spans="1:36" ht="14.25" customHeight="1" thickBot="1">
      <c r="B41" s="5"/>
      <c r="C41" s="635"/>
      <c r="D41" s="666"/>
      <c r="E41" s="666"/>
      <c r="F41" s="666"/>
      <c r="G41" s="666"/>
      <c r="H41" s="666"/>
      <c r="I41" s="666"/>
      <c r="J41" s="666"/>
      <c r="K41" s="697"/>
      <c r="L41" s="680"/>
      <c r="N41" s="47"/>
      <c r="O41" s="140" t="s">
        <v>33</v>
      </c>
      <c r="P41" s="32"/>
      <c r="Q41" s="11"/>
      <c r="R41" s="11"/>
      <c r="S41" s="11"/>
      <c r="T41" s="11"/>
      <c r="U41" s="11"/>
      <c r="V41" s="11"/>
      <c r="W41" s="11"/>
      <c r="X41" s="31" t="s">
        <v>62</v>
      </c>
      <c r="Y41" s="180">
        <f>SUM(Y32:Y40)</f>
        <v>18.189830815821171</v>
      </c>
      <c r="AA41" s="645" t="s">
        <v>60</v>
      </c>
      <c r="AB41" s="648">
        <f>+SUM(Y58:Y60)+Y70-Y69</f>
        <v>42.557644550418445</v>
      </c>
      <c r="AC41" s="643">
        <f>AB41</f>
        <v>42.557644550418445</v>
      </c>
      <c r="AD41" s="649"/>
      <c r="AE41" s="649"/>
      <c r="AF41" s="630">
        <f t="shared" si="24"/>
        <v>42.557644550418445</v>
      </c>
      <c r="AG41" s="630">
        <f>AB41-AF41</f>
        <v>0</v>
      </c>
    </row>
    <row r="42" spans="1:36" ht="14.25" customHeight="1" thickBot="1">
      <c r="B42" s="5"/>
      <c r="C42" s="104" t="s">
        <v>33</v>
      </c>
      <c r="D42" s="35"/>
      <c r="E42" s="35"/>
      <c r="F42" s="88"/>
      <c r="G42" s="35"/>
      <c r="H42" s="35"/>
      <c r="I42" s="35"/>
      <c r="J42" s="35"/>
      <c r="K42" s="232" t="s">
        <v>63</v>
      </c>
      <c r="L42" s="87">
        <f>SUM(L40:L41)</f>
        <v>6.1076652945000003</v>
      </c>
      <c r="M42" s="5"/>
      <c r="AA42" s="650" t="s">
        <v>31</v>
      </c>
      <c r="AB42" s="651">
        <f>SUM(AB38:AB41)</f>
        <v>87.530875047444198</v>
      </c>
      <c r="AC42" s="652">
        <f>SUM(AC38:AC41)</f>
        <v>87.530875047444198</v>
      </c>
      <c r="AD42" s="653">
        <f>SUM(AD38:AD41)</f>
        <v>0</v>
      </c>
      <c r="AE42" s="653">
        <f>SUM(AE38:AE41)</f>
        <v>0</v>
      </c>
      <c r="AF42" s="630">
        <f t="shared" si="24"/>
        <v>87.530875047444198</v>
      </c>
      <c r="AG42" s="630">
        <f>AB42-AF42</f>
        <v>0</v>
      </c>
    </row>
    <row r="43" spans="1:36" ht="14.25" customHeight="1" thickBot="1">
      <c r="B43" s="5"/>
      <c r="M43" s="5"/>
      <c r="O43" s="102" t="s">
        <v>83</v>
      </c>
      <c r="AA43" s="655" t="s">
        <v>56</v>
      </c>
      <c r="AB43" s="656">
        <f>AB33+AB38</f>
        <v>71.898827116124878</v>
      </c>
      <c r="AC43" s="657">
        <f t="shared" ref="AC43:AE46" si="26">AC33+AC38</f>
        <v>71.898827116124878</v>
      </c>
      <c r="AD43" s="658">
        <f t="shared" si="26"/>
        <v>0</v>
      </c>
      <c r="AE43" s="658">
        <f t="shared" si="26"/>
        <v>0</v>
      </c>
      <c r="AF43" s="630">
        <f>SUM(AC43:AE43)</f>
        <v>71.898827116124878</v>
      </c>
      <c r="AG43" s="630">
        <f t="shared" si="25"/>
        <v>0</v>
      </c>
    </row>
    <row r="44" spans="1:36" ht="14.25" customHeight="1" thickBot="1">
      <c r="B44" s="5"/>
      <c r="C44" s="86" t="s">
        <v>148</v>
      </c>
      <c r="D44" s="5"/>
      <c r="E44" s="5"/>
      <c r="F44" s="29"/>
      <c r="G44" s="5"/>
      <c r="H44" s="5"/>
      <c r="I44" s="5"/>
      <c r="J44" s="5"/>
      <c r="K44" s="47"/>
      <c r="L44" s="5"/>
      <c r="M44" s="5"/>
      <c r="O44" s="68" t="s">
        <v>152</v>
      </c>
      <c r="P44" s="71"/>
      <c r="Q44" s="582" t="s">
        <v>13</v>
      </c>
      <c r="R44" s="582" t="s">
        <v>27</v>
      </c>
      <c r="S44" s="582" t="s">
        <v>28</v>
      </c>
      <c r="T44" s="582" t="s">
        <v>8</v>
      </c>
      <c r="U44" s="582" t="s">
        <v>29</v>
      </c>
      <c r="V44" s="582" t="s">
        <v>14</v>
      </c>
      <c r="W44" s="582" t="s">
        <v>30</v>
      </c>
      <c r="X44" s="582" t="s">
        <v>16</v>
      </c>
      <c r="Y44" s="66" t="s">
        <v>31</v>
      </c>
      <c r="AA44" s="659" t="s">
        <v>57</v>
      </c>
      <c r="AB44" s="660">
        <f>AB34+AB39</f>
        <v>198.11628962732118</v>
      </c>
      <c r="AC44" s="661">
        <f t="shared" si="26"/>
        <v>18.189830815821182</v>
      </c>
      <c r="AD44" s="662">
        <f t="shared" si="26"/>
        <v>6.1076652945000003</v>
      </c>
      <c r="AE44" s="662">
        <f t="shared" si="26"/>
        <v>173.81879351699999</v>
      </c>
      <c r="AF44" s="630">
        <f t="shared" si="24"/>
        <v>198.11628962732118</v>
      </c>
      <c r="AG44" s="630">
        <f t="shared" si="25"/>
        <v>0</v>
      </c>
    </row>
    <row r="45" spans="1:36" ht="14.25" customHeight="1" thickTop="1" thickBot="1">
      <c r="B45" s="5"/>
      <c r="C45" s="68" t="s">
        <v>2</v>
      </c>
      <c r="D45" s="69"/>
      <c r="E45" s="67" t="s">
        <v>3</v>
      </c>
      <c r="F45" s="67" t="s">
        <v>4</v>
      </c>
      <c r="G45" s="70" t="s">
        <v>49</v>
      </c>
      <c r="H45" s="67" t="s">
        <v>23</v>
      </c>
      <c r="I45" s="67" t="s">
        <v>169</v>
      </c>
      <c r="J45" s="67" t="s">
        <v>8</v>
      </c>
      <c r="K45" s="250" t="s">
        <v>24</v>
      </c>
      <c r="L45" s="66" t="s">
        <v>50</v>
      </c>
      <c r="M45" s="5"/>
      <c r="O45" s="257" t="s">
        <v>165</v>
      </c>
      <c r="P45" s="59"/>
      <c r="Q45" s="593">
        <v>20</v>
      </c>
      <c r="R45" s="239">
        <v>2</v>
      </c>
      <c r="S45" s="256">
        <v>0.75</v>
      </c>
      <c r="T45" s="256">
        <v>0.05</v>
      </c>
      <c r="U45" s="781">
        <v>247.0617336936528</v>
      </c>
      <c r="V45" s="58">
        <f>Q45*R45/S45*(1+T45)*U45/3600</f>
        <v>3.8431825241234887</v>
      </c>
      <c r="W45" s="58">
        <v>0</v>
      </c>
      <c r="X45" s="58">
        <f>Q45/S45*(1+T45)*W45/3600</f>
        <v>0</v>
      </c>
      <c r="Y45" s="46">
        <f>V45+X45</f>
        <v>3.8431825241234887</v>
      </c>
      <c r="AA45" s="663" t="s">
        <v>59</v>
      </c>
      <c r="AB45" s="664">
        <f>AB35+AB40</f>
        <v>125.2022321175797</v>
      </c>
      <c r="AC45" s="661">
        <f t="shared" si="26"/>
        <v>16.753648927579704</v>
      </c>
      <c r="AD45" s="665">
        <f t="shared" si="26"/>
        <v>108.44858318999999</v>
      </c>
      <c r="AE45" s="665">
        <f t="shared" si="26"/>
        <v>0</v>
      </c>
      <c r="AF45" s="630">
        <f t="shared" si="24"/>
        <v>125.2022321175797</v>
      </c>
      <c r="AG45" s="630">
        <f t="shared" si="25"/>
        <v>0</v>
      </c>
    </row>
    <row r="46" spans="1:36" ht="14.25" customHeight="1" thickTop="1" thickBot="1">
      <c r="B46" s="5"/>
      <c r="C46" s="324" t="s">
        <v>51</v>
      </c>
      <c r="D46" s="200" t="s">
        <v>64</v>
      </c>
      <c r="E46" s="201" t="s">
        <v>64</v>
      </c>
      <c r="F46" s="202" t="s">
        <v>0</v>
      </c>
      <c r="G46" s="201" t="s">
        <v>64</v>
      </c>
      <c r="H46" s="203" t="s">
        <v>64</v>
      </c>
      <c r="I46" s="204"/>
      <c r="J46" s="33"/>
      <c r="K46" s="233" t="s">
        <v>64</v>
      </c>
      <c r="L46" s="293" t="s">
        <v>64</v>
      </c>
      <c r="M46" s="5"/>
      <c r="O46" s="257" t="s">
        <v>165</v>
      </c>
      <c r="P46" s="59"/>
      <c r="Q46" s="593">
        <v>20</v>
      </c>
      <c r="R46" s="239">
        <v>1</v>
      </c>
      <c r="S46" s="256">
        <v>0.75</v>
      </c>
      <c r="T46" s="256">
        <v>0.05</v>
      </c>
      <c r="U46" s="781">
        <v>247.0617336936528</v>
      </c>
      <c r="V46" s="58">
        <f t="shared" ref="V46" si="27">Q46*R46/S46*(1+T46)*U46/3600</f>
        <v>1.9215912620617444</v>
      </c>
      <c r="W46" s="58">
        <v>0</v>
      </c>
      <c r="X46" s="58">
        <f t="shared" ref="X46" si="28">Q46/S46*(1+T46)*W46/3600</f>
        <v>0</v>
      </c>
      <c r="Y46" s="46">
        <f t="shared" ref="Y46" si="29">V46+X46</f>
        <v>1.9215912620617444</v>
      </c>
      <c r="AA46" s="663" t="s">
        <v>60</v>
      </c>
      <c r="AB46" s="664">
        <f>AB36+AB41</f>
        <v>310.39355474910349</v>
      </c>
      <c r="AC46" s="667" t="e">
        <f t="shared" si="26"/>
        <v>#REF!</v>
      </c>
      <c r="AD46" s="665" t="e">
        <f t="shared" si="26"/>
        <v>#REF!</v>
      </c>
      <c r="AE46" s="665" t="e">
        <f t="shared" si="26"/>
        <v>#REF!</v>
      </c>
      <c r="AF46" s="630" t="e">
        <f t="shared" si="24"/>
        <v>#REF!</v>
      </c>
      <c r="AG46" s="630" t="e">
        <f t="shared" si="25"/>
        <v>#REF!</v>
      </c>
    </row>
    <row r="47" spans="1:36" ht="14.25" customHeight="1" thickBot="1">
      <c r="B47" s="5"/>
      <c r="C47" s="205" t="s">
        <v>110</v>
      </c>
      <c r="D47" s="206"/>
      <c r="E47" s="206"/>
      <c r="F47" s="207"/>
      <c r="G47" s="206"/>
      <c r="H47" s="206"/>
      <c r="I47" s="206"/>
      <c r="J47" s="36"/>
      <c r="K47" s="234" t="s">
        <v>1</v>
      </c>
      <c r="L47" s="17">
        <f>SUM(L46:L46)</f>
        <v>0</v>
      </c>
      <c r="O47" s="257" t="s">
        <v>34</v>
      </c>
      <c r="P47" s="59"/>
      <c r="Q47" s="593">
        <v>3.7</v>
      </c>
      <c r="R47" s="593">
        <v>1</v>
      </c>
      <c r="S47" s="256">
        <v>0.75</v>
      </c>
      <c r="T47" s="256">
        <v>5.0000000000000001E-3</v>
      </c>
      <c r="U47" s="781">
        <v>277.21897979104864</v>
      </c>
      <c r="V47" s="58">
        <f t="shared" ref="V47:V53" si="30">Q47*R47/S47*(1+T47)*U47/3600</f>
        <v>0.38179213939000528</v>
      </c>
      <c r="W47" s="781">
        <v>692</v>
      </c>
      <c r="X47" s="58">
        <f t="shared" ref="X47:X53" si="31">Q47/S47*(1+T47)*W47/3600</f>
        <v>0.95303777777777765</v>
      </c>
      <c r="Y47" s="46">
        <f>V47+X47</f>
        <v>1.3348299171677829</v>
      </c>
      <c r="AA47" s="668" t="s">
        <v>17</v>
      </c>
      <c r="AB47" s="637">
        <f>SUM(AB43:AB46)</f>
        <v>705.6109036101293</v>
      </c>
      <c r="AC47" s="669" t="e">
        <f>SUM(AC43:AC46)</f>
        <v>#REF!</v>
      </c>
      <c r="AD47" s="670" t="e">
        <f>SUM(AD43:AD46)</f>
        <v>#REF!</v>
      </c>
      <c r="AE47" s="670" t="e">
        <f>SUM(AE43:AE46)</f>
        <v>#REF!</v>
      </c>
      <c r="AF47" s="630" t="e">
        <f t="shared" si="24"/>
        <v>#REF!</v>
      </c>
      <c r="AG47" s="630" t="e">
        <f t="shared" si="25"/>
        <v>#REF!</v>
      </c>
      <c r="AI47" s="756">
        <f>SUM(AI33,AI37,AJ37,AJ33)</f>
        <v>705.6109036101293</v>
      </c>
    </row>
    <row r="48" spans="1:36" ht="14.25" customHeight="1">
      <c r="A48" s="614" t="s">
        <v>254</v>
      </c>
      <c r="B48" s="5"/>
      <c r="C48" s="326" t="s">
        <v>66</v>
      </c>
      <c r="D48" s="328" t="s">
        <v>202</v>
      </c>
      <c r="E48" s="291" t="s">
        <v>185</v>
      </c>
      <c r="F48" s="289" t="s">
        <v>111</v>
      </c>
      <c r="G48" s="291"/>
      <c r="H48" s="290">
        <v>1</v>
      </c>
      <c r="I48" s="329" t="s">
        <v>140</v>
      </c>
      <c r="J48" s="330">
        <v>5.0000000000000001E-3</v>
      </c>
      <c r="K48" s="759">
        <f>8.7</f>
        <v>8.6999999999999993</v>
      </c>
      <c r="L48" s="321">
        <f t="shared" ref="L48:L61" si="32">H48*(1+J48)*K48</f>
        <v>8.7434999999999992</v>
      </c>
      <c r="M48" s="5"/>
      <c r="O48" s="257" t="s">
        <v>34</v>
      </c>
      <c r="P48" s="59"/>
      <c r="Q48" s="593">
        <v>3.7</v>
      </c>
      <c r="R48" s="593">
        <v>1</v>
      </c>
      <c r="S48" s="256">
        <v>0.75</v>
      </c>
      <c r="T48" s="256">
        <v>5.0000000000000001E-3</v>
      </c>
      <c r="U48" s="781">
        <v>277.21897979104864</v>
      </c>
      <c r="V48" s="58">
        <f t="shared" si="30"/>
        <v>0.38179213939000528</v>
      </c>
      <c r="W48" s="781">
        <v>692</v>
      </c>
      <c r="X48" s="58">
        <f t="shared" si="31"/>
        <v>0.95303777777777765</v>
      </c>
      <c r="Y48" s="46">
        <f>V48+X48</f>
        <v>1.3348299171677829</v>
      </c>
      <c r="AB48" s="678"/>
    </row>
    <row r="49" spans="1:25" ht="14.25" customHeight="1">
      <c r="A49" s="614" t="s">
        <v>248</v>
      </c>
      <c r="B49" s="5"/>
      <c r="C49" s="752"/>
      <c r="D49" s="347" t="s">
        <v>203</v>
      </c>
      <c r="E49" s="291" t="s">
        <v>185</v>
      </c>
      <c r="F49" s="331" t="s">
        <v>111</v>
      </c>
      <c r="G49" s="332"/>
      <c r="H49" s="290">
        <v>1</v>
      </c>
      <c r="I49" s="329" t="s">
        <v>140</v>
      </c>
      <c r="J49" s="330">
        <v>5.0000000000000001E-3</v>
      </c>
      <c r="K49" s="760">
        <f>8.7</f>
        <v>8.6999999999999993</v>
      </c>
      <c r="L49" s="288">
        <f t="shared" si="32"/>
        <v>8.7434999999999992</v>
      </c>
      <c r="M49" s="5"/>
      <c r="O49" s="257" t="s">
        <v>34</v>
      </c>
      <c r="P49" s="59"/>
      <c r="Q49" s="593">
        <v>3.7</v>
      </c>
      <c r="R49" s="593">
        <v>1</v>
      </c>
      <c r="S49" s="256">
        <v>0.75</v>
      </c>
      <c r="T49" s="256">
        <v>5.0000000000000001E-3</v>
      </c>
      <c r="U49" s="781">
        <v>277.21897979104864</v>
      </c>
      <c r="V49" s="58">
        <f t="shared" si="30"/>
        <v>0.38179213939000528</v>
      </c>
      <c r="W49" s="781">
        <v>692</v>
      </c>
      <c r="X49" s="58">
        <f t="shared" si="31"/>
        <v>0.95303777777777765</v>
      </c>
      <c r="Y49" s="46">
        <f>V49+X49</f>
        <v>1.3348299171677829</v>
      </c>
    </row>
    <row r="50" spans="1:25" ht="14.25" customHeight="1">
      <c r="A50" s="614" t="s">
        <v>249</v>
      </c>
      <c r="B50" s="5"/>
      <c r="C50" s="752"/>
      <c r="D50" s="791" t="s">
        <v>204</v>
      </c>
      <c r="E50" s="766" t="s">
        <v>145</v>
      </c>
      <c r="F50" s="331" t="s">
        <v>111</v>
      </c>
      <c r="G50" s="332"/>
      <c r="H50" s="290">
        <v>2</v>
      </c>
      <c r="I50" s="329" t="s">
        <v>128</v>
      </c>
      <c r="J50" s="330">
        <v>5.0000000000000001E-3</v>
      </c>
      <c r="K50" s="760">
        <f>2.89</f>
        <v>2.89</v>
      </c>
      <c r="L50" s="288">
        <f>H50*(1+J50)*K50</f>
        <v>5.8088999999999995</v>
      </c>
      <c r="M50" s="72"/>
      <c r="O50" s="257" t="s">
        <v>34</v>
      </c>
      <c r="P50" s="59"/>
      <c r="Q50" s="593">
        <v>3.7</v>
      </c>
      <c r="R50" s="593">
        <v>1</v>
      </c>
      <c r="S50" s="256">
        <v>0.75</v>
      </c>
      <c r="T50" s="256">
        <v>5.0000000000000001E-3</v>
      </c>
      <c r="U50" s="781">
        <v>277.21897979104864</v>
      </c>
      <c r="V50" s="58">
        <f t="shared" si="30"/>
        <v>0.38179213939000528</v>
      </c>
      <c r="W50" s="781">
        <v>692</v>
      </c>
      <c r="X50" s="58">
        <f t="shared" si="31"/>
        <v>0.95303777777777765</v>
      </c>
      <c r="Y50" s="46">
        <f>V50+X50</f>
        <v>1.3348299171677829</v>
      </c>
    </row>
    <row r="51" spans="1:25" ht="14.25" customHeight="1">
      <c r="A51" s="614" t="s">
        <v>250</v>
      </c>
      <c r="B51" s="5"/>
      <c r="C51" s="752"/>
      <c r="D51" s="291" t="s">
        <v>205</v>
      </c>
      <c r="E51" s="291" t="s">
        <v>185</v>
      </c>
      <c r="F51" s="289" t="s">
        <v>111</v>
      </c>
      <c r="G51" s="291"/>
      <c r="H51" s="290">
        <v>2</v>
      </c>
      <c r="I51" s="291" t="s">
        <v>25</v>
      </c>
      <c r="J51" s="292">
        <v>5.0000000000000001E-3</v>
      </c>
      <c r="K51" s="760">
        <f>6.53</f>
        <v>6.53</v>
      </c>
      <c r="L51" s="288">
        <f t="shared" si="32"/>
        <v>13.125299999999999</v>
      </c>
      <c r="M51" s="73"/>
      <c r="O51" s="257" t="s">
        <v>34</v>
      </c>
      <c r="P51" s="59"/>
      <c r="Q51" s="593">
        <v>3.7</v>
      </c>
      <c r="R51" s="593">
        <v>1</v>
      </c>
      <c r="S51" s="256">
        <v>0.75</v>
      </c>
      <c r="T51" s="256">
        <v>5.0000000000000001E-3</v>
      </c>
      <c r="U51" s="781">
        <v>277.21897979104864</v>
      </c>
      <c r="V51" s="58">
        <f t="shared" si="30"/>
        <v>0.38179213939000528</v>
      </c>
      <c r="W51" s="781">
        <v>692</v>
      </c>
      <c r="X51" s="58">
        <f t="shared" si="31"/>
        <v>0.95303777777777765</v>
      </c>
      <c r="Y51" s="46">
        <f>V51+X51</f>
        <v>1.3348299171677829</v>
      </c>
    </row>
    <row r="52" spans="1:25" ht="14.25" customHeight="1">
      <c r="A52" s="614" t="s">
        <v>251</v>
      </c>
      <c r="B52" s="5"/>
      <c r="C52" s="752"/>
      <c r="D52" s="291" t="s">
        <v>206</v>
      </c>
      <c r="E52" s="291" t="s">
        <v>185</v>
      </c>
      <c r="F52" s="289" t="s">
        <v>111</v>
      </c>
      <c r="G52" s="291"/>
      <c r="H52" s="290">
        <v>2</v>
      </c>
      <c r="I52" s="291" t="s">
        <v>25</v>
      </c>
      <c r="J52" s="292">
        <v>5.0000000000000001E-3</v>
      </c>
      <c r="K52" s="760">
        <f>6.53</f>
        <v>6.53</v>
      </c>
      <c r="L52" s="288">
        <f>H52*(1+J52)*K52</f>
        <v>13.125299999999999</v>
      </c>
      <c r="M52" s="5"/>
      <c r="N52" s="671"/>
      <c r="O52" s="789" t="s">
        <v>192</v>
      </c>
      <c r="P52" s="608"/>
      <c r="Q52" s="607">
        <v>13.75</v>
      </c>
      <c r="R52" s="607">
        <v>1</v>
      </c>
      <c r="S52" s="609">
        <v>0.75</v>
      </c>
      <c r="T52" s="605">
        <v>5.0000000000000001E-3</v>
      </c>
      <c r="U52" s="783">
        <v>247.0617336936528</v>
      </c>
      <c r="V52" s="604">
        <f t="shared" si="30"/>
        <v>1.2644756786959868</v>
      </c>
      <c r="W52" s="604">
        <v>0</v>
      </c>
      <c r="X52" s="606">
        <f t="shared" si="31"/>
        <v>0</v>
      </c>
      <c r="Y52" s="610">
        <v>2.1573627777777773</v>
      </c>
    </row>
    <row r="53" spans="1:25" ht="14.25" customHeight="1">
      <c r="A53" s="614" t="s">
        <v>252</v>
      </c>
      <c r="B53" s="5"/>
      <c r="C53" s="752"/>
      <c r="D53" s="766" t="s">
        <v>207</v>
      </c>
      <c r="E53" s="766" t="s">
        <v>145</v>
      </c>
      <c r="F53" s="289" t="s">
        <v>111</v>
      </c>
      <c r="G53" s="291"/>
      <c r="H53" s="290">
        <v>2</v>
      </c>
      <c r="I53" s="291" t="s">
        <v>25</v>
      </c>
      <c r="J53" s="292">
        <v>5.0000000000000001E-3</v>
      </c>
      <c r="K53" s="760">
        <f>2.14</f>
        <v>2.14</v>
      </c>
      <c r="L53" s="288">
        <f t="shared" si="32"/>
        <v>4.3014000000000001</v>
      </c>
      <c r="M53" s="5"/>
      <c r="N53" s="671"/>
      <c r="O53" s="790" t="s">
        <v>192</v>
      </c>
      <c r="P53" s="744"/>
      <c r="Q53" s="602">
        <v>13.75</v>
      </c>
      <c r="R53" s="602">
        <v>1</v>
      </c>
      <c r="S53" s="433">
        <v>0.75</v>
      </c>
      <c r="T53" s="746">
        <v>5.0000000000000001E-3</v>
      </c>
      <c r="U53" s="784">
        <v>247.0617336936528</v>
      </c>
      <c r="V53" s="745">
        <f t="shared" si="30"/>
        <v>1.2644756786959868</v>
      </c>
      <c r="W53" s="745">
        <v>0</v>
      </c>
      <c r="X53" s="747">
        <f t="shared" si="31"/>
        <v>0</v>
      </c>
      <c r="Y53" s="748">
        <v>2.1573627777777773</v>
      </c>
    </row>
    <row r="54" spans="1:25" ht="14.25" customHeight="1" thickBot="1">
      <c r="A54" s="614" t="s">
        <v>253</v>
      </c>
      <c r="B54" s="5"/>
      <c r="C54" s="752"/>
      <c r="D54" s="291" t="s">
        <v>173</v>
      </c>
      <c r="E54" s="291" t="s">
        <v>185</v>
      </c>
      <c r="F54" s="289" t="s">
        <v>89</v>
      </c>
      <c r="G54" s="291"/>
      <c r="H54" s="290">
        <v>2</v>
      </c>
      <c r="I54" s="291" t="s">
        <v>25</v>
      </c>
      <c r="J54" s="292">
        <v>5.0000000000000001E-3</v>
      </c>
      <c r="K54" s="760">
        <v>5.25</v>
      </c>
      <c r="L54" s="288">
        <f t="shared" si="32"/>
        <v>10.552499999999998</v>
      </c>
      <c r="M54" s="5"/>
      <c r="N54" s="671"/>
      <c r="O54" s="140" t="s">
        <v>33</v>
      </c>
      <c r="P54" s="32"/>
      <c r="Q54" s="11"/>
      <c r="R54" s="11"/>
      <c r="S54" s="11"/>
      <c r="T54" s="11"/>
      <c r="U54" s="11"/>
      <c r="V54" s="11"/>
      <c r="W54" s="11"/>
      <c r="X54" s="31" t="s">
        <v>65</v>
      </c>
      <c r="Y54" s="340">
        <f>SUM(Y45:Y53)</f>
        <v>16.753648927579704</v>
      </c>
    </row>
    <row r="55" spans="1:25" ht="14.25" customHeight="1">
      <c r="A55" s="614" t="s">
        <v>244</v>
      </c>
      <c r="B55" s="5"/>
      <c r="C55" s="752"/>
      <c r="D55" s="766" t="s">
        <v>153</v>
      </c>
      <c r="E55" s="766" t="s">
        <v>78</v>
      </c>
      <c r="F55" s="289" t="s">
        <v>111</v>
      </c>
      <c r="G55" s="291"/>
      <c r="H55" s="592">
        <v>0.27600000000000002</v>
      </c>
      <c r="I55" s="291" t="s">
        <v>67</v>
      </c>
      <c r="J55" s="292">
        <v>5.0000000000000001E-3</v>
      </c>
      <c r="K55" s="760">
        <v>11.95</v>
      </c>
      <c r="L55" s="288">
        <f t="shared" si="32"/>
        <v>3.3146909999999998</v>
      </c>
      <c r="M55" s="5"/>
      <c r="N55" s="671"/>
    </row>
    <row r="56" spans="1:25" ht="14.25" customHeight="1" thickBot="1">
      <c r="A56" s="614" t="s">
        <v>245</v>
      </c>
      <c r="B56" s="5"/>
      <c r="C56" s="752"/>
      <c r="D56" s="766" t="s">
        <v>154</v>
      </c>
      <c r="E56" s="766" t="s">
        <v>78</v>
      </c>
      <c r="F56" s="289" t="s">
        <v>111</v>
      </c>
      <c r="G56" s="291"/>
      <c r="H56" s="592">
        <v>0.27600000000000002</v>
      </c>
      <c r="I56" s="291" t="s">
        <v>67</v>
      </c>
      <c r="J56" s="292">
        <v>5.0000000000000001E-3</v>
      </c>
      <c r="K56" s="760">
        <v>11.95</v>
      </c>
      <c r="L56" s="288">
        <f t="shared" si="32"/>
        <v>3.3146909999999998</v>
      </c>
      <c r="M56" s="72"/>
      <c r="O56" s="102" t="s">
        <v>84</v>
      </c>
      <c r="P56" s="34"/>
      <c r="Q56" s="35"/>
      <c r="R56" s="35"/>
      <c r="S56" s="35"/>
      <c r="T56" s="35"/>
      <c r="U56" s="35"/>
      <c r="V56" s="35"/>
      <c r="W56" s="35"/>
      <c r="X56" s="35"/>
      <c r="Y56" s="18"/>
    </row>
    <row r="57" spans="1:25" ht="14.25" customHeight="1" thickBot="1">
      <c r="A57" s="614" t="s">
        <v>246</v>
      </c>
      <c r="B57" s="5"/>
      <c r="C57" s="752"/>
      <c r="D57" s="766" t="s">
        <v>155</v>
      </c>
      <c r="E57" s="766" t="s">
        <v>78</v>
      </c>
      <c r="F57" s="334" t="s">
        <v>111</v>
      </c>
      <c r="G57" s="291"/>
      <c r="H57" s="592">
        <v>0.30099999999999999</v>
      </c>
      <c r="I57" s="291" t="s">
        <v>67</v>
      </c>
      <c r="J57" s="292">
        <v>5.0000000000000001E-3</v>
      </c>
      <c r="K57" s="760">
        <v>11.95</v>
      </c>
      <c r="L57" s="288">
        <f t="shared" si="32"/>
        <v>3.6149347499999993</v>
      </c>
      <c r="M57" s="73"/>
      <c r="O57" s="68" t="s">
        <v>26</v>
      </c>
      <c r="P57" s="71"/>
      <c r="Q57" s="582" t="s">
        <v>13</v>
      </c>
      <c r="R57" s="582" t="s">
        <v>27</v>
      </c>
      <c r="S57" s="582" t="s">
        <v>28</v>
      </c>
      <c r="T57" s="582" t="s">
        <v>8</v>
      </c>
      <c r="U57" s="582" t="s">
        <v>29</v>
      </c>
      <c r="V57" s="582" t="s">
        <v>14</v>
      </c>
      <c r="W57" s="582" t="s">
        <v>30</v>
      </c>
      <c r="X57" s="582" t="s">
        <v>16</v>
      </c>
      <c r="Y57" s="66" t="s">
        <v>31</v>
      </c>
    </row>
    <row r="58" spans="1:25" ht="14.25" customHeight="1" thickTop="1">
      <c r="A58" s="614" t="s">
        <v>247</v>
      </c>
      <c r="B58" s="5"/>
      <c r="C58" s="752"/>
      <c r="D58" s="767" t="s">
        <v>156</v>
      </c>
      <c r="E58" s="767" t="s">
        <v>78</v>
      </c>
      <c r="F58" s="336" t="s">
        <v>111</v>
      </c>
      <c r="G58" s="335"/>
      <c r="H58" s="592">
        <v>0.30099999999999999</v>
      </c>
      <c r="I58" s="291" t="s">
        <v>67</v>
      </c>
      <c r="J58" s="292">
        <v>5.0000000000000001E-3</v>
      </c>
      <c r="K58" s="760">
        <v>11.95</v>
      </c>
      <c r="L58" s="288">
        <f t="shared" si="32"/>
        <v>3.6149347499999993</v>
      </c>
      <c r="M58" s="5"/>
      <c r="O58" s="257" t="s">
        <v>35</v>
      </c>
      <c r="P58" s="62"/>
      <c r="Q58" s="593">
        <v>32</v>
      </c>
      <c r="R58" s="593">
        <v>10</v>
      </c>
      <c r="S58" s="256">
        <v>0.7</v>
      </c>
      <c r="T58" s="256">
        <v>5.0000000000000001E-3</v>
      </c>
      <c r="U58" s="781">
        <v>247.0617336936528</v>
      </c>
      <c r="V58" s="58">
        <f>Q58*R58/S58*(1+T58)*U58/3600</f>
        <v>31.529783157094737</v>
      </c>
      <c r="W58" s="781">
        <v>370</v>
      </c>
      <c r="X58" s="58">
        <f>Q58/S58*(1+T58)*W58/3600</f>
        <v>4.7219047619047618</v>
      </c>
      <c r="Y58" s="46">
        <f>V58+X58</f>
        <v>36.251687918999501</v>
      </c>
    </row>
    <row r="59" spans="1:25" ht="14.25" customHeight="1">
      <c r="A59" s="616" t="s">
        <v>243</v>
      </c>
      <c r="B59" s="5"/>
      <c r="C59" s="752"/>
      <c r="D59" s="291" t="s">
        <v>191</v>
      </c>
      <c r="E59" s="291" t="s">
        <v>185</v>
      </c>
      <c r="F59" s="289"/>
      <c r="G59" s="291"/>
      <c r="H59" s="290">
        <v>1</v>
      </c>
      <c r="I59" s="291" t="s">
        <v>140</v>
      </c>
      <c r="J59" s="292">
        <v>5.0000000000000001E-3</v>
      </c>
      <c r="K59" s="760">
        <f>2.75</f>
        <v>2.75</v>
      </c>
      <c r="L59" s="288">
        <f>H59*(1+J59)*K59</f>
        <v>2.7637499999999999</v>
      </c>
      <c r="M59" s="5"/>
      <c r="O59" s="257" t="s">
        <v>36</v>
      </c>
      <c r="P59" s="62"/>
      <c r="Q59" s="593">
        <v>32</v>
      </c>
      <c r="R59" s="239">
        <v>1</v>
      </c>
      <c r="S59" s="256">
        <v>0.7</v>
      </c>
      <c r="T59" s="256">
        <f>T58</f>
        <v>5.0000000000000001E-3</v>
      </c>
      <c r="U59" s="781">
        <v>247.0617336936528</v>
      </c>
      <c r="V59" s="58">
        <f>Q59*R59/S59*(1+T59)*U59/3600</f>
        <v>3.1529783157094733</v>
      </c>
      <c r="W59" s="58">
        <v>0</v>
      </c>
      <c r="X59" s="58">
        <f>Q59/S59*(1+T59)*W59/3600</f>
        <v>0</v>
      </c>
      <c r="Y59" s="46">
        <f>V59+X59</f>
        <v>3.1529783157094733</v>
      </c>
    </row>
    <row r="60" spans="1:25" ht="14.25" customHeight="1">
      <c r="A60" s="614" t="s">
        <v>242</v>
      </c>
      <c r="B60" s="5"/>
      <c r="C60" s="752"/>
      <c r="D60" s="767" t="s">
        <v>208</v>
      </c>
      <c r="E60" s="767" t="s">
        <v>145</v>
      </c>
      <c r="F60" s="336" t="s">
        <v>111</v>
      </c>
      <c r="G60" s="335"/>
      <c r="H60" s="599">
        <v>0.26600000000000001</v>
      </c>
      <c r="I60" s="291" t="s">
        <v>67</v>
      </c>
      <c r="J60" s="292">
        <v>5.0000000000000001E-3</v>
      </c>
      <c r="K60" s="761">
        <f>15.07</f>
        <v>15.07</v>
      </c>
      <c r="L60" s="288">
        <f>H60*(1+J60)*K60</f>
        <v>4.0286631000000002</v>
      </c>
      <c r="M60" s="5"/>
      <c r="O60" s="259" t="s">
        <v>38</v>
      </c>
      <c r="P60" s="188"/>
      <c r="Q60" s="593">
        <v>32</v>
      </c>
      <c r="R60" s="593">
        <v>1</v>
      </c>
      <c r="S60" s="258">
        <v>0.7</v>
      </c>
      <c r="T60" s="258">
        <f>T59</f>
        <v>5.0000000000000001E-3</v>
      </c>
      <c r="U60" s="782">
        <v>247.0617336936528</v>
      </c>
      <c r="V60" s="183">
        <f>Q60*R60/S60*(1+T60)*U60/3600</f>
        <v>3.1529783157094733</v>
      </c>
      <c r="W60" s="183">
        <v>0</v>
      </c>
      <c r="X60" s="183">
        <f>Q60/S60*(1+T60)*W60/3600</f>
        <v>0</v>
      </c>
      <c r="Y60" s="60">
        <f>V60+X60</f>
        <v>3.1529783157094733</v>
      </c>
    </row>
    <row r="61" spans="1:25" ht="14.25" customHeight="1">
      <c r="A61" s="616" t="s">
        <v>241</v>
      </c>
      <c r="B61" s="5"/>
      <c r="C61" s="752"/>
      <c r="D61" s="767" t="s">
        <v>166</v>
      </c>
      <c r="E61" s="767" t="s">
        <v>145</v>
      </c>
      <c r="F61" s="336"/>
      <c r="G61" s="335"/>
      <c r="H61" s="599">
        <f>(380+345+305+130+45)/1000</f>
        <v>1.2050000000000001</v>
      </c>
      <c r="I61" s="329" t="s">
        <v>146</v>
      </c>
      <c r="J61" s="292">
        <v>5.0000000000000001E-3</v>
      </c>
      <c r="K61" s="762">
        <f>482.99/25</f>
        <v>19.319600000000001</v>
      </c>
      <c r="L61" s="288">
        <f t="shared" si="32"/>
        <v>23.396518590000003</v>
      </c>
      <c r="M61" s="5"/>
      <c r="O61" s="654"/>
      <c r="P61" s="689"/>
      <c r="Q61" s="640"/>
      <c r="R61" s="640"/>
      <c r="S61" s="640"/>
      <c r="T61" s="640"/>
      <c r="U61" s="640"/>
      <c r="V61" s="640"/>
      <c r="W61" s="640"/>
      <c r="X61" s="690"/>
      <c r="Y61" s="691"/>
    </row>
    <row r="62" spans="1:25" ht="14.25" customHeight="1" thickBot="1">
      <c r="B62" s="5"/>
      <c r="C62" s="693"/>
      <c r="D62" s="699"/>
      <c r="E62" s="699"/>
      <c r="F62" s="699"/>
      <c r="G62" s="699"/>
      <c r="H62" s="699"/>
      <c r="I62" s="694"/>
      <c r="J62" s="679"/>
      <c r="K62" s="698"/>
      <c r="L62" s="692"/>
      <c r="M62" s="584"/>
      <c r="O62" s="684"/>
      <c r="P62" s="685"/>
      <c r="Q62" s="686"/>
      <c r="R62" s="686"/>
      <c r="S62" s="686"/>
      <c r="T62" s="686"/>
      <c r="U62" s="686"/>
      <c r="V62" s="686"/>
      <c r="W62" s="686"/>
      <c r="X62" s="687"/>
      <c r="Y62" s="688"/>
    </row>
    <row r="63" spans="1:25" ht="14.25" customHeight="1" thickBot="1">
      <c r="B63" s="5"/>
      <c r="C63" s="104" t="s">
        <v>33</v>
      </c>
      <c r="D63" s="11"/>
      <c r="E63" s="11"/>
      <c r="F63" s="12"/>
      <c r="G63" s="11"/>
      <c r="H63" s="11"/>
      <c r="I63" s="11"/>
      <c r="J63" s="11"/>
      <c r="K63" s="236" t="s">
        <v>71</v>
      </c>
      <c r="L63" s="75">
        <f>+SUM(L48:L62)</f>
        <v>108.44858318999999</v>
      </c>
      <c r="M63" s="47"/>
      <c r="O63" s="140" t="s">
        <v>33</v>
      </c>
      <c r="P63" s="32"/>
      <c r="Q63" s="673"/>
      <c r="R63" s="673"/>
      <c r="S63" s="11"/>
      <c r="T63" s="11"/>
      <c r="U63" s="11"/>
      <c r="V63" s="11"/>
      <c r="W63" s="11"/>
      <c r="X63" s="80" t="s">
        <v>68</v>
      </c>
      <c r="Y63" s="180">
        <f>+SUM(Y58:Y62)</f>
        <v>42.557644550418452</v>
      </c>
    </row>
    <row r="64" spans="1:25" ht="14.25" customHeight="1">
      <c r="B64" s="5"/>
      <c r="C64" s="327"/>
      <c r="D64" s="18"/>
      <c r="E64" s="18"/>
      <c r="F64" s="19"/>
      <c r="G64" s="18"/>
      <c r="H64" s="18"/>
      <c r="I64" s="18"/>
      <c r="J64" s="18"/>
      <c r="K64" s="230"/>
      <c r="L64" s="345"/>
      <c r="M64" s="47"/>
    </row>
    <row r="65" spans="1:30" ht="14.25" customHeight="1" thickBot="1">
      <c r="B65" s="5"/>
      <c r="C65" s="86" t="s">
        <v>147</v>
      </c>
      <c r="D65" s="18"/>
      <c r="E65" s="18"/>
      <c r="F65" s="19"/>
      <c r="G65" s="18"/>
      <c r="H65" s="18"/>
      <c r="I65" s="18"/>
      <c r="J65" s="18"/>
      <c r="K65" s="230"/>
      <c r="L65" s="346"/>
      <c r="M65" s="47"/>
      <c r="O65" s="41" t="s">
        <v>98</v>
      </c>
      <c r="P65" s="40"/>
      <c r="Q65" s="40"/>
      <c r="R65" s="40" t="s">
        <v>0</v>
      </c>
      <c r="S65" s="40" t="s">
        <v>69</v>
      </c>
      <c r="T65" s="40"/>
      <c r="U65" s="40"/>
      <c r="V65" s="40"/>
      <c r="W65" s="163"/>
      <c r="X65" s="163"/>
      <c r="Y65" s="164">
        <f>L39+L42+Y41</f>
        <v>198.11628962732118</v>
      </c>
      <c r="AB65" s="674"/>
    </row>
    <row r="66" spans="1:30" ht="14.25" customHeight="1" thickBot="1">
      <c r="B66" s="5"/>
      <c r="C66" s="68" t="s">
        <v>2</v>
      </c>
      <c r="D66" s="69"/>
      <c r="E66" s="67" t="s">
        <v>3</v>
      </c>
      <c r="F66" s="67" t="s">
        <v>4</v>
      </c>
      <c r="G66" s="70" t="s">
        <v>49</v>
      </c>
      <c r="H66" s="67" t="s">
        <v>23</v>
      </c>
      <c r="I66" s="67" t="s">
        <v>169</v>
      </c>
      <c r="J66" s="67" t="s">
        <v>8</v>
      </c>
      <c r="K66" s="250" t="s">
        <v>24</v>
      </c>
      <c r="L66" s="66" t="s">
        <v>50</v>
      </c>
      <c r="O66" s="48" t="s">
        <v>99</v>
      </c>
      <c r="P66" s="18"/>
      <c r="Q66" s="18"/>
      <c r="R66" s="18"/>
      <c r="S66" s="18"/>
      <c r="T66" s="49" t="s">
        <v>100</v>
      </c>
      <c r="U66" s="260">
        <v>0</v>
      </c>
      <c r="V66" s="162" t="s">
        <v>101</v>
      </c>
      <c r="W66" s="63"/>
      <c r="X66" s="63"/>
      <c r="Y66" s="165">
        <f>Y65*(1+U66)</f>
        <v>198.11628962732118</v>
      </c>
    </row>
    <row r="67" spans="1:30" ht="14.25" customHeight="1" thickTop="1" thickBot="1">
      <c r="A67" s="620" t="s">
        <v>229</v>
      </c>
      <c r="B67" s="5"/>
      <c r="C67" s="326" t="s">
        <v>51</v>
      </c>
      <c r="D67" s="247" t="str">
        <f t="shared" ref="D67:D73" si="33">C8</f>
        <v>TMR-050 Rotator</v>
      </c>
      <c r="E67" s="240" t="s">
        <v>39</v>
      </c>
      <c r="F67" s="240" t="str">
        <f>+F8</f>
        <v>-</v>
      </c>
      <c r="G67" s="240" t="s">
        <v>0</v>
      </c>
      <c r="H67" s="596">
        <v>1.00159</v>
      </c>
      <c r="I67" s="240" t="s">
        <v>140</v>
      </c>
      <c r="J67" s="254">
        <v>0.01</v>
      </c>
      <c r="K67" s="240">
        <f t="shared" ref="K67:K73" si="34">+Y8+Y16</f>
        <v>20.687783902904961</v>
      </c>
      <c r="L67" s="54">
        <f t="shared" ref="L67:L73" si="35">H67*(1+J67)*K67</f>
        <v>20.927884254103684</v>
      </c>
      <c r="M67" s="47">
        <f>R8</f>
        <v>19.401162719999999</v>
      </c>
      <c r="N67" s="792">
        <f>H67*(1+J67)*M67</f>
        <v>19.626330674412046</v>
      </c>
      <c r="O67" s="41" t="s">
        <v>102</v>
      </c>
      <c r="P67" s="40"/>
      <c r="Q67" s="40"/>
      <c r="R67" s="40" t="s">
        <v>0</v>
      </c>
      <c r="S67" s="40" t="s">
        <v>70</v>
      </c>
      <c r="T67" s="40"/>
      <c r="U67" s="40"/>
      <c r="V67" s="40"/>
      <c r="W67" s="163"/>
      <c r="X67" s="163"/>
      <c r="Y67" s="164">
        <f>+L47+L63+Y54</f>
        <v>125.2022321175797</v>
      </c>
    </row>
    <row r="68" spans="1:30" ht="14.25" customHeight="1" thickBot="1">
      <c r="A68" s="620" t="s">
        <v>230</v>
      </c>
      <c r="B68" s="5"/>
      <c r="C68" s="210"/>
      <c r="D68" s="247" t="str">
        <f t="shared" si="33"/>
        <v>TMR-050 Stator</v>
      </c>
      <c r="E68" s="240" t="s">
        <v>39</v>
      </c>
      <c r="F68" s="240" t="str">
        <f>+F9</f>
        <v>-</v>
      </c>
      <c r="G68" s="240" t="s">
        <v>0</v>
      </c>
      <c r="H68" s="596">
        <v>1.00159</v>
      </c>
      <c r="I68" s="240" t="s">
        <v>140</v>
      </c>
      <c r="J68" s="254">
        <v>0.01</v>
      </c>
      <c r="K68" s="240">
        <f t="shared" si="34"/>
        <v>15.401710480042318</v>
      </c>
      <c r="L68" s="54">
        <f t="shared" si="35"/>
        <v>15.580461191702641</v>
      </c>
      <c r="M68" s="47">
        <f t="shared" ref="M68:M73" si="36">R9</f>
        <v>13.3725212</v>
      </c>
      <c r="N68" s="792">
        <f t="shared" ref="N68:N73" si="37">H68*(1+J68)*M68</f>
        <v>13.527721343795079</v>
      </c>
      <c r="O68" s="48" t="s">
        <v>103</v>
      </c>
      <c r="P68" s="18"/>
      <c r="Q68" s="18"/>
      <c r="R68" s="18"/>
      <c r="S68" s="18"/>
      <c r="T68" s="49" t="s">
        <v>100</v>
      </c>
      <c r="U68" s="260">
        <v>0</v>
      </c>
      <c r="V68" s="162" t="s">
        <v>101</v>
      </c>
      <c r="W68" s="63"/>
      <c r="X68" s="63"/>
      <c r="Y68" s="165">
        <f>Y67*(1+U68)</f>
        <v>125.2022321175797</v>
      </c>
    </row>
    <row r="69" spans="1:30" ht="14.25" customHeight="1" thickBot="1">
      <c r="A69" s="620" t="s">
        <v>231</v>
      </c>
      <c r="B69" s="5"/>
      <c r="C69" s="210"/>
      <c r="D69" s="247" t="str">
        <f t="shared" si="33"/>
        <v>TMR-050 Substator</v>
      </c>
      <c r="E69" s="240" t="s">
        <v>39</v>
      </c>
      <c r="F69" s="240" t="str">
        <f>+F10</f>
        <v>-</v>
      </c>
      <c r="G69" s="240" t="s">
        <v>0</v>
      </c>
      <c r="H69" s="596">
        <v>1.00159</v>
      </c>
      <c r="I69" s="240" t="s">
        <v>140</v>
      </c>
      <c r="J69" s="254">
        <v>0.01</v>
      </c>
      <c r="K69" s="240">
        <f t="shared" si="34"/>
        <v>24.672134799323636</v>
      </c>
      <c r="L69" s="54">
        <f t="shared" si="35"/>
        <v>24.958477128591106</v>
      </c>
      <c r="M69" s="47">
        <f t="shared" si="36"/>
        <v>20.641196027500001</v>
      </c>
      <c r="N69" s="792">
        <f t="shared" si="37"/>
        <v>20.880755684475563</v>
      </c>
      <c r="O69" s="41" t="s">
        <v>104</v>
      </c>
      <c r="P69" s="41"/>
      <c r="Q69" s="40"/>
      <c r="R69" s="675"/>
      <c r="S69" s="675" t="s">
        <v>37</v>
      </c>
      <c r="T69" s="42"/>
      <c r="U69" s="43"/>
      <c r="V69" s="40"/>
      <c r="W69" s="163"/>
      <c r="X69" s="163"/>
      <c r="Y69" s="56">
        <f>+L74+L87+SUM(Y58:Y60)</f>
        <v>382.29238186522832</v>
      </c>
    </row>
    <row r="70" spans="1:30" ht="14.25" customHeight="1" thickBot="1">
      <c r="A70" s="620" t="s">
        <v>232</v>
      </c>
      <c r="B70" s="5"/>
      <c r="C70" s="210"/>
      <c r="D70" s="247" t="str">
        <f t="shared" si="33"/>
        <v>TMR-051 Sleeve</v>
      </c>
      <c r="E70" s="240" t="s">
        <v>39</v>
      </c>
      <c r="F70" s="240" t="str">
        <f>+F11</f>
        <v>-</v>
      </c>
      <c r="G70" s="240"/>
      <c r="H70" s="596">
        <v>1.00159</v>
      </c>
      <c r="I70" s="240" t="s">
        <v>140</v>
      </c>
      <c r="J70" s="254">
        <v>0.01</v>
      </c>
      <c r="K70" s="240">
        <f t="shared" si="34"/>
        <v>6.6118994286465966</v>
      </c>
      <c r="L70" s="54">
        <f t="shared" si="35"/>
        <v>6.688636472225526</v>
      </c>
      <c r="M70" s="47">
        <f t="shared" si="36"/>
        <v>5.1460727149999999</v>
      </c>
      <c r="N70" s="792">
        <f t="shared" si="37"/>
        <v>5.205797520323018</v>
      </c>
      <c r="O70" s="52" t="s">
        <v>105</v>
      </c>
      <c r="P70" s="45"/>
      <c r="Q70" s="18"/>
      <c r="R70" s="676"/>
      <c r="S70" s="18"/>
      <c r="T70" s="49" t="s">
        <v>106</v>
      </c>
      <c r="U70" s="261">
        <v>0</v>
      </c>
      <c r="V70" s="168" t="s">
        <v>101</v>
      </c>
      <c r="W70" s="63"/>
      <c r="X70" s="63"/>
      <c r="Y70" s="165">
        <f>Y69*(1+U70)</f>
        <v>382.29238186522832</v>
      </c>
    </row>
    <row r="71" spans="1:30" ht="14.25" customHeight="1" thickTop="1" thickBot="1">
      <c r="A71" s="620" t="s">
        <v>233</v>
      </c>
      <c r="B71" s="5"/>
      <c r="C71" s="198"/>
      <c r="D71" s="247" t="str">
        <f t="shared" si="33"/>
        <v>TMR-051 Mold Holder 1</v>
      </c>
      <c r="E71" s="240" t="s">
        <v>39</v>
      </c>
      <c r="F71" s="264" t="s">
        <v>180</v>
      </c>
      <c r="G71" s="264"/>
      <c r="H71" s="596">
        <v>1.00159</v>
      </c>
      <c r="I71" s="240" t="s">
        <v>140</v>
      </c>
      <c r="J71" s="269">
        <v>0.01</v>
      </c>
      <c r="K71" s="366">
        <f t="shared" si="34"/>
        <v>1.0573691937633749</v>
      </c>
      <c r="L71" s="54">
        <f t="shared" si="35"/>
        <v>1.0696409148892732</v>
      </c>
      <c r="M71" s="47">
        <f t="shared" si="36"/>
        <v>0.71623503599999994</v>
      </c>
      <c r="N71" s="792">
        <f t="shared" si="37"/>
        <v>0.72454758820431231</v>
      </c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175">
        <f>+Y70+Y68+Y66</f>
        <v>705.61090361012918</v>
      </c>
      <c r="AA71" s="617"/>
      <c r="AB71" s="617"/>
      <c r="AC71" s="617"/>
      <c r="AD71" s="51"/>
    </row>
    <row r="72" spans="1:30" ht="14.25" customHeight="1" thickBot="1">
      <c r="A72" s="620" t="s">
        <v>235</v>
      </c>
      <c r="B72" s="5"/>
      <c r="C72" s="728"/>
      <c r="D72" s="348" t="str">
        <f t="shared" si="33"/>
        <v>TMR-034 Stator Housing 1</v>
      </c>
      <c r="E72" s="377" t="s">
        <v>39</v>
      </c>
      <c r="F72" s="728" t="s">
        <v>180</v>
      </c>
      <c r="G72" s="728"/>
      <c r="H72" s="596">
        <v>1.00159</v>
      </c>
      <c r="I72" s="281" t="s">
        <v>140</v>
      </c>
      <c r="J72" s="370">
        <v>0.01</v>
      </c>
      <c r="K72" s="378">
        <f t="shared" si="34"/>
        <v>2.1266961561209339</v>
      </c>
      <c r="L72" s="349">
        <f t="shared" si="35"/>
        <v>2.1513783790392575</v>
      </c>
      <c r="M72" s="47">
        <f t="shared" si="36"/>
        <v>1.77133396</v>
      </c>
      <c r="N72" s="792">
        <f t="shared" si="37"/>
        <v>1.7918918848063639</v>
      </c>
    </row>
    <row r="73" spans="1:30" ht="14.25" customHeight="1" thickTop="1" thickBot="1">
      <c r="A73" s="620" t="s">
        <v>234</v>
      </c>
      <c r="B73" s="5"/>
      <c r="C73" s="666"/>
      <c r="D73" s="380" t="str">
        <f t="shared" si="33"/>
        <v>TMR-051 Interlock Plate</v>
      </c>
      <c r="E73" s="743" t="s">
        <v>39</v>
      </c>
      <c r="F73" s="666" t="s">
        <v>180</v>
      </c>
      <c r="G73" s="666"/>
      <c r="H73" s="596">
        <v>1.00159</v>
      </c>
      <c r="I73" s="265" t="s">
        <v>140</v>
      </c>
      <c r="J73" s="271">
        <v>0.01</v>
      </c>
      <c r="K73" s="379">
        <f t="shared" si="34"/>
        <v>1.3412331553230459</v>
      </c>
      <c r="L73" s="84">
        <f t="shared" si="35"/>
        <v>1.3567993732004096</v>
      </c>
      <c r="M73" s="47">
        <f t="shared" si="36"/>
        <v>0.82055470399999986</v>
      </c>
      <c r="N73" s="792">
        <f t="shared" si="37"/>
        <v>0.83007797983915343</v>
      </c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175"/>
    </row>
    <row r="74" spans="1:30" ht="14.25" customHeight="1" thickBot="1">
      <c r="B74" s="5"/>
      <c r="C74" s="359" t="s">
        <v>110</v>
      </c>
      <c r="D74" s="360"/>
      <c r="E74" s="361"/>
      <c r="F74" s="362"/>
      <c r="G74" s="363"/>
      <c r="H74" s="363"/>
      <c r="I74" s="363"/>
      <c r="J74" s="364"/>
      <c r="K74" s="365" t="s">
        <v>72</v>
      </c>
      <c r="L74" s="87">
        <f>SUM(L67:L73)</f>
        <v>72.733277713751903</v>
      </c>
      <c r="M74" s="47"/>
      <c r="N74" s="798">
        <f>SUM(N67:N73)</f>
        <v>62.587122675855525</v>
      </c>
    </row>
    <row r="75" spans="1:30" ht="14.25" customHeight="1">
      <c r="A75" s="616" t="s">
        <v>255</v>
      </c>
      <c r="B75" s="5"/>
      <c r="C75" s="325" t="s">
        <v>139</v>
      </c>
      <c r="D75" s="240" t="s">
        <v>209</v>
      </c>
      <c r="E75" s="240" t="s">
        <v>265</v>
      </c>
      <c r="F75" s="240" t="s">
        <v>111</v>
      </c>
      <c r="G75" s="758">
        <v>7.3400000000000007E-2</v>
      </c>
      <c r="H75" s="596">
        <v>1.00159</v>
      </c>
      <c r="I75" s="240" t="s">
        <v>140</v>
      </c>
      <c r="J75" s="254">
        <v>0.01</v>
      </c>
      <c r="K75" s="278">
        <f>G75*L3</f>
        <v>8.0740000000000016</v>
      </c>
      <c r="L75" s="54">
        <f t="shared" ref="L75:L84" si="38">H75*(1+J75)*K75</f>
        <v>8.1677060366000021</v>
      </c>
      <c r="M75" s="672"/>
      <c r="N75" s="584"/>
      <c r="O75" s="5" t="s">
        <v>120</v>
      </c>
      <c r="P75" s="5"/>
      <c r="Q75" s="5"/>
      <c r="R75" s="5"/>
      <c r="S75" s="5"/>
      <c r="T75" s="617"/>
      <c r="U75" s="617"/>
      <c r="V75" s="617"/>
      <c r="W75" s="18"/>
      <c r="X75" s="18"/>
      <c r="Y75" s="18"/>
    </row>
    <row r="76" spans="1:30" ht="14.25" customHeight="1">
      <c r="A76" s="672" t="s">
        <v>256</v>
      </c>
      <c r="B76" s="5"/>
      <c r="C76" s="211"/>
      <c r="D76" s="240" t="s">
        <v>167</v>
      </c>
      <c r="E76" s="240" t="s">
        <v>272</v>
      </c>
      <c r="F76" s="240" t="s">
        <v>111</v>
      </c>
      <c r="G76" s="758">
        <v>3.2689999999999997E-2</v>
      </c>
      <c r="H76" s="248">
        <v>2</v>
      </c>
      <c r="I76" s="240" t="s">
        <v>25</v>
      </c>
      <c r="J76" s="254">
        <v>0.01</v>
      </c>
      <c r="K76" s="278">
        <f>G76*$L$3</f>
        <v>3.5958999999999994</v>
      </c>
      <c r="L76" s="54">
        <f t="shared" si="38"/>
        <v>7.263717999999999</v>
      </c>
      <c r="M76" s="47"/>
      <c r="O76" s="704"/>
      <c r="P76" s="705"/>
      <c r="Q76" s="705"/>
      <c r="R76" s="705"/>
      <c r="S76" s="705"/>
      <c r="T76" s="710" t="s">
        <v>131</v>
      </c>
      <c r="U76" s="716" t="s">
        <v>131</v>
      </c>
      <c r="V76" s="716" t="s">
        <v>131</v>
      </c>
      <c r="W76" s="716" t="s">
        <v>133</v>
      </c>
      <c r="X76" s="716" t="s">
        <v>135</v>
      </c>
      <c r="Y76" s="736" t="s">
        <v>135</v>
      </c>
    </row>
    <row r="77" spans="1:30" ht="14.25" customHeight="1">
      <c r="A77" s="672" t="s">
        <v>257</v>
      </c>
      <c r="B77" s="5"/>
      <c r="C77" s="211"/>
      <c r="D77" s="240" t="s">
        <v>228</v>
      </c>
      <c r="E77" s="240" t="s">
        <v>80</v>
      </c>
      <c r="F77" s="240" t="s">
        <v>111</v>
      </c>
      <c r="G77" s="279"/>
      <c r="H77" s="596">
        <v>1.00159</v>
      </c>
      <c r="I77" s="240" t="s">
        <v>140</v>
      </c>
      <c r="J77" s="254">
        <v>0.01</v>
      </c>
      <c r="K77" s="775">
        <v>0.32300000000000001</v>
      </c>
      <c r="L77" s="54">
        <f t="shared" si="38"/>
        <v>0.32674870569999998</v>
      </c>
      <c r="O77" s="684"/>
      <c r="P77" s="706"/>
      <c r="Q77" s="706"/>
      <c r="R77" s="706"/>
      <c r="S77" s="706"/>
      <c r="T77" s="711" t="s">
        <v>130</v>
      </c>
      <c r="U77" s="717" t="s">
        <v>142</v>
      </c>
      <c r="V77" s="717" t="s">
        <v>132</v>
      </c>
      <c r="W77" s="718" t="s">
        <v>134</v>
      </c>
      <c r="X77" s="717" t="s">
        <v>136</v>
      </c>
      <c r="Y77" s="737" t="s">
        <v>186</v>
      </c>
    </row>
    <row r="78" spans="1:30" ht="14.25" customHeight="1">
      <c r="A78" s="672" t="s">
        <v>258</v>
      </c>
      <c r="B78" s="5"/>
      <c r="C78" s="211"/>
      <c r="D78" s="280" t="s">
        <v>178</v>
      </c>
      <c r="E78" s="264" t="s">
        <v>80</v>
      </c>
      <c r="F78" s="241" t="s">
        <v>81</v>
      </c>
      <c r="G78" s="279"/>
      <c r="H78" s="268">
        <v>1</v>
      </c>
      <c r="I78" s="264" t="s">
        <v>140</v>
      </c>
      <c r="J78" s="269">
        <v>0.01</v>
      </c>
      <c r="K78" s="775">
        <v>0.23899999999999999</v>
      </c>
      <c r="L78" s="54">
        <f t="shared" si="38"/>
        <v>0.24138999999999999</v>
      </c>
      <c r="O78" s="704" t="s">
        <v>137</v>
      </c>
      <c r="P78" s="705"/>
      <c r="Q78" s="705"/>
      <c r="R78" s="705"/>
      <c r="S78" s="705"/>
      <c r="T78" s="712">
        <v>52</v>
      </c>
      <c r="U78" s="719">
        <v>52</v>
      </c>
      <c r="V78" s="719">
        <v>52</v>
      </c>
      <c r="W78" s="719">
        <v>52</v>
      </c>
      <c r="X78" s="719">
        <v>52</v>
      </c>
      <c r="Y78" s="738">
        <v>52</v>
      </c>
    </row>
    <row r="79" spans="1:30" ht="14.25" customHeight="1">
      <c r="A79" s="672" t="s">
        <v>259</v>
      </c>
      <c r="B79" s="5"/>
      <c r="C79" s="211"/>
      <c r="D79" s="766" t="s">
        <v>168</v>
      </c>
      <c r="E79" s="768" t="s">
        <v>145</v>
      </c>
      <c r="F79" s="241" t="s">
        <v>111</v>
      </c>
      <c r="G79" s="343"/>
      <c r="H79" s="596">
        <v>1.00159</v>
      </c>
      <c r="I79" s="329" t="s">
        <v>140</v>
      </c>
      <c r="J79" s="330">
        <v>0.03</v>
      </c>
      <c r="K79" s="775">
        <v>5.38</v>
      </c>
      <c r="L79" s="54">
        <f t="shared" si="38"/>
        <v>5.5502108260000007</v>
      </c>
      <c r="O79" s="654" t="s">
        <v>172</v>
      </c>
      <c r="P79" s="709"/>
      <c r="Q79" s="709"/>
      <c r="R79" s="709"/>
      <c r="S79" s="709"/>
      <c r="T79" s="713">
        <f>1.98*L3</f>
        <v>217.8</v>
      </c>
      <c r="U79" s="720">
        <v>345.5</v>
      </c>
      <c r="V79" s="764">
        <v>477.6</v>
      </c>
      <c r="W79" s="764">
        <v>333.59999999999997</v>
      </c>
      <c r="X79" s="764">
        <v>671</v>
      </c>
      <c r="Y79" s="739">
        <f>465*1.1</f>
        <v>511.50000000000006</v>
      </c>
    </row>
    <row r="80" spans="1:30" ht="14.25" customHeight="1">
      <c r="A80" s="672" t="s">
        <v>260</v>
      </c>
      <c r="B80" s="5"/>
      <c r="C80" s="211"/>
      <c r="D80" s="768" t="s">
        <v>179</v>
      </c>
      <c r="E80" s="769" t="s">
        <v>145</v>
      </c>
      <c r="F80" s="241" t="s">
        <v>111</v>
      </c>
      <c r="G80" s="279"/>
      <c r="H80" s="596">
        <v>1.00159</v>
      </c>
      <c r="I80" s="329" t="s">
        <v>140</v>
      </c>
      <c r="J80" s="330">
        <v>0.03</v>
      </c>
      <c r="K80" s="775">
        <v>1.18</v>
      </c>
      <c r="L80" s="54">
        <f t="shared" si="38"/>
        <v>1.2173324860000001</v>
      </c>
      <c r="O80" s="654" t="s">
        <v>138</v>
      </c>
      <c r="P80" s="709"/>
      <c r="Q80" s="709"/>
      <c r="R80" s="709"/>
      <c r="S80" s="709"/>
      <c r="T80" s="714">
        <v>0.15</v>
      </c>
      <c r="U80" s="721">
        <v>0</v>
      </c>
      <c r="V80" s="742">
        <v>0</v>
      </c>
      <c r="W80" s="721">
        <v>0.2</v>
      </c>
      <c r="X80" s="721">
        <v>0.1</v>
      </c>
      <c r="Y80" s="740">
        <v>0.1</v>
      </c>
    </row>
    <row r="81" spans="1:25" ht="14.25" customHeight="1">
      <c r="A81" s="672" t="s">
        <v>261</v>
      </c>
      <c r="B81" s="5"/>
      <c r="C81" s="211"/>
      <c r="D81" s="768" t="s">
        <v>266</v>
      </c>
      <c r="E81" s="769" t="s">
        <v>145</v>
      </c>
      <c r="F81" s="241" t="s">
        <v>111</v>
      </c>
      <c r="G81" s="279"/>
      <c r="H81" s="596">
        <v>1.00159</v>
      </c>
      <c r="I81" s="329" t="s">
        <v>140</v>
      </c>
      <c r="J81" s="269">
        <v>0.01</v>
      </c>
      <c r="K81" s="774">
        <v>224</v>
      </c>
      <c r="L81" s="54">
        <f t="shared" si="38"/>
        <v>226.59972159999998</v>
      </c>
      <c r="N81" s="5"/>
      <c r="O81" s="1019" t="s">
        <v>171</v>
      </c>
      <c r="P81" s="1020"/>
      <c r="Q81" s="1020"/>
      <c r="R81" s="1020"/>
      <c r="S81" s="1021"/>
      <c r="T81" s="715">
        <f t="shared" ref="T81:Y81" si="39">T78*T80+T79*(1-T80)</f>
        <v>192.93</v>
      </c>
      <c r="U81" s="722">
        <f t="shared" si="39"/>
        <v>345.5</v>
      </c>
      <c r="V81" s="722">
        <f t="shared" si="39"/>
        <v>477.6</v>
      </c>
      <c r="W81" s="722">
        <f t="shared" si="39"/>
        <v>277.27999999999997</v>
      </c>
      <c r="X81" s="722">
        <f t="shared" si="39"/>
        <v>609.1</v>
      </c>
      <c r="Y81" s="741">
        <f t="shared" si="39"/>
        <v>465.55000000000007</v>
      </c>
    </row>
    <row r="82" spans="1:25" ht="14.25" customHeight="1">
      <c r="A82" s="672" t="s">
        <v>262</v>
      </c>
      <c r="B82" s="5"/>
      <c r="C82" s="211"/>
      <c r="D82" s="768" t="s">
        <v>210</v>
      </c>
      <c r="E82" s="769" t="s">
        <v>145</v>
      </c>
      <c r="F82" s="241" t="s">
        <v>111</v>
      </c>
      <c r="G82" s="279"/>
      <c r="H82" s="596">
        <v>2.0015900000000002</v>
      </c>
      <c r="I82" s="329" t="s">
        <v>128</v>
      </c>
      <c r="J82" s="269">
        <v>0.01</v>
      </c>
      <c r="K82" s="774">
        <v>2</v>
      </c>
      <c r="L82" s="54">
        <f t="shared" si="38"/>
        <v>4.0432118000000008</v>
      </c>
      <c r="N82" s="5"/>
    </row>
    <row r="83" spans="1:25" ht="14.25" customHeight="1">
      <c r="A83" s="672" t="s">
        <v>90</v>
      </c>
      <c r="B83" s="5"/>
      <c r="C83" s="211"/>
      <c r="D83" s="770" t="s">
        <v>177</v>
      </c>
      <c r="E83" s="769" t="s">
        <v>78</v>
      </c>
      <c r="F83" s="264" t="s">
        <v>90</v>
      </c>
      <c r="G83" s="279"/>
      <c r="H83" s="596">
        <v>2.14418</v>
      </c>
      <c r="I83" s="264" t="s">
        <v>73</v>
      </c>
      <c r="J83" s="254">
        <v>0.01</v>
      </c>
      <c r="K83" s="611">
        <f>55182.57/(16*10^3)</f>
        <v>3.4489106249999999</v>
      </c>
      <c r="L83" s="54">
        <f>H83*(1+J83)*K83</f>
        <v>7.4690360357516239</v>
      </c>
      <c r="N83" s="5"/>
      <c r="O83" s="5" t="s">
        <v>162</v>
      </c>
    </row>
    <row r="84" spans="1:25" ht="14.25" customHeight="1">
      <c r="A84" s="672" t="s">
        <v>263</v>
      </c>
      <c r="B84" s="5"/>
      <c r="C84" s="211"/>
      <c r="D84" s="259" t="s">
        <v>74</v>
      </c>
      <c r="E84" s="281" t="s">
        <v>91</v>
      </c>
      <c r="F84" s="241" t="s">
        <v>41</v>
      </c>
      <c r="G84" s="241"/>
      <c r="H84" s="282">
        <v>1E-4</v>
      </c>
      <c r="I84" s="281" t="s">
        <v>129</v>
      </c>
      <c r="J84" s="269">
        <v>0.01</v>
      </c>
      <c r="K84" s="774">
        <f>380/0.53</f>
        <v>716.98113207547169</v>
      </c>
      <c r="L84" s="46">
        <f t="shared" si="38"/>
        <v>7.2415094339622649E-2</v>
      </c>
      <c r="M84" s="616" t="s">
        <v>267</v>
      </c>
      <c r="N84" s="5"/>
      <c r="O84" s="707"/>
      <c r="P84" s="673"/>
      <c r="Q84" s="708"/>
      <c r="R84" s="726" t="s">
        <v>121</v>
      </c>
      <c r="S84" s="727" t="s">
        <v>122</v>
      </c>
    </row>
    <row r="85" spans="1:25" ht="14.25" customHeight="1">
      <c r="A85" s="616" t="s">
        <v>264</v>
      </c>
      <c r="B85" s="5"/>
      <c r="C85" s="211"/>
      <c r="D85" s="259" t="s">
        <v>220</v>
      </c>
      <c r="E85" s="281" t="s">
        <v>270</v>
      </c>
      <c r="F85" s="241" t="s">
        <v>111</v>
      </c>
      <c r="G85" s="773">
        <v>3.3083333333333333E-2</v>
      </c>
      <c r="H85" s="369">
        <v>1.6459999999999999</v>
      </c>
      <c r="I85" s="281" t="s">
        <v>146</v>
      </c>
      <c r="J85" s="269">
        <v>0.01</v>
      </c>
      <c r="K85" s="278">
        <f>G85*L3</f>
        <v>3.6391666666666667</v>
      </c>
      <c r="L85" s="46">
        <f>H85*(1+J85)*K85</f>
        <v>6.0499690166666662</v>
      </c>
      <c r="N85" s="5"/>
      <c r="O85" s="723" t="s">
        <v>124</v>
      </c>
      <c r="P85" s="724"/>
      <c r="Q85" s="724"/>
      <c r="R85" s="754"/>
      <c r="S85" s="755"/>
    </row>
    <row r="86" spans="1:25" ht="14.25" customHeight="1" thickBot="1">
      <c r="B86" s="5"/>
      <c r="C86" s="212"/>
      <c r="D86" s="212"/>
      <c r="E86" s="213"/>
      <c r="F86" s="214"/>
      <c r="G86" s="215"/>
      <c r="H86" s="216"/>
      <c r="I86" s="213"/>
      <c r="J86" s="44"/>
      <c r="K86" s="91"/>
      <c r="L86" s="46"/>
      <c r="N86" s="5"/>
      <c r="O86" s="654" t="s">
        <v>125</v>
      </c>
      <c r="P86" s="709"/>
      <c r="Q86" s="709"/>
      <c r="R86" s="732"/>
      <c r="S86" s="733"/>
    </row>
    <row r="87" spans="1:25" ht="14.25" customHeight="1" thickBot="1">
      <c r="C87" s="104" t="s">
        <v>33</v>
      </c>
      <c r="D87" s="11"/>
      <c r="E87" s="11"/>
      <c r="F87" s="12"/>
      <c r="G87" s="11"/>
      <c r="H87" s="11"/>
      <c r="I87" s="11"/>
      <c r="J87" s="11"/>
      <c r="K87" s="237" t="s">
        <v>75</v>
      </c>
      <c r="L87" s="75">
        <f>SUM(L75:L86)</f>
        <v>267.00145960105795</v>
      </c>
      <c r="O87" s="654" t="s">
        <v>160</v>
      </c>
      <c r="P87" s="709"/>
      <c r="Q87" s="709"/>
      <c r="R87" s="732"/>
      <c r="S87" s="733"/>
    </row>
    <row r="88" spans="1:25" ht="14.25" customHeight="1">
      <c r="O88" s="654" t="s">
        <v>127</v>
      </c>
      <c r="P88" s="709"/>
      <c r="Q88" s="709"/>
      <c r="R88" s="732"/>
      <c r="S88" s="733"/>
    </row>
    <row r="89" spans="1:25" ht="14.25" customHeight="1">
      <c r="K89" s="771" t="s">
        <v>145</v>
      </c>
      <c r="L89" s="772">
        <f>SUM(L55:L58,L60:L61,L79:L83,L50,L53)</f>
        <v>296.27424593775157</v>
      </c>
      <c r="O89" s="635" t="s">
        <v>126</v>
      </c>
      <c r="P89" s="725"/>
      <c r="Q89" s="725"/>
      <c r="R89" s="734"/>
      <c r="S89" s="735"/>
      <c r="T89" s="616" t="s">
        <v>123</v>
      </c>
      <c r="X89" s="616" t="s">
        <v>283</v>
      </c>
    </row>
    <row r="90" spans="1:25" ht="14.25" customHeight="1">
      <c r="C90" s="5"/>
      <c r="D90" s="672"/>
      <c r="E90" s="47"/>
      <c r="F90" s="77"/>
      <c r="G90" s="672"/>
      <c r="H90" s="47"/>
      <c r="I90" s="47"/>
      <c r="J90" s="672"/>
      <c r="K90" s="47" t="s">
        <v>280</v>
      </c>
      <c r="L90" s="47">
        <f>L51+L52+L54+L59+L75+L76+L77+L78+L84+L85+L40+L37+L36+L49+L48</f>
        <v>174.87156550480631</v>
      </c>
      <c r="X90" s="616" t="s">
        <v>284</v>
      </c>
      <c r="Y90" s="729">
        <f>X23*(1+J70)*H70</f>
        <v>10.146155037896364</v>
      </c>
    </row>
    <row r="91" spans="1:25" ht="14.25" customHeight="1">
      <c r="K91" s="616" t="s">
        <v>281</v>
      </c>
      <c r="L91" s="729">
        <f>SUM(N67:N73,L32:L35)</f>
        <v>146.81781283585553</v>
      </c>
      <c r="M91" s="792">
        <f>L90+L91</f>
        <v>321.68937834066185</v>
      </c>
      <c r="O91" s="47" t="s">
        <v>211</v>
      </c>
      <c r="P91" s="672"/>
      <c r="Q91" s="672"/>
      <c r="R91" s="753"/>
      <c r="S91" s="750" t="s">
        <v>212</v>
      </c>
      <c r="U91" s="672"/>
      <c r="V91" s="672"/>
      <c r="W91" s="672"/>
      <c r="X91" s="672" t="s">
        <v>285</v>
      </c>
      <c r="Y91" s="792">
        <f>Y63+Y54+Y41</f>
        <v>77.501124293819331</v>
      </c>
    </row>
    <row r="92" spans="1:25">
      <c r="K92" s="616" t="s">
        <v>282</v>
      </c>
      <c r="L92" s="792">
        <f>L89+L90+L91</f>
        <v>617.96362427841336</v>
      </c>
      <c r="P92" s="672"/>
      <c r="Q92" s="672"/>
      <c r="R92" s="672"/>
      <c r="S92" s="672"/>
      <c r="U92" s="672"/>
      <c r="V92" s="672"/>
      <c r="W92" s="672"/>
      <c r="X92" s="793" t="s">
        <v>282</v>
      </c>
      <c r="Y92" s="794">
        <f>Y90+Y91</f>
        <v>87.647279331715694</v>
      </c>
    </row>
    <row r="93" spans="1:25">
      <c r="T93" s="672"/>
      <c r="U93" s="672"/>
      <c r="V93" s="672"/>
      <c r="W93" s="672"/>
      <c r="X93" s="672"/>
    </row>
    <row r="94" spans="1:25">
      <c r="K94" s="795" t="s">
        <v>282</v>
      </c>
      <c r="L94" s="794">
        <f>L87+N74+L63+L42+L39</f>
        <v>617.96362427841348</v>
      </c>
      <c r="T94" s="672"/>
      <c r="U94" s="672"/>
      <c r="V94" s="672"/>
      <c r="W94" s="672"/>
      <c r="X94" s="796" t="s">
        <v>286</v>
      </c>
      <c r="Y94" s="797">
        <f>Y92+L94</f>
        <v>705.61090361012918</v>
      </c>
    </row>
    <row r="95" spans="1:25">
      <c r="P95" s="672"/>
      <c r="Q95" s="672"/>
      <c r="R95" s="672"/>
      <c r="S95" s="672"/>
    </row>
    <row r="96" spans="1:25" ht="15" customHeight="1">
      <c r="G96" s="672"/>
      <c r="H96" s="799">
        <v>1.00159</v>
      </c>
      <c r="I96" s="672"/>
      <c r="J96" s="269">
        <v>0.01</v>
      </c>
      <c r="K96" s="672">
        <v>224</v>
      </c>
      <c r="L96" s="800">
        <f t="shared" ref="L96:L97" si="40">H96*(1+J96)*K96</f>
        <v>226.59972159999998</v>
      </c>
      <c r="M96" s="672" t="s">
        <v>288</v>
      </c>
    </row>
    <row r="97" spans="7:13">
      <c r="G97" s="672"/>
      <c r="H97" s="799">
        <v>2.0015900000000002</v>
      </c>
      <c r="I97" s="672"/>
      <c r="J97" s="269">
        <v>0.01</v>
      </c>
      <c r="K97" s="672">
        <v>13</v>
      </c>
      <c r="L97" s="800">
        <f t="shared" si="40"/>
        <v>26.280876700000004</v>
      </c>
      <c r="M97" s="672" t="s">
        <v>287</v>
      </c>
    </row>
    <row r="98" spans="7:13">
      <c r="L98" s="792">
        <f>L96-L97</f>
        <v>200.31884489999999</v>
      </c>
      <c r="M98" s="616" t="s">
        <v>289</v>
      </c>
    </row>
  </sheetData>
  <mergeCells count="10">
    <mergeCell ref="C7:D7"/>
    <mergeCell ref="C26:D26"/>
    <mergeCell ref="AB31:AE31"/>
    <mergeCell ref="O81:S8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96"/>
  <sheetViews>
    <sheetView showGridLines="0" tabSelected="1" topLeftCell="G26" zoomScale="85" zoomScaleNormal="85" zoomScaleSheetLayoutView="90" workbookViewId="0">
      <selection activeCell="N39" sqref="N39"/>
    </sheetView>
  </sheetViews>
  <sheetFormatPr defaultColWidth="7.75" defaultRowHeight="14.25"/>
  <cols>
    <col min="1" max="1" width="9.25" style="672" customWidth="1"/>
    <col min="2" max="2" width="2.375" style="672" customWidth="1"/>
    <col min="3" max="3" width="7.625" style="672" customWidth="1"/>
    <col min="4" max="4" width="40.75" style="672" customWidth="1"/>
    <col min="5" max="5" width="20.375" style="672" customWidth="1"/>
    <col min="6" max="25" width="10.75" style="672" customWidth="1"/>
    <col min="26" max="26" width="2.875" style="672" customWidth="1"/>
    <col min="27" max="27" width="12.375" style="672" customWidth="1"/>
    <col min="28" max="28" width="14.5" style="672" customWidth="1"/>
    <col min="29" max="32" width="7.75" style="672" hidden="1" customWidth="1"/>
    <col min="33" max="33" width="1.625" style="672" hidden="1" customWidth="1"/>
    <col min="34" max="34" width="7.75" style="672"/>
    <col min="35" max="36" width="10.625" style="672" customWidth="1"/>
    <col min="37" max="16384" width="7.75" style="672"/>
  </cols>
  <sheetData>
    <row r="1" spans="1:26" ht="18.75">
      <c r="C1" s="695" t="s">
        <v>42</v>
      </c>
      <c r="D1" s="701">
        <v>2019</v>
      </c>
      <c r="E1" s="696"/>
      <c r="F1" s="696"/>
      <c r="G1" s="696"/>
      <c r="H1" s="696"/>
      <c r="K1" s="47"/>
      <c r="L1" s="85"/>
      <c r="M1" s="47"/>
      <c r="S1" s="47"/>
      <c r="T1" s="801"/>
      <c r="Y1" s="731" t="s">
        <v>294</v>
      </c>
    </row>
    <row r="2" spans="1:26" ht="18">
      <c r="C2" s="1022" t="s">
        <v>43</v>
      </c>
      <c r="D2" s="1023"/>
      <c r="E2" s="1032" t="s">
        <v>291</v>
      </c>
      <c r="F2" s="1028"/>
      <c r="G2" s="1028"/>
      <c r="H2" s="1029"/>
      <c r="J2" s="47"/>
      <c r="K2" s="220" t="s">
        <v>113</v>
      </c>
      <c r="M2" s="802">
        <v>37940</v>
      </c>
      <c r="N2" s="220" t="s">
        <v>161</v>
      </c>
      <c r="R2" s="47"/>
      <c r="S2" s="803"/>
      <c r="V2" s="47"/>
      <c r="W2" s="47"/>
      <c r="Y2" s="804"/>
    </row>
    <row r="3" spans="1:26" ht="18">
      <c r="C3" s="1022" t="s">
        <v>340</v>
      </c>
      <c r="D3" s="1023"/>
      <c r="E3" s="1027"/>
      <c r="F3" s="1028"/>
      <c r="G3" s="1028"/>
      <c r="H3" s="1029"/>
      <c r="J3" s="47"/>
      <c r="K3" s="221" t="s">
        <v>114</v>
      </c>
      <c r="M3" s="970">
        <v>110</v>
      </c>
      <c r="N3" s="220"/>
      <c r="V3" s="47"/>
      <c r="W3" s="805"/>
      <c r="X3" s="804"/>
    </row>
    <row r="4" spans="1:26" ht="18">
      <c r="C4" s="1022" t="s">
        <v>341</v>
      </c>
      <c r="D4" s="1023"/>
      <c r="E4" s="1027" t="s">
        <v>290</v>
      </c>
      <c r="F4" s="1028"/>
      <c r="G4" s="1028"/>
      <c r="H4" s="1029"/>
      <c r="J4" s="47"/>
      <c r="K4" s="221" t="s">
        <v>115</v>
      </c>
      <c r="M4" s="971">
        <f>1/M3</f>
        <v>9.0909090909090905E-3</v>
      </c>
      <c r="N4" s="220"/>
      <c r="V4" s="47"/>
      <c r="W4" s="806"/>
    </row>
    <row r="5" spans="1:26">
      <c r="B5" s="47"/>
      <c r="C5" s="47"/>
      <c r="D5" s="47"/>
      <c r="E5" s="47"/>
      <c r="F5" s="47"/>
      <c r="G5" s="47"/>
      <c r="H5" s="47"/>
      <c r="I5" s="47"/>
      <c r="J5" s="47"/>
      <c r="K5" s="47" t="s">
        <v>317</v>
      </c>
      <c r="M5" s="972">
        <v>0.53</v>
      </c>
      <c r="N5" s="47"/>
      <c r="O5" s="74"/>
      <c r="Q5" s="47"/>
      <c r="V5" s="807"/>
    </row>
    <row r="6" spans="1:26" ht="14.25" customHeight="1" thickBot="1">
      <c r="B6" s="47"/>
      <c r="C6" s="47" t="s">
        <v>151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6" s="808" customFormat="1" ht="29.25" thickBot="1">
      <c r="B7" s="47"/>
      <c r="C7" s="1030" t="s">
        <v>118</v>
      </c>
      <c r="D7" s="1031"/>
      <c r="E7" s="809" t="s">
        <v>3</v>
      </c>
      <c r="F7" s="809" t="s">
        <v>4</v>
      </c>
      <c r="G7" s="809" t="s">
        <v>5</v>
      </c>
      <c r="H7" s="809" t="s">
        <v>6</v>
      </c>
      <c r="I7" s="809" t="s">
        <v>7</v>
      </c>
      <c r="J7" s="809" t="s">
        <v>8</v>
      </c>
      <c r="K7" s="809" t="s">
        <v>9</v>
      </c>
      <c r="L7" s="809" t="s">
        <v>45</v>
      </c>
      <c r="M7" s="809" t="s">
        <v>10</v>
      </c>
      <c r="N7" s="809" t="s">
        <v>18</v>
      </c>
      <c r="O7" s="809" t="s">
        <v>19</v>
      </c>
      <c r="P7" s="809" t="s">
        <v>11</v>
      </c>
      <c r="Q7" s="809" t="s">
        <v>12</v>
      </c>
      <c r="R7" s="810" t="s">
        <v>20</v>
      </c>
      <c r="S7" s="809" t="s">
        <v>13</v>
      </c>
      <c r="T7" s="809" t="s">
        <v>117</v>
      </c>
      <c r="U7" s="809" t="s">
        <v>14</v>
      </c>
      <c r="V7" s="809" t="s">
        <v>15</v>
      </c>
      <c r="W7" s="809" t="s">
        <v>16</v>
      </c>
      <c r="X7" s="810" t="s">
        <v>22</v>
      </c>
      <c r="Y7" s="810" t="s">
        <v>17</v>
      </c>
    </row>
    <row r="8" spans="1:26" s="808" customFormat="1" ht="14.25" customHeight="1" thickTop="1">
      <c r="A8" s="808" t="s">
        <v>330</v>
      </c>
      <c r="B8" s="47"/>
      <c r="C8" s="247" t="s">
        <v>213</v>
      </c>
      <c r="D8" s="217"/>
      <c r="E8" s="246" t="s">
        <v>187</v>
      </c>
      <c r="F8" s="276" t="s">
        <v>111</v>
      </c>
      <c r="G8" s="240">
        <v>1</v>
      </c>
      <c r="H8" s="248">
        <v>31.41</v>
      </c>
      <c r="I8" s="248">
        <v>8.81</v>
      </c>
      <c r="J8" s="254">
        <v>0.01</v>
      </c>
      <c r="K8" s="55">
        <f t="shared" ref="K8:K13" si="0">(H8+(I8/G8))*(1+J8)</f>
        <v>40.622199999999999</v>
      </c>
      <c r="L8" s="240">
        <v>0</v>
      </c>
      <c r="M8" s="56">
        <f t="shared" ref="M8:M14" si="1">K8*L8/1000</f>
        <v>0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0</v>
      </c>
      <c r="S8" s="240">
        <v>18.989999999999998</v>
      </c>
      <c r="T8" s="286">
        <v>243.90922898672292</v>
      </c>
      <c r="U8" s="56">
        <f t="shared" ref="U8:U14" si="5">S8*T8/3600/G8</f>
        <v>1.2866211829049634</v>
      </c>
      <c r="V8" s="56">
        <f t="shared" ref="V8:V14" si="6">$S$82</f>
        <v>0</v>
      </c>
      <c r="W8" s="56">
        <f t="shared" ref="W8:W14" si="7">S8*V8/3600/G8</f>
        <v>0</v>
      </c>
      <c r="X8" s="54">
        <f t="shared" ref="X8:X14" si="8">U8+W8</f>
        <v>1.2866211829049634</v>
      </c>
      <c r="Y8" s="54">
        <f t="shared" ref="Y8:Y14" si="9">R8+X8</f>
        <v>1.2866211829049634</v>
      </c>
    </row>
    <row r="9" spans="1:26" s="808" customFormat="1" ht="14.25" customHeight="1">
      <c r="A9" s="1003" t="s">
        <v>331</v>
      </c>
      <c r="B9" s="47"/>
      <c r="C9" s="247" t="s">
        <v>214</v>
      </c>
      <c r="D9" s="217"/>
      <c r="E9" s="367" t="s">
        <v>332</v>
      </c>
      <c r="F9" s="276" t="s">
        <v>111</v>
      </c>
      <c r="G9" s="240">
        <v>2</v>
      </c>
      <c r="H9" s="248">
        <v>35.119999999999997</v>
      </c>
      <c r="I9" s="248">
        <v>25.26</v>
      </c>
      <c r="J9" s="254">
        <v>0.01</v>
      </c>
      <c r="K9" s="55">
        <f t="shared" si="0"/>
        <v>48.227499999999999</v>
      </c>
      <c r="L9" s="240">
        <v>0</v>
      </c>
      <c r="M9" s="56">
        <f t="shared" si="1"/>
        <v>0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0</v>
      </c>
      <c r="S9" s="240">
        <v>19.899999999999999</v>
      </c>
      <c r="T9" s="286">
        <v>243.90922898672292</v>
      </c>
      <c r="U9" s="56">
        <f t="shared" si="5"/>
        <v>0.67413800789385914</v>
      </c>
      <c r="V9" s="56">
        <f t="shared" si="6"/>
        <v>0</v>
      </c>
      <c r="W9" s="56">
        <f t="shared" si="7"/>
        <v>0</v>
      </c>
      <c r="X9" s="54">
        <f t="shared" si="8"/>
        <v>0.67413800789385914</v>
      </c>
      <c r="Y9" s="54">
        <f t="shared" si="9"/>
        <v>0.67413800789385914</v>
      </c>
    </row>
    <row r="10" spans="1:26" s="808" customFormat="1" ht="14.25" customHeight="1">
      <c r="A10" s="808" t="s">
        <v>333</v>
      </c>
      <c r="B10" s="47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248">
        <v>25.268000000000001</v>
      </c>
      <c r="I10" s="248">
        <v>16.568999999999999</v>
      </c>
      <c r="J10" s="254">
        <v>0.01</v>
      </c>
      <c r="K10" s="55">
        <f t="shared" si="0"/>
        <v>33.888024999999999</v>
      </c>
      <c r="L10" s="240">
        <v>0</v>
      </c>
      <c r="M10" s="56">
        <f t="shared" si="1"/>
        <v>0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0</v>
      </c>
      <c r="S10" s="240">
        <v>18.989999999999998</v>
      </c>
      <c r="T10" s="286">
        <v>243.90922898672292</v>
      </c>
      <c r="U10" s="56">
        <f t="shared" si="5"/>
        <v>0.64331059145248171</v>
      </c>
      <c r="V10" s="56">
        <f t="shared" si="6"/>
        <v>0</v>
      </c>
      <c r="W10" s="56">
        <f t="shared" si="7"/>
        <v>0</v>
      </c>
      <c r="X10" s="54">
        <f t="shared" si="8"/>
        <v>0.64331059145248171</v>
      </c>
      <c r="Y10" s="54">
        <f t="shared" si="9"/>
        <v>0.64331059145248171</v>
      </c>
    </row>
    <row r="11" spans="1:26" s="808" customFormat="1" ht="14.25" customHeight="1">
      <c r="A11" s="808" t="s">
        <v>334</v>
      </c>
      <c r="B11" s="47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811">
        <v>6.67</v>
      </c>
      <c r="I11" s="811">
        <v>3.39</v>
      </c>
      <c r="J11" s="254">
        <v>0.01</v>
      </c>
      <c r="K11" s="55">
        <f t="shared" si="0"/>
        <v>8.4486500000000007</v>
      </c>
      <c r="L11" s="240">
        <v>0</v>
      </c>
      <c r="M11" s="56">
        <f t="shared" si="1"/>
        <v>0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0</v>
      </c>
      <c r="S11" s="240">
        <v>23.27</v>
      </c>
      <c r="T11" s="286">
        <v>243.90922898672301</v>
      </c>
      <c r="U11" s="56">
        <f t="shared" si="5"/>
        <v>0.78830107757236723</v>
      </c>
      <c r="V11" s="56">
        <f t="shared" si="6"/>
        <v>0</v>
      </c>
      <c r="W11" s="56">
        <f t="shared" si="7"/>
        <v>0</v>
      </c>
      <c r="X11" s="54">
        <f t="shared" si="8"/>
        <v>0.78830107757236723</v>
      </c>
      <c r="Y11" s="54">
        <f t="shared" si="9"/>
        <v>0.78830107757236723</v>
      </c>
    </row>
    <row r="12" spans="1:26" s="808" customFormat="1" ht="14.25" customHeight="1">
      <c r="A12" s="1003" t="s">
        <v>335</v>
      </c>
      <c r="B12" s="47"/>
      <c r="C12" s="274" t="s">
        <v>194</v>
      </c>
      <c r="D12" s="388"/>
      <c r="E12" s="367" t="s">
        <v>332</v>
      </c>
      <c r="F12" s="351" t="s">
        <v>180</v>
      </c>
      <c r="G12" s="264">
        <v>2</v>
      </c>
      <c r="H12" s="268">
        <v>1.99</v>
      </c>
      <c r="I12" s="268">
        <v>1.135</v>
      </c>
      <c r="J12" s="269">
        <v>0.01</v>
      </c>
      <c r="K12" s="55">
        <f t="shared" si="0"/>
        <v>2.583075</v>
      </c>
      <c r="L12" s="264">
        <v>0</v>
      </c>
      <c r="M12" s="56">
        <f t="shared" si="1"/>
        <v>0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</v>
      </c>
      <c r="S12" s="279">
        <v>10.07</v>
      </c>
      <c r="T12" s="286">
        <v>243.90922898672292</v>
      </c>
      <c r="U12" s="56">
        <f t="shared" si="5"/>
        <v>0.34113415776337497</v>
      </c>
      <c r="V12" s="56">
        <f t="shared" si="6"/>
        <v>0</v>
      </c>
      <c r="W12" s="56">
        <f t="shared" si="7"/>
        <v>0</v>
      </c>
      <c r="X12" s="54">
        <f t="shared" si="8"/>
        <v>0.34113415776337497</v>
      </c>
      <c r="Y12" s="54">
        <f t="shared" si="9"/>
        <v>0.34113415776337497</v>
      </c>
    </row>
    <row r="13" spans="1:26" s="808" customFormat="1" ht="14.25" customHeight="1">
      <c r="A13" s="808" t="s">
        <v>337</v>
      </c>
      <c r="B13" s="47"/>
      <c r="C13" s="389" t="s">
        <v>195</v>
      </c>
      <c r="D13" s="390"/>
      <c r="E13" s="367" t="s">
        <v>332</v>
      </c>
      <c r="F13" s="368" t="s">
        <v>180</v>
      </c>
      <c r="G13" s="281">
        <v>4</v>
      </c>
      <c r="H13" s="812">
        <v>5.96</v>
      </c>
      <c r="I13" s="812">
        <v>1.46</v>
      </c>
      <c r="J13" s="370">
        <v>0.01</v>
      </c>
      <c r="K13" s="81">
        <f t="shared" si="0"/>
        <v>6.3882500000000002</v>
      </c>
      <c r="L13" s="281">
        <v>0</v>
      </c>
      <c r="M13" s="371">
        <f t="shared" si="1"/>
        <v>0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0</v>
      </c>
      <c r="S13" s="241">
        <v>20.98</v>
      </c>
      <c r="T13" s="373">
        <v>243.90922898672292</v>
      </c>
      <c r="U13" s="371">
        <f t="shared" si="5"/>
        <v>0.35536219612093378</v>
      </c>
      <c r="V13" s="371">
        <f t="shared" si="6"/>
        <v>0</v>
      </c>
      <c r="W13" s="371">
        <f t="shared" si="7"/>
        <v>0</v>
      </c>
      <c r="X13" s="349">
        <f t="shared" si="8"/>
        <v>0.35536219612093378</v>
      </c>
      <c r="Y13" s="349">
        <f t="shared" si="9"/>
        <v>0.35536219612093378</v>
      </c>
      <c r="Z13" s="808" t="s">
        <v>181</v>
      </c>
    </row>
    <row r="14" spans="1:26" s="808" customFormat="1" ht="14.25" customHeight="1">
      <c r="A14" s="808" t="s">
        <v>336</v>
      </c>
      <c r="B14" s="47"/>
      <c r="C14" s="391" t="s">
        <v>196</v>
      </c>
      <c r="D14" s="392"/>
      <c r="E14" s="367" t="s">
        <v>332</v>
      </c>
      <c r="F14" s="273" t="s">
        <v>180</v>
      </c>
      <c r="G14" s="265">
        <v>2</v>
      </c>
      <c r="H14" s="813">
        <v>1.47</v>
      </c>
      <c r="I14" s="813">
        <v>2.92</v>
      </c>
      <c r="J14" s="271">
        <v>0.01</v>
      </c>
      <c r="K14" s="353">
        <f>(H14+(I14/G14))*(1+J14)</f>
        <v>2.9592999999999998</v>
      </c>
      <c r="L14" s="265">
        <v>0</v>
      </c>
      <c r="M14" s="323">
        <f t="shared" si="1"/>
        <v>0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</v>
      </c>
      <c r="S14" s="395">
        <v>15.37</v>
      </c>
      <c r="T14" s="358">
        <v>243.90922898672292</v>
      </c>
      <c r="U14" s="323">
        <f t="shared" si="5"/>
        <v>0.52067845132304602</v>
      </c>
      <c r="V14" s="323">
        <f t="shared" si="6"/>
        <v>0</v>
      </c>
      <c r="W14" s="323">
        <f t="shared" si="7"/>
        <v>0</v>
      </c>
      <c r="X14" s="90">
        <f t="shared" si="8"/>
        <v>0.52067845132304602</v>
      </c>
      <c r="Y14" s="90">
        <f t="shared" si="9"/>
        <v>0.52067845132304602</v>
      </c>
    </row>
    <row r="15" spans="1:26" s="808" customFormat="1" ht="14.25" customHeight="1">
      <c r="B15" s="47"/>
      <c r="C15" s="252" t="s">
        <v>46</v>
      </c>
      <c r="D15" s="229"/>
      <c r="E15" s="229"/>
      <c r="F15" s="446"/>
      <c r="G15" s="229"/>
      <c r="H15" s="229"/>
      <c r="I15" s="229"/>
      <c r="J15" s="82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92</v>
      </c>
      <c r="U15" s="402"/>
      <c r="V15" s="403" t="s">
        <v>47</v>
      </c>
      <c r="W15" s="814"/>
      <c r="X15" s="400">
        <f>U15*W15</f>
        <v>0</v>
      </c>
      <c r="Y15" s="400">
        <f>X15</f>
        <v>0</v>
      </c>
    </row>
    <row r="16" spans="1:26" s="815" customFormat="1" ht="14.25" customHeight="1">
      <c r="A16" s="808"/>
      <c r="B16" s="47"/>
      <c r="C16" s="247"/>
      <c r="D16" s="217"/>
      <c r="E16" s="246"/>
      <c r="F16" s="276" t="s">
        <v>111</v>
      </c>
      <c r="G16" s="243"/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v>0</v>
      </c>
      <c r="N16" s="178">
        <f t="shared" ref="N16:N22" si="11">I16+(H16+I16)*J16/100</f>
        <v>0</v>
      </c>
      <c r="O16" s="255">
        <v>0.9</v>
      </c>
      <c r="P16" s="177">
        <v>0</v>
      </c>
      <c r="Q16" s="178">
        <v>0</v>
      </c>
      <c r="R16" s="179">
        <v>0</v>
      </c>
      <c r="S16" s="243">
        <v>0</v>
      </c>
      <c r="T16" s="287">
        <v>243.90922898672292</v>
      </c>
      <c r="U16" s="178">
        <f t="shared" ref="U16:U22" si="12">S16*T16/3600</f>
        <v>0</v>
      </c>
      <c r="V16" s="178">
        <f t="shared" ref="V16:V21" si="13">$S$83</f>
        <v>0</v>
      </c>
      <c r="W16" s="178" t="e">
        <f t="shared" ref="W16:W22" si="14">S16*V16/3600/G16</f>
        <v>#DIV/0!</v>
      </c>
      <c r="X16" s="179" t="e">
        <f t="shared" ref="X16:X22" si="15">U16+W16</f>
        <v>#DIV/0!</v>
      </c>
      <c r="Y16" s="179"/>
    </row>
    <row r="17" spans="1:36" s="815" customFormat="1" ht="14.25" customHeight="1">
      <c r="A17" s="808" t="s">
        <v>331</v>
      </c>
      <c r="B17" s="47"/>
      <c r="C17" s="247" t="s">
        <v>214</v>
      </c>
      <c r="D17" s="217"/>
      <c r="E17" s="246" t="s">
        <v>157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ref="M17:M19" si="16">K17*L17/1000/G17</f>
        <v>0</v>
      </c>
      <c r="N17" s="56">
        <f t="shared" si="11"/>
        <v>0</v>
      </c>
      <c r="O17" s="254">
        <v>0.9</v>
      </c>
      <c r="P17" s="1">
        <v>0</v>
      </c>
      <c r="Q17" s="56">
        <f t="shared" ref="Q17:Q19" si="17">N17*O17*P17/1000/G17</f>
        <v>0</v>
      </c>
      <c r="R17" s="54">
        <f t="shared" ref="R17:R22" si="18">M17-Q17</f>
        <v>0</v>
      </c>
      <c r="S17" s="240">
        <v>20</v>
      </c>
      <c r="T17" s="286">
        <v>243.90922898672292</v>
      </c>
      <c r="U17" s="56">
        <f t="shared" si="12"/>
        <v>1.3550512721484607</v>
      </c>
      <c r="V17" s="56">
        <f t="shared" si="13"/>
        <v>0</v>
      </c>
      <c r="W17" s="56">
        <f t="shared" si="14"/>
        <v>0</v>
      </c>
      <c r="X17" s="54">
        <f t="shared" si="15"/>
        <v>1.3550512721484607</v>
      </c>
      <c r="Y17" s="54">
        <f>R17+X17</f>
        <v>1.3550512721484607</v>
      </c>
    </row>
    <row r="18" spans="1:36" s="815" customFormat="1" ht="14.25" customHeight="1">
      <c r="A18" s="808" t="s">
        <v>333</v>
      </c>
      <c r="B18" s="47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>K18*L18/1000/G18</f>
        <v>0</v>
      </c>
      <c r="N18" s="56">
        <f t="shared" si="11"/>
        <v>0</v>
      </c>
      <c r="O18" s="254">
        <v>0.9</v>
      </c>
      <c r="P18" s="1">
        <v>0</v>
      </c>
      <c r="Q18" s="56">
        <f t="shared" si="17"/>
        <v>0</v>
      </c>
      <c r="R18" s="54">
        <f t="shared" si="18"/>
        <v>0</v>
      </c>
      <c r="S18" s="240">
        <v>50</v>
      </c>
      <c r="T18" s="286">
        <v>243.90922898672292</v>
      </c>
      <c r="U18" s="56">
        <f t="shared" si="12"/>
        <v>3.3876281803711517</v>
      </c>
      <c r="V18" s="56">
        <f t="shared" si="13"/>
        <v>0</v>
      </c>
      <c r="W18" s="56">
        <f t="shared" si="14"/>
        <v>0</v>
      </c>
      <c r="X18" s="54">
        <f t="shared" si="15"/>
        <v>3.3876281803711517</v>
      </c>
      <c r="Y18" s="54">
        <f t="shared" ref="Y18:Y19" si="19">R18+X18</f>
        <v>3.3876281803711517</v>
      </c>
    </row>
    <row r="19" spans="1:36" s="815" customFormat="1" ht="14.25" customHeight="1">
      <c r="A19" s="808" t="s">
        <v>334</v>
      </c>
      <c r="B19" s="47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6"/>
        <v>0</v>
      </c>
      <c r="N19" s="56">
        <f t="shared" si="11"/>
        <v>0</v>
      </c>
      <c r="O19" s="254">
        <v>0.9</v>
      </c>
      <c r="P19" s="1">
        <v>0</v>
      </c>
      <c r="Q19" s="56">
        <f t="shared" si="17"/>
        <v>0</v>
      </c>
      <c r="R19" s="54">
        <f t="shared" si="18"/>
        <v>0</v>
      </c>
      <c r="S19" s="240">
        <v>10</v>
      </c>
      <c r="T19" s="286">
        <v>243.90922898672292</v>
      </c>
      <c r="U19" s="56">
        <f t="shared" si="12"/>
        <v>0.67752563607423033</v>
      </c>
      <c r="V19" s="56">
        <f t="shared" si="13"/>
        <v>0</v>
      </c>
      <c r="W19" s="56">
        <f t="shared" si="14"/>
        <v>0</v>
      </c>
      <c r="X19" s="54">
        <f t="shared" si="15"/>
        <v>0.67752563607423033</v>
      </c>
      <c r="Y19" s="54">
        <f t="shared" si="19"/>
        <v>0.67752563607423033</v>
      </c>
    </row>
    <row r="20" spans="1:36" s="815" customFormat="1" ht="14.25" customHeight="1">
      <c r="A20" s="808"/>
      <c r="B20" s="47"/>
      <c r="C20" s="1012"/>
      <c r="D20" s="393"/>
      <c r="E20" s="350"/>
      <c r="F20" s="351" t="s">
        <v>180</v>
      </c>
      <c r="G20" s="264"/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v>0</v>
      </c>
      <c r="N20" s="322">
        <f t="shared" si="11"/>
        <v>0</v>
      </c>
      <c r="O20" s="269">
        <v>0.9</v>
      </c>
      <c r="P20" s="3">
        <v>0</v>
      </c>
      <c r="Q20" s="95">
        <v>0</v>
      </c>
      <c r="R20" s="46">
        <f t="shared" si="18"/>
        <v>0</v>
      </c>
      <c r="S20" s="396">
        <v>0</v>
      </c>
      <c r="T20" s="286">
        <v>243.90922898672292</v>
      </c>
      <c r="U20" s="56">
        <f t="shared" si="12"/>
        <v>0</v>
      </c>
      <c r="V20" s="56">
        <f t="shared" si="13"/>
        <v>0</v>
      </c>
      <c r="W20" s="56" t="e">
        <f t="shared" si="14"/>
        <v>#DIV/0!</v>
      </c>
      <c r="X20" s="54" t="e">
        <f t="shared" si="15"/>
        <v>#DIV/0!</v>
      </c>
      <c r="Y20" s="54"/>
    </row>
    <row r="21" spans="1:36" s="815" customFormat="1" ht="14.25" customHeight="1">
      <c r="A21" s="1003"/>
      <c r="B21" s="47"/>
      <c r="C21" s="280"/>
      <c r="D21" s="393"/>
      <c r="E21" s="367"/>
      <c r="F21" s="368" t="s">
        <v>180</v>
      </c>
      <c r="G21" s="281"/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22">
        <v>0</v>
      </c>
      <c r="N21" s="375">
        <f t="shared" si="11"/>
        <v>0</v>
      </c>
      <c r="O21" s="370">
        <v>0.9</v>
      </c>
      <c r="P21" s="4">
        <v>0</v>
      </c>
      <c r="Q21" s="184">
        <v>0</v>
      </c>
      <c r="R21" s="60">
        <f t="shared" si="18"/>
        <v>0</v>
      </c>
      <c r="S21" s="397">
        <v>0</v>
      </c>
      <c r="T21" s="373">
        <v>243.90922898672292</v>
      </c>
      <c r="U21" s="371">
        <f t="shared" si="12"/>
        <v>0</v>
      </c>
      <c r="V21" s="371">
        <f t="shared" si="13"/>
        <v>0</v>
      </c>
      <c r="W21" s="371" t="e">
        <f t="shared" si="14"/>
        <v>#DIV/0!</v>
      </c>
      <c r="X21" s="349" t="e">
        <f t="shared" si="15"/>
        <v>#DIV/0!</v>
      </c>
      <c r="Y21" s="349"/>
    </row>
    <row r="22" spans="1:36" s="815" customFormat="1" ht="14.25" customHeight="1" thickBot="1">
      <c r="A22" s="1003"/>
      <c r="B22" s="47"/>
      <c r="C22" s="391"/>
      <c r="D22" s="392"/>
      <c r="E22" s="352"/>
      <c r="F22" s="273" t="s">
        <v>180</v>
      </c>
      <c r="G22" s="265"/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2">
        <v>0</v>
      </c>
      <c r="N22" s="323">
        <f t="shared" si="11"/>
        <v>0</v>
      </c>
      <c r="O22" s="271">
        <v>0.9</v>
      </c>
      <c r="P22" s="53">
        <v>0</v>
      </c>
      <c r="Q22" s="354">
        <v>0</v>
      </c>
      <c r="R22" s="60">
        <f t="shared" si="18"/>
        <v>0</v>
      </c>
      <c r="S22" s="397">
        <v>0</v>
      </c>
      <c r="T22" s="358">
        <v>243.90922898672292</v>
      </c>
      <c r="U22" s="323">
        <f t="shared" si="12"/>
        <v>0</v>
      </c>
      <c r="V22" s="323">
        <f>V21</f>
        <v>0</v>
      </c>
      <c r="W22" s="357" t="e">
        <f t="shared" si="14"/>
        <v>#DIV/0!</v>
      </c>
      <c r="X22" s="60" t="e">
        <f t="shared" si="15"/>
        <v>#DIV/0!</v>
      </c>
      <c r="Y22" s="60"/>
    </row>
    <row r="23" spans="1:36" s="808" customFormat="1" ht="14.25" customHeight="1" thickBot="1">
      <c r="B23" s="47"/>
      <c r="C23" s="816" t="s">
        <v>33</v>
      </c>
      <c r="D23" s="229"/>
      <c r="E23" s="229"/>
      <c r="F23" s="446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817"/>
      <c r="R23" s="818">
        <f>SUM(R8:R22)</f>
        <v>0</v>
      </c>
      <c r="S23" s="819" t="s">
        <v>94</v>
      </c>
      <c r="T23" s="229"/>
      <c r="U23" s="229"/>
      <c r="V23" s="229"/>
      <c r="W23" s="817"/>
      <c r="X23" s="818" t="e">
        <f>SUM(X8:X19)</f>
        <v>#DIV/0!</v>
      </c>
      <c r="Y23" s="165">
        <f>SUM(Y8:Y22)</f>
        <v>10.029750753624869</v>
      </c>
    </row>
    <row r="24" spans="1:36" s="808" customFormat="1" ht="14.25" customHeight="1">
      <c r="B24" s="47"/>
      <c r="C24" s="63"/>
      <c r="D24" s="63"/>
      <c r="E24" s="63"/>
      <c r="F24" s="820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821" t="s">
        <v>48</v>
      </c>
      <c r="T24" s="63"/>
      <c r="U24" s="63"/>
      <c r="V24" s="63"/>
      <c r="W24" s="63"/>
      <c r="X24" s="63"/>
    </row>
    <row r="25" spans="1:36" ht="14.25" customHeight="1" thickBot="1">
      <c r="B25" s="47"/>
      <c r="C25" s="822" t="s">
        <v>150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36" ht="14.25" customHeight="1" thickBot="1">
      <c r="B26" s="47"/>
      <c r="C26" s="1030" t="s">
        <v>118</v>
      </c>
      <c r="D26" s="1031"/>
      <c r="E26" s="809" t="s">
        <v>3</v>
      </c>
      <c r="F26" s="809" t="s">
        <v>4</v>
      </c>
      <c r="G26" s="809" t="s">
        <v>5</v>
      </c>
      <c r="H26" s="809" t="s">
        <v>6</v>
      </c>
      <c r="I26" s="809" t="s">
        <v>7</v>
      </c>
      <c r="J26" s="809" t="s">
        <v>8</v>
      </c>
      <c r="K26" s="809" t="s">
        <v>9</v>
      </c>
      <c r="L26" s="809" t="s">
        <v>24</v>
      </c>
      <c r="M26" s="809" t="s">
        <v>10</v>
      </c>
      <c r="N26" s="809" t="s">
        <v>18</v>
      </c>
      <c r="O26" s="809" t="s">
        <v>19</v>
      </c>
      <c r="P26" s="809" t="s">
        <v>11</v>
      </c>
      <c r="Q26" s="809" t="s">
        <v>12</v>
      </c>
      <c r="R26" s="810" t="s">
        <v>20</v>
      </c>
      <c r="S26" s="809" t="s">
        <v>13</v>
      </c>
      <c r="T26" s="809" t="s">
        <v>21</v>
      </c>
      <c r="U26" s="809" t="s">
        <v>14</v>
      </c>
      <c r="V26" s="809" t="s">
        <v>15</v>
      </c>
      <c r="W26" s="809" t="s">
        <v>16</v>
      </c>
      <c r="X26" s="810" t="s">
        <v>22</v>
      </c>
      <c r="Y26" s="810" t="s">
        <v>17</v>
      </c>
    </row>
    <row r="27" spans="1:36" ht="14.25" customHeight="1" thickTop="1" thickBot="1">
      <c r="B27" s="47"/>
      <c r="C27" s="50"/>
      <c r="D27" s="823"/>
      <c r="E27" s="1"/>
      <c r="F27" s="37"/>
      <c r="G27" s="1"/>
      <c r="H27" s="38"/>
      <c r="I27" s="38"/>
      <c r="J27" s="824"/>
      <c r="K27" s="55"/>
      <c r="L27" s="1"/>
      <c r="M27" s="56"/>
      <c r="N27" s="56"/>
      <c r="O27" s="824"/>
      <c r="P27" s="1"/>
      <c r="Q27" s="56"/>
      <c r="R27" s="54"/>
      <c r="S27" s="1"/>
      <c r="T27" s="825"/>
      <c r="U27" s="56"/>
      <c r="V27" s="825"/>
      <c r="W27" s="56"/>
      <c r="X27" s="54"/>
      <c r="Y27" s="54"/>
    </row>
    <row r="28" spans="1:36" ht="14.25" customHeight="1" thickBot="1">
      <c r="B28" s="47"/>
      <c r="C28" s="826" t="s">
        <v>93</v>
      </c>
      <c r="D28" s="229"/>
      <c r="E28" s="229"/>
      <c r="F28" s="446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817"/>
      <c r="R28" s="818">
        <f>SUM(R27:R27)</f>
        <v>0</v>
      </c>
      <c r="S28" s="819" t="s">
        <v>94</v>
      </c>
      <c r="T28" s="229" t="s">
        <v>0</v>
      </c>
      <c r="U28" s="229"/>
      <c r="V28" s="229"/>
      <c r="W28" s="817"/>
      <c r="X28" s="818">
        <f>SUM(X27:X27)</f>
        <v>0</v>
      </c>
      <c r="Y28" s="165">
        <f>SUM(Y27:Y27)</f>
        <v>0</v>
      </c>
    </row>
    <row r="29" spans="1:36" ht="14.25" customHeight="1">
      <c r="B29" s="47"/>
      <c r="C29" s="47"/>
      <c r="D29" s="47"/>
      <c r="E29" s="47" t="s">
        <v>295</v>
      </c>
      <c r="F29" s="7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</row>
    <row r="30" spans="1:36" ht="14.25" customHeight="1" thickBot="1">
      <c r="B30" s="47"/>
      <c r="C30" s="822" t="s">
        <v>149</v>
      </c>
      <c r="D30" s="47"/>
      <c r="E30" s="47"/>
      <c r="F30" s="76"/>
      <c r="G30" s="47"/>
      <c r="H30" s="47"/>
      <c r="I30" s="47"/>
      <c r="J30" s="47"/>
      <c r="K30" s="47"/>
      <c r="L30" s="47"/>
      <c r="M30" s="47"/>
      <c r="O30" s="822" t="s">
        <v>322</v>
      </c>
      <c r="P30" s="47"/>
      <c r="Q30" s="47"/>
      <c r="R30" s="47"/>
      <c r="S30" s="47"/>
      <c r="T30" s="47"/>
      <c r="U30" s="47"/>
      <c r="V30" s="47"/>
      <c r="W30" s="47"/>
      <c r="X30" s="47"/>
    </row>
    <row r="31" spans="1:36" ht="14.25" customHeight="1" thickBot="1">
      <c r="B31" s="47"/>
      <c r="C31" s="828" t="s">
        <v>2</v>
      </c>
      <c r="D31" s="829"/>
      <c r="E31" s="830" t="s">
        <v>3</v>
      </c>
      <c r="F31" s="830" t="s">
        <v>4</v>
      </c>
      <c r="G31" s="831" t="s">
        <v>318</v>
      </c>
      <c r="H31" s="830" t="s">
        <v>23</v>
      </c>
      <c r="I31" s="809" t="s">
        <v>169</v>
      </c>
      <c r="J31" s="830" t="s">
        <v>8</v>
      </c>
      <c r="K31" s="830" t="s">
        <v>24</v>
      </c>
      <c r="L31" s="832" t="s">
        <v>50</v>
      </c>
      <c r="M31" s="73" t="s">
        <v>40</v>
      </c>
      <c r="O31" s="833" t="s">
        <v>26</v>
      </c>
      <c r="P31" s="834"/>
      <c r="Q31" s="835" t="s">
        <v>13</v>
      </c>
      <c r="R31" s="835" t="s">
        <v>27</v>
      </c>
      <c r="S31" s="835" t="s">
        <v>324</v>
      </c>
      <c r="T31" s="835" t="s">
        <v>8</v>
      </c>
      <c r="U31" s="835" t="s">
        <v>29</v>
      </c>
      <c r="V31" s="835" t="s">
        <v>14</v>
      </c>
      <c r="W31" s="835" t="s">
        <v>30</v>
      </c>
      <c r="X31" s="835" t="s">
        <v>16</v>
      </c>
      <c r="Y31" s="810" t="s">
        <v>31</v>
      </c>
      <c r="AA31" s="621">
        <f>E3</f>
        <v>0</v>
      </c>
      <c r="AB31" s="1016" t="str">
        <f>E2</f>
        <v>TMR-050 SRC 16ch</v>
      </c>
      <c r="AC31" s="1017"/>
      <c r="AD31" s="1017"/>
      <c r="AE31" s="1018"/>
    </row>
    <row r="32" spans="1:36" ht="14.25" customHeight="1" thickTop="1" thickBot="1">
      <c r="A32" s="1011" t="s">
        <v>296</v>
      </c>
      <c r="B32" s="47"/>
      <c r="C32" s="442" t="s">
        <v>51</v>
      </c>
      <c r="D32" s="914" t="s">
        <v>276</v>
      </c>
      <c r="E32" s="263" t="s">
        <v>275</v>
      </c>
      <c r="F32" s="263" t="s">
        <v>111</v>
      </c>
      <c r="G32" s="263"/>
      <c r="H32" s="915">
        <v>1</v>
      </c>
      <c r="I32" s="263" t="s">
        <v>140</v>
      </c>
      <c r="J32" s="267">
        <v>5.0000000000000001E-3</v>
      </c>
      <c r="K32" s="916">
        <v>21.24</v>
      </c>
      <c r="L32" s="89">
        <f t="shared" ref="L32:L35" si="20">H32*(1+J32)*K32</f>
        <v>21.346199999999996</v>
      </c>
      <c r="M32" s="836"/>
      <c r="N32" s="837"/>
      <c r="O32" s="283"/>
      <c r="P32" s="93"/>
      <c r="Q32" s="615"/>
      <c r="R32" s="415"/>
      <c r="S32" s="284"/>
      <c r="T32" s="284"/>
      <c r="U32" s="92"/>
      <c r="V32" s="92"/>
      <c r="W32" s="92"/>
      <c r="X32" s="94"/>
      <c r="Y32" s="89"/>
      <c r="AA32" s="622">
        <f>D1</f>
        <v>2019</v>
      </c>
      <c r="AB32" s="623" t="s">
        <v>52</v>
      </c>
      <c r="AC32" s="624" t="s">
        <v>39</v>
      </c>
      <c r="AD32" s="838" t="s">
        <v>53</v>
      </c>
      <c r="AE32" s="838" t="s">
        <v>54</v>
      </c>
      <c r="AF32" s="696" t="s">
        <v>55</v>
      </c>
      <c r="AG32" s="696"/>
      <c r="AI32" s="672" t="s">
        <v>54</v>
      </c>
      <c r="AJ32" s="672" t="s">
        <v>53</v>
      </c>
    </row>
    <row r="33" spans="1:36" ht="14.25" customHeight="1">
      <c r="A33" s="1011" t="s">
        <v>297</v>
      </c>
      <c r="B33" s="47"/>
      <c r="C33" s="199"/>
      <c r="D33" s="382" t="s">
        <v>277</v>
      </c>
      <c r="E33" s="264" t="s">
        <v>275</v>
      </c>
      <c r="F33" s="264" t="s">
        <v>111</v>
      </c>
      <c r="G33" s="264"/>
      <c r="H33" s="917">
        <v>1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24.240599999999997</v>
      </c>
      <c r="M33" s="836"/>
      <c r="N33" s="837"/>
      <c r="O33" s="257"/>
      <c r="P33" s="59"/>
      <c r="Q33" s="615"/>
      <c r="R33" s="239"/>
      <c r="S33" s="256"/>
      <c r="T33" s="256"/>
      <c r="U33" s="58"/>
      <c r="V33" s="58"/>
      <c r="W33" s="58"/>
      <c r="X33" s="95"/>
      <c r="Y33" s="46"/>
      <c r="AA33" s="839" t="s">
        <v>56</v>
      </c>
      <c r="AB33" s="840">
        <f>R23</f>
        <v>0</v>
      </c>
      <c r="AC33" s="841">
        <f>R23</f>
        <v>0</v>
      </c>
      <c r="AD33" s="842">
        <f>T23</f>
        <v>0</v>
      </c>
      <c r="AE33" s="842">
        <v>0</v>
      </c>
      <c r="AF33" s="843">
        <f t="shared" ref="AF33:AF47" si="21">SUM(AC33:AE33)</f>
        <v>0</v>
      </c>
      <c r="AG33" s="843">
        <f t="shared" ref="AG33:AG47" si="22">AB33-AF33</f>
        <v>0</v>
      </c>
      <c r="AI33" s="844">
        <f>L49+L50+L51+L52+L53+L55+L56+L57+L58+L59+L77+L78+L79+L80+L81</f>
        <v>78.05564630460411</v>
      </c>
      <c r="AJ33" s="845" t="e">
        <f>AB47-AI33-AI37-AJ37</f>
        <v>#DIV/0!</v>
      </c>
    </row>
    <row r="34" spans="1:36" ht="14.25" customHeight="1">
      <c r="A34" s="1013" t="s">
        <v>301</v>
      </c>
      <c r="B34" s="47"/>
      <c r="C34" s="199"/>
      <c r="D34" s="289" t="s">
        <v>188</v>
      </c>
      <c r="E34" s="291" t="s">
        <v>39</v>
      </c>
      <c r="F34" s="418" t="s">
        <v>111</v>
      </c>
      <c r="G34" s="291"/>
      <c r="H34" s="929">
        <v>1</v>
      </c>
      <c r="I34" s="291" t="s">
        <v>77</v>
      </c>
      <c r="J34" s="292">
        <v>5.0000000000000001E-3</v>
      </c>
      <c r="K34" s="417">
        <v>18.7</v>
      </c>
      <c r="L34" s="46">
        <f t="shared" si="20"/>
        <v>18.793499999999998</v>
      </c>
      <c r="M34" s="404"/>
      <c r="N34" s="837"/>
      <c r="O34" s="257"/>
      <c r="P34" s="59"/>
      <c r="Q34" s="615"/>
      <c r="R34" s="239"/>
      <c r="S34" s="256"/>
      <c r="T34" s="256"/>
      <c r="U34" s="58"/>
      <c r="V34" s="58"/>
      <c r="W34" s="58"/>
      <c r="X34" s="95"/>
      <c r="Y34" s="46"/>
      <c r="AA34" s="668" t="s">
        <v>57</v>
      </c>
      <c r="AB34" s="846">
        <f>L39+L43</f>
        <v>151.47359999999998</v>
      </c>
      <c r="AC34" s="669">
        <v>0</v>
      </c>
      <c r="AD34" s="670">
        <f>+L43</f>
        <v>67.857599999999991</v>
      </c>
      <c r="AE34" s="670">
        <f>L39</f>
        <v>83.615999999999985</v>
      </c>
      <c r="AF34" s="843">
        <f t="shared" si="21"/>
        <v>151.47359999999998</v>
      </c>
      <c r="AG34" s="843">
        <f t="shared" si="22"/>
        <v>0</v>
      </c>
    </row>
    <row r="35" spans="1:36" ht="14.25" customHeight="1">
      <c r="A35" s="1013" t="s">
        <v>338</v>
      </c>
      <c r="B35" s="47"/>
      <c r="C35" s="751"/>
      <c r="D35" s="289" t="s">
        <v>189</v>
      </c>
      <c r="E35" s="291" t="s">
        <v>39</v>
      </c>
      <c r="F35" s="291" t="s">
        <v>111</v>
      </c>
      <c r="G35" s="291"/>
      <c r="H35" s="929">
        <v>1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19.235699999999998</v>
      </c>
      <c r="M35" s="404"/>
      <c r="N35" s="837"/>
      <c r="O35" s="257"/>
      <c r="P35" s="59"/>
      <c r="Q35" s="239"/>
      <c r="R35" s="239"/>
      <c r="S35" s="256"/>
      <c r="T35" s="256"/>
      <c r="U35" s="58"/>
      <c r="V35" s="58"/>
      <c r="W35" s="58"/>
      <c r="X35" s="95"/>
      <c r="Y35" s="46"/>
      <c r="AA35" s="668" t="s">
        <v>59</v>
      </c>
      <c r="AB35" s="846">
        <f>L48+L61</f>
        <v>61.371506879999998</v>
      </c>
      <c r="AC35" s="669">
        <f>L48</f>
        <v>0</v>
      </c>
      <c r="AD35" s="670">
        <f>+L61</f>
        <v>61.371506879999998</v>
      </c>
      <c r="AE35" s="670">
        <f>+L48</f>
        <v>0</v>
      </c>
      <c r="AF35" s="843">
        <f t="shared" si="21"/>
        <v>61.371506879999998</v>
      </c>
      <c r="AG35" s="843">
        <f t="shared" si="22"/>
        <v>0</v>
      </c>
    </row>
    <row r="36" spans="1:36" ht="14.25" customHeight="1">
      <c r="A36" s="1011" t="s">
        <v>339</v>
      </c>
      <c r="B36" s="47"/>
      <c r="C36" s="751"/>
      <c r="D36" s="274" t="s">
        <v>176</v>
      </c>
      <c r="E36" s="1006"/>
      <c r="F36" s="1006"/>
      <c r="G36" s="1006"/>
      <c r="H36" s="1007"/>
      <c r="I36" s="1006"/>
      <c r="J36" s="1008"/>
      <c r="K36" s="1009"/>
      <c r="L36" s="1010"/>
      <c r="M36" s="404"/>
      <c r="O36" s="257"/>
      <c r="P36" s="59"/>
      <c r="Q36" s="239"/>
      <c r="R36" s="239"/>
      <c r="S36" s="256"/>
      <c r="T36" s="256"/>
      <c r="U36" s="58"/>
      <c r="V36" s="58"/>
      <c r="W36" s="58"/>
      <c r="X36" s="95"/>
      <c r="Y36" s="46"/>
      <c r="AA36" s="668" t="s">
        <v>60</v>
      </c>
      <c r="AB36" s="846" t="e">
        <f>L72+L85-AB33-AB38</f>
        <v>#DIV/0!</v>
      </c>
      <c r="AC36" s="669" t="e">
        <f>AB36-AD36-AE36</f>
        <v>#DIV/0!</v>
      </c>
      <c r="AD36" s="670" t="e">
        <f>#REF!+#REF!</f>
        <v>#REF!</v>
      </c>
      <c r="AE36" s="670" t="e">
        <f>L85-#REF!-#REF!</f>
        <v>#REF!</v>
      </c>
      <c r="AF36" s="843" t="e">
        <f t="shared" si="21"/>
        <v>#DIV/0!</v>
      </c>
      <c r="AG36" s="843" t="e">
        <f>AB36-AF36</f>
        <v>#DIV/0!</v>
      </c>
      <c r="AI36" s="672" t="s">
        <v>143</v>
      </c>
      <c r="AJ36" s="672" t="s">
        <v>144</v>
      </c>
    </row>
    <row r="37" spans="1:36" ht="14.25" customHeight="1" thickBot="1">
      <c r="A37" s="1011"/>
      <c r="B37" s="47"/>
      <c r="C37" s="199"/>
      <c r="D37" s="1005"/>
      <c r="E37" s="1006"/>
      <c r="F37" s="1006"/>
      <c r="G37" s="1006"/>
      <c r="H37" s="1007"/>
      <c r="I37" s="1006"/>
      <c r="J37" s="1008"/>
      <c r="K37" s="1009"/>
      <c r="L37" s="1010"/>
      <c r="M37" s="404"/>
      <c r="O37" s="697"/>
      <c r="P37" s="744"/>
      <c r="Q37" s="848"/>
      <c r="R37" s="848"/>
      <c r="S37" s="848"/>
      <c r="T37" s="848"/>
      <c r="U37" s="848"/>
      <c r="V37" s="848"/>
      <c r="W37" s="848"/>
      <c r="X37" s="849"/>
      <c r="Y37" s="859"/>
      <c r="AA37" s="636" t="s">
        <v>61</v>
      </c>
      <c r="AB37" s="637" t="e">
        <f>SUM(AB33:AB36)</f>
        <v>#DIV/0!</v>
      </c>
      <c r="AC37" s="638" t="e">
        <f>SUM(AC33:AC36)</f>
        <v>#DIV/0!</v>
      </c>
      <c r="AD37" s="639" t="e">
        <f>SUM(AD33:AD36)</f>
        <v>#REF!</v>
      </c>
      <c r="AE37" s="639" t="e">
        <f>SUM(AE33:AE36)</f>
        <v>#REF!</v>
      </c>
      <c r="AF37" s="843" t="e">
        <f t="shared" si="21"/>
        <v>#DIV/0!</v>
      </c>
      <c r="AG37" s="843" t="e">
        <f>AB37-AF37</f>
        <v>#DIV/0!</v>
      </c>
      <c r="AI37" s="847">
        <f>SUM(U8:U22)+SUM(V32:V37)+SUM(V45:V50)+SUM(V58:V60)</f>
        <v>41.250630758034696</v>
      </c>
      <c r="AJ37" s="847" t="e">
        <f>SUM(W8:W22)+SUM(X32:X37)+SUM(X45:X50)+SUM(X58:X60)</f>
        <v>#DIV/0!</v>
      </c>
    </row>
    <row r="38" spans="1:36" ht="14.25" customHeight="1" thickBot="1">
      <c r="B38" s="47"/>
      <c r="C38" s="913"/>
      <c r="D38" s="883"/>
      <c r="E38" s="883"/>
      <c r="F38" s="883"/>
      <c r="G38" s="883"/>
      <c r="H38" s="883"/>
      <c r="I38" s="883"/>
      <c r="J38" s="883"/>
      <c r="K38" s="884"/>
      <c r="L38" s="880"/>
      <c r="M38" s="47"/>
      <c r="O38" s="860" t="s">
        <v>93</v>
      </c>
      <c r="P38" s="861"/>
      <c r="Q38" s="229"/>
      <c r="R38" s="229"/>
      <c r="S38" s="229"/>
      <c r="T38" s="229"/>
      <c r="U38" s="229"/>
      <c r="V38" s="229"/>
      <c r="W38" s="229"/>
      <c r="X38" s="237" t="s">
        <v>62</v>
      </c>
      <c r="Y38" s="340">
        <f>SUM(Y32:Y37)</f>
        <v>0</v>
      </c>
      <c r="AA38" s="850" t="s">
        <v>56</v>
      </c>
      <c r="AB38" s="851" t="e">
        <f>X23</f>
        <v>#DIV/0!</v>
      </c>
      <c r="AC38" s="852" t="e">
        <f>AB38</f>
        <v>#DIV/0!</v>
      </c>
      <c r="AD38" s="853"/>
      <c r="AE38" s="853"/>
      <c r="AF38" s="843" t="e">
        <f t="shared" si="21"/>
        <v>#DIV/0!</v>
      </c>
      <c r="AG38" s="843" t="e">
        <f t="shared" si="22"/>
        <v>#DIV/0!</v>
      </c>
    </row>
    <row r="39" spans="1:36" ht="14.25" customHeight="1" thickBot="1">
      <c r="B39" s="47"/>
      <c r="C39" s="854" t="s">
        <v>110</v>
      </c>
      <c r="D39" s="225"/>
      <c r="E39" s="225"/>
      <c r="F39" s="226"/>
      <c r="G39" s="225"/>
      <c r="H39" s="225"/>
      <c r="I39" s="225"/>
      <c r="J39" s="229"/>
      <c r="K39" s="236" t="s">
        <v>58</v>
      </c>
      <c r="L39" s="165">
        <f>SUM(L32:L38)</f>
        <v>83.615999999999985</v>
      </c>
      <c r="M39" s="47"/>
      <c r="AA39" s="668" t="s">
        <v>57</v>
      </c>
      <c r="AB39" s="855">
        <f>+Y66-AB34</f>
        <v>0</v>
      </c>
      <c r="AC39" s="852">
        <f>AB39</f>
        <v>0</v>
      </c>
      <c r="AD39" s="856"/>
      <c r="AE39" s="856"/>
      <c r="AF39" s="843">
        <f t="shared" si="21"/>
        <v>0</v>
      </c>
      <c r="AG39" s="843">
        <f t="shared" si="22"/>
        <v>0</v>
      </c>
    </row>
    <row r="40" spans="1:36" ht="14.25" customHeight="1">
      <c r="A40" s="930" t="s">
        <v>299</v>
      </c>
      <c r="B40" s="47"/>
      <c r="C40" s="857" t="s">
        <v>217</v>
      </c>
      <c r="D40" s="931" t="s">
        <v>298</v>
      </c>
      <c r="E40" s="291" t="s">
        <v>268</v>
      </c>
      <c r="F40" s="264"/>
      <c r="G40" s="858"/>
      <c r="H40" s="917">
        <v>1</v>
      </c>
      <c r="I40" s="291" t="s">
        <v>77</v>
      </c>
      <c r="J40" s="269">
        <v>5.0000000000000001E-3</v>
      </c>
      <c r="K40" s="998">
        <v>25.55</v>
      </c>
      <c r="L40" s="46">
        <f>H40*(1+J40)*K40</f>
        <v>25.67775</v>
      </c>
      <c r="M40" s="404"/>
      <c r="AA40" s="668" t="s">
        <v>59</v>
      </c>
      <c r="AB40" s="855">
        <f>+Y68-AB35</f>
        <v>9.712212059191657</v>
      </c>
      <c r="AC40" s="852">
        <f>AB40</f>
        <v>9.712212059191657</v>
      </c>
      <c r="AD40" s="856"/>
      <c r="AE40" s="856"/>
      <c r="AF40" s="843">
        <f t="shared" si="21"/>
        <v>9.712212059191657</v>
      </c>
      <c r="AG40" s="843">
        <f>AB40-AF40</f>
        <v>0</v>
      </c>
    </row>
    <row r="41" spans="1:36" ht="14.25" customHeight="1">
      <c r="A41" s="614" t="s">
        <v>87</v>
      </c>
      <c r="B41" s="47"/>
      <c r="C41" s="1004"/>
      <c r="D41" s="289" t="s">
        <v>300</v>
      </c>
      <c r="E41" s="291" t="s">
        <v>268</v>
      </c>
      <c r="F41" s="291"/>
      <c r="G41" s="291"/>
      <c r="H41" s="917">
        <v>1</v>
      </c>
      <c r="I41" s="291" t="s">
        <v>77</v>
      </c>
      <c r="J41" s="292">
        <v>5.0000000000000001E-3</v>
      </c>
      <c r="K41" s="932">
        <v>41.97</v>
      </c>
      <c r="L41" s="46">
        <f t="shared" ref="L41:L42" si="23">H41*(1+J41)*K41</f>
        <v>42.179849999999995</v>
      </c>
      <c r="N41" s="47"/>
      <c r="AA41" s="668" t="s">
        <v>60</v>
      </c>
      <c r="AB41" s="846">
        <f>+SUM(Y58:Y60)+Y70-Y69</f>
        <v>28.47933934052395</v>
      </c>
      <c r="AC41" s="852">
        <f>AB41</f>
        <v>28.47933934052395</v>
      </c>
      <c r="AD41" s="670"/>
      <c r="AE41" s="670"/>
      <c r="AF41" s="843">
        <f t="shared" si="21"/>
        <v>28.47933934052395</v>
      </c>
      <c r="AG41" s="843">
        <f>AB41-AF41</f>
        <v>0</v>
      </c>
    </row>
    <row r="42" spans="1:36" ht="14.25" customHeight="1" thickBot="1">
      <c r="A42" s="614"/>
      <c r="B42" s="47"/>
      <c r="C42" s="697"/>
      <c r="D42" s="289"/>
      <c r="E42" s="291"/>
      <c r="F42" s="291"/>
      <c r="G42" s="291"/>
      <c r="H42" s="917"/>
      <c r="I42" s="291"/>
      <c r="J42" s="292"/>
      <c r="K42" s="932"/>
      <c r="L42" s="46">
        <f t="shared" si="23"/>
        <v>0</v>
      </c>
      <c r="M42" s="47"/>
      <c r="AA42" s="650" t="s">
        <v>31</v>
      </c>
      <c r="AB42" s="651" t="e">
        <f>SUM(AB38:AB41)</f>
        <v>#DIV/0!</v>
      </c>
      <c r="AC42" s="652" t="e">
        <f>SUM(AC38:AC41)</f>
        <v>#DIV/0!</v>
      </c>
      <c r="AD42" s="653">
        <f>SUM(AD38:AD41)</f>
        <v>0</v>
      </c>
      <c r="AE42" s="653">
        <f>SUM(AE38:AE41)</f>
        <v>0</v>
      </c>
      <c r="AF42" s="843" t="e">
        <f t="shared" si="21"/>
        <v>#DIV/0!</v>
      </c>
      <c r="AG42" s="843" t="e">
        <f>AB42-AF42</f>
        <v>#DIV/0!</v>
      </c>
    </row>
    <row r="43" spans="1:36" ht="14.25" customHeight="1" thickBot="1">
      <c r="B43" s="47"/>
      <c r="C43" s="826" t="s">
        <v>93</v>
      </c>
      <c r="D43" s="83"/>
      <c r="E43" s="83"/>
      <c r="F43" s="862"/>
      <c r="G43" s="83"/>
      <c r="H43" s="83"/>
      <c r="I43" s="83"/>
      <c r="J43" s="83"/>
      <c r="K43" s="232" t="s">
        <v>63</v>
      </c>
      <c r="L43" s="863">
        <f>SUM(L40:L42)</f>
        <v>67.857599999999991</v>
      </c>
      <c r="M43" s="47"/>
      <c r="O43" s="822" t="s">
        <v>323</v>
      </c>
      <c r="AA43" s="839" t="s">
        <v>56</v>
      </c>
      <c r="AB43" s="840" t="e">
        <f>AB33+AB38</f>
        <v>#DIV/0!</v>
      </c>
      <c r="AC43" s="841" t="e">
        <f t="shared" ref="AC43:AE46" si="24">AC33+AC38</f>
        <v>#DIV/0!</v>
      </c>
      <c r="AD43" s="842">
        <f t="shared" si="24"/>
        <v>0</v>
      </c>
      <c r="AE43" s="842">
        <f t="shared" si="24"/>
        <v>0</v>
      </c>
      <c r="AF43" s="843" t="e">
        <f>SUM(AC43:AE43)</f>
        <v>#DIV/0!</v>
      </c>
      <c r="AG43" s="843" t="e">
        <f t="shared" si="22"/>
        <v>#DIV/0!</v>
      </c>
    </row>
    <row r="44" spans="1:36" ht="14.25" customHeight="1" thickBot="1">
      <c r="B44" s="47"/>
      <c r="M44" s="47"/>
      <c r="O44" s="833" t="s">
        <v>152</v>
      </c>
      <c r="P44" s="834"/>
      <c r="Q44" s="835" t="s">
        <v>13</v>
      </c>
      <c r="R44" s="835" t="s">
        <v>27</v>
      </c>
      <c r="S44" s="835" t="s">
        <v>324</v>
      </c>
      <c r="T44" s="835" t="s">
        <v>8</v>
      </c>
      <c r="U44" s="835" t="s">
        <v>29</v>
      </c>
      <c r="V44" s="835" t="s">
        <v>14</v>
      </c>
      <c r="W44" s="835" t="s">
        <v>30</v>
      </c>
      <c r="X44" s="835" t="s">
        <v>16</v>
      </c>
      <c r="Y44" s="810" t="s">
        <v>31</v>
      </c>
      <c r="AA44" s="850" t="s">
        <v>57</v>
      </c>
      <c r="AB44" s="864">
        <f>AB34+AB39</f>
        <v>151.47359999999998</v>
      </c>
      <c r="AC44" s="669">
        <f t="shared" si="24"/>
        <v>0</v>
      </c>
      <c r="AD44" s="865">
        <f t="shared" si="24"/>
        <v>67.857599999999991</v>
      </c>
      <c r="AE44" s="865">
        <f t="shared" si="24"/>
        <v>83.615999999999985</v>
      </c>
      <c r="AF44" s="843">
        <f t="shared" si="21"/>
        <v>151.47359999999998</v>
      </c>
      <c r="AG44" s="843">
        <f t="shared" si="22"/>
        <v>0</v>
      </c>
    </row>
    <row r="45" spans="1:36" ht="14.25" customHeight="1" thickTop="1" thickBot="1">
      <c r="B45" s="47"/>
      <c r="C45" s="822" t="s">
        <v>148</v>
      </c>
      <c r="D45" s="47"/>
      <c r="E45" s="47"/>
      <c r="F45" s="76"/>
      <c r="G45" s="47"/>
      <c r="H45" s="47"/>
      <c r="I45" s="47"/>
      <c r="J45" s="47"/>
      <c r="K45" s="47"/>
      <c r="L45" s="47"/>
      <c r="M45" s="47"/>
      <c r="O45" s="973" t="s">
        <v>34</v>
      </c>
      <c r="P45" s="974"/>
      <c r="Q45" s="975">
        <v>3.7</v>
      </c>
      <c r="R45" s="975">
        <v>1</v>
      </c>
      <c r="S45" s="976">
        <v>0.75</v>
      </c>
      <c r="T45" s="976">
        <v>5.0000000000000001E-3</v>
      </c>
      <c r="U45" s="977">
        <v>295.40196888415807</v>
      </c>
      <c r="V45" s="977">
        <f>Q45*R45/S45*(1+T45)*U45/3600</f>
        <v>0.4068341560354598</v>
      </c>
      <c r="W45" s="977">
        <v>575.08950651234193</v>
      </c>
      <c r="X45" s="977">
        <f>Q45/S45*(1+T45)*W45/3600</f>
        <v>0.79202604813560862</v>
      </c>
      <c r="Y45" s="940">
        <f>V45+X45</f>
        <v>1.1988602041710683</v>
      </c>
      <c r="AA45" s="668" t="s">
        <v>59</v>
      </c>
      <c r="AB45" s="846">
        <f>AB35+AB40</f>
        <v>71.083718939191655</v>
      </c>
      <c r="AC45" s="669">
        <f t="shared" si="24"/>
        <v>9.712212059191657</v>
      </c>
      <c r="AD45" s="670">
        <f t="shared" si="24"/>
        <v>61.371506879999998</v>
      </c>
      <c r="AE45" s="670">
        <f t="shared" si="24"/>
        <v>0</v>
      </c>
      <c r="AF45" s="843">
        <f t="shared" si="21"/>
        <v>71.083718939191655</v>
      </c>
      <c r="AG45" s="843">
        <f t="shared" si="22"/>
        <v>0</v>
      </c>
    </row>
    <row r="46" spans="1:36" ht="14.25" customHeight="1" thickBot="1">
      <c r="B46" s="47"/>
      <c r="C46" s="833" t="s">
        <v>2</v>
      </c>
      <c r="D46" s="866"/>
      <c r="E46" s="809" t="s">
        <v>3</v>
      </c>
      <c r="F46" s="809" t="s">
        <v>4</v>
      </c>
      <c r="G46" s="867" t="s">
        <v>318</v>
      </c>
      <c r="H46" s="809" t="s">
        <v>23</v>
      </c>
      <c r="I46" s="809" t="s">
        <v>169</v>
      </c>
      <c r="J46" s="809" t="s">
        <v>8</v>
      </c>
      <c r="K46" s="809" t="s">
        <v>24</v>
      </c>
      <c r="L46" s="810" t="s">
        <v>50</v>
      </c>
      <c r="M46" s="47"/>
      <c r="O46" s="973" t="s">
        <v>34</v>
      </c>
      <c r="P46" s="974"/>
      <c r="Q46" s="975">
        <v>3.7</v>
      </c>
      <c r="R46" s="975">
        <v>1</v>
      </c>
      <c r="S46" s="976">
        <v>0.75</v>
      </c>
      <c r="T46" s="976">
        <v>5.0000000000000001E-3</v>
      </c>
      <c r="U46" s="977">
        <v>295.40196888415807</v>
      </c>
      <c r="V46" s="977">
        <f>Q46*R46/S46*(1+T46)*U46/3600</f>
        <v>0.4068341560354598</v>
      </c>
      <c r="W46" s="977">
        <v>575.08950651234193</v>
      </c>
      <c r="X46" s="977">
        <f>Q46/S46*(1+T46)*W46/3600</f>
        <v>0.79202604813560862</v>
      </c>
      <c r="Y46" s="940">
        <f>V46+X46</f>
        <v>1.1988602041710683</v>
      </c>
      <c r="AA46" s="668" t="s">
        <v>60</v>
      </c>
      <c r="AB46" s="846" t="e">
        <f>AB36+AB41</f>
        <v>#DIV/0!</v>
      </c>
      <c r="AC46" s="874" t="e">
        <f t="shared" si="24"/>
        <v>#DIV/0!</v>
      </c>
      <c r="AD46" s="670" t="e">
        <f t="shared" si="24"/>
        <v>#REF!</v>
      </c>
      <c r="AE46" s="670" t="e">
        <f t="shared" si="24"/>
        <v>#REF!</v>
      </c>
      <c r="AF46" s="843" t="e">
        <f t="shared" si="21"/>
        <v>#DIV/0!</v>
      </c>
      <c r="AG46" s="843" t="e">
        <f t="shared" si="22"/>
        <v>#DIV/0!</v>
      </c>
    </row>
    <row r="47" spans="1:36" ht="14.25" customHeight="1" thickTop="1" thickBot="1">
      <c r="B47" s="47"/>
      <c r="C47" s="868" t="s">
        <v>51</v>
      </c>
      <c r="D47" s="869"/>
      <c r="E47" s="870" t="s">
        <v>64</v>
      </c>
      <c r="F47" s="210" t="s">
        <v>0</v>
      </c>
      <c r="G47" s="870" t="s">
        <v>64</v>
      </c>
      <c r="H47" s="871" t="s">
        <v>64</v>
      </c>
      <c r="I47" s="872"/>
      <c r="J47" s="39"/>
      <c r="K47" s="233" t="s">
        <v>64</v>
      </c>
      <c r="L47" s="873" t="s">
        <v>64</v>
      </c>
      <c r="O47" s="973" t="s">
        <v>34</v>
      </c>
      <c r="P47" s="974"/>
      <c r="Q47" s="975">
        <v>3.7029999999999998</v>
      </c>
      <c r="R47" s="975">
        <v>1</v>
      </c>
      <c r="S47" s="976">
        <v>0.75</v>
      </c>
      <c r="T47" s="976">
        <v>5.0000000000000001E-3</v>
      </c>
      <c r="U47" s="977">
        <v>295.40196888415807</v>
      </c>
      <c r="V47" s="977">
        <f>Q47*R47/S47*(1+T47)*U47/3600</f>
        <v>0.40716402156738046</v>
      </c>
      <c r="W47" s="977">
        <v>575.08950651234193</v>
      </c>
      <c r="X47" s="977">
        <f>Q47/S47*(1+T47)*W47/3600</f>
        <v>0.79266823141788056</v>
      </c>
      <c r="Y47" s="940">
        <f>V47+X47</f>
        <v>1.199832252985261</v>
      </c>
      <c r="AA47" s="668" t="s">
        <v>17</v>
      </c>
      <c r="AB47" s="637" t="e">
        <f>SUM(AB43:AB46)</f>
        <v>#DIV/0!</v>
      </c>
      <c r="AC47" s="669" t="e">
        <f>SUM(AC43:AC46)</f>
        <v>#DIV/0!</v>
      </c>
      <c r="AD47" s="670" t="e">
        <f>SUM(AD43:AD46)</f>
        <v>#REF!</v>
      </c>
      <c r="AE47" s="670" t="e">
        <f>SUM(AE43:AE46)</f>
        <v>#REF!</v>
      </c>
      <c r="AF47" s="843" t="e">
        <f t="shared" si="21"/>
        <v>#DIV/0!</v>
      </c>
      <c r="AG47" s="843" t="e">
        <f t="shared" si="22"/>
        <v>#DIV/0!</v>
      </c>
      <c r="AI47" s="844" t="e">
        <f>SUM(AI33,AI37,AJ37,AJ33)</f>
        <v>#DIV/0!</v>
      </c>
    </row>
    <row r="48" spans="1:36" ht="14.25" customHeight="1" thickBot="1">
      <c r="A48" s="614" t="s">
        <v>254</v>
      </c>
      <c r="B48" s="47"/>
      <c r="C48" s="854" t="s">
        <v>110</v>
      </c>
      <c r="D48" s="225"/>
      <c r="E48" s="225"/>
      <c r="F48" s="226"/>
      <c r="G48" s="225"/>
      <c r="H48" s="225"/>
      <c r="I48" s="225"/>
      <c r="J48" s="875"/>
      <c r="K48" s="234" t="s">
        <v>1</v>
      </c>
      <c r="L48" s="818">
        <f>SUM(L47:L47)</f>
        <v>0</v>
      </c>
      <c r="M48" s="47"/>
      <c r="O48" s="973" t="s">
        <v>319</v>
      </c>
      <c r="P48" s="974"/>
      <c r="Q48" s="975">
        <v>14</v>
      </c>
      <c r="R48" s="975">
        <v>1</v>
      </c>
      <c r="S48" s="976">
        <v>0.9</v>
      </c>
      <c r="T48" s="976">
        <v>5.0000000000000001E-3</v>
      </c>
      <c r="U48" s="977">
        <v>308.01455922077434</v>
      </c>
      <c r="V48" s="977">
        <f>Q48*R48/S48*(1+T48)*U48/3600</f>
        <v>1.337581743282807</v>
      </c>
      <c r="W48" s="977">
        <v>0</v>
      </c>
      <c r="X48" s="977">
        <f>Q48/S48*(1+T48)*W48/3600</f>
        <v>0</v>
      </c>
      <c r="Y48" s="940">
        <f>V48+X48</f>
        <v>1.337581743282807</v>
      </c>
      <c r="AB48" s="876"/>
    </row>
    <row r="49" spans="1:25" ht="14.25" customHeight="1">
      <c r="A49" s="614" t="s">
        <v>249</v>
      </c>
      <c r="B49" s="47"/>
      <c r="C49" s="326" t="s">
        <v>66</v>
      </c>
      <c r="D49" s="328"/>
      <c r="E49" s="291"/>
      <c r="F49" s="289"/>
      <c r="G49" s="291"/>
      <c r="H49" s="933"/>
      <c r="I49" s="329"/>
      <c r="J49" s="330"/>
      <c r="K49" s="936"/>
      <c r="L49" s="321"/>
      <c r="M49" s="73"/>
      <c r="O49" s="973" t="s">
        <v>320</v>
      </c>
      <c r="P49" s="974"/>
      <c r="Q49" s="975">
        <v>25</v>
      </c>
      <c r="R49" s="975">
        <v>2</v>
      </c>
      <c r="S49" s="976">
        <v>0.9</v>
      </c>
      <c r="T49" s="976">
        <v>5.0000000000000001E-3</v>
      </c>
      <c r="U49" s="977">
        <v>308.01455922077434</v>
      </c>
      <c r="V49" s="977">
        <f>Q49*R49/S49*(1+T49)*U49/3600</f>
        <v>4.7770776545814533</v>
      </c>
      <c r="W49" s="977">
        <v>0</v>
      </c>
      <c r="X49" s="977">
        <f>Q49/S49*(1+T49)*W49/3600</f>
        <v>0</v>
      </c>
      <c r="Y49" s="940">
        <f>V49+X49</f>
        <v>4.7770776545814533</v>
      </c>
    </row>
    <row r="50" spans="1:25" ht="14.25" customHeight="1">
      <c r="A50" s="614" t="s">
        <v>250</v>
      </c>
      <c r="B50" s="47"/>
      <c r="C50" s="752"/>
      <c r="D50" s="347" t="s">
        <v>204</v>
      </c>
      <c r="E50" s="291" t="s">
        <v>278</v>
      </c>
      <c r="F50" s="331" t="s">
        <v>111</v>
      </c>
      <c r="G50" s="332"/>
      <c r="H50" s="933">
        <v>1</v>
      </c>
      <c r="I50" s="291" t="s">
        <v>219</v>
      </c>
      <c r="J50" s="330">
        <v>5.0000000000000001E-3</v>
      </c>
      <c r="K50" s="877">
        <f>2.89</f>
        <v>2.89</v>
      </c>
      <c r="L50" s="288">
        <f>H50*(1+J50)*K50</f>
        <v>2.9044499999999998</v>
      </c>
      <c r="M50" s="73"/>
      <c r="O50" s="697"/>
      <c r="P50" s="744"/>
      <c r="Q50" s="745"/>
      <c r="R50" s="745"/>
      <c r="S50" s="433"/>
      <c r="T50" s="746"/>
      <c r="U50" s="745"/>
      <c r="V50" s="745"/>
      <c r="W50" s="745"/>
      <c r="X50" s="747"/>
      <c r="Y50" s="748"/>
    </row>
    <row r="51" spans="1:25" ht="14.25" customHeight="1" thickBot="1">
      <c r="A51" s="614" t="s">
        <v>251</v>
      </c>
      <c r="B51" s="47"/>
      <c r="C51" s="752"/>
      <c r="D51" s="877" t="s">
        <v>205</v>
      </c>
      <c r="E51" s="877" t="s">
        <v>185</v>
      </c>
      <c r="F51" s="938" t="s">
        <v>111</v>
      </c>
      <c r="G51" s="937"/>
      <c r="H51" s="944">
        <v>1</v>
      </c>
      <c r="I51" s="937" t="s">
        <v>140</v>
      </c>
      <c r="J51" s="939">
        <v>5.0000000000000001E-3</v>
      </c>
      <c r="K51" s="937">
        <f>6.53</f>
        <v>6.53</v>
      </c>
      <c r="L51" s="940">
        <f t="shared" ref="L51" si="25">H51*(1+J51)*K51</f>
        <v>6.5626499999999997</v>
      </c>
      <c r="M51" s="47"/>
      <c r="O51" s="860" t="s">
        <v>93</v>
      </c>
      <c r="P51" s="861"/>
      <c r="Q51" s="229"/>
      <c r="R51" s="229"/>
      <c r="S51" s="229"/>
      <c r="T51" s="229"/>
      <c r="U51" s="229"/>
      <c r="V51" s="229"/>
      <c r="W51" s="229"/>
      <c r="X51" s="237" t="s">
        <v>65</v>
      </c>
      <c r="Y51" s="340">
        <f>SUM(Y45:Y50)</f>
        <v>9.712212059191657</v>
      </c>
    </row>
    <row r="52" spans="1:25" ht="14.25" customHeight="1">
      <c r="A52" s="614" t="s">
        <v>252</v>
      </c>
      <c r="B52" s="47"/>
      <c r="C52" s="752"/>
      <c r="D52" s="877" t="s">
        <v>206</v>
      </c>
      <c r="E52" s="877" t="s">
        <v>185</v>
      </c>
      <c r="F52" s="938" t="s">
        <v>111</v>
      </c>
      <c r="G52" s="937"/>
      <c r="H52" s="944">
        <v>1</v>
      </c>
      <c r="I52" s="937" t="s">
        <v>140</v>
      </c>
      <c r="J52" s="939">
        <v>5.0000000000000001E-3</v>
      </c>
      <c r="K52" s="937">
        <f>6.53</f>
        <v>6.53</v>
      </c>
      <c r="L52" s="940">
        <f>H52*(1+J52)*K52</f>
        <v>6.5626499999999997</v>
      </c>
      <c r="M52" s="47"/>
      <c r="N52" s="671"/>
    </row>
    <row r="53" spans="1:25" ht="14.25" customHeight="1" thickBot="1">
      <c r="A53" s="614" t="s">
        <v>253</v>
      </c>
      <c r="B53" s="47"/>
      <c r="C53" s="752"/>
      <c r="D53" s="291" t="s">
        <v>207</v>
      </c>
      <c r="E53" s="291" t="s">
        <v>279</v>
      </c>
      <c r="F53" s="289" t="s">
        <v>111</v>
      </c>
      <c r="G53" s="291"/>
      <c r="H53" s="933">
        <v>1</v>
      </c>
      <c r="I53" s="291" t="s">
        <v>219</v>
      </c>
      <c r="J53" s="292">
        <v>5.0000000000000001E-3</v>
      </c>
      <c r="K53" s="877">
        <f>2.14</f>
        <v>2.14</v>
      </c>
      <c r="L53" s="288">
        <f t="shared" ref="L53:L59" si="26">H53*(1+J53)*K53</f>
        <v>2.1507000000000001</v>
      </c>
      <c r="M53" s="47"/>
      <c r="N53" s="671"/>
      <c r="O53" s="827" t="s">
        <v>97</v>
      </c>
      <c r="P53" s="878"/>
      <c r="Q53" s="83"/>
      <c r="R53" s="83"/>
      <c r="S53" s="83"/>
      <c r="T53" s="83"/>
      <c r="U53" s="83"/>
      <c r="V53" s="83"/>
      <c r="W53" s="83"/>
      <c r="X53" s="83"/>
      <c r="Y53" s="63"/>
    </row>
    <row r="54" spans="1:25" ht="14.25" customHeight="1" thickBot="1">
      <c r="A54" s="614" t="s">
        <v>244</v>
      </c>
      <c r="B54" s="47"/>
      <c r="C54" s="752"/>
      <c r="D54" s="291" t="s">
        <v>302</v>
      </c>
      <c r="E54" s="291" t="s">
        <v>185</v>
      </c>
      <c r="F54" s="289"/>
      <c r="G54" s="291"/>
      <c r="H54" s="933">
        <v>1</v>
      </c>
      <c r="I54" s="291" t="s">
        <v>219</v>
      </c>
      <c r="J54" s="292">
        <v>5.0000000000000001E-3</v>
      </c>
      <c r="K54" s="877">
        <v>5.25</v>
      </c>
      <c r="L54" s="288">
        <f t="shared" si="26"/>
        <v>5.2762499999999992</v>
      </c>
      <c r="M54" s="47"/>
      <c r="N54" s="671"/>
      <c r="O54" s="833" t="s">
        <v>26</v>
      </c>
      <c r="P54" s="834"/>
      <c r="Q54" s="835" t="s">
        <v>13</v>
      </c>
      <c r="R54" s="835" t="s">
        <v>27</v>
      </c>
      <c r="S54" s="835" t="s">
        <v>325</v>
      </c>
      <c r="T54" s="835" t="s">
        <v>8</v>
      </c>
      <c r="U54" s="835" t="s">
        <v>29</v>
      </c>
      <c r="V54" s="835" t="s">
        <v>14</v>
      </c>
      <c r="W54" s="835" t="s">
        <v>30</v>
      </c>
      <c r="X54" s="835" t="s">
        <v>16</v>
      </c>
      <c r="Y54" s="810" t="s">
        <v>31</v>
      </c>
    </row>
    <row r="55" spans="1:25" ht="14.25" customHeight="1" thickTop="1">
      <c r="A55" s="614" t="s">
        <v>245</v>
      </c>
      <c r="B55" s="47"/>
      <c r="C55" s="752"/>
      <c r="D55" s="291" t="s">
        <v>304</v>
      </c>
      <c r="E55" s="291" t="s">
        <v>78</v>
      </c>
      <c r="F55" s="289" t="s">
        <v>111</v>
      </c>
      <c r="G55" s="291"/>
      <c r="H55" s="333">
        <v>0.28399999999999997</v>
      </c>
      <c r="I55" s="291" t="s">
        <v>67</v>
      </c>
      <c r="J55" s="292">
        <v>5.0000000000000001E-3</v>
      </c>
      <c r="K55" s="877">
        <v>11.83</v>
      </c>
      <c r="L55" s="288">
        <f t="shared" si="26"/>
        <v>3.3765185999999994</v>
      </c>
      <c r="M55" s="73"/>
      <c r="N55" s="671"/>
      <c r="O55" s="257" t="s">
        <v>163</v>
      </c>
      <c r="P55" s="396"/>
      <c r="Q55" s="987">
        <v>25</v>
      </c>
      <c r="R55" s="257">
        <v>2</v>
      </c>
      <c r="S55" s="256">
        <v>0.9</v>
      </c>
      <c r="T55" s="256">
        <v>5.0000000000000001E-3</v>
      </c>
      <c r="U55" s="58">
        <v>308.01455922077434</v>
      </c>
      <c r="V55" s="58">
        <f>Q55*R55/S55*(1+T55)*U55/3600</f>
        <v>4.7770776545814533</v>
      </c>
      <c r="W55" s="58">
        <v>0</v>
      </c>
      <c r="X55" s="95">
        <f>Q55/S55*(1+T55)*W55/3600</f>
        <v>0</v>
      </c>
      <c r="Y55" s="46">
        <f>V55+X55</f>
        <v>4.7770776545814533</v>
      </c>
    </row>
    <row r="56" spans="1:25" ht="14.25" customHeight="1">
      <c r="A56" s="672" t="s">
        <v>243</v>
      </c>
      <c r="B56" s="47"/>
      <c r="C56" s="752"/>
      <c r="D56" s="291" t="s">
        <v>305</v>
      </c>
      <c r="E56" s="291" t="s">
        <v>78</v>
      </c>
      <c r="F56" s="289" t="s">
        <v>111</v>
      </c>
      <c r="G56" s="291"/>
      <c r="H56" s="333">
        <v>0.28399999999999997</v>
      </c>
      <c r="I56" s="291" t="s">
        <v>67</v>
      </c>
      <c r="J56" s="292">
        <v>5.0000000000000001E-3</v>
      </c>
      <c r="K56" s="877">
        <v>11.83</v>
      </c>
      <c r="L56" s="288">
        <f t="shared" si="26"/>
        <v>3.3765185999999994</v>
      </c>
      <c r="M56" s="73"/>
      <c r="O56" s="982" t="s">
        <v>108</v>
      </c>
      <c r="P56" s="988"/>
      <c r="Q56" s="987">
        <v>25</v>
      </c>
      <c r="R56" s="982">
        <v>2</v>
      </c>
      <c r="S56" s="983">
        <v>0.9</v>
      </c>
      <c r="T56" s="983">
        <v>5.0000000000000001E-3</v>
      </c>
      <c r="U56" s="984">
        <v>308.01455922077434</v>
      </c>
      <c r="V56" s="984">
        <f t="shared" ref="V56:V57" si="27">Q56*R56/S56*(1+T56)*U56/3600</f>
        <v>4.7770776545814533</v>
      </c>
      <c r="W56" s="984">
        <v>0</v>
      </c>
      <c r="X56" s="985">
        <f t="shared" ref="X56:X57" si="28">Q56/S56*(1+T56)*W56/3600</f>
        <v>0</v>
      </c>
      <c r="Y56" s="986">
        <f t="shared" ref="Y56:Y57" si="29">V56+X56</f>
        <v>4.7770776545814533</v>
      </c>
    </row>
    <row r="57" spans="1:25" ht="14.25" customHeight="1">
      <c r="A57" s="614" t="s">
        <v>242</v>
      </c>
      <c r="B57" s="47"/>
      <c r="C57" s="752"/>
      <c r="D57" s="877" t="s">
        <v>191</v>
      </c>
      <c r="E57" s="877" t="s">
        <v>185</v>
      </c>
      <c r="F57" s="938"/>
      <c r="G57" s="937"/>
      <c r="H57" s="944">
        <v>1</v>
      </c>
      <c r="I57" s="937" t="s">
        <v>140</v>
      </c>
      <c r="J57" s="939">
        <v>5.0000000000000001E-3</v>
      </c>
      <c r="K57" s="877">
        <f>2.75</f>
        <v>2.75</v>
      </c>
      <c r="L57" s="940">
        <f>H57*(1+J57)*K57</f>
        <v>2.7637499999999999</v>
      </c>
      <c r="M57" s="47"/>
      <c r="O57" s="982" t="s">
        <v>109</v>
      </c>
      <c r="P57" s="988"/>
      <c r="Q57" s="987">
        <v>25</v>
      </c>
      <c r="R57" s="982">
        <v>2</v>
      </c>
      <c r="S57" s="983">
        <v>0.9</v>
      </c>
      <c r="T57" s="983">
        <v>5.0000000000000001E-3</v>
      </c>
      <c r="U57" s="984">
        <v>308.01455922077434</v>
      </c>
      <c r="V57" s="984">
        <f t="shared" si="27"/>
        <v>4.7770776545814533</v>
      </c>
      <c r="W57" s="984">
        <v>0</v>
      </c>
      <c r="X57" s="985">
        <f t="shared" si="28"/>
        <v>0</v>
      </c>
      <c r="Y57" s="986">
        <f t="shared" si="29"/>
        <v>4.7770776545814533</v>
      </c>
    </row>
    <row r="58" spans="1:25" ht="14.25" customHeight="1">
      <c r="A58" s="672" t="s">
        <v>241</v>
      </c>
      <c r="B58" s="47"/>
      <c r="C58" s="752"/>
      <c r="D58" s="968" t="s">
        <v>208</v>
      </c>
      <c r="E58" s="968" t="s">
        <v>145</v>
      </c>
      <c r="F58" s="942" t="s">
        <v>111</v>
      </c>
      <c r="G58" s="941"/>
      <c r="H58" s="943">
        <v>0.26600000000000001</v>
      </c>
      <c r="I58" s="937" t="s">
        <v>67</v>
      </c>
      <c r="J58" s="939">
        <v>5.0000000000000001E-3</v>
      </c>
      <c r="K58" s="935">
        <v>14.92</v>
      </c>
      <c r="L58" s="940">
        <f>H58*(1+J58)*K58</f>
        <v>3.9885636</v>
      </c>
      <c r="M58" s="47" t="s">
        <v>315</v>
      </c>
      <c r="O58" s="973" t="s">
        <v>35</v>
      </c>
      <c r="P58" s="989"/>
      <c r="Q58" s="973">
        <v>25</v>
      </c>
      <c r="R58" s="973">
        <v>8</v>
      </c>
      <c r="S58" s="976">
        <v>0.9</v>
      </c>
      <c r="T58" s="976">
        <v>5.0000000000000001E-3</v>
      </c>
      <c r="U58" s="977">
        <v>308.01455922077434</v>
      </c>
      <c r="V58" s="977">
        <f>Q58*R58/S58*(1+T58)*U58/3600</f>
        <v>19.108310618325813</v>
      </c>
      <c r="W58" s="977">
        <v>592.41398842101773</v>
      </c>
      <c r="X58" s="977">
        <f>Q58/S58*(1+T58)*W58/3600</f>
        <v>4.5939510676166879</v>
      </c>
      <c r="Y58" s="940">
        <f>V58+X58</f>
        <v>23.702261685942503</v>
      </c>
    </row>
    <row r="59" spans="1:25" ht="14.25" customHeight="1">
      <c r="A59" s="952" t="s">
        <v>303</v>
      </c>
      <c r="B59" s="47"/>
      <c r="C59" s="752"/>
      <c r="D59" s="335" t="s">
        <v>316</v>
      </c>
      <c r="E59" s="335" t="s">
        <v>145</v>
      </c>
      <c r="F59" s="336"/>
      <c r="G59" s="335"/>
      <c r="H59" s="337">
        <f>(380+305+130)/1000</f>
        <v>0.81499999999999995</v>
      </c>
      <c r="I59" s="329" t="s">
        <v>146</v>
      </c>
      <c r="J59" s="292">
        <v>5.0000000000000001E-3</v>
      </c>
      <c r="K59" s="967">
        <f>478.16/25</f>
        <v>19.1264</v>
      </c>
      <c r="L59" s="288">
        <f t="shared" si="26"/>
        <v>15.665956079999997</v>
      </c>
      <c r="M59" s="964">
        <v>5.1999999999999998E-3</v>
      </c>
      <c r="N59" s="672" t="s">
        <v>310</v>
      </c>
      <c r="O59" s="973" t="s">
        <v>36</v>
      </c>
      <c r="P59" s="989"/>
      <c r="Q59" s="973">
        <v>25</v>
      </c>
      <c r="R59" s="973">
        <v>1</v>
      </c>
      <c r="S59" s="976">
        <v>0.9</v>
      </c>
      <c r="T59" s="976">
        <f>T58</f>
        <v>5.0000000000000001E-3</v>
      </c>
      <c r="U59" s="977">
        <v>308.01455922077434</v>
      </c>
      <c r="V59" s="977">
        <f>Q59*R59/S59*(1+T59)*U59/3600</f>
        <v>2.3885388272907266</v>
      </c>
      <c r="W59" s="977">
        <v>0</v>
      </c>
      <c r="X59" s="977">
        <f>Q59/S59*(1+T59)*W59/3600</f>
        <v>0</v>
      </c>
      <c r="Y59" s="940">
        <f>V59+X59</f>
        <v>2.3885388272907266</v>
      </c>
    </row>
    <row r="60" spans="1:25" ht="14.25" customHeight="1" thickBot="1">
      <c r="B60" s="47"/>
      <c r="C60" s="879"/>
      <c r="D60" s="993" t="s">
        <v>328</v>
      </c>
      <c r="E60" s="993" t="s">
        <v>185</v>
      </c>
      <c r="F60" s="993"/>
      <c r="G60" s="993"/>
      <c r="H60" s="993">
        <v>1</v>
      </c>
      <c r="I60" s="997" t="s">
        <v>329</v>
      </c>
      <c r="J60" s="994">
        <v>5.0000000000000001E-3</v>
      </c>
      <c r="K60" s="999">
        <v>8.6999999999999993</v>
      </c>
      <c r="L60" s="934">
        <f>H60*(1+J60)*K60</f>
        <v>8.7434999999999992</v>
      </c>
      <c r="M60" s="964">
        <v>1.2200000000000001E-2</v>
      </c>
      <c r="N60" s="672" t="s">
        <v>310</v>
      </c>
      <c r="O60" s="978" t="s">
        <v>38</v>
      </c>
      <c r="P60" s="990"/>
      <c r="Q60" s="973">
        <v>25</v>
      </c>
      <c r="R60" s="973">
        <v>1</v>
      </c>
      <c r="S60" s="979">
        <v>0.9</v>
      </c>
      <c r="T60" s="979">
        <f>T59</f>
        <v>5.0000000000000001E-3</v>
      </c>
      <c r="U60" s="980">
        <v>308.01455922077434</v>
      </c>
      <c r="V60" s="980">
        <f>Q60*R60/S60*(1+T60)*U60/3600</f>
        <v>2.3885388272907266</v>
      </c>
      <c r="W60" s="980">
        <v>0</v>
      </c>
      <c r="X60" s="980">
        <f>Q60/S60*(1+T60)*W60/3600</f>
        <v>0</v>
      </c>
      <c r="Y60" s="981">
        <f>V60+X60</f>
        <v>2.3885388272907266</v>
      </c>
    </row>
    <row r="61" spans="1:25" ht="14.25" customHeight="1" thickBot="1">
      <c r="B61" s="47"/>
      <c r="C61" s="826" t="s">
        <v>93</v>
      </c>
      <c r="D61" s="229"/>
      <c r="E61" s="229"/>
      <c r="F61" s="446"/>
      <c r="G61" s="229"/>
      <c r="H61" s="229"/>
      <c r="I61" s="229"/>
      <c r="J61" s="229"/>
      <c r="K61" s="236" t="s">
        <v>71</v>
      </c>
      <c r="L61" s="165">
        <f>+SUM(L49:L60)</f>
        <v>61.371506879999998</v>
      </c>
      <c r="M61" s="965">
        <v>1.52E-2</v>
      </c>
      <c r="N61" s="672" t="s">
        <v>310</v>
      </c>
      <c r="O61" s="991" t="s">
        <v>321</v>
      </c>
      <c r="P61" s="992"/>
      <c r="Q61" s="973">
        <v>25</v>
      </c>
      <c r="R61" s="973">
        <v>0.5</v>
      </c>
      <c r="S61" s="976">
        <v>0.9</v>
      </c>
      <c r="T61" s="976">
        <f>T60</f>
        <v>5.0000000000000001E-3</v>
      </c>
      <c r="U61" s="977">
        <v>308.01455922077434</v>
      </c>
      <c r="V61" s="977">
        <f>Q61*R61/S61*(1+T61)*U61/3600</f>
        <v>1.1942694136453633</v>
      </c>
      <c r="W61" s="977">
        <v>0</v>
      </c>
      <c r="X61" s="977">
        <f>Q61/S61*(1+T61)*W61/3600</f>
        <v>0</v>
      </c>
      <c r="Y61" s="940">
        <f>V61+X61</f>
        <v>1.1942694136453633</v>
      </c>
    </row>
    <row r="62" spans="1:25" ht="14.25" customHeight="1">
      <c r="B62" s="47"/>
      <c r="C62" s="887"/>
      <c r="D62" s="63"/>
      <c r="E62" s="63"/>
      <c r="F62" s="820"/>
      <c r="G62" s="63"/>
      <c r="H62" s="63"/>
      <c r="I62" s="63"/>
      <c r="J62" s="63"/>
      <c r="K62" s="230"/>
      <c r="L62" s="888"/>
      <c r="M62" s="964">
        <f>M59+M60+M61</f>
        <v>3.2599999999999997E-2</v>
      </c>
      <c r="N62" s="672" t="s">
        <v>310</v>
      </c>
      <c r="O62" s="881"/>
      <c r="P62" s="882"/>
      <c r="Q62" s="883"/>
      <c r="R62" s="883"/>
      <c r="S62" s="883"/>
      <c r="T62" s="883"/>
      <c r="U62" s="883"/>
      <c r="V62" s="883"/>
      <c r="W62" s="883"/>
      <c r="X62" s="884"/>
      <c r="Y62" s="885"/>
    </row>
    <row r="63" spans="1:25" ht="14.25" customHeight="1" thickBot="1">
      <c r="B63" s="47"/>
      <c r="C63" s="822" t="s">
        <v>147</v>
      </c>
      <c r="D63" s="63"/>
      <c r="E63" s="63"/>
      <c r="F63" s="820"/>
      <c r="G63" s="63"/>
      <c r="H63" s="63"/>
      <c r="I63" s="63"/>
      <c r="J63" s="63"/>
      <c r="K63" s="230"/>
      <c r="L63" s="890"/>
      <c r="M63" s="964">
        <f>M62*25</f>
        <v>0.81499999999999995</v>
      </c>
      <c r="N63" s="672" t="s">
        <v>314</v>
      </c>
      <c r="O63" s="860" t="s">
        <v>93</v>
      </c>
      <c r="P63" s="861"/>
      <c r="Q63" s="886"/>
      <c r="R63" s="886"/>
      <c r="S63" s="229"/>
      <c r="T63" s="229"/>
      <c r="U63" s="229"/>
      <c r="V63" s="229"/>
      <c r="W63" s="229"/>
      <c r="X63" s="236" t="s">
        <v>68</v>
      </c>
      <c r="Y63" s="340">
        <f>+SUM(Y55:Y62)</f>
        <v>44.004841717913671</v>
      </c>
    </row>
    <row r="64" spans="1:25" ht="14.25" customHeight="1" thickBot="1">
      <c r="A64" s="808"/>
      <c r="B64" s="47"/>
      <c r="C64" s="922" t="s">
        <v>2</v>
      </c>
      <c r="D64" s="866"/>
      <c r="E64" s="809" t="s">
        <v>293</v>
      </c>
      <c r="F64" s="809" t="s">
        <v>4</v>
      </c>
      <c r="G64" s="867" t="s">
        <v>292</v>
      </c>
      <c r="H64" s="809" t="s">
        <v>23</v>
      </c>
      <c r="I64" s="809" t="s">
        <v>169</v>
      </c>
      <c r="J64" s="809" t="s">
        <v>8</v>
      </c>
      <c r="K64" s="809" t="s">
        <v>24</v>
      </c>
      <c r="L64" s="810" t="s">
        <v>50</v>
      </c>
      <c r="M64" s="47"/>
      <c r="N64" s="894"/>
    </row>
    <row r="65" spans="1:30" ht="14.25" customHeight="1" thickTop="1" thickBot="1">
      <c r="A65" s="808" t="s">
        <v>330</v>
      </c>
      <c r="B65" s="47"/>
      <c r="C65" s="326" t="s">
        <v>51</v>
      </c>
      <c r="D65" s="247" t="str">
        <f t="shared" ref="D65:D71" si="30">C8</f>
        <v>TMR-050 Rotator</v>
      </c>
      <c r="E65" s="240" t="s">
        <v>39</v>
      </c>
      <c r="F65" s="240" t="str">
        <f>+F8</f>
        <v>-</v>
      </c>
      <c r="G65" s="240" t="s">
        <v>0</v>
      </c>
      <c r="H65" s="953">
        <v>1</v>
      </c>
      <c r="I65" s="240" t="s">
        <v>140</v>
      </c>
      <c r="J65" s="254">
        <v>5.0000000000000001E-3</v>
      </c>
      <c r="K65" s="240">
        <f t="shared" ref="K65:K71" si="31">+Y8+Y16</f>
        <v>1.2866211829049634</v>
      </c>
      <c r="L65" s="54">
        <f t="shared" ref="L65:L71" si="32">H65*(1+J65)*K65</f>
        <v>1.293054288819488</v>
      </c>
      <c r="M65" s="47"/>
      <c r="N65" s="894"/>
      <c r="O65" s="891" t="s">
        <v>98</v>
      </c>
      <c r="P65" s="163"/>
      <c r="Q65" s="163"/>
      <c r="R65" s="163" t="s">
        <v>0</v>
      </c>
      <c r="S65" s="163" t="s">
        <v>69</v>
      </c>
      <c r="T65" s="163"/>
      <c r="U65" s="163"/>
      <c r="V65" s="163"/>
      <c r="W65" s="163"/>
      <c r="X65" s="163"/>
      <c r="Y65" s="164">
        <f>L39+L43+Y38</f>
        <v>151.47359999999998</v>
      </c>
      <c r="AB65" s="895"/>
    </row>
    <row r="66" spans="1:30" ht="14.25" customHeight="1" thickBot="1">
      <c r="A66" s="1003" t="s">
        <v>331</v>
      </c>
      <c r="B66" s="47"/>
      <c r="C66" s="210"/>
      <c r="D66" s="247" t="str">
        <f t="shared" si="30"/>
        <v>TMR-050 Stator</v>
      </c>
      <c r="E66" s="240" t="s">
        <v>39</v>
      </c>
      <c r="F66" s="240" t="str">
        <f>+F9</f>
        <v>-</v>
      </c>
      <c r="G66" s="240" t="s">
        <v>0</v>
      </c>
      <c r="H66" s="953">
        <v>1</v>
      </c>
      <c r="I66" s="240" t="s">
        <v>140</v>
      </c>
      <c r="J66" s="254">
        <v>5.0000000000000001E-3</v>
      </c>
      <c r="K66" s="240">
        <f t="shared" si="31"/>
        <v>2.0291892800423197</v>
      </c>
      <c r="L66" s="54">
        <f t="shared" si="32"/>
        <v>2.0393352264425313</v>
      </c>
      <c r="M66" s="47"/>
      <c r="N66" s="894"/>
      <c r="O66" s="57" t="s">
        <v>99</v>
      </c>
      <c r="P66" s="63"/>
      <c r="Q66" s="63"/>
      <c r="R66" s="63"/>
      <c r="S66" s="63"/>
      <c r="T66" s="230" t="s">
        <v>100</v>
      </c>
      <c r="U66" s="892">
        <v>0</v>
      </c>
      <c r="V66" s="893" t="s">
        <v>101</v>
      </c>
      <c r="W66" s="63"/>
      <c r="X66" s="63"/>
      <c r="Y66" s="165">
        <f>Y65*(1+U66)</f>
        <v>151.47359999999998</v>
      </c>
    </row>
    <row r="67" spans="1:30" ht="14.25" customHeight="1" thickBot="1">
      <c r="A67" s="808" t="s">
        <v>333</v>
      </c>
      <c r="B67" s="47"/>
      <c r="C67" s="210"/>
      <c r="D67" s="247" t="str">
        <f t="shared" si="30"/>
        <v>TMR-050 Substator</v>
      </c>
      <c r="E67" s="240" t="s">
        <v>39</v>
      </c>
      <c r="F67" s="240" t="str">
        <f>+F10</f>
        <v>-</v>
      </c>
      <c r="G67" s="240" t="s">
        <v>0</v>
      </c>
      <c r="H67" s="953">
        <v>1</v>
      </c>
      <c r="I67" s="240" t="s">
        <v>140</v>
      </c>
      <c r="J67" s="254">
        <v>5.0000000000000001E-3</v>
      </c>
      <c r="K67" s="240">
        <f t="shared" si="31"/>
        <v>4.0309387718236334</v>
      </c>
      <c r="L67" s="54">
        <f t="shared" si="32"/>
        <v>4.0510934656827509</v>
      </c>
      <c r="M67" s="47"/>
      <c r="N67" s="894"/>
      <c r="O67" s="891" t="s">
        <v>102</v>
      </c>
      <c r="P67" s="163"/>
      <c r="Q67" s="163"/>
      <c r="R67" s="163" t="s">
        <v>0</v>
      </c>
      <c r="S67" s="163" t="s">
        <v>70</v>
      </c>
      <c r="T67" s="163"/>
      <c r="U67" s="163"/>
      <c r="V67" s="163"/>
      <c r="W67" s="163"/>
      <c r="X67" s="163"/>
      <c r="Y67" s="164">
        <f>+L48+L61+Y51</f>
        <v>71.083718939191655</v>
      </c>
    </row>
    <row r="68" spans="1:30" ht="14.25" customHeight="1" thickBot="1">
      <c r="A68" s="808" t="s">
        <v>334</v>
      </c>
      <c r="B68" s="47"/>
      <c r="C68" s="210"/>
      <c r="D68" s="247" t="str">
        <f t="shared" si="30"/>
        <v>TMR-051 Sleeve</v>
      </c>
      <c r="E68" s="240" t="s">
        <v>39</v>
      </c>
      <c r="F68" s="240" t="str">
        <f>+F11</f>
        <v>-</v>
      </c>
      <c r="G68" s="240"/>
      <c r="H68" s="953">
        <v>1</v>
      </c>
      <c r="I68" s="240" t="s">
        <v>140</v>
      </c>
      <c r="J68" s="254">
        <v>5.0000000000000001E-3</v>
      </c>
      <c r="K68" s="240">
        <f t="shared" si="31"/>
        <v>1.4658267136465977</v>
      </c>
      <c r="L68" s="54">
        <f t="shared" si="32"/>
        <v>1.4731558472148305</v>
      </c>
      <c r="M68" s="47"/>
      <c r="N68" s="894"/>
      <c r="O68" s="57" t="s">
        <v>103</v>
      </c>
      <c r="P68" s="63"/>
      <c r="Q68" s="63"/>
      <c r="R68" s="63"/>
      <c r="S68" s="63"/>
      <c r="T68" s="230" t="s">
        <v>100</v>
      </c>
      <c r="U68" s="892">
        <v>0</v>
      </c>
      <c r="V68" s="893" t="s">
        <v>101</v>
      </c>
      <c r="W68" s="63"/>
      <c r="X68" s="63"/>
      <c r="Y68" s="165">
        <f>Y67*(1+U68)</f>
        <v>71.083718939191655</v>
      </c>
    </row>
    <row r="69" spans="1:30" ht="14.25" customHeight="1" thickBot="1">
      <c r="A69" s="1003" t="s">
        <v>335</v>
      </c>
      <c r="B69" s="47"/>
      <c r="C69" s="198"/>
      <c r="D69" s="247" t="str">
        <f t="shared" si="30"/>
        <v>TMR-051 Mold Holder 1</v>
      </c>
      <c r="E69" s="240" t="s">
        <v>39</v>
      </c>
      <c r="F69" s="264" t="s">
        <v>180</v>
      </c>
      <c r="G69" s="264"/>
      <c r="H69" s="953">
        <v>1</v>
      </c>
      <c r="I69" s="240" t="s">
        <v>140</v>
      </c>
      <c r="J69" s="269">
        <v>5.0000000000000001E-3</v>
      </c>
      <c r="K69" s="366">
        <f t="shared" si="31"/>
        <v>0.34113415776337497</v>
      </c>
      <c r="L69" s="54">
        <f t="shared" si="32"/>
        <v>0.34283982855219181</v>
      </c>
      <c r="M69" s="47"/>
      <c r="N69" s="894"/>
      <c r="O69" s="891" t="s">
        <v>104</v>
      </c>
      <c r="P69" s="891"/>
      <c r="Q69" s="163"/>
      <c r="R69" s="896"/>
      <c r="S69" s="896" t="s">
        <v>37</v>
      </c>
      <c r="T69" s="897"/>
      <c r="U69" s="898"/>
      <c r="V69" s="163"/>
      <c r="W69" s="163"/>
      <c r="X69" s="163"/>
      <c r="Y69" s="56">
        <f>+L72+L85+SUM(Y58:Y60)</f>
        <v>88.716367949407868</v>
      </c>
    </row>
    <row r="70" spans="1:30" ht="14.25" customHeight="1" thickBot="1">
      <c r="A70" s="808" t="s">
        <v>337</v>
      </c>
      <c r="B70" s="47"/>
      <c r="C70" s="905"/>
      <c r="D70" s="348" t="str">
        <f t="shared" si="30"/>
        <v>TMR-034 Stator Housing 1</v>
      </c>
      <c r="E70" s="377" t="s">
        <v>39</v>
      </c>
      <c r="F70" s="905" t="s">
        <v>180</v>
      </c>
      <c r="G70" s="905"/>
      <c r="H70" s="953">
        <v>1</v>
      </c>
      <c r="I70" s="281" t="s">
        <v>140</v>
      </c>
      <c r="J70" s="370">
        <v>5.0000000000000001E-3</v>
      </c>
      <c r="K70" s="366">
        <f t="shared" si="31"/>
        <v>0.35536219612093378</v>
      </c>
      <c r="L70" s="46">
        <f t="shared" si="32"/>
        <v>0.3571390071015384</v>
      </c>
      <c r="M70" s="47"/>
      <c r="N70" s="894"/>
      <c r="O70" s="899" t="s">
        <v>105</v>
      </c>
      <c r="P70" s="900"/>
      <c r="Q70" s="63"/>
      <c r="R70" s="901"/>
      <c r="S70" s="63"/>
      <c r="T70" s="230" t="s">
        <v>106</v>
      </c>
      <c r="U70" s="902">
        <v>0</v>
      </c>
      <c r="V70" s="903" t="s">
        <v>101</v>
      </c>
      <c r="W70" s="63"/>
      <c r="X70" s="63"/>
      <c r="Y70" s="165">
        <f>Y69*(1+U70)</f>
        <v>88.716367949407868</v>
      </c>
    </row>
    <row r="71" spans="1:30" ht="14.25" customHeight="1" thickTop="1" thickBot="1">
      <c r="A71" s="808" t="s">
        <v>336</v>
      </c>
      <c r="B71" s="47"/>
      <c r="C71" s="848"/>
      <c r="D71" s="380" t="str">
        <f t="shared" si="30"/>
        <v>TMR-051 Interlock Plate</v>
      </c>
      <c r="E71" s="906" t="s">
        <v>39</v>
      </c>
      <c r="F71" s="848" t="s">
        <v>180</v>
      </c>
      <c r="G71" s="848"/>
      <c r="H71" s="953">
        <v>1</v>
      </c>
      <c r="I71" s="265" t="s">
        <v>140</v>
      </c>
      <c r="J71" s="271">
        <v>5.0000000000000001E-3</v>
      </c>
      <c r="K71" s="379">
        <f t="shared" si="31"/>
        <v>0.52067845132304602</v>
      </c>
      <c r="L71" s="84">
        <f t="shared" si="32"/>
        <v>0.52328184357966123</v>
      </c>
      <c r="M71" s="47"/>
      <c r="N71" s="909"/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904">
        <f>+Y70+Y68+Y66</f>
        <v>311.27368688859951</v>
      </c>
      <c r="AA71" s="696"/>
      <c r="AB71" s="696"/>
      <c r="AC71" s="696"/>
      <c r="AD71" s="78"/>
    </row>
    <row r="72" spans="1:30" ht="14.25" customHeight="1" thickBot="1">
      <c r="A72" s="1013"/>
      <c r="B72" s="47"/>
      <c r="C72" s="907" t="s">
        <v>110</v>
      </c>
      <c r="D72" s="360"/>
      <c r="E72" s="361"/>
      <c r="F72" s="362"/>
      <c r="G72" s="360"/>
      <c r="H72" s="360"/>
      <c r="I72" s="360"/>
      <c r="J72" s="908"/>
      <c r="K72" s="365" t="s">
        <v>72</v>
      </c>
      <c r="L72" s="863">
        <f>SUM(L65:L71)</f>
        <v>10.079899507392993</v>
      </c>
      <c r="N72" s="889"/>
      <c r="Z72" s="750"/>
    </row>
    <row r="73" spans="1:30" ht="14.25" customHeight="1" thickTop="1" thickBot="1">
      <c r="A73" s="952" t="s">
        <v>312</v>
      </c>
      <c r="B73" s="47"/>
      <c r="C73" s="326" t="s">
        <v>139</v>
      </c>
      <c r="D73" s="955" t="s">
        <v>311</v>
      </c>
      <c r="E73" s="955" t="s">
        <v>313</v>
      </c>
      <c r="F73" s="955" t="s">
        <v>111</v>
      </c>
      <c r="G73" s="1000">
        <v>6.6000000000000003E-2</v>
      </c>
      <c r="H73" s="954">
        <v>1</v>
      </c>
      <c r="I73" s="955" t="s">
        <v>140</v>
      </c>
      <c r="J73" s="956">
        <v>5.0000000000000001E-3</v>
      </c>
      <c r="K73" s="1001">
        <f>G73*M3</f>
        <v>7.2600000000000007</v>
      </c>
      <c r="L73" s="951">
        <f t="shared" ref="L73:L83" si="33">H73*(1+J73)*K73</f>
        <v>7.2962999999999996</v>
      </c>
      <c r="M73" s="47"/>
      <c r="N73" s="889"/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904"/>
      <c r="Z73" s="750"/>
    </row>
    <row r="74" spans="1:30" ht="14.25" customHeight="1">
      <c r="A74" s="672" t="s">
        <v>256</v>
      </c>
      <c r="B74" s="47"/>
      <c r="C74" s="212"/>
      <c r="D74" s="240" t="s">
        <v>167</v>
      </c>
      <c r="E74" s="240" t="s">
        <v>271</v>
      </c>
      <c r="F74" s="240" t="s">
        <v>111</v>
      </c>
      <c r="G74" s="910">
        <v>3.2689999999999997E-2</v>
      </c>
      <c r="H74" s="957">
        <v>1</v>
      </c>
      <c r="I74" s="240" t="s">
        <v>219</v>
      </c>
      <c r="J74" s="254">
        <v>5.0000000000000001E-3</v>
      </c>
      <c r="K74" s="278">
        <f>G74*$M$3</f>
        <v>3.5958999999999994</v>
      </c>
      <c r="L74" s="54">
        <f t="shared" si="33"/>
        <v>3.613879499999999</v>
      </c>
      <c r="N74" s="889"/>
      <c r="Z74" s="750"/>
    </row>
    <row r="75" spans="1:30" ht="14.25" customHeight="1">
      <c r="A75" s="672" t="s">
        <v>257</v>
      </c>
      <c r="B75" s="47"/>
      <c r="C75" s="212"/>
      <c r="D75" s="240" t="s">
        <v>228</v>
      </c>
      <c r="E75" s="240" t="s">
        <v>80</v>
      </c>
      <c r="F75" s="240" t="s">
        <v>111</v>
      </c>
      <c r="G75" s="612"/>
      <c r="H75" s="953">
        <v>1</v>
      </c>
      <c r="I75" s="240" t="s">
        <v>140</v>
      </c>
      <c r="J75" s="254">
        <v>5.0000000000000001E-3</v>
      </c>
      <c r="K75" s="911">
        <v>0.32300000000000001</v>
      </c>
      <c r="L75" s="54">
        <f t="shared" si="33"/>
        <v>0.32461499999999999</v>
      </c>
      <c r="N75" s="889"/>
      <c r="Z75" s="750"/>
    </row>
    <row r="76" spans="1:30" ht="14.25" customHeight="1">
      <c r="A76" s="672" t="s">
        <v>258</v>
      </c>
      <c r="B76" s="47"/>
      <c r="C76" s="212"/>
      <c r="D76" s="280" t="s">
        <v>178</v>
      </c>
      <c r="E76" s="264" t="s">
        <v>80</v>
      </c>
      <c r="F76" s="241"/>
      <c r="G76" s="612"/>
      <c r="H76" s="953">
        <v>1</v>
      </c>
      <c r="I76" s="264" t="s">
        <v>140</v>
      </c>
      <c r="J76" s="269">
        <v>5.0000000000000001E-3</v>
      </c>
      <c r="K76" s="911">
        <v>0.23899999999999999</v>
      </c>
      <c r="L76" s="54">
        <f t="shared" si="33"/>
        <v>0.24019499999999996</v>
      </c>
      <c r="Z76" s="750"/>
    </row>
    <row r="77" spans="1:30" ht="14.25" customHeight="1">
      <c r="A77" s="672" t="s">
        <v>259</v>
      </c>
      <c r="B77" s="47"/>
      <c r="C77" s="212"/>
      <c r="D77" s="291" t="s">
        <v>326</v>
      </c>
      <c r="E77" s="329" t="s">
        <v>145</v>
      </c>
      <c r="F77" s="241" t="s">
        <v>111</v>
      </c>
      <c r="G77" s="613"/>
      <c r="H77" s="953">
        <v>1</v>
      </c>
      <c r="I77" s="329" t="s">
        <v>140</v>
      </c>
      <c r="J77" s="330">
        <v>5.0000000000000001E-3</v>
      </c>
      <c r="K77" s="911">
        <v>5.23</v>
      </c>
      <c r="L77" s="54">
        <f t="shared" si="33"/>
        <v>5.2561499999999999</v>
      </c>
      <c r="Z77" s="750"/>
    </row>
    <row r="78" spans="1:30" ht="14.25" customHeight="1">
      <c r="A78" s="672" t="s">
        <v>260</v>
      </c>
      <c r="B78" s="47"/>
      <c r="C78" s="212"/>
      <c r="D78" s="329" t="s">
        <v>327</v>
      </c>
      <c r="E78" s="264" t="s">
        <v>145</v>
      </c>
      <c r="F78" s="241" t="s">
        <v>111</v>
      </c>
      <c r="G78" s="612"/>
      <c r="H78" s="953">
        <v>1</v>
      </c>
      <c r="I78" s="329" t="s">
        <v>140</v>
      </c>
      <c r="J78" s="330">
        <v>5.0000000000000001E-3</v>
      </c>
      <c r="K78" s="911">
        <v>1.17</v>
      </c>
      <c r="L78" s="54">
        <f t="shared" si="33"/>
        <v>1.1758499999999998</v>
      </c>
      <c r="Z78" s="750"/>
    </row>
    <row r="79" spans="1:30" ht="14.25" customHeight="1">
      <c r="A79" s="952" t="s">
        <v>307</v>
      </c>
      <c r="B79" s="47"/>
      <c r="C79" s="212"/>
      <c r="D79" s="945" t="s">
        <v>190</v>
      </c>
      <c r="E79" s="946" t="s">
        <v>145</v>
      </c>
      <c r="F79" s="947" t="s">
        <v>111</v>
      </c>
      <c r="G79" s="948"/>
      <c r="H79" s="954">
        <v>1</v>
      </c>
      <c r="I79" s="945" t="s">
        <v>140</v>
      </c>
      <c r="J79" s="949">
        <v>5.0000000000000001E-3</v>
      </c>
      <c r="K79" s="1002">
        <v>12.87</v>
      </c>
      <c r="L79" s="951">
        <f t="shared" si="33"/>
        <v>12.934349999999998</v>
      </c>
      <c r="O79" s="750"/>
      <c r="P79" s="750"/>
      <c r="Q79" s="750"/>
      <c r="R79" s="750"/>
      <c r="S79" s="750"/>
      <c r="T79" s="750"/>
      <c r="U79" s="750"/>
      <c r="V79" s="750"/>
      <c r="W79" s="750"/>
      <c r="X79" s="750"/>
      <c r="Y79" s="750"/>
      <c r="Z79" s="750"/>
    </row>
    <row r="80" spans="1:30" ht="14.25" customHeight="1">
      <c r="A80" s="952" t="s">
        <v>306</v>
      </c>
      <c r="B80" s="47"/>
      <c r="C80" s="212"/>
      <c r="D80" s="945" t="s">
        <v>210</v>
      </c>
      <c r="E80" s="946" t="s">
        <v>145</v>
      </c>
      <c r="F80" s="947" t="s">
        <v>111</v>
      </c>
      <c r="G80" s="948"/>
      <c r="H80" s="954">
        <v>2</v>
      </c>
      <c r="I80" s="945" t="s">
        <v>128</v>
      </c>
      <c r="J80" s="949">
        <v>5.0000000000000001E-3</v>
      </c>
      <c r="K80" s="950">
        <v>1.98</v>
      </c>
      <c r="L80" s="951">
        <f t="shared" si="33"/>
        <v>3.9797999999999996</v>
      </c>
      <c r="O80" s="63"/>
      <c r="P80" s="750"/>
      <c r="Q80" s="750"/>
      <c r="R80" s="750"/>
      <c r="S80" s="750"/>
      <c r="T80" s="750"/>
      <c r="U80" s="750"/>
      <c r="V80" s="750"/>
      <c r="W80" s="750"/>
      <c r="X80" s="750"/>
      <c r="Y80" s="750"/>
      <c r="Z80" s="750"/>
    </row>
    <row r="81" spans="1:26" ht="14.25" customHeight="1">
      <c r="A81" s="672" t="s">
        <v>90</v>
      </c>
      <c r="B81" s="47"/>
      <c r="C81" s="212"/>
      <c r="D81" s="274" t="s">
        <v>177</v>
      </c>
      <c r="E81" s="264" t="s">
        <v>78</v>
      </c>
      <c r="F81" s="264"/>
      <c r="G81" s="612"/>
      <c r="H81" s="958">
        <v>2.14418</v>
      </c>
      <c r="I81" s="264" t="s">
        <v>73</v>
      </c>
      <c r="J81" s="254">
        <v>5.0000000000000001E-3</v>
      </c>
      <c r="K81" s="445">
        <f>54630.74/(16*10^3)</f>
        <v>3.4144212499999997</v>
      </c>
      <c r="L81" s="54">
        <f t="shared" si="33"/>
        <v>7.3577394246041239</v>
      </c>
      <c r="N81" s="47"/>
      <c r="O81" s="750"/>
      <c r="P81" s="750"/>
      <c r="Q81" s="750"/>
      <c r="R81" s="924"/>
      <c r="S81" s="924"/>
      <c r="T81" s="750"/>
      <c r="U81" s="750"/>
      <c r="V81" s="750"/>
      <c r="W81" s="750"/>
      <c r="X81" s="750"/>
      <c r="Y81" s="750"/>
      <c r="Z81" s="750"/>
    </row>
    <row r="82" spans="1:26" ht="14.25" customHeight="1">
      <c r="A82" s="672" t="s">
        <v>263</v>
      </c>
      <c r="B82" s="47"/>
      <c r="C82" s="212"/>
      <c r="D82" s="259" t="s">
        <v>74</v>
      </c>
      <c r="E82" s="281" t="s">
        <v>91</v>
      </c>
      <c r="F82" s="241"/>
      <c r="G82" s="969">
        <v>380</v>
      </c>
      <c r="H82" s="959">
        <v>5.0000000000000002E-5</v>
      </c>
      <c r="I82" s="281" t="s">
        <v>310</v>
      </c>
      <c r="J82" s="269">
        <v>5.0000000000000001E-3</v>
      </c>
      <c r="K82" s="911">
        <f>G82/M5</f>
        <v>716.98113207547169</v>
      </c>
      <c r="L82" s="46">
        <f t="shared" si="33"/>
        <v>3.6028301886792451E-2</v>
      </c>
      <c r="N82" s="47"/>
      <c r="O82" s="750"/>
      <c r="P82" s="750"/>
      <c r="Q82" s="750"/>
      <c r="R82" s="923"/>
      <c r="S82" s="923"/>
      <c r="T82" s="750"/>
      <c r="U82" s="750"/>
      <c r="V82" s="750"/>
      <c r="W82" s="750"/>
      <c r="X82" s="750"/>
      <c r="Y82" s="750"/>
      <c r="Z82" s="750"/>
    </row>
    <row r="83" spans="1:26" ht="14.25" customHeight="1">
      <c r="A83" s="672" t="s">
        <v>264</v>
      </c>
      <c r="B83" s="47"/>
      <c r="C83" s="212"/>
      <c r="D83" s="259" t="s">
        <v>308</v>
      </c>
      <c r="E83" s="281" t="s">
        <v>269</v>
      </c>
      <c r="F83" s="241"/>
      <c r="G83" s="966">
        <f>19.85/600</f>
        <v>3.3083333333333333E-2</v>
      </c>
      <c r="H83" s="959">
        <v>1.6459999999999999</v>
      </c>
      <c r="I83" s="281" t="s">
        <v>146</v>
      </c>
      <c r="J83" s="269">
        <v>5.0000000000000001E-3</v>
      </c>
      <c r="K83" s="278">
        <f>+G83*M3</f>
        <v>3.6391666666666667</v>
      </c>
      <c r="L83" s="46">
        <f t="shared" si="33"/>
        <v>6.0200186749999984</v>
      </c>
      <c r="N83" s="47"/>
      <c r="O83" s="750"/>
      <c r="P83" s="750"/>
      <c r="Q83" s="750"/>
      <c r="R83" s="923"/>
      <c r="S83" s="923"/>
      <c r="T83" s="750"/>
      <c r="U83" s="750"/>
      <c r="V83" s="750"/>
      <c r="W83" s="750"/>
      <c r="X83" s="750"/>
      <c r="Y83" s="750"/>
      <c r="Z83" s="750"/>
    </row>
    <row r="84" spans="1:26" ht="14.25" customHeight="1" thickBot="1">
      <c r="A84" s="952" t="s">
        <v>241</v>
      </c>
      <c r="B84" s="47"/>
      <c r="C84" s="212"/>
      <c r="D84" s="960" t="s">
        <v>309</v>
      </c>
      <c r="E84" s="961" t="s">
        <v>78</v>
      </c>
      <c r="F84" s="995"/>
      <c r="G84" s="996"/>
      <c r="H84" s="962">
        <v>4.0000000000000001E-3</v>
      </c>
      <c r="I84" s="961" t="s">
        <v>310</v>
      </c>
      <c r="J84" s="949">
        <v>5.0000000000000001E-3</v>
      </c>
      <c r="K84" s="1002">
        <v>478.16</v>
      </c>
      <c r="L84" s="963">
        <f t="shared" ref="L84" si="34">H84*(1+J84)*K84</f>
        <v>1.9222031999999998</v>
      </c>
      <c r="N84" s="47"/>
      <c r="O84" s="750"/>
      <c r="P84" s="750"/>
      <c r="Q84" s="750"/>
      <c r="R84" s="923"/>
      <c r="S84" s="923"/>
      <c r="T84" s="750"/>
      <c r="U84" s="750"/>
      <c r="V84" s="750"/>
      <c r="W84" s="750"/>
      <c r="X84" s="750"/>
      <c r="Y84" s="750"/>
      <c r="Z84" s="750"/>
    </row>
    <row r="85" spans="1:26" ht="14.25" customHeight="1" thickBot="1">
      <c r="B85" s="47"/>
      <c r="C85" s="826" t="s">
        <v>93</v>
      </c>
      <c r="D85" s="229"/>
      <c r="E85" s="229"/>
      <c r="F85" s="446"/>
      <c r="G85" s="229"/>
      <c r="H85" s="229"/>
      <c r="I85" s="229"/>
      <c r="J85" s="229"/>
      <c r="K85" s="237" t="s">
        <v>75</v>
      </c>
      <c r="L85" s="165">
        <f>SUM(L73:L84)</f>
        <v>50.157129101490909</v>
      </c>
      <c r="N85" s="47"/>
      <c r="O85" s="750"/>
      <c r="P85" s="750"/>
      <c r="Q85" s="750"/>
      <c r="R85" s="923"/>
      <c r="S85" s="923"/>
      <c r="T85" s="750"/>
      <c r="U85" s="750"/>
      <c r="V85" s="750"/>
      <c r="W85" s="750"/>
      <c r="X85" s="750"/>
      <c r="Y85" s="750"/>
      <c r="Z85" s="750"/>
    </row>
    <row r="86" spans="1:26" ht="14.25" customHeight="1">
      <c r="B86" s="47"/>
      <c r="M86" s="672">
        <v>275.63825531775154</v>
      </c>
      <c r="N86" s="47"/>
      <c r="O86" s="750"/>
      <c r="P86" s="750"/>
      <c r="Q86" s="750"/>
      <c r="R86" s="923"/>
      <c r="S86" s="923"/>
      <c r="T86" s="750"/>
      <c r="U86" s="750"/>
      <c r="V86" s="750"/>
      <c r="W86" s="750"/>
      <c r="X86" s="750"/>
      <c r="Y86" s="750"/>
      <c r="Z86" s="750"/>
    </row>
    <row r="87" spans="1:26" ht="14.25" customHeight="1">
      <c r="K87" s="672" t="s">
        <v>145</v>
      </c>
      <c r="L87" s="847">
        <f>SUM(L55:L56,L58:L59,L77:L81,L50,L53)</f>
        <v>62.166596304604106</v>
      </c>
      <c r="O87" s="750"/>
      <c r="P87" s="750"/>
      <c r="Q87" s="750"/>
      <c r="R87" s="750"/>
      <c r="S87" s="750"/>
      <c r="T87" s="750"/>
      <c r="U87" s="750"/>
      <c r="V87" s="750"/>
      <c r="W87" s="750"/>
      <c r="X87" s="750"/>
      <c r="Y87" s="925"/>
      <c r="Z87" s="750"/>
    </row>
    <row r="88" spans="1:26" ht="14.25" customHeight="1">
      <c r="C88" s="47"/>
      <c r="E88" s="47"/>
      <c r="F88" s="77"/>
      <c r="H88" s="47"/>
      <c r="I88" s="47"/>
      <c r="K88" s="47" t="s">
        <v>280</v>
      </c>
      <c r="L88" s="47">
        <f>L40+L49+L51+L52+L54+L57+L73+L74+L75+L76+L82+L83+L37+L36</f>
        <v>64.374086476886788</v>
      </c>
      <c r="M88" s="894">
        <f>L88+L89</f>
        <v>147.99008647688677</v>
      </c>
      <c r="O88" s="63"/>
      <c r="P88" s="750"/>
      <c r="Q88" s="750"/>
      <c r="R88" s="926"/>
      <c r="S88" s="750"/>
      <c r="T88" s="750"/>
      <c r="U88" s="750"/>
      <c r="V88" s="750"/>
      <c r="W88" s="750"/>
      <c r="X88" s="750"/>
      <c r="Y88" s="921"/>
      <c r="Z88" s="750"/>
    </row>
    <row r="89" spans="1:26" ht="14.25" customHeight="1">
      <c r="K89" s="672" t="s">
        <v>281</v>
      </c>
      <c r="L89" s="847">
        <f>SUM(N64:N70,L32:L35)</f>
        <v>83.615999999999985</v>
      </c>
      <c r="O89" s="750"/>
      <c r="P89" s="750"/>
      <c r="Q89" s="750"/>
      <c r="R89" s="750"/>
      <c r="S89" s="750"/>
      <c r="T89" s="750"/>
      <c r="U89" s="750"/>
      <c r="V89" s="750"/>
      <c r="W89" s="927"/>
      <c r="X89" s="927"/>
      <c r="Y89" s="928"/>
      <c r="Z89" s="750"/>
    </row>
    <row r="90" spans="1:26" ht="14.25" customHeight="1">
      <c r="K90" s="672" t="s">
        <v>282</v>
      </c>
      <c r="L90" s="894">
        <f>L87+L88+L89</f>
        <v>210.15668278149087</v>
      </c>
      <c r="O90" s="750"/>
      <c r="P90" s="750"/>
      <c r="Q90" s="750"/>
      <c r="R90" s="750"/>
      <c r="S90" s="750"/>
      <c r="T90" s="750"/>
      <c r="U90" s="750"/>
      <c r="V90" s="750"/>
      <c r="W90" s="750"/>
      <c r="X90" s="750"/>
      <c r="Y90" s="750"/>
      <c r="Z90" s="750"/>
    </row>
    <row r="91" spans="1:26" ht="14.25" customHeight="1">
      <c r="O91" s="750"/>
      <c r="P91" s="750"/>
      <c r="Q91" s="750"/>
      <c r="R91" s="750"/>
      <c r="S91" s="750"/>
      <c r="T91" s="750"/>
      <c r="U91" s="750"/>
      <c r="V91" s="750"/>
      <c r="W91" s="750"/>
      <c r="X91" s="750"/>
      <c r="Y91" s="925"/>
      <c r="Z91" s="750"/>
    </row>
    <row r="92" spans="1:26">
      <c r="K92" s="793" t="s">
        <v>282</v>
      </c>
      <c r="L92" s="912">
        <f>L85+N71+L61+L43+L39</f>
        <v>263.00223598149091</v>
      </c>
    </row>
    <row r="93" spans="1:26">
      <c r="M93" s="750"/>
      <c r="N93" s="750"/>
    </row>
    <row r="94" spans="1:26">
      <c r="H94" s="918"/>
      <c r="I94" s="750"/>
      <c r="J94" s="919"/>
      <c r="K94" s="750"/>
      <c r="L94" s="920"/>
      <c r="M94" s="750"/>
      <c r="N94" s="750"/>
    </row>
    <row r="95" spans="1:26">
      <c r="H95" s="918"/>
      <c r="I95" s="750"/>
      <c r="J95" s="919"/>
      <c r="K95" s="750"/>
      <c r="L95" s="920"/>
      <c r="M95" s="750"/>
      <c r="N95" s="750"/>
    </row>
    <row r="96" spans="1:26" ht="15" customHeight="1">
      <c r="H96" s="750"/>
      <c r="I96" s="750"/>
      <c r="J96" s="750"/>
      <c r="K96" s="750"/>
      <c r="L96" s="921"/>
    </row>
  </sheetData>
  <mergeCells count="9">
    <mergeCell ref="C7:D7"/>
    <mergeCell ref="C26:D26"/>
    <mergeCell ref="AB31:AE3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3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I96"/>
  <sheetViews>
    <sheetView showGridLines="0" zoomScale="40" zoomScaleNormal="4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4" width="8.25" style="98" bestFit="1" customWidth="1"/>
    <col min="35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22" t="s">
        <v>43</v>
      </c>
      <c r="C2" s="1023"/>
      <c r="D2" s="1024" t="s">
        <v>227</v>
      </c>
      <c r="E2" s="1025"/>
      <c r="F2" s="1025"/>
      <c r="G2" s="1026"/>
      <c r="H2" s="158"/>
      <c r="I2" s="47"/>
      <c r="J2" s="220" t="s">
        <v>113</v>
      </c>
      <c r="K2" s="421">
        <v>68766</v>
      </c>
      <c r="L2" s="223" t="s">
        <v>161</v>
      </c>
      <c r="M2" s="220"/>
      <c r="Q2" s="295"/>
      <c r="R2" s="440" t="s">
        <v>216</v>
      </c>
      <c r="U2" s="5"/>
      <c r="V2" s="5"/>
      <c r="X2" s="100"/>
    </row>
    <row r="3" spans="1:25" ht="18">
      <c r="B3" s="1022" t="s">
        <v>79</v>
      </c>
      <c r="C3" s="1023"/>
      <c r="D3" s="1027"/>
      <c r="E3" s="1028"/>
      <c r="F3" s="1028"/>
      <c r="G3" s="1029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22" t="s">
        <v>44</v>
      </c>
      <c r="C4" s="1023"/>
      <c r="D4" s="1027"/>
      <c r="E4" s="1028"/>
      <c r="F4" s="1028"/>
      <c r="G4" s="1029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14" t="s">
        <v>118</v>
      </c>
      <c r="C7" s="1015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429" t="s">
        <v>213</v>
      </c>
      <c r="C8" s="430"/>
      <c r="D8" s="246" t="s">
        <v>187</v>
      </c>
      <c r="E8" s="276" t="s">
        <v>111</v>
      </c>
      <c r="F8" s="240">
        <v>2</v>
      </c>
      <c r="G8" s="437">
        <f>22.982*0.9*1.39</f>
        <v>28.750482000000002</v>
      </c>
      <c r="H8" s="248">
        <f>11.22</f>
        <v>11.22</v>
      </c>
      <c r="I8" s="254">
        <v>0.01</v>
      </c>
      <c r="J8" s="55">
        <f t="shared" ref="J8:J14" si="0">(G8+(H8/F8))*(1+I8)</f>
        <v>34.704086820000008</v>
      </c>
      <c r="K8" s="439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>R8*S8/3600/F8</f>
        <v>1.1817333333333333</v>
      </c>
      <c r="U8" s="56">
        <f t="shared" ref="U8:U14" si="6">$R$80</f>
        <v>557.57600000000002</v>
      </c>
      <c r="V8" s="56">
        <f>R8*U8/3600/F8</f>
        <v>3.0976444444444446</v>
      </c>
      <c r="W8" s="54">
        <f t="shared" ref="W8:W14" si="7">T8+V8</f>
        <v>4.2793777777777784</v>
      </c>
      <c r="X8" s="54">
        <f t="shared" ref="X8:X14" si="8">Q8+W8</f>
        <v>23.560968414969786</v>
      </c>
    </row>
    <row r="9" spans="1:25" s="103" customFormat="1" ht="14.25" customHeight="1">
      <c r="A9" s="5"/>
      <c r="B9" s="429" t="s">
        <v>214</v>
      </c>
      <c r="C9" s="430"/>
      <c r="D9" s="367" t="s">
        <v>197</v>
      </c>
      <c r="E9" s="276" t="s">
        <v>111</v>
      </c>
      <c r="F9" s="240">
        <v>2</v>
      </c>
      <c r="G9" s="437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439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ref="T9:T14" si="9">R9*S9/3600/F9</f>
        <v>1.1817333333333333</v>
      </c>
      <c r="U9" s="56">
        <f t="shared" si="6"/>
        <v>557.57600000000002</v>
      </c>
      <c r="V9" s="56">
        <f t="shared" ref="V9:V14" si="10">R9*U9/3600/F9</f>
        <v>3.0976444444444446</v>
      </c>
      <c r="W9" s="54">
        <f t="shared" si="7"/>
        <v>4.2793777777777784</v>
      </c>
      <c r="X9" s="54">
        <f t="shared" si="8"/>
        <v>17.40217396457458</v>
      </c>
    </row>
    <row r="10" spans="1:25" s="103" customFormat="1" ht="14.25" customHeight="1">
      <c r="A10" s="5"/>
      <c r="B10" s="429" t="s">
        <v>215</v>
      </c>
      <c r="C10" s="430"/>
      <c r="D10" s="246" t="s">
        <v>198</v>
      </c>
      <c r="E10" s="276" t="s">
        <v>111</v>
      </c>
      <c r="F10" s="240">
        <v>2</v>
      </c>
      <c r="G10" s="437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439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9"/>
        <v>1.0931033333333333</v>
      </c>
      <c r="U10" s="56">
        <f t="shared" si="6"/>
        <v>557.57600000000002</v>
      </c>
      <c r="V10" s="56">
        <f t="shared" si="10"/>
        <v>2.8653211111111112</v>
      </c>
      <c r="W10" s="54">
        <f t="shared" si="7"/>
        <v>3.9584244444444447</v>
      </c>
      <c r="X10" s="54">
        <f t="shared" si="8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9"/>
        <v>0.88629999999999998</v>
      </c>
      <c r="U11" s="56">
        <f t="shared" si="6"/>
        <v>557.57600000000002</v>
      </c>
      <c r="V11" s="56">
        <f t="shared" si="10"/>
        <v>2.323233333333333</v>
      </c>
      <c r="W11" s="54">
        <f t="shared" si="7"/>
        <v>3.2095333333333329</v>
      </c>
      <c r="X11" s="54">
        <f t="shared" si="8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9"/>
        <v>0.31611366666666668</v>
      </c>
      <c r="U12" s="56">
        <f t="shared" si="6"/>
        <v>557.57600000000002</v>
      </c>
      <c r="V12" s="56">
        <f t="shared" si="10"/>
        <v>0.82861988888888882</v>
      </c>
      <c r="W12" s="54">
        <f t="shared" si="7"/>
        <v>1.1447335555555556</v>
      </c>
      <c r="X12" s="54">
        <f t="shared" si="8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9"/>
        <v>0.67358799999999996</v>
      </c>
      <c r="U13" s="371">
        <f t="shared" si="6"/>
        <v>557.57600000000002</v>
      </c>
      <c r="V13" s="371">
        <f t="shared" si="10"/>
        <v>1.7656573333333336</v>
      </c>
      <c r="W13" s="349">
        <f t="shared" si="7"/>
        <v>2.4392453333333335</v>
      </c>
      <c r="X13" s="349">
        <f t="shared" si="8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 t="shared" si="0"/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9"/>
        <v>0.34816818333333333</v>
      </c>
      <c r="U14" s="323">
        <f t="shared" si="6"/>
        <v>557.57600000000002</v>
      </c>
      <c r="V14" s="323">
        <f t="shared" si="10"/>
        <v>0.91264349444444448</v>
      </c>
      <c r="W14" s="90">
        <f t="shared" si="7"/>
        <v>1.2608116777777778</v>
      </c>
      <c r="X14" s="90">
        <f t="shared" si="8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12"/>
      <c r="F15" s="11"/>
      <c r="G15" s="229"/>
      <c r="H15" s="229"/>
      <c r="I15" s="13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429" t="s">
        <v>213</v>
      </c>
      <c r="C16" s="430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429" t="s">
        <v>214</v>
      </c>
      <c r="C17" s="430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429" t="s">
        <v>215</v>
      </c>
      <c r="C18" s="430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14" t="s">
        <v>118</v>
      </c>
      <c r="C26" s="1015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16" t="str">
        <f>D2</f>
        <v>TMR-050 SRC 18ch for Other Country</v>
      </c>
      <c r="AB31" s="1017"/>
      <c r="AC31" s="1017"/>
      <c r="AD31" s="1018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9" si="23">$Q$82</f>
        <v>226.36799999999997</v>
      </c>
      <c r="U32" s="92">
        <f t="shared" ref="U32:U37" si="24">P32*Q32/R32*(1+S32)*T32/3600</f>
        <v>0</v>
      </c>
      <c r="V32" s="92">
        <f>$R$82</f>
        <v>480.96</v>
      </c>
      <c r="W32" s="94">
        <f t="shared" ref="W32:W37" si="25">P32/R32*(1+S32)*V32/3600</f>
        <v>0</v>
      </c>
      <c r="X32" s="89">
        <f t="shared" ref="X32:X37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K48+K49+K50+K51+K52+K53+K55+K56+K57+K58+K59+K60+K61+K79+K80+K81+K82+K83</f>
        <v>118.45988880400002</v>
      </c>
      <c r="AI33" s="457">
        <f>AA47-AH33-AH37-AI37</f>
        <v>278.49527879596241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176.77547999999999</v>
      </c>
      <c r="AB34" s="118">
        <v>0</v>
      </c>
      <c r="AC34" s="119">
        <f>+K42</f>
        <v>6.7535999999999987</v>
      </c>
      <c r="AD34" s="119">
        <f>K39</f>
        <v>170.02187999999998</v>
      </c>
      <c r="AE34" s="115">
        <f t="shared" si="27"/>
        <v>176.77547999999999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2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2.246912</v>
      </c>
      <c r="V35" s="58">
        <v>0</v>
      </c>
      <c r="W35" s="95">
        <f>P35/R35*(1+S35)*V35/3600</f>
        <v>0</v>
      </c>
      <c r="X35" s="46">
        <f>U35+W35</f>
        <v>2.246912</v>
      </c>
      <c r="Z35" s="116" t="s">
        <v>59</v>
      </c>
      <c r="AA35" s="117">
        <f>K47+K63</f>
        <v>100.77895704600002</v>
      </c>
      <c r="AB35" s="118">
        <f>K47</f>
        <v>0</v>
      </c>
      <c r="AC35" s="119">
        <f>+K63</f>
        <v>100.77895704600002</v>
      </c>
      <c r="AD35" s="119">
        <f>+K47</f>
        <v>0</v>
      </c>
      <c r="AE35" s="115">
        <f t="shared" si="27"/>
        <v>100.77895704600002</v>
      </c>
      <c r="AF35" s="115">
        <f t="shared" si="28"/>
        <v>0</v>
      </c>
    </row>
    <row r="36" spans="1:35" ht="14.25" customHeight="1">
      <c r="A36" s="5"/>
      <c r="B36" s="443"/>
      <c r="C36" s="289" t="s">
        <v>174</v>
      </c>
      <c r="D36" s="291" t="s">
        <v>39</v>
      </c>
      <c r="E36" s="291" t="s">
        <v>88</v>
      </c>
      <c r="F36" s="291"/>
      <c r="G36" s="290">
        <v>1</v>
      </c>
      <c r="H36" s="291" t="s">
        <v>77</v>
      </c>
      <c r="I36" s="292">
        <v>5.0000000000000001E-3</v>
      </c>
      <c r="J36" s="417">
        <f>42.988</f>
        <v>42.988</v>
      </c>
      <c r="K36" s="46">
        <f t="shared" si="22"/>
        <v>43.202939999999998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K74+K87-AA33-AA38</f>
        <v>52.854393468813356</v>
      </c>
      <c r="AB36" s="118" t="e">
        <f>AA36-AC36-AD36</f>
        <v>#REF!</v>
      </c>
      <c r="AC36" s="119" t="e">
        <f>#REF!+#REF!</f>
        <v>#REF!</v>
      </c>
      <c r="AD36" s="119" t="e">
        <f>K87-#REF!-#REF!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398.4253098888513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65.526061059523812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339" t="s">
        <v>222</v>
      </c>
      <c r="O38" s="427"/>
      <c r="P38" s="428">
        <v>0</v>
      </c>
      <c r="Q38" s="428">
        <v>0</v>
      </c>
      <c r="R38" s="447">
        <v>0.9</v>
      </c>
      <c r="S38" s="447">
        <v>5.0000000000000001E-3</v>
      </c>
      <c r="T38" s="448">
        <f t="shared" si="23"/>
        <v>226.36799999999997</v>
      </c>
      <c r="U38" s="448">
        <f>P38*Q38/R38*(1+S38)*T38/3600</f>
        <v>0</v>
      </c>
      <c r="V38" s="448">
        <v>0</v>
      </c>
      <c r="W38" s="449">
        <f>P38/R38*(1+S38)*V38/3600</f>
        <v>0</v>
      </c>
      <c r="X38" s="420">
        <f>U38+W38</f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170.02187999999998</v>
      </c>
      <c r="L39" s="5"/>
      <c r="N39" s="339" t="s">
        <v>221</v>
      </c>
      <c r="O39" s="427"/>
      <c r="P39" s="428">
        <v>26</v>
      </c>
      <c r="Q39" s="428">
        <v>1</v>
      </c>
      <c r="R39" s="447">
        <v>0.9</v>
      </c>
      <c r="S39" s="447">
        <v>5.0000000000000001E-3</v>
      </c>
      <c r="T39" s="448">
        <f t="shared" si="23"/>
        <v>226.36799999999997</v>
      </c>
      <c r="U39" s="448">
        <f>P39*Q39/R39*(1+S39)*T39/3600</f>
        <v>1.8256159999999997</v>
      </c>
      <c r="V39" s="448">
        <v>0</v>
      </c>
      <c r="W39" s="449">
        <f>P39/R39*(1+S39)*V39/3600</f>
        <v>0</v>
      </c>
      <c r="X39" s="420">
        <f>U39+W39</f>
        <v>1.8256159999999997</v>
      </c>
      <c r="Z39" s="130" t="s">
        <v>57</v>
      </c>
      <c r="AA39" s="131">
        <f>+X61-AA34</f>
        <v>17.273135999999994</v>
      </c>
      <c r="AB39" s="128">
        <f>AA39</f>
        <v>17.273135999999994</v>
      </c>
      <c r="AC39" s="132"/>
      <c r="AD39" s="132"/>
      <c r="AE39" s="115">
        <f t="shared" si="27"/>
        <v>17.273135999999994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43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17.273135999999997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87.640946630158709</v>
      </c>
      <c r="AB42" s="137">
        <f>SUM(AB38:AB41)</f>
        <v>87.640946630158709</v>
      </c>
      <c r="AC42" s="138">
        <f>SUM(AC38:AC41)</f>
        <v>0</v>
      </c>
      <c r="AD42" s="138">
        <f>SUM(AD38:AD41)</f>
        <v>0</v>
      </c>
      <c r="AE42" s="115">
        <f t="shared" si="27"/>
        <v>87.640946630158709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194.04861599999998</v>
      </c>
      <c r="AB44" s="147">
        <f t="shared" si="29"/>
        <v>17.273135999999994</v>
      </c>
      <c r="AC44" s="148">
        <f t="shared" si="29"/>
        <v>6.7535999999999987</v>
      </c>
      <c r="AD44" s="148">
        <f t="shared" si="29"/>
        <v>170.02187999999998</v>
      </c>
      <c r="AE44" s="115">
        <f t="shared" si="27"/>
        <v>194.04861599999998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123.62064815711112</v>
      </c>
      <c r="AB45" s="147">
        <f t="shared" si="29"/>
        <v>22.841691111111103</v>
      </c>
      <c r="AC45" s="151">
        <f t="shared" si="29"/>
        <v>100.77895704600002</v>
      </c>
      <c r="AD45" s="151">
        <f t="shared" si="29"/>
        <v>0</v>
      </c>
      <c r="AE45" s="115">
        <f t="shared" si="27"/>
        <v>123.62064815711112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78.966475754527636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486.06625651901004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486.06625651901004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61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203</v>
      </c>
      <c r="D49" s="291" t="s">
        <v>145</v>
      </c>
      <c r="E49" s="331" t="s">
        <v>111</v>
      </c>
      <c r="F49" s="332"/>
      <c r="G49" s="290">
        <v>1</v>
      </c>
      <c r="H49" s="329" t="s">
        <v>140</v>
      </c>
      <c r="I49" s="330">
        <v>5.0000000000000001E-3</v>
      </c>
      <c r="J49" s="291">
        <f>4.5*(1+Q86/100)</f>
        <v>5.0400000000000009</v>
      </c>
      <c r="K49" s="288">
        <f t="shared" si="30"/>
        <v>5.0652000000000008</v>
      </c>
      <c r="L49" s="5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347" t="s">
        <v>204</v>
      </c>
      <c r="D50" s="291" t="s">
        <v>145</v>
      </c>
      <c r="E50" s="331" t="s">
        <v>111</v>
      </c>
      <c r="F50" s="332"/>
      <c r="G50" s="290">
        <v>2</v>
      </c>
      <c r="H50" s="329" t="s">
        <v>128</v>
      </c>
      <c r="I50" s="330">
        <v>5.0000000000000001E-3</v>
      </c>
      <c r="J50" s="291">
        <f>2.7*(1+Q86/100)</f>
        <v>3.0240000000000005</v>
      </c>
      <c r="K50" s="288">
        <f>G50*(1+I50)*J50</f>
        <v>6.0782400000000001</v>
      </c>
      <c r="L50" s="72"/>
    </row>
    <row r="51" spans="1:24" ht="14.25" customHeight="1" thickBot="1">
      <c r="A51" s="5"/>
      <c r="B51" s="444"/>
      <c r="C51" s="291" t="s">
        <v>205</v>
      </c>
      <c r="D51" s="291" t="s">
        <v>145</v>
      </c>
      <c r="E51" s="289" t="s">
        <v>111</v>
      </c>
      <c r="F51" s="291"/>
      <c r="G51" s="290">
        <v>2</v>
      </c>
      <c r="H51" s="291" t="s">
        <v>25</v>
      </c>
      <c r="I51" s="292">
        <v>5.0000000000000001E-3</v>
      </c>
      <c r="J51" s="291">
        <f>6.1*(1+Q86/100)</f>
        <v>6.8319999999999999</v>
      </c>
      <c r="K51" s="288">
        <f t="shared" si="30"/>
        <v>13.732319999999998</v>
      </c>
      <c r="L51" s="73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206</v>
      </c>
      <c r="D52" s="291" t="s">
        <v>145</v>
      </c>
      <c r="E52" s="289" t="s">
        <v>111</v>
      </c>
      <c r="F52" s="291"/>
      <c r="G52" s="290">
        <v>2</v>
      </c>
      <c r="H52" s="291" t="s">
        <v>25</v>
      </c>
      <c r="I52" s="292">
        <v>5.0000000000000001E-3</v>
      </c>
      <c r="J52" s="291">
        <f>6.1*(1+Q86/100)</f>
        <v>6.8319999999999999</v>
      </c>
      <c r="K52" s="288">
        <f>G52*(1+I52)*J52</f>
        <v>13.732319999999998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207</v>
      </c>
      <c r="D53" s="291" t="s">
        <v>145</v>
      </c>
      <c r="E53" s="289" t="s">
        <v>111</v>
      </c>
      <c r="F53" s="291"/>
      <c r="G53" s="290">
        <v>2</v>
      </c>
      <c r="H53" s="291" t="s">
        <v>25</v>
      </c>
      <c r="I53" s="292">
        <v>5.0000000000000001E-3</v>
      </c>
      <c r="J53" s="291">
        <f>2*(1+Q86/100)</f>
        <v>2.2400000000000002</v>
      </c>
      <c r="K53" s="288">
        <f t="shared" si="30"/>
        <v>4.5023999999999997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173</v>
      </c>
      <c r="D54" s="291" t="s">
        <v>185</v>
      </c>
      <c r="E54" s="289" t="s">
        <v>89</v>
      </c>
      <c r="F54" s="291"/>
      <c r="G54" s="290">
        <v>2</v>
      </c>
      <c r="H54" s="291" t="s">
        <v>25</v>
      </c>
      <c r="I54" s="292">
        <v>5.0000000000000001E-3</v>
      </c>
      <c r="J54" s="291">
        <v>5.25</v>
      </c>
      <c r="K54" s="288">
        <f t="shared" si="30"/>
        <v>10.552499999999998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153</v>
      </c>
      <c r="D55" s="291" t="s">
        <v>78</v>
      </c>
      <c r="E55" s="289" t="s">
        <v>111</v>
      </c>
      <c r="F55" s="291"/>
      <c r="G55" s="333">
        <v>0.28399999999999997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3.4792697999999991</v>
      </c>
      <c r="L55" s="5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154</v>
      </c>
      <c r="D56" s="291" t="s">
        <v>78</v>
      </c>
      <c r="E56" s="289" t="s">
        <v>111</v>
      </c>
      <c r="F56" s="291"/>
      <c r="G56" s="333">
        <v>0.28399999999999997</v>
      </c>
      <c r="H56" s="291" t="s">
        <v>67</v>
      </c>
      <c r="I56" s="292">
        <v>5.0000000000000001E-3</v>
      </c>
      <c r="J56" s="291">
        <v>12.19</v>
      </c>
      <c r="K56" s="288">
        <f t="shared" si="30"/>
        <v>3.4792697999999991</v>
      </c>
      <c r="L56" s="72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291" t="s">
        <v>155</v>
      </c>
      <c r="D57" s="291" t="s">
        <v>78</v>
      </c>
      <c r="E57" s="334" t="s">
        <v>111</v>
      </c>
      <c r="F57" s="291"/>
      <c r="G57" s="333">
        <v>0.30499999999999999</v>
      </c>
      <c r="H57" s="291" t="s">
        <v>67</v>
      </c>
      <c r="I57" s="292">
        <v>5.0000000000000001E-3</v>
      </c>
      <c r="J57" s="291">
        <v>12.19</v>
      </c>
      <c r="K57" s="288">
        <f t="shared" si="30"/>
        <v>3.736539749999999</v>
      </c>
      <c r="L57" s="73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156</v>
      </c>
      <c r="D58" s="335" t="s">
        <v>78</v>
      </c>
      <c r="E58" s="336" t="s">
        <v>111</v>
      </c>
      <c r="F58" s="335"/>
      <c r="G58" s="337">
        <v>0.30499999999999999</v>
      </c>
      <c r="H58" s="291" t="s">
        <v>67</v>
      </c>
      <c r="I58" s="292">
        <v>5.0000000000000001E-3</v>
      </c>
      <c r="J58" s="291">
        <v>12.19</v>
      </c>
      <c r="K58" s="288">
        <f t="shared" si="30"/>
        <v>3.736539749999999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>
      <c r="A59" s="5"/>
      <c r="B59" s="444"/>
      <c r="C59" s="291" t="s">
        <v>191</v>
      </c>
      <c r="D59" s="291" t="s">
        <v>145</v>
      </c>
      <c r="E59" s="289"/>
      <c r="F59" s="291"/>
      <c r="G59" s="290">
        <v>1</v>
      </c>
      <c r="H59" s="291" t="s">
        <v>140</v>
      </c>
      <c r="I59" s="292">
        <v>5.0000000000000001E-3</v>
      </c>
      <c r="J59" s="291">
        <f>2.5*(1+Q86/100)</f>
        <v>2.8000000000000003</v>
      </c>
      <c r="K59" s="288">
        <f>G59*(1+I59)*J59</f>
        <v>2.8140000000000001</v>
      </c>
      <c r="L59" s="5"/>
    </row>
    <row r="60" spans="1:24" ht="14.25" customHeight="1" thickBot="1">
      <c r="A60" s="5"/>
      <c r="B60" s="444"/>
      <c r="C60" s="335" t="s">
        <v>208</v>
      </c>
      <c r="D60" s="335" t="s">
        <v>145</v>
      </c>
      <c r="E60" s="336" t="s">
        <v>111</v>
      </c>
      <c r="F60" s="335"/>
      <c r="G60" s="337">
        <v>0.26950000000000002</v>
      </c>
      <c r="H60" s="291" t="s">
        <v>67</v>
      </c>
      <c r="I60" s="292">
        <v>5.0000000000000001E-3</v>
      </c>
      <c r="J60" s="342">
        <f>12.88*(1+Q86/100)</f>
        <v>14.425600000000003</v>
      </c>
      <c r="K60" s="288">
        <f>G60*(1+I60)*J60</f>
        <v>3.9071376960000004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194.04861599999998</v>
      </c>
    </row>
    <row r="61" spans="1:24" ht="14.25" customHeight="1" thickBot="1">
      <c r="A61" s="5"/>
      <c r="B61" s="444"/>
      <c r="C61" s="335" t="s">
        <v>166</v>
      </c>
      <c r="D61" s="335" t="s">
        <v>145</v>
      </c>
      <c r="E61" s="336"/>
      <c r="F61" s="335"/>
      <c r="G61" s="337">
        <f>0.38+0.32+0.31+0.045</f>
        <v>1.0549999999999999</v>
      </c>
      <c r="H61" s="329" t="s">
        <v>146</v>
      </c>
      <c r="I61" s="292">
        <v>5.0000000000000001E-3</v>
      </c>
      <c r="J61" s="398">
        <v>19.71</v>
      </c>
      <c r="K61" s="288">
        <f t="shared" si="30"/>
        <v>20.898020249999998</v>
      </c>
      <c r="L61" s="5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194.04861599999998</v>
      </c>
    </row>
    <row r="62" spans="1:24" ht="14.25" customHeight="1" thickBot="1">
      <c r="A62" s="5"/>
      <c r="B62" s="208"/>
      <c r="C62" s="238"/>
      <c r="D62" s="238"/>
      <c r="E62" s="238"/>
      <c r="F62" s="238"/>
      <c r="G62" s="238"/>
      <c r="H62" s="209"/>
      <c r="I62" s="181"/>
      <c r="J62" s="235"/>
      <c r="K62" s="197"/>
      <c r="L62" s="9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+K47+K63+X49</f>
        <v>123.62064815711112</v>
      </c>
    </row>
    <row r="63" spans="1:24" ht="14.25" customHeight="1" thickBot="1">
      <c r="A63" s="5"/>
      <c r="B63" s="104" t="s">
        <v>93</v>
      </c>
      <c r="C63" s="11"/>
      <c r="D63" s="11"/>
      <c r="E63" s="12"/>
      <c r="F63" s="11"/>
      <c r="G63" s="11"/>
      <c r="H63" s="11"/>
      <c r="I63" s="11"/>
      <c r="J63" s="236" t="s">
        <v>71</v>
      </c>
      <c r="K63" s="75">
        <f>+SUM(K48:K62)</f>
        <v>100.77895704600002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123.62064815711112</v>
      </c>
    </row>
    <row r="64" spans="1:24" ht="14.25" customHeight="1" thickBot="1">
      <c r="A64" s="5"/>
      <c r="B64" s="327"/>
      <c r="C64" s="18"/>
      <c r="D64" s="18"/>
      <c r="E64" s="19"/>
      <c r="F64" s="18"/>
      <c r="G64" s="18"/>
      <c r="H64" s="18"/>
      <c r="I64" s="18"/>
      <c r="J64" s="230"/>
      <c r="K64" s="345"/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+K74+K87+SUM(X53:X55)</f>
        <v>168.39699236189895</v>
      </c>
    </row>
    <row r="65" spans="1:29" ht="14.25" customHeight="1" thickBot="1">
      <c r="A65" s="5"/>
      <c r="B65" s="86" t="s">
        <v>147</v>
      </c>
      <c r="C65" s="18"/>
      <c r="D65" s="18"/>
      <c r="E65" s="19"/>
      <c r="F65" s="18"/>
      <c r="G65" s="18"/>
      <c r="H65" s="18"/>
      <c r="I65" s="18"/>
      <c r="J65" s="230"/>
      <c r="K65" s="346"/>
      <c r="L65" s="47"/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168.39699236189895</v>
      </c>
      <c r="AA65" s="161"/>
    </row>
    <row r="66" spans="1:29" ht="14.25" customHeight="1" thickTop="1" thickBot="1">
      <c r="A66" s="5"/>
      <c r="B66" s="68" t="s">
        <v>2</v>
      </c>
      <c r="C66" s="69"/>
      <c r="D66" s="67" t="s">
        <v>3</v>
      </c>
      <c r="E66" s="67" t="s">
        <v>4</v>
      </c>
      <c r="F66" s="70" t="s">
        <v>49</v>
      </c>
      <c r="G66" s="67" t="s">
        <v>23</v>
      </c>
      <c r="H66" s="67" t="s">
        <v>169</v>
      </c>
      <c r="I66" s="67" t="s">
        <v>8</v>
      </c>
      <c r="J66" s="250" t="s">
        <v>24</v>
      </c>
      <c r="K66" s="66" t="s">
        <v>50</v>
      </c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486.06625651901004</v>
      </c>
    </row>
    <row r="67" spans="1:29" s="464" customFormat="1" ht="14.25" customHeight="1" thickTop="1" thickBot="1">
      <c r="A67" s="451"/>
      <c r="B67" s="458" t="s">
        <v>51</v>
      </c>
      <c r="C67" s="459" t="str">
        <f t="shared" ref="C67:C73" si="31">B8</f>
        <v>TMR-050 Rotator</v>
      </c>
      <c r="D67" s="460" t="s">
        <v>39</v>
      </c>
      <c r="E67" s="460" t="str">
        <f>+E8</f>
        <v>-</v>
      </c>
      <c r="F67" s="460" t="s">
        <v>0</v>
      </c>
      <c r="G67" s="461">
        <v>1</v>
      </c>
      <c r="H67" s="460" t="s">
        <v>140</v>
      </c>
      <c r="I67" s="462">
        <v>0.01</v>
      </c>
      <c r="J67" s="460">
        <f t="shared" ref="J67:J73" si="32">+X8+X16</f>
        <v>23.560968414969786</v>
      </c>
      <c r="K67" s="463">
        <f t="shared" ref="K67:K73" si="33">G67*(1+I67)*J67</f>
        <v>23.796578099119483</v>
      </c>
      <c r="L67" s="451"/>
    </row>
    <row r="68" spans="1:29" s="464" customFormat="1" ht="14.25" customHeight="1" thickTop="1" thickBot="1">
      <c r="A68" s="451"/>
      <c r="B68" s="465"/>
      <c r="C68" s="459" t="str">
        <f t="shared" si="31"/>
        <v>TMR-050 Stator</v>
      </c>
      <c r="D68" s="460" t="s">
        <v>39</v>
      </c>
      <c r="E68" s="460" t="str">
        <f>+E9</f>
        <v>-</v>
      </c>
      <c r="F68" s="460" t="s">
        <v>0</v>
      </c>
      <c r="G68" s="461">
        <v>1</v>
      </c>
      <c r="H68" s="460" t="s">
        <v>140</v>
      </c>
      <c r="I68" s="462">
        <v>0.01</v>
      </c>
      <c r="J68" s="460">
        <f t="shared" si="32"/>
        <v>17.40217396457458</v>
      </c>
      <c r="K68" s="463">
        <f t="shared" si="33"/>
        <v>17.576195704220325</v>
      </c>
      <c r="L68" s="451"/>
      <c r="N68" s="466" t="s">
        <v>112</v>
      </c>
      <c r="O68" s="467"/>
      <c r="P68" s="468"/>
      <c r="Q68" s="469"/>
      <c r="R68" s="468"/>
      <c r="S68" s="470"/>
      <c r="T68" s="471"/>
      <c r="U68" s="468"/>
      <c r="V68" s="468"/>
      <c r="W68" s="468"/>
      <c r="X68" s="472"/>
    </row>
    <row r="69" spans="1:29" s="464" customFormat="1" ht="14.25" customHeight="1">
      <c r="A69" s="451"/>
      <c r="B69" s="465"/>
      <c r="C69" s="459" t="str">
        <f t="shared" si="31"/>
        <v>TMR-050 Substator</v>
      </c>
      <c r="D69" s="460" t="s">
        <v>39</v>
      </c>
      <c r="E69" s="460" t="str">
        <f>+E10</f>
        <v>-</v>
      </c>
      <c r="F69" s="460" t="s">
        <v>0</v>
      </c>
      <c r="G69" s="461">
        <v>1</v>
      </c>
      <c r="H69" s="460" t="s">
        <v>140</v>
      </c>
      <c r="I69" s="462">
        <v>0.01</v>
      </c>
      <c r="J69" s="460">
        <f t="shared" si="32"/>
        <v>24.668714651645743</v>
      </c>
      <c r="K69" s="463">
        <f t="shared" si="33"/>
        <v>24.9154017981622</v>
      </c>
      <c r="L69" s="450"/>
    </row>
    <row r="70" spans="1:29" s="464" customFormat="1" ht="14.25" customHeight="1">
      <c r="A70" s="451"/>
      <c r="B70" s="465"/>
      <c r="C70" s="473" t="str">
        <f t="shared" si="31"/>
        <v>TMR-051 Sleeve</v>
      </c>
      <c r="D70" s="460" t="s">
        <v>39</v>
      </c>
      <c r="E70" s="460" t="str">
        <f>+E11</f>
        <v>-</v>
      </c>
      <c r="F70" s="460"/>
      <c r="G70" s="461">
        <v>1</v>
      </c>
      <c r="H70" s="460" t="s">
        <v>140</v>
      </c>
      <c r="I70" s="462">
        <v>0.01</v>
      </c>
      <c r="J70" s="460">
        <f t="shared" si="32"/>
        <v>13.631657091610535</v>
      </c>
      <c r="K70" s="463">
        <f t="shared" si="33"/>
        <v>13.767973662526641</v>
      </c>
      <c r="L70" s="450"/>
      <c r="N70" s="451" t="s">
        <v>120</v>
      </c>
      <c r="O70" s="451"/>
      <c r="P70" s="451"/>
      <c r="Q70" s="451"/>
      <c r="R70" s="451"/>
      <c r="S70" s="474"/>
      <c r="T70" s="474"/>
      <c r="U70" s="474"/>
      <c r="V70" s="475"/>
      <c r="W70" s="475"/>
      <c r="X70" s="475"/>
    </row>
    <row r="71" spans="1:29" s="464" customFormat="1" ht="14.25" customHeight="1">
      <c r="A71" s="451"/>
      <c r="B71" s="476"/>
      <c r="C71" s="473" t="str">
        <f t="shared" si="31"/>
        <v>TMR-051 Mold Holder 1</v>
      </c>
      <c r="D71" s="460" t="s">
        <v>39</v>
      </c>
      <c r="E71" s="477" t="s">
        <v>180</v>
      </c>
      <c r="F71" s="477"/>
      <c r="G71" s="478">
        <v>1</v>
      </c>
      <c r="H71" s="460" t="s">
        <v>140</v>
      </c>
      <c r="I71" s="479">
        <v>0.01</v>
      </c>
      <c r="J71" s="480">
        <f t="shared" si="32"/>
        <v>2.6705489425955555</v>
      </c>
      <c r="K71" s="463">
        <f t="shared" si="33"/>
        <v>2.6972544320215111</v>
      </c>
      <c r="L71" s="450"/>
      <c r="N71" s="481"/>
      <c r="O71" s="482"/>
      <c r="P71" s="482"/>
      <c r="Q71" s="482"/>
      <c r="R71" s="482"/>
      <c r="S71" s="483" t="s">
        <v>131</v>
      </c>
      <c r="T71" s="484" t="s">
        <v>131</v>
      </c>
      <c r="U71" s="484" t="s">
        <v>131</v>
      </c>
      <c r="V71" s="484" t="s">
        <v>133</v>
      </c>
      <c r="W71" s="484" t="s">
        <v>135</v>
      </c>
      <c r="X71" s="485" t="s">
        <v>135</v>
      </c>
      <c r="Z71" s="474"/>
      <c r="AA71" s="474"/>
      <c r="AB71" s="474"/>
      <c r="AC71" s="486"/>
    </row>
    <row r="72" spans="1:29" s="464" customFormat="1" ht="14.25" customHeight="1">
      <c r="A72" s="451"/>
      <c r="B72" s="487"/>
      <c r="C72" s="488" t="str">
        <f t="shared" si="31"/>
        <v>TMR-034 Stator Housing 1</v>
      </c>
      <c r="D72" s="489" t="s">
        <v>39</v>
      </c>
      <c r="E72" s="487" t="s">
        <v>180</v>
      </c>
      <c r="F72" s="487"/>
      <c r="G72" s="490">
        <v>1</v>
      </c>
      <c r="H72" s="491" t="s">
        <v>140</v>
      </c>
      <c r="I72" s="492">
        <v>0.01</v>
      </c>
      <c r="J72" s="493">
        <f t="shared" si="32"/>
        <v>4.6757974133333331</v>
      </c>
      <c r="K72" s="494">
        <f t="shared" si="33"/>
        <v>4.7225553874666666</v>
      </c>
      <c r="L72" s="450"/>
      <c r="M72" s="97"/>
      <c r="N72" s="495"/>
      <c r="O72" s="496"/>
      <c r="P72" s="496"/>
      <c r="Q72" s="496"/>
      <c r="R72" s="496"/>
      <c r="S72" s="497" t="s">
        <v>130</v>
      </c>
      <c r="T72" s="498" t="s">
        <v>142</v>
      </c>
      <c r="U72" s="498" t="s">
        <v>132</v>
      </c>
      <c r="V72" s="499" t="s">
        <v>134</v>
      </c>
      <c r="W72" s="498" t="s">
        <v>136</v>
      </c>
      <c r="X72" s="500" t="s">
        <v>186</v>
      </c>
    </row>
    <row r="73" spans="1:29" s="464" customFormat="1" ht="14.25" customHeight="1">
      <c r="A73" s="451"/>
      <c r="B73" s="501"/>
      <c r="C73" s="502" t="str">
        <f t="shared" si="31"/>
        <v>TMR-051 Interlock Plate</v>
      </c>
      <c r="D73" s="503" t="s">
        <v>39</v>
      </c>
      <c r="E73" s="501" t="s">
        <v>180</v>
      </c>
      <c r="F73" s="501"/>
      <c r="G73" s="504">
        <v>1</v>
      </c>
      <c r="H73" s="505" t="s">
        <v>140</v>
      </c>
      <c r="I73" s="506">
        <v>0.01</v>
      </c>
      <c r="J73" s="507">
        <f t="shared" si="32"/>
        <v>2.8206561286417777</v>
      </c>
      <c r="K73" s="508">
        <f t="shared" si="33"/>
        <v>2.8488626899281955</v>
      </c>
      <c r="L73" s="450"/>
      <c r="M73" s="97"/>
      <c r="N73" s="481" t="s">
        <v>137</v>
      </c>
      <c r="O73" s="482"/>
      <c r="P73" s="482"/>
      <c r="Q73" s="482"/>
      <c r="R73" s="482"/>
      <c r="S73" s="509">
        <v>52</v>
      </c>
      <c r="T73" s="510">
        <v>52</v>
      </c>
      <c r="U73" s="510">
        <v>52</v>
      </c>
      <c r="V73" s="510">
        <v>52</v>
      </c>
      <c r="W73" s="510">
        <v>52</v>
      </c>
      <c r="X73" s="511">
        <v>52</v>
      </c>
    </row>
    <row r="74" spans="1:29" s="464" customFormat="1" ht="14.25" customHeight="1" thickBot="1">
      <c r="A74" s="451"/>
      <c r="B74" s="512" t="s">
        <v>110</v>
      </c>
      <c r="C74" s="513"/>
      <c r="D74" s="514"/>
      <c r="E74" s="515"/>
      <c r="F74" s="516"/>
      <c r="G74" s="516"/>
      <c r="H74" s="516"/>
      <c r="I74" s="517"/>
      <c r="J74" s="518" t="s">
        <v>72</v>
      </c>
      <c r="K74" s="519">
        <f>SUM(K67:K73)</f>
        <v>90.324821773445038</v>
      </c>
      <c r="L74" s="450" t="s">
        <v>184</v>
      </c>
      <c r="M74" s="97"/>
      <c r="N74" s="520" t="s">
        <v>172</v>
      </c>
      <c r="O74" s="521"/>
      <c r="P74" s="521"/>
      <c r="Q74" s="521"/>
      <c r="R74" s="521"/>
      <c r="S74" s="522">
        <f>1.98*K3</f>
        <v>237.6</v>
      </c>
      <c r="T74" s="523">
        <v>345.5</v>
      </c>
      <c r="U74" s="523">
        <f>4.63*K3</f>
        <v>555.6</v>
      </c>
      <c r="V74" s="523">
        <f>3.03*K3</f>
        <v>363.59999999999997</v>
      </c>
      <c r="W74" s="524">
        <f>650*1.1</f>
        <v>715.00000000000011</v>
      </c>
      <c r="X74" s="525">
        <f>465*1.1</f>
        <v>511.50000000000006</v>
      </c>
    </row>
    <row r="75" spans="1:29" s="464" customFormat="1" ht="14.25" customHeight="1">
      <c r="A75" s="451"/>
      <c r="B75" s="526" t="s">
        <v>139</v>
      </c>
      <c r="C75" s="460" t="s">
        <v>209</v>
      </c>
      <c r="D75" s="460" t="s">
        <v>170</v>
      </c>
      <c r="E75" s="460" t="s">
        <v>111</v>
      </c>
      <c r="F75" s="527">
        <f>0.0478*1.5</f>
        <v>7.17E-2</v>
      </c>
      <c r="G75" s="461">
        <v>1</v>
      </c>
      <c r="H75" s="460" t="s">
        <v>140</v>
      </c>
      <c r="I75" s="462">
        <v>0.01</v>
      </c>
      <c r="J75" s="528">
        <f>F75*K3</f>
        <v>8.6039999999999992</v>
      </c>
      <c r="K75" s="463">
        <f t="shared" ref="K75:K85" si="34">G75*(1+I75)*J75</f>
        <v>8.6900399999999998</v>
      </c>
      <c r="L75" s="529" t="s">
        <v>182</v>
      </c>
      <c r="M75" s="97"/>
      <c r="N75" s="520" t="s">
        <v>138</v>
      </c>
      <c r="O75" s="521"/>
      <c r="P75" s="521"/>
      <c r="Q75" s="521"/>
      <c r="R75" s="521"/>
      <c r="S75" s="530">
        <v>0.15</v>
      </c>
      <c r="T75" s="531">
        <v>0</v>
      </c>
      <c r="U75" s="532">
        <v>0</v>
      </c>
      <c r="V75" s="531">
        <v>0.2</v>
      </c>
      <c r="W75" s="531">
        <v>0.1</v>
      </c>
      <c r="X75" s="533">
        <v>0.1</v>
      </c>
    </row>
    <row r="76" spans="1:29" s="464" customFormat="1" ht="14.25" customHeight="1">
      <c r="A76" s="451"/>
      <c r="B76" s="534"/>
      <c r="C76" s="460" t="s">
        <v>167</v>
      </c>
      <c r="D76" s="460" t="s">
        <v>116</v>
      </c>
      <c r="E76" s="460" t="s">
        <v>111</v>
      </c>
      <c r="F76" s="527">
        <f>0.0319</f>
        <v>3.1899999999999998E-2</v>
      </c>
      <c r="G76" s="461">
        <v>2</v>
      </c>
      <c r="H76" s="460" t="s">
        <v>25</v>
      </c>
      <c r="I76" s="462">
        <v>0.01</v>
      </c>
      <c r="J76" s="528">
        <f>F76*$K$3</f>
        <v>3.8279999999999998</v>
      </c>
      <c r="K76" s="463">
        <f t="shared" si="34"/>
        <v>7.7325599999999994</v>
      </c>
      <c r="L76" s="450"/>
      <c r="N76" s="1033" t="s">
        <v>171</v>
      </c>
      <c r="O76" s="1034"/>
      <c r="P76" s="1034"/>
      <c r="Q76" s="1034"/>
      <c r="R76" s="1035"/>
      <c r="S76" s="535">
        <f t="shared" ref="S76:X76" si="35">S73*S75+S74*(1-S75)</f>
        <v>209.76</v>
      </c>
      <c r="T76" s="536">
        <f t="shared" si="35"/>
        <v>345.5</v>
      </c>
      <c r="U76" s="536">
        <f t="shared" si="35"/>
        <v>555.6</v>
      </c>
      <c r="V76" s="536">
        <f t="shared" si="35"/>
        <v>301.27999999999997</v>
      </c>
      <c r="W76" s="536">
        <f t="shared" si="35"/>
        <v>648.70000000000016</v>
      </c>
      <c r="X76" s="537">
        <f t="shared" si="35"/>
        <v>465.55000000000007</v>
      </c>
    </row>
    <row r="77" spans="1:29" s="464" customFormat="1" ht="14.25" customHeight="1">
      <c r="A77" s="451"/>
      <c r="B77" s="534"/>
      <c r="C77" s="460" t="s">
        <v>228</v>
      </c>
      <c r="D77" s="460" t="s">
        <v>80</v>
      </c>
      <c r="E77" s="460" t="s">
        <v>111</v>
      </c>
      <c r="F77" s="538"/>
      <c r="G77" s="461">
        <v>1</v>
      </c>
      <c r="H77" s="460" t="s">
        <v>140</v>
      </c>
      <c r="I77" s="462">
        <v>0.01</v>
      </c>
      <c r="J77" s="528">
        <v>1.78</v>
      </c>
      <c r="K77" s="463">
        <f t="shared" si="34"/>
        <v>1.7978000000000001</v>
      </c>
      <c r="L77" s="464" t="s">
        <v>183</v>
      </c>
    </row>
    <row r="78" spans="1:29" s="464" customFormat="1" ht="14.25" customHeight="1">
      <c r="A78" s="451"/>
      <c r="B78" s="534"/>
      <c r="C78" s="539" t="s">
        <v>178</v>
      </c>
      <c r="D78" s="477" t="s">
        <v>80</v>
      </c>
      <c r="E78" s="540" t="s">
        <v>81</v>
      </c>
      <c r="F78" s="538"/>
      <c r="G78" s="478">
        <v>1</v>
      </c>
      <c r="H78" s="477" t="s">
        <v>140</v>
      </c>
      <c r="I78" s="479">
        <v>0.01</v>
      </c>
      <c r="J78" s="528">
        <v>0.25</v>
      </c>
      <c r="K78" s="463">
        <f t="shared" si="34"/>
        <v>0.2525</v>
      </c>
      <c r="L78" s="464" t="s">
        <v>183</v>
      </c>
      <c r="N78" s="451" t="s">
        <v>162</v>
      </c>
    </row>
    <row r="79" spans="1:29" s="464" customFormat="1" ht="14.25" customHeight="1">
      <c r="A79" s="451"/>
      <c r="B79" s="534"/>
      <c r="C79" s="541" t="s">
        <v>168</v>
      </c>
      <c r="D79" s="542" t="s">
        <v>145</v>
      </c>
      <c r="E79" s="540" t="s">
        <v>111</v>
      </c>
      <c r="F79" s="543"/>
      <c r="G79" s="544">
        <v>1</v>
      </c>
      <c r="H79" s="542" t="s">
        <v>140</v>
      </c>
      <c r="I79" s="545">
        <v>0.03</v>
      </c>
      <c r="J79" s="528">
        <v>5.38</v>
      </c>
      <c r="K79" s="463">
        <f t="shared" si="34"/>
        <v>5.5414000000000003</v>
      </c>
      <c r="N79" s="546"/>
      <c r="O79" s="547"/>
      <c r="P79" s="548"/>
      <c r="Q79" s="549" t="s">
        <v>121</v>
      </c>
      <c r="R79" s="550" t="s">
        <v>122</v>
      </c>
    </row>
    <row r="80" spans="1:29" s="464" customFormat="1" ht="14.25" customHeight="1">
      <c r="A80" s="451"/>
      <c r="B80" s="534"/>
      <c r="C80" s="542" t="s">
        <v>179</v>
      </c>
      <c r="D80" s="477" t="s">
        <v>145</v>
      </c>
      <c r="E80" s="540" t="s">
        <v>111</v>
      </c>
      <c r="F80" s="538"/>
      <c r="G80" s="478">
        <v>1</v>
      </c>
      <c r="H80" s="542" t="s">
        <v>140</v>
      </c>
      <c r="I80" s="545">
        <v>0.03</v>
      </c>
      <c r="J80" s="528">
        <v>1.2</v>
      </c>
      <c r="K80" s="463">
        <f t="shared" si="34"/>
        <v>1.236</v>
      </c>
      <c r="N80" s="551" t="s">
        <v>124</v>
      </c>
      <c r="O80" s="552"/>
      <c r="P80" s="552"/>
      <c r="Q80" s="553">
        <f>177.26*1.2</f>
        <v>212.71199999999999</v>
      </c>
      <c r="R80" s="554">
        <f>422.98*1.2+50</f>
        <v>557.57600000000002</v>
      </c>
    </row>
    <row r="81" spans="1:23" s="464" customFormat="1" ht="14.25" customHeight="1">
      <c r="A81" s="451"/>
      <c r="B81" s="534"/>
      <c r="C81" s="542" t="s">
        <v>190</v>
      </c>
      <c r="D81" s="477" t="s">
        <v>145</v>
      </c>
      <c r="E81" s="540" t="s">
        <v>111</v>
      </c>
      <c r="F81" s="538"/>
      <c r="G81" s="461">
        <v>1</v>
      </c>
      <c r="H81" s="542" t="s">
        <v>140</v>
      </c>
      <c r="I81" s="479">
        <v>0.01</v>
      </c>
      <c r="J81" s="528">
        <f>9*(1+Q86/100)</f>
        <v>10.080000000000002</v>
      </c>
      <c r="K81" s="463">
        <f t="shared" si="34"/>
        <v>10.180800000000001</v>
      </c>
      <c r="M81" s="451"/>
      <c r="N81" s="520" t="s">
        <v>125</v>
      </c>
      <c r="O81" s="521"/>
      <c r="P81" s="521"/>
      <c r="Q81" s="555">
        <f>116.02*1.2</f>
        <v>139.22399999999999</v>
      </c>
      <c r="R81" s="556">
        <f>10.36*1.2</f>
        <v>12.431999999999999</v>
      </c>
    </row>
    <row r="82" spans="1:23" s="464" customFormat="1" ht="14.25" customHeight="1">
      <c r="A82" s="451"/>
      <c r="B82" s="534"/>
      <c r="C82" s="542" t="s">
        <v>210</v>
      </c>
      <c r="D82" s="477" t="s">
        <v>145</v>
      </c>
      <c r="E82" s="540" t="s">
        <v>111</v>
      </c>
      <c r="F82" s="538"/>
      <c r="G82" s="461">
        <v>2</v>
      </c>
      <c r="H82" s="542" t="s">
        <v>128</v>
      </c>
      <c r="I82" s="479">
        <v>0.01</v>
      </c>
      <c r="J82" s="528">
        <f>1.5*(1+Q86/100)</f>
        <v>1.6800000000000002</v>
      </c>
      <c r="K82" s="463">
        <f t="shared" si="34"/>
        <v>3.3936000000000002</v>
      </c>
      <c r="M82" s="451"/>
      <c r="N82" s="520" t="s">
        <v>160</v>
      </c>
      <c r="O82" s="521"/>
      <c r="P82" s="521"/>
      <c r="Q82" s="555">
        <f>188.64*1.2</f>
        <v>226.36799999999997</v>
      </c>
      <c r="R82" s="556">
        <f>400.8*1.2</f>
        <v>480.96</v>
      </c>
    </row>
    <row r="83" spans="1:23" s="464" customFormat="1" ht="14.25" customHeight="1">
      <c r="A83" s="451"/>
      <c r="B83" s="534"/>
      <c r="C83" s="557" t="s">
        <v>177</v>
      </c>
      <c r="D83" s="477" t="s">
        <v>78</v>
      </c>
      <c r="E83" s="477" t="s">
        <v>90</v>
      </c>
      <c r="F83" s="538"/>
      <c r="G83" s="478">
        <f>1.85+0.06+0.09</f>
        <v>2</v>
      </c>
      <c r="H83" s="477" t="s">
        <v>73</v>
      </c>
      <c r="I83" s="462">
        <v>0.01</v>
      </c>
      <c r="J83" s="558">
        <f>55739.97/(16*10^3)*(1+Q86/100)</f>
        <v>3.9017979000000005</v>
      </c>
      <c r="K83" s="463">
        <f t="shared" si="34"/>
        <v>7.881631758000001</v>
      </c>
      <c r="M83" s="451"/>
      <c r="N83" s="520" t="s">
        <v>127</v>
      </c>
      <c r="O83" s="521"/>
      <c r="P83" s="521"/>
      <c r="Q83" s="555">
        <f>253.79*1.2</f>
        <v>304.548</v>
      </c>
      <c r="R83" s="556">
        <f>651.6*1.2</f>
        <v>781.92</v>
      </c>
    </row>
    <row r="84" spans="1:23" s="464" customFormat="1" ht="14.25" customHeight="1">
      <c r="A84" s="451"/>
      <c r="B84" s="534"/>
      <c r="C84" s="559" t="s">
        <v>74</v>
      </c>
      <c r="D84" s="491" t="s">
        <v>91</v>
      </c>
      <c r="E84" s="540" t="s">
        <v>41</v>
      </c>
      <c r="F84" s="540"/>
      <c r="G84" s="560">
        <v>1E-4</v>
      </c>
      <c r="H84" s="491" t="s">
        <v>129</v>
      </c>
      <c r="I84" s="479">
        <v>0.01</v>
      </c>
      <c r="J84" s="528">
        <f>380/0.53</f>
        <v>716.98113207547169</v>
      </c>
      <c r="K84" s="561">
        <f t="shared" si="34"/>
        <v>7.2415094339622649E-2</v>
      </c>
      <c r="M84" s="451"/>
      <c r="N84" s="562" t="s">
        <v>126</v>
      </c>
      <c r="O84" s="563"/>
      <c r="P84" s="563"/>
      <c r="Q84" s="564">
        <f>188.64*1.2</f>
        <v>226.36799999999997</v>
      </c>
      <c r="R84" s="565">
        <f>400.8*1.2</f>
        <v>480.96</v>
      </c>
      <c r="S84" s="464" t="s">
        <v>123</v>
      </c>
    </row>
    <row r="85" spans="1:23" s="464" customFormat="1" ht="14.25" customHeight="1">
      <c r="A85" s="451"/>
      <c r="B85" s="534"/>
      <c r="C85" s="566" t="s">
        <v>220</v>
      </c>
      <c r="D85" s="567" t="s">
        <v>111</v>
      </c>
      <c r="E85" s="568" t="s">
        <v>111</v>
      </c>
      <c r="F85" s="568"/>
      <c r="G85" s="569">
        <f>1.53*1.14</f>
        <v>1.7442</v>
      </c>
      <c r="H85" s="567" t="s">
        <v>146</v>
      </c>
      <c r="I85" s="570">
        <v>0.01</v>
      </c>
      <c r="J85" s="571">
        <f>2.58*1.14</f>
        <v>2.9411999999999998</v>
      </c>
      <c r="K85" s="572">
        <f t="shared" si="34"/>
        <v>5.1813414503999997</v>
      </c>
      <c r="M85" s="451"/>
    </row>
    <row r="86" spans="1:23" s="464" customFormat="1" ht="14.25" customHeight="1" thickBot="1">
      <c r="A86" s="451"/>
      <c r="B86" s="573"/>
      <c r="C86" s="573"/>
      <c r="D86" s="574"/>
      <c r="E86" s="575"/>
      <c r="F86" s="576"/>
      <c r="G86" s="577"/>
      <c r="H86" s="574"/>
      <c r="I86" s="578"/>
      <c r="J86" s="579"/>
      <c r="K86" s="561"/>
      <c r="M86" s="451"/>
      <c r="N86" s="450" t="s">
        <v>211</v>
      </c>
      <c r="O86" s="529"/>
      <c r="P86" s="529"/>
      <c r="Q86" s="580">
        <v>12</v>
      </c>
      <c r="R86" s="581" t="s">
        <v>212</v>
      </c>
      <c r="T86" s="529"/>
      <c r="U86" s="529"/>
      <c r="V86" s="529"/>
      <c r="W86" s="529"/>
    </row>
    <row r="87" spans="1:23" ht="14.25" customHeight="1" thickBot="1">
      <c r="B87" s="104" t="s">
        <v>93</v>
      </c>
      <c r="C87" s="11"/>
      <c r="D87" s="11"/>
      <c r="E87" s="12"/>
      <c r="F87" s="11"/>
      <c r="G87" s="11"/>
      <c r="H87" s="11"/>
      <c r="I87" s="11"/>
      <c r="J87" s="237" t="s">
        <v>75</v>
      </c>
      <c r="K87" s="75">
        <f>SUM(K75:K86)</f>
        <v>51.960088302739628</v>
      </c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B90" s="5"/>
      <c r="C90" s="158"/>
      <c r="D90" s="47"/>
      <c r="E90" s="77"/>
      <c r="F90" s="158"/>
      <c r="G90" s="47"/>
      <c r="H90" s="47"/>
      <c r="I90" s="158"/>
      <c r="J90" s="47"/>
      <c r="K90" s="47"/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96"/>
  <sheetViews>
    <sheetView showGridLines="0" zoomScale="50" zoomScaleNormal="5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5" width="10.625" style="98" customWidth="1"/>
    <col min="36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22" t="s">
        <v>43</v>
      </c>
      <c r="C2" s="1023"/>
      <c r="D2" s="1024" t="s">
        <v>225</v>
      </c>
      <c r="E2" s="1025"/>
      <c r="F2" s="1025"/>
      <c r="G2" s="1026"/>
      <c r="H2" s="158"/>
      <c r="I2" s="47"/>
      <c r="J2" s="220" t="s">
        <v>113</v>
      </c>
      <c r="K2" s="421">
        <v>37940</v>
      </c>
      <c r="L2" s="223" t="s">
        <v>161</v>
      </c>
      <c r="M2" s="220"/>
      <c r="Q2" s="295"/>
      <c r="R2" s="440" t="s">
        <v>218</v>
      </c>
      <c r="U2" s="5"/>
      <c r="V2" s="5"/>
      <c r="X2" s="100"/>
    </row>
    <row r="3" spans="1:25" ht="18">
      <c r="B3" s="1022" t="s">
        <v>79</v>
      </c>
      <c r="C3" s="1023"/>
      <c r="D3" s="1027"/>
      <c r="E3" s="1028"/>
      <c r="F3" s="1028"/>
      <c r="G3" s="1029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22" t="s">
        <v>44</v>
      </c>
      <c r="C4" s="1023"/>
      <c r="D4" s="1027"/>
      <c r="E4" s="1028"/>
      <c r="F4" s="1028"/>
      <c r="G4" s="1029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14" t="s">
        <v>118</v>
      </c>
      <c r="C7" s="1015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247" t="s">
        <v>213</v>
      </c>
      <c r="C8" s="217"/>
      <c r="D8" s="246" t="s">
        <v>187</v>
      </c>
      <c r="E8" s="276" t="s">
        <v>111</v>
      </c>
      <c r="F8" s="240">
        <v>2</v>
      </c>
      <c r="G8" s="248">
        <f>22.982*0.9*1.39</f>
        <v>28.750482000000002</v>
      </c>
      <c r="H8" s="248">
        <f>11.22</f>
        <v>11.22</v>
      </c>
      <c r="I8" s="254">
        <v>0.01</v>
      </c>
      <c r="J8" s="55">
        <f t="shared" ref="J8:J13" si="0">(G8+(H8/F8))*(1+I8)</f>
        <v>34.704086820000008</v>
      </c>
      <c r="K8" s="240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 t="shared" ref="T8:T14" si="6">R8*S8/3600/F8</f>
        <v>1.1817333333333333</v>
      </c>
      <c r="U8" s="56">
        <f t="shared" ref="U8:U14" si="7">$R$80</f>
        <v>557.57600000000002</v>
      </c>
      <c r="V8" s="56">
        <f t="shared" ref="V8:V14" si="8">R8*U8/3600/F8</f>
        <v>3.0976444444444446</v>
      </c>
      <c r="W8" s="54">
        <f t="shared" ref="W8:W14" si="9">T8+V8</f>
        <v>4.2793777777777784</v>
      </c>
      <c r="X8" s="54">
        <f t="shared" ref="X8:X14" si="10">Q8+W8</f>
        <v>23.560968414969786</v>
      </c>
    </row>
    <row r="9" spans="1:25" s="103" customFormat="1" ht="14.25" customHeight="1">
      <c r="A9" s="5"/>
      <c r="B9" s="247" t="s">
        <v>214</v>
      </c>
      <c r="C9" s="217"/>
      <c r="D9" s="367" t="s">
        <v>197</v>
      </c>
      <c r="E9" s="276" t="s">
        <v>111</v>
      </c>
      <c r="F9" s="240">
        <v>2</v>
      </c>
      <c r="G9" s="248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240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si="6"/>
        <v>1.1817333333333333</v>
      </c>
      <c r="U9" s="56">
        <f t="shared" si="7"/>
        <v>557.57600000000002</v>
      </c>
      <c r="V9" s="56">
        <f t="shared" si="8"/>
        <v>3.0976444444444446</v>
      </c>
      <c r="W9" s="54">
        <f t="shared" si="9"/>
        <v>4.2793777777777784</v>
      </c>
      <c r="X9" s="54">
        <f t="shared" si="10"/>
        <v>17.40217396457458</v>
      </c>
    </row>
    <row r="10" spans="1:25" s="103" customFormat="1" ht="14.25" customHeight="1">
      <c r="A10" s="5"/>
      <c r="B10" s="247" t="s">
        <v>215</v>
      </c>
      <c r="C10" s="217"/>
      <c r="D10" s="246" t="s">
        <v>198</v>
      </c>
      <c r="E10" s="276" t="s">
        <v>111</v>
      </c>
      <c r="F10" s="240">
        <v>2</v>
      </c>
      <c r="G10" s="248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240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6"/>
        <v>1.0931033333333333</v>
      </c>
      <c r="U10" s="56">
        <f t="shared" si="7"/>
        <v>557.57600000000002</v>
      </c>
      <c r="V10" s="56">
        <f t="shared" si="8"/>
        <v>2.8653211111111112</v>
      </c>
      <c r="W10" s="54">
        <f t="shared" si="9"/>
        <v>3.9584244444444447</v>
      </c>
      <c r="X10" s="54">
        <f t="shared" si="10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6"/>
        <v>0.88629999999999998</v>
      </c>
      <c r="U11" s="56">
        <f t="shared" si="7"/>
        <v>557.57600000000002</v>
      </c>
      <c r="V11" s="56">
        <f t="shared" si="8"/>
        <v>2.323233333333333</v>
      </c>
      <c r="W11" s="54">
        <f t="shared" si="9"/>
        <v>3.2095333333333329</v>
      </c>
      <c r="X11" s="54">
        <f t="shared" si="10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6"/>
        <v>0.31611366666666668</v>
      </c>
      <c r="U12" s="56">
        <f t="shared" si="7"/>
        <v>557.57600000000002</v>
      </c>
      <c r="V12" s="56">
        <f t="shared" si="8"/>
        <v>0.82861988888888882</v>
      </c>
      <c r="W12" s="54">
        <f t="shared" si="9"/>
        <v>1.1447335555555556</v>
      </c>
      <c r="X12" s="54">
        <f t="shared" si="10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6"/>
        <v>0.67358799999999996</v>
      </c>
      <c r="U13" s="371">
        <f t="shared" si="7"/>
        <v>557.57600000000002</v>
      </c>
      <c r="V13" s="371">
        <f t="shared" si="8"/>
        <v>1.7656573333333336</v>
      </c>
      <c r="W13" s="349">
        <f t="shared" si="9"/>
        <v>2.4392453333333335</v>
      </c>
      <c r="X13" s="349">
        <f t="shared" si="10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>(G14+(H14/F14))*(1+I14)</f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6"/>
        <v>0.34816818333333333</v>
      </c>
      <c r="U14" s="323">
        <f t="shared" si="7"/>
        <v>557.57600000000002</v>
      </c>
      <c r="V14" s="323">
        <f t="shared" si="8"/>
        <v>0.91264349444444448</v>
      </c>
      <c r="W14" s="90">
        <f t="shared" si="9"/>
        <v>1.2608116777777778</v>
      </c>
      <c r="X14" s="90">
        <f t="shared" si="10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446"/>
      <c r="F15" s="229"/>
      <c r="G15" s="229"/>
      <c r="H15" s="229"/>
      <c r="I15" s="82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247" t="s">
        <v>213</v>
      </c>
      <c r="C16" s="217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247" t="s">
        <v>214</v>
      </c>
      <c r="C17" s="217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247" t="s">
        <v>215</v>
      </c>
      <c r="C18" s="217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14" t="s">
        <v>118</v>
      </c>
      <c r="C26" s="1015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16" t="str">
        <f>D2</f>
        <v>TMR-050 SRC 16ch for Other Country</v>
      </c>
      <c r="AB31" s="1017"/>
      <c r="AC31" s="1017"/>
      <c r="AD31" s="1018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7" si="23">$Q$82</f>
        <v>226.36799999999997</v>
      </c>
      <c r="U32" s="92">
        <f t="shared" ref="U32:U39" si="24">P32*Q32/R32*(1+S32)*T32/3600</f>
        <v>0</v>
      </c>
      <c r="V32" s="92">
        <f>$R$82</f>
        <v>480.96</v>
      </c>
      <c r="W32" s="94">
        <f t="shared" ref="W32:W39" si="25">P32/R32*(1+S32)*V32/3600</f>
        <v>0</v>
      </c>
      <c r="X32" s="89">
        <f t="shared" ref="X32:X39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K48+K49+K50+K51+K52+K54+K55+K56+K57+K58+K76+K77+K78+K79+K80</f>
        <v>80.223246754000002</v>
      </c>
      <c r="AI33" s="457">
        <f>AA47-AH33-AH37-AI37</f>
        <v>244.13729879596238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151.56002999999998</v>
      </c>
      <c r="AB34" s="118">
        <v>0</v>
      </c>
      <c r="AC34" s="119">
        <f>+K42</f>
        <v>6.7535999999999987</v>
      </c>
      <c r="AD34" s="119">
        <f>K39</f>
        <v>144.80642999999998</v>
      </c>
      <c r="AE34" s="115">
        <f t="shared" si="27"/>
        <v>151.56002999999998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0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0</v>
      </c>
      <c r="V35" s="58">
        <v>0</v>
      </c>
      <c r="W35" s="95">
        <f>P35/R35*(1+S35)*V35/3600</f>
        <v>0</v>
      </c>
      <c r="X35" s="46">
        <f>U35+W35</f>
        <v>0</v>
      </c>
      <c r="Z35" s="116" t="s">
        <v>59</v>
      </c>
      <c r="AA35" s="117">
        <f>K47+K60</f>
        <v>57.266064995999997</v>
      </c>
      <c r="AB35" s="118">
        <f>K47</f>
        <v>0</v>
      </c>
      <c r="AC35" s="119">
        <f>+K60</f>
        <v>57.266064995999997</v>
      </c>
      <c r="AD35" s="119">
        <f>+K47</f>
        <v>0</v>
      </c>
      <c r="AE35" s="115">
        <f t="shared" si="27"/>
        <v>57.266064995999997</v>
      </c>
      <c r="AF35" s="115">
        <f t="shared" si="28"/>
        <v>0</v>
      </c>
    </row>
    <row r="36" spans="1:35" ht="14.25" customHeight="1">
      <c r="A36" s="5"/>
      <c r="B36" s="443"/>
      <c r="C36" s="419" t="s">
        <v>223</v>
      </c>
      <c r="D36" s="291" t="s">
        <v>39</v>
      </c>
      <c r="E36" s="424" t="s">
        <v>111</v>
      </c>
      <c r="F36" s="291"/>
      <c r="G36" s="290">
        <v>1</v>
      </c>
      <c r="H36" s="291" t="s">
        <v>77</v>
      </c>
      <c r="I36" s="292">
        <v>5.0000000000000001E-3</v>
      </c>
      <c r="J36" s="338">
        <f>17.898</f>
        <v>17.898</v>
      </c>
      <c r="K36" s="46">
        <f t="shared" si="22"/>
        <v>17.987489999999998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K71+K84-AA33-AA38</f>
        <v>48.988113468813339</v>
      </c>
      <c r="AB36" s="118" t="e">
        <f>AA36-AC36-AD36</f>
        <v>#REF!</v>
      </c>
      <c r="AC36" s="119" t="e">
        <f>#REF!+#REF!</f>
        <v>#REF!</v>
      </c>
      <c r="AD36" s="119" t="e">
        <f>K84-#REF!-#REF!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325.8306878388513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63.169015948412692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257" t="s">
        <v>222</v>
      </c>
      <c r="O38" s="59"/>
      <c r="P38" s="239">
        <v>0</v>
      </c>
      <c r="Q38" s="239">
        <v>1</v>
      </c>
      <c r="R38" s="256">
        <v>0.9</v>
      </c>
      <c r="S38" s="256">
        <v>5.0000000000000001E-3</v>
      </c>
      <c r="T38" s="58">
        <f>$Q$80</f>
        <v>212.71199999999999</v>
      </c>
      <c r="U38" s="58">
        <f t="shared" si="24"/>
        <v>0</v>
      </c>
      <c r="V38" s="58">
        <v>0</v>
      </c>
      <c r="W38" s="95">
        <f t="shared" si="25"/>
        <v>0</v>
      </c>
      <c r="X38" s="46">
        <f t="shared" si="26"/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144.80642999999998</v>
      </c>
      <c r="L39" s="5"/>
      <c r="N39" s="257" t="s">
        <v>221</v>
      </c>
      <c r="O39" s="59"/>
      <c r="P39" s="239">
        <v>26</v>
      </c>
      <c r="Q39" s="239">
        <v>1</v>
      </c>
      <c r="R39" s="256">
        <v>0.9</v>
      </c>
      <c r="S39" s="256">
        <v>5.0000000000000001E-3</v>
      </c>
      <c r="T39" s="58">
        <f>$Q$80</f>
        <v>212.71199999999999</v>
      </c>
      <c r="U39" s="58">
        <f t="shared" si="24"/>
        <v>1.7154828888888887</v>
      </c>
      <c r="V39" s="58">
        <v>0</v>
      </c>
      <c r="W39" s="95">
        <f t="shared" si="25"/>
        <v>0</v>
      </c>
      <c r="X39" s="46">
        <f t="shared" si="26"/>
        <v>1.7154828888888887</v>
      </c>
      <c r="Z39" s="130" t="s">
        <v>57</v>
      </c>
      <c r="AA39" s="131">
        <f>+X61-AA34</f>
        <v>14.916090888888874</v>
      </c>
      <c r="AB39" s="128">
        <f>AA39</f>
        <v>14.916090888888874</v>
      </c>
      <c r="AC39" s="132"/>
      <c r="AD39" s="132"/>
      <c r="AE39" s="115">
        <f t="shared" si="27"/>
        <v>14.916090888888874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26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14.916090888888887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85.283901519047589</v>
      </c>
      <c r="AB42" s="137">
        <f>SUM(AB38:AB41)</f>
        <v>85.283901519047589</v>
      </c>
      <c r="AC42" s="138">
        <f>SUM(AC38:AC41)</f>
        <v>0</v>
      </c>
      <c r="AD42" s="138">
        <f>SUM(AD38:AD41)</f>
        <v>0</v>
      </c>
      <c r="AE42" s="115">
        <f t="shared" si="27"/>
        <v>85.283901519047589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166.47612088888886</v>
      </c>
      <c r="AB44" s="147">
        <f t="shared" si="29"/>
        <v>14.916090888888874</v>
      </c>
      <c r="AC44" s="148">
        <f t="shared" si="29"/>
        <v>6.7535999999999987</v>
      </c>
      <c r="AD44" s="148">
        <f t="shared" si="29"/>
        <v>144.80642999999998</v>
      </c>
      <c r="AE44" s="115">
        <f t="shared" si="27"/>
        <v>166.47612088888886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80.107756107111101</v>
      </c>
      <c r="AB45" s="147">
        <f t="shared" si="29"/>
        <v>22.841691111111103</v>
      </c>
      <c r="AC45" s="151">
        <f t="shared" si="29"/>
        <v>57.266064995999997</v>
      </c>
      <c r="AD45" s="151">
        <f t="shared" si="29"/>
        <v>0</v>
      </c>
      <c r="AE45" s="115">
        <f t="shared" si="27"/>
        <v>80.107756107111101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75.100195754527618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411.11458935789892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411.11458935789892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58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204</v>
      </c>
      <c r="D49" s="291" t="s">
        <v>145</v>
      </c>
      <c r="E49" s="331" t="s">
        <v>111</v>
      </c>
      <c r="F49" s="332"/>
      <c r="G49" s="425">
        <v>1</v>
      </c>
      <c r="H49" s="424" t="s">
        <v>140</v>
      </c>
      <c r="I49" s="330">
        <v>5.0000000000000001E-3</v>
      </c>
      <c r="J49" s="291">
        <f>2.7*(1+Q86/100)</f>
        <v>3.0240000000000005</v>
      </c>
      <c r="K49" s="288">
        <f>G49*(1+I49)*J49</f>
        <v>3.03912</v>
      </c>
      <c r="L49" s="72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291" t="s">
        <v>205</v>
      </c>
      <c r="D50" s="291" t="s">
        <v>145</v>
      </c>
      <c r="E50" s="289" t="s">
        <v>111</v>
      </c>
      <c r="F50" s="291"/>
      <c r="G50" s="425">
        <v>1</v>
      </c>
      <c r="H50" s="424" t="s">
        <v>140</v>
      </c>
      <c r="I50" s="292">
        <v>5.0000000000000001E-3</v>
      </c>
      <c r="J50" s="291">
        <f>6.1*(1+Q86/100)</f>
        <v>6.8319999999999999</v>
      </c>
      <c r="K50" s="288">
        <f t="shared" si="30"/>
        <v>6.8661599999999989</v>
      </c>
      <c r="L50" s="73"/>
    </row>
    <row r="51" spans="1:24" ht="14.25" customHeight="1" thickBot="1">
      <c r="A51" s="5"/>
      <c r="B51" s="444"/>
      <c r="C51" s="291" t="s">
        <v>206</v>
      </c>
      <c r="D51" s="291" t="s">
        <v>145</v>
      </c>
      <c r="E51" s="289" t="s">
        <v>111</v>
      </c>
      <c r="F51" s="291"/>
      <c r="G51" s="425">
        <v>1</v>
      </c>
      <c r="H51" s="424" t="s">
        <v>140</v>
      </c>
      <c r="I51" s="292">
        <v>5.0000000000000001E-3</v>
      </c>
      <c r="J51" s="291">
        <f>6.1*(1+Q86/100)</f>
        <v>6.8319999999999999</v>
      </c>
      <c r="K51" s="288">
        <f>G51*(1+I51)*J51</f>
        <v>6.8661599999999989</v>
      </c>
      <c r="L51" s="5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207</v>
      </c>
      <c r="D52" s="291" t="s">
        <v>145</v>
      </c>
      <c r="E52" s="289" t="s">
        <v>111</v>
      </c>
      <c r="F52" s="291"/>
      <c r="G52" s="425">
        <v>1</v>
      </c>
      <c r="H52" s="424" t="s">
        <v>140</v>
      </c>
      <c r="I52" s="292">
        <v>5.0000000000000001E-3</v>
      </c>
      <c r="J52" s="291">
        <f>2*(1+Q86/100)</f>
        <v>2.2400000000000002</v>
      </c>
      <c r="K52" s="288">
        <f t="shared" si="30"/>
        <v>2.2511999999999999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173</v>
      </c>
      <c r="D53" s="291" t="s">
        <v>185</v>
      </c>
      <c r="E53" s="289" t="s">
        <v>89</v>
      </c>
      <c r="F53" s="291"/>
      <c r="G53" s="425">
        <v>1</v>
      </c>
      <c r="H53" s="424" t="s">
        <v>140</v>
      </c>
      <c r="I53" s="292">
        <v>5.0000000000000001E-3</v>
      </c>
      <c r="J53" s="291">
        <v>5.25</v>
      </c>
      <c r="K53" s="288">
        <f t="shared" si="30"/>
        <v>5.2762499999999992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153</v>
      </c>
      <c r="D54" s="291" t="s">
        <v>78</v>
      </c>
      <c r="E54" s="289" t="s">
        <v>111</v>
      </c>
      <c r="F54" s="291"/>
      <c r="G54" s="422">
        <v>0.29449999999999998</v>
      </c>
      <c r="H54" s="291" t="s">
        <v>67</v>
      </c>
      <c r="I54" s="292">
        <v>5.0000000000000001E-3</v>
      </c>
      <c r="J54" s="291">
        <v>12.19</v>
      </c>
      <c r="K54" s="288">
        <f t="shared" si="30"/>
        <v>3.6079047749999993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154</v>
      </c>
      <c r="D55" s="291" t="s">
        <v>78</v>
      </c>
      <c r="E55" s="289" t="s">
        <v>111</v>
      </c>
      <c r="F55" s="291"/>
      <c r="G55" s="422">
        <v>0.29449999999999998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3.6079047749999993</v>
      </c>
      <c r="L55" s="72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191</v>
      </c>
      <c r="D56" s="291" t="s">
        <v>145</v>
      </c>
      <c r="E56" s="289"/>
      <c r="F56" s="291"/>
      <c r="G56" s="290">
        <v>1</v>
      </c>
      <c r="H56" s="291" t="s">
        <v>140</v>
      </c>
      <c r="I56" s="292">
        <v>5.0000000000000001E-3</v>
      </c>
      <c r="J56" s="291">
        <f>2.5*(1+Q86/100)</f>
        <v>2.8000000000000003</v>
      </c>
      <c r="K56" s="288">
        <f>G56*(1+I56)*J56</f>
        <v>2.8140000000000001</v>
      </c>
      <c r="L56" s="73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335" t="s">
        <v>208</v>
      </c>
      <c r="D57" s="335" t="s">
        <v>145</v>
      </c>
      <c r="E57" s="336" t="s">
        <v>111</v>
      </c>
      <c r="F57" s="335"/>
      <c r="G57" s="337">
        <v>0.26950000000000002</v>
      </c>
      <c r="H57" s="291" t="s">
        <v>67</v>
      </c>
      <c r="I57" s="292">
        <v>5.0000000000000001E-3</v>
      </c>
      <c r="J57" s="342">
        <f>12.88*(1+Q86/100)</f>
        <v>14.425600000000003</v>
      </c>
      <c r="K57" s="288">
        <f>G57*(1+I57)*J57</f>
        <v>3.9071376960000004</v>
      </c>
      <c r="L57" s="5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166</v>
      </c>
      <c r="D58" s="335" t="s">
        <v>145</v>
      </c>
      <c r="E58" s="336"/>
      <c r="F58" s="335"/>
      <c r="G58" s="423">
        <f>0.35+0.31+0.045</f>
        <v>0.70499999999999996</v>
      </c>
      <c r="H58" s="329" t="s">
        <v>146</v>
      </c>
      <c r="I58" s="292">
        <v>5.0000000000000001E-3</v>
      </c>
      <c r="J58" s="398">
        <v>19.71</v>
      </c>
      <c r="K58" s="288">
        <f t="shared" si="30"/>
        <v>13.965027749999997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 thickBot="1">
      <c r="A59" s="5"/>
      <c r="B59" s="208"/>
      <c r="C59" s="238"/>
      <c r="D59" s="238"/>
      <c r="E59" s="238"/>
      <c r="F59" s="238"/>
      <c r="G59" s="238"/>
      <c r="H59" s="209"/>
      <c r="I59" s="181"/>
      <c r="J59" s="235"/>
      <c r="K59" s="197"/>
      <c r="L59" s="5"/>
    </row>
    <row r="60" spans="1:24" ht="14.25" customHeight="1" thickBot="1">
      <c r="A60" s="5"/>
      <c r="B60" s="104" t="s">
        <v>93</v>
      </c>
      <c r="C60" s="11"/>
      <c r="D60" s="11"/>
      <c r="E60" s="12"/>
      <c r="F60" s="11"/>
      <c r="G60" s="11"/>
      <c r="H60" s="11"/>
      <c r="I60" s="11"/>
      <c r="J60" s="236" t="s">
        <v>71</v>
      </c>
      <c r="K60" s="75">
        <f>+SUM(K48:K59)</f>
        <v>57.266064995999997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166.47612088888886</v>
      </c>
    </row>
    <row r="61" spans="1:24" ht="14.25" customHeight="1" thickBot="1">
      <c r="A61" s="5"/>
      <c r="B61" s="327"/>
      <c r="C61" s="18"/>
      <c r="D61" s="18"/>
      <c r="E61" s="19"/>
      <c r="F61" s="18"/>
      <c r="G61" s="18"/>
      <c r="H61" s="18"/>
      <c r="I61" s="18"/>
      <c r="J61" s="230"/>
      <c r="K61" s="345"/>
      <c r="L61" s="97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166.47612088888886</v>
      </c>
    </row>
    <row r="62" spans="1:24" ht="14.25" customHeight="1" thickBot="1">
      <c r="A62" s="5"/>
      <c r="B62" s="86" t="s">
        <v>147</v>
      </c>
      <c r="C62" s="18"/>
      <c r="D62" s="18"/>
      <c r="E62" s="19"/>
      <c r="F62" s="18"/>
      <c r="G62" s="18"/>
      <c r="H62" s="18"/>
      <c r="I62" s="18"/>
      <c r="J62" s="230"/>
      <c r="K62" s="346"/>
      <c r="L62" s="4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+K47+K60+X49</f>
        <v>80.107756107111101</v>
      </c>
    </row>
    <row r="63" spans="1:24" ht="14.25" customHeight="1" thickBot="1">
      <c r="A63" s="5"/>
      <c r="B63" s="68" t="s">
        <v>2</v>
      </c>
      <c r="C63" s="69"/>
      <c r="D63" s="67" t="s">
        <v>3</v>
      </c>
      <c r="E63" s="67" t="s">
        <v>4</v>
      </c>
      <c r="F63" s="70" t="s">
        <v>49</v>
      </c>
      <c r="G63" s="67" t="s">
        <v>23</v>
      </c>
      <c r="H63" s="67" t="s">
        <v>169</v>
      </c>
      <c r="I63" s="67" t="s">
        <v>8</v>
      </c>
      <c r="J63" s="250" t="s">
        <v>24</v>
      </c>
      <c r="K63" s="66" t="s">
        <v>50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80.107756107111101</v>
      </c>
    </row>
    <row r="64" spans="1:24" ht="14.25" customHeight="1" thickTop="1" thickBot="1">
      <c r="A64" s="5"/>
      <c r="B64" s="326" t="s">
        <v>51</v>
      </c>
      <c r="C64" s="247" t="str">
        <f t="shared" ref="C64:C70" si="31">B8</f>
        <v>TMR-050 Rotator</v>
      </c>
      <c r="D64" s="240" t="s">
        <v>39</v>
      </c>
      <c r="E64" s="240" t="str">
        <f>+E8</f>
        <v>-</v>
      </c>
      <c r="F64" s="240" t="s">
        <v>0</v>
      </c>
      <c r="G64" s="248">
        <v>1</v>
      </c>
      <c r="H64" s="240" t="s">
        <v>140</v>
      </c>
      <c r="I64" s="254">
        <v>0.01</v>
      </c>
      <c r="J64" s="240">
        <f t="shared" ref="J64:J70" si="32">+X8+X16</f>
        <v>23.560968414969786</v>
      </c>
      <c r="K64" s="54">
        <f t="shared" ref="K64:K70" si="33">G64*(1+I64)*J64</f>
        <v>23.796578099119483</v>
      </c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+K71+K84+SUM(X53:X55)</f>
        <v>164.53071236189894</v>
      </c>
    </row>
    <row r="65" spans="1:29" ht="14.25" customHeight="1" thickBot="1">
      <c r="A65" s="5"/>
      <c r="B65" s="210"/>
      <c r="C65" s="247" t="str">
        <f t="shared" si="31"/>
        <v>TMR-050 Stator</v>
      </c>
      <c r="D65" s="240" t="s">
        <v>39</v>
      </c>
      <c r="E65" s="240" t="str">
        <f>+E9</f>
        <v>-</v>
      </c>
      <c r="F65" s="240" t="s">
        <v>0</v>
      </c>
      <c r="G65" s="248">
        <v>1</v>
      </c>
      <c r="H65" s="240" t="s">
        <v>140</v>
      </c>
      <c r="I65" s="254">
        <v>0.01</v>
      </c>
      <c r="J65" s="240">
        <f t="shared" si="32"/>
        <v>17.40217396457458</v>
      </c>
      <c r="K65" s="54">
        <f t="shared" si="33"/>
        <v>17.576195704220325</v>
      </c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164.53071236189894</v>
      </c>
      <c r="AA65" s="161"/>
    </row>
    <row r="66" spans="1:29" ht="14.25" customHeight="1" thickTop="1" thickBot="1">
      <c r="A66" s="5"/>
      <c r="B66" s="210"/>
      <c r="C66" s="247" t="str">
        <f t="shared" si="31"/>
        <v>TMR-050 Substator</v>
      </c>
      <c r="D66" s="240" t="s">
        <v>39</v>
      </c>
      <c r="E66" s="240" t="str">
        <f>+E10</f>
        <v>-</v>
      </c>
      <c r="F66" s="240" t="s">
        <v>0</v>
      </c>
      <c r="G66" s="248">
        <v>1</v>
      </c>
      <c r="H66" s="240" t="s">
        <v>140</v>
      </c>
      <c r="I66" s="254">
        <v>0.01</v>
      </c>
      <c r="J66" s="240">
        <f t="shared" si="32"/>
        <v>24.668714651645743</v>
      </c>
      <c r="K66" s="54">
        <f t="shared" si="33"/>
        <v>24.9154017981622</v>
      </c>
      <c r="L66" s="5"/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411.11458935789892</v>
      </c>
    </row>
    <row r="67" spans="1:29" ht="14.25" customHeight="1" thickBot="1">
      <c r="A67" s="5"/>
      <c r="B67" s="210"/>
      <c r="C67" s="247" t="str">
        <f t="shared" si="31"/>
        <v>TMR-051 Sleeve</v>
      </c>
      <c r="D67" s="240" t="s">
        <v>39</v>
      </c>
      <c r="E67" s="240" t="str">
        <f>+E11</f>
        <v>-</v>
      </c>
      <c r="F67" s="240"/>
      <c r="G67" s="248">
        <v>1</v>
      </c>
      <c r="H67" s="240" t="s">
        <v>140</v>
      </c>
      <c r="I67" s="254">
        <v>0.01</v>
      </c>
      <c r="J67" s="240">
        <f t="shared" si="32"/>
        <v>13.631657091610535</v>
      </c>
      <c r="K67" s="54">
        <f t="shared" si="33"/>
        <v>13.767973662526641</v>
      </c>
      <c r="L67" s="5"/>
    </row>
    <row r="68" spans="1:29" ht="14.25" customHeight="1" thickTop="1" thickBot="1">
      <c r="A68" s="5"/>
      <c r="B68" s="198"/>
      <c r="C68" s="247" t="str">
        <f t="shared" si="31"/>
        <v>TMR-051 Mold Holder 1</v>
      </c>
      <c r="D68" s="240" t="s">
        <v>39</v>
      </c>
      <c r="E68" s="264" t="s">
        <v>180</v>
      </c>
      <c r="F68" s="264"/>
      <c r="G68" s="268">
        <v>1</v>
      </c>
      <c r="H68" s="240" t="s">
        <v>140</v>
      </c>
      <c r="I68" s="269">
        <v>0.01</v>
      </c>
      <c r="J68" s="366">
        <f t="shared" si="32"/>
        <v>2.6705489425955555</v>
      </c>
      <c r="K68" s="54">
        <f t="shared" si="33"/>
        <v>2.6972544320215111</v>
      </c>
      <c r="L68" s="47"/>
      <c r="N68" s="169" t="s">
        <v>112</v>
      </c>
      <c r="O68" s="170"/>
      <c r="P68" s="171"/>
      <c r="Q68" s="172"/>
      <c r="R68" s="171"/>
      <c r="S68" s="173"/>
      <c r="T68" s="174"/>
      <c r="U68" s="171"/>
      <c r="V68" s="171"/>
      <c r="W68" s="171"/>
      <c r="X68" s="175"/>
    </row>
    <row r="69" spans="1:29" ht="14.25" customHeight="1">
      <c r="A69" s="5"/>
      <c r="B69" s="376"/>
      <c r="C69" s="348" t="str">
        <f t="shared" si="31"/>
        <v>TMR-034 Stator Housing 1</v>
      </c>
      <c r="D69" s="377" t="s">
        <v>39</v>
      </c>
      <c r="E69" s="376" t="s">
        <v>180</v>
      </c>
      <c r="F69" s="376"/>
      <c r="G69" s="369">
        <v>1</v>
      </c>
      <c r="H69" s="281" t="s">
        <v>140</v>
      </c>
      <c r="I69" s="370">
        <v>0.01</v>
      </c>
      <c r="J69" s="378">
        <f t="shared" si="32"/>
        <v>4.6757974133333331</v>
      </c>
      <c r="K69" s="349">
        <f t="shared" si="33"/>
        <v>4.7225553874666666</v>
      </c>
      <c r="L69" s="47"/>
    </row>
    <row r="70" spans="1:29" ht="14.25" customHeight="1">
      <c r="A70" s="5"/>
      <c r="B70" s="152"/>
      <c r="C70" s="380" t="str">
        <f t="shared" si="31"/>
        <v>TMR-051 Interlock Plate</v>
      </c>
      <c r="D70" s="426" t="s">
        <v>39</v>
      </c>
      <c r="E70" s="152" t="s">
        <v>180</v>
      </c>
      <c r="F70" s="152"/>
      <c r="G70" s="270">
        <v>1</v>
      </c>
      <c r="H70" s="265" t="s">
        <v>140</v>
      </c>
      <c r="I70" s="271">
        <v>0.01</v>
      </c>
      <c r="J70" s="379">
        <f t="shared" si="32"/>
        <v>2.8206561286417777</v>
      </c>
      <c r="K70" s="84">
        <f t="shared" si="33"/>
        <v>2.8488626899281955</v>
      </c>
      <c r="L70" s="47"/>
      <c r="N70" s="5" t="s">
        <v>120</v>
      </c>
      <c r="O70" s="5"/>
      <c r="P70" s="5"/>
      <c r="Q70" s="5"/>
      <c r="R70" s="5"/>
      <c r="S70" s="99"/>
      <c r="T70" s="99"/>
      <c r="U70" s="99"/>
      <c r="V70" s="18"/>
      <c r="W70" s="18"/>
      <c r="X70" s="18"/>
    </row>
    <row r="71" spans="1:29" ht="14.25" customHeight="1" thickBot="1">
      <c r="A71" s="5"/>
      <c r="B71" s="359" t="s">
        <v>110</v>
      </c>
      <c r="C71" s="360"/>
      <c r="D71" s="361"/>
      <c r="E71" s="362"/>
      <c r="F71" s="363"/>
      <c r="G71" s="363"/>
      <c r="H71" s="363"/>
      <c r="I71" s="364"/>
      <c r="J71" s="365" t="s">
        <v>72</v>
      </c>
      <c r="K71" s="87">
        <f>SUM(K64:K70)</f>
        <v>90.324821773445038</v>
      </c>
      <c r="L71" s="47" t="s">
        <v>184</v>
      </c>
      <c r="N71" s="296"/>
      <c r="O71" s="297"/>
      <c r="P71" s="297"/>
      <c r="Q71" s="297"/>
      <c r="R71" s="297"/>
      <c r="S71" s="302" t="s">
        <v>131</v>
      </c>
      <c r="T71" s="308" t="s">
        <v>131</v>
      </c>
      <c r="U71" s="308" t="s">
        <v>131</v>
      </c>
      <c r="V71" s="308" t="s">
        <v>133</v>
      </c>
      <c r="W71" s="308" t="s">
        <v>135</v>
      </c>
      <c r="X71" s="409" t="s">
        <v>135</v>
      </c>
      <c r="Z71" s="99"/>
      <c r="AA71" s="99"/>
      <c r="AB71" s="99"/>
      <c r="AC71" s="51"/>
    </row>
    <row r="72" spans="1:29" ht="14.25" customHeight="1">
      <c r="A72" s="5"/>
      <c r="B72" s="325" t="s">
        <v>139</v>
      </c>
      <c r="C72" s="240" t="s">
        <v>209</v>
      </c>
      <c r="D72" s="240" t="s">
        <v>170</v>
      </c>
      <c r="E72" s="240" t="s">
        <v>111</v>
      </c>
      <c r="F72" s="277">
        <f>0.0478*1.5</f>
        <v>7.17E-2</v>
      </c>
      <c r="G72" s="248">
        <v>1</v>
      </c>
      <c r="H72" s="240" t="s">
        <v>140</v>
      </c>
      <c r="I72" s="254">
        <v>0.01</v>
      </c>
      <c r="J72" s="278">
        <f>F72*K3</f>
        <v>8.6039999999999992</v>
      </c>
      <c r="K72" s="54">
        <f t="shared" ref="K72:K82" si="34">G72*(1+I72)*J72</f>
        <v>8.6900399999999998</v>
      </c>
      <c r="L72" s="158" t="s">
        <v>182</v>
      </c>
      <c r="M72" s="97"/>
      <c r="N72" s="189"/>
      <c r="O72" s="298"/>
      <c r="P72" s="298"/>
      <c r="Q72" s="298"/>
      <c r="R72" s="298"/>
      <c r="S72" s="303" t="s">
        <v>130</v>
      </c>
      <c r="T72" s="309" t="s">
        <v>142</v>
      </c>
      <c r="U72" s="309" t="s">
        <v>132</v>
      </c>
      <c r="V72" s="310" t="s">
        <v>134</v>
      </c>
      <c r="W72" s="309" t="s">
        <v>136</v>
      </c>
      <c r="X72" s="410" t="s">
        <v>186</v>
      </c>
    </row>
    <row r="73" spans="1:29" ht="14.25" customHeight="1">
      <c r="A73" s="5"/>
      <c r="B73" s="211"/>
      <c r="C73" s="240" t="s">
        <v>167</v>
      </c>
      <c r="D73" s="240" t="s">
        <v>116</v>
      </c>
      <c r="E73" s="240" t="s">
        <v>111</v>
      </c>
      <c r="F73" s="277">
        <f>0.0319</f>
        <v>3.1899999999999998E-2</v>
      </c>
      <c r="G73" s="437">
        <v>1</v>
      </c>
      <c r="H73" s="439" t="s">
        <v>140</v>
      </c>
      <c r="I73" s="254">
        <v>0.01</v>
      </c>
      <c r="J73" s="278">
        <f>F73*$K$3</f>
        <v>3.8279999999999998</v>
      </c>
      <c r="K73" s="54">
        <f t="shared" si="34"/>
        <v>3.8662799999999997</v>
      </c>
      <c r="L73" s="47"/>
      <c r="M73" s="97"/>
      <c r="N73" s="296" t="s">
        <v>137</v>
      </c>
      <c r="O73" s="297"/>
      <c r="P73" s="297"/>
      <c r="Q73" s="297"/>
      <c r="R73" s="297"/>
      <c r="S73" s="304">
        <v>52</v>
      </c>
      <c r="T73" s="311">
        <v>52</v>
      </c>
      <c r="U73" s="311">
        <v>52</v>
      </c>
      <c r="V73" s="311">
        <v>52</v>
      </c>
      <c r="W73" s="311">
        <v>52</v>
      </c>
      <c r="X73" s="411">
        <v>52</v>
      </c>
    </row>
    <row r="74" spans="1:29" ht="14.25" customHeight="1">
      <c r="A74" s="5"/>
      <c r="B74" s="211"/>
      <c r="C74" s="240" t="s">
        <v>228</v>
      </c>
      <c r="D74" s="240" t="s">
        <v>80</v>
      </c>
      <c r="E74" s="240" t="s">
        <v>111</v>
      </c>
      <c r="F74" s="279"/>
      <c r="G74" s="248">
        <v>1</v>
      </c>
      <c r="H74" s="240" t="s">
        <v>140</v>
      </c>
      <c r="I74" s="254">
        <v>0.01</v>
      </c>
      <c r="J74" s="278">
        <v>1.78</v>
      </c>
      <c r="K74" s="54">
        <f t="shared" si="34"/>
        <v>1.7978000000000001</v>
      </c>
      <c r="L74" s="98" t="s">
        <v>183</v>
      </c>
      <c r="M74" s="97"/>
      <c r="N74" s="139" t="s">
        <v>172</v>
      </c>
      <c r="O74" s="301"/>
      <c r="P74" s="301"/>
      <c r="Q74" s="301"/>
      <c r="R74" s="301"/>
      <c r="S74" s="305">
        <f>1.98*K3</f>
        <v>237.6</v>
      </c>
      <c r="T74" s="312">
        <v>345.5</v>
      </c>
      <c r="U74" s="312">
        <f>4.63*K3</f>
        <v>555.6</v>
      </c>
      <c r="V74" s="312">
        <f>3.03*K3</f>
        <v>363.59999999999997</v>
      </c>
      <c r="W74" s="399">
        <f>650*1.1</f>
        <v>715.00000000000011</v>
      </c>
      <c r="X74" s="412">
        <f>465*1.1</f>
        <v>511.50000000000006</v>
      </c>
    </row>
    <row r="75" spans="1:29" ht="14.25" customHeight="1">
      <c r="A75" s="5"/>
      <c r="B75" s="211"/>
      <c r="C75" s="280" t="s">
        <v>178</v>
      </c>
      <c r="D75" s="264" t="s">
        <v>80</v>
      </c>
      <c r="E75" s="241" t="s">
        <v>81</v>
      </c>
      <c r="F75" s="279"/>
      <c r="G75" s="268">
        <v>1</v>
      </c>
      <c r="H75" s="264" t="s">
        <v>140</v>
      </c>
      <c r="I75" s="269">
        <v>0.01</v>
      </c>
      <c r="J75" s="278">
        <v>0.25</v>
      </c>
      <c r="K75" s="54">
        <f t="shared" si="34"/>
        <v>0.2525</v>
      </c>
      <c r="L75" s="98" t="s">
        <v>183</v>
      </c>
      <c r="M75" s="97"/>
      <c r="N75" s="139" t="s">
        <v>138</v>
      </c>
      <c r="O75" s="301"/>
      <c r="P75" s="301"/>
      <c r="Q75" s="301"/>
      <c r="R75" s="301"/>
      <c r="S75" s="306">
        <v>0.15</v>
      </c>
      <c r="T75" s="313">
        <v>0</v>
      </c>
      <c r="U75" s="416">
        <v>0</v>
      </c>
      <c r="V75" s="313">
        <v>0.2</v>
      </c>
      <c r="W75" s="313">
        <v>0.1</v>
      </c>
      <c r="X75" s="413">
        <v>0.1</v>
      </c>
    </row>
    <row r="76" spans="1:29" ht="14.25" customHeight="1">
      <c r="A76" s="5"/>
      <c r="B76" s="211"/>
      <c r="C76" s="291" t="s">
        <v>168</v>
      </c>
      <c r="D76" s="329" t="s">
        <v>145</v>
      </c>
      <c r="E76" s="241" t="s">
        <v>111</v>
      </c>
      <c r="F76" s="343"/>
      <c r="G76" s="344">
        <v>1</v>
      </c>
      <c r="H76" s="329" t="s">
        <v>140</v>
      </c>
      <c r="I76" s="330">
        <v>0.03</v>
      </c>
      <c r="J76" s="278">
        <v>5.38</v>
      </c>
      <c r="K76" s="54">
        <f t="shared" si="34"/>
        <v>5.5414000000000003</v>
      </c>
      <c r="N76" s="1019" t="s">
        <v>171</v>
      </c>
      <c r="O76" s="1020"/>
      <c r="P76" s="1020"/>
      <c r="Q76" s="1020"/>
      <c r="R76" s="1021"/>
      <c r="S76" s="307">
        <f t="shared" ref="S76:X76" si="35">S73*S75+S74*(1-S75)</f>
        <v>209.76</v>
      </c>
      <c r="T76" s="314">
        <f t="shared" si="35"/>
        <v>345.5</v>
      </c>
      <c r="U76" s="314">
        <f t="shared" si="35"/>
        <v>555.6</v>
      </c>
      <c r="V76" s="314">
        <f t="shared" si="35"/>
        <v>301.27999999999997</v>
      </c>
      <c r="W76" s="314">
        <f t="shared" si="35"/>
        <v>648.70000000000016</v>
      </c>
      <c r="X76" s="414">
        <f t="shared" si="35"/>
        <v>465.55000000000007</v>
      </c>
    </row>
    <row r="77" spans="1:29" ht="14.25" customHeight="1">
      <c r="A77" s="5"/>
      <c r="B77" s="211"/>
      <c r="C77" s="329" t="s">
        <v>179</v>
      </c>
      <c r="D77" s="264" t="s">
        <v>145</v>
      </c>
      <c r="E77" s="241" t="s">
        <v>111</v>
      </c>
      <c r="F77" s="279"/>
      <c r="G77" s="268">
        <v>1</v>
      </c>
      <c r="H77" s="329" t="s">
        <v>140</v>
      </c>
      <c r="I77" s="330">
        <v>0.03</v>
      </c>
      <c r="J77" s="278">
        <v>1.2</v>
      </c>
      <c r="K77" s="54">
        <f t="shared" si="34"/>
        <v>1.236</v>
      </c>
    </row>
    <row r="78" spans="1:29" ht="14.25" customHeight="1">
      <c r="A78" s="5"/>
      <c r="B78" s="211"/>
      <c r="C78" s="329" t="s">
        <v>190</v>
      </c>
      <c r="D78" s="264" t="s">
        <v>145</v>
      </c>
      <c r="E78" s="241" t="s">
        <v>111</v>
      </c>
      <c r="F78" s="279"/>
      <c r="G78" s="248">
        <v>1</v>
      </c>
      <c r="H78" s="329" t="s">
        <v>140</v>
      </c>
      <c r="I78" s="269">
        <v>0.01</v>
      </c>
      <c r="J78" s="278">
        <f>9*(1+Q86/100)</f>
        <v>10.080000000000002</v>
      </c>
      <c r="K78" s="54">
        <f t="shared" si="34"/>
        <v>10.180800000000001</v>
      </c>
      <c r="N78" s="5" t="s">
        <v>162</v>
      </c>
    </row>
    <row r="79" spans="1:29" ht="14.25" customHeight="1">
      <c r="A79" s="5"/>
      <c r="B79" s="211"/>
      <c r="C79" s="329" t="s">
        <v>210</v>
      </c>
      <c r="D79" s="264" t="s">
        <v>145</v>
      </c>
      <c r="E79" s="241" t="s">
        <v>111</v>
      </c>
      <c r="F79" s="279"/>
      <c r="G79" s="248">
        <v>2</v>
      </c>
      <c r="H79" s="329" t="s">
        <v>128</v>
      </c>
      <c r="I79" s="269">
        <v>0.01</v>
      </c>
      <c r="J79" s="278">
        <f>1.5*(1+Q86/100)</f>
        <v>1.6800000000000002</v>
      </c>
      <c r="K79" s="54">
        <f t="shared" si="34"/>
        <v>3.3936000000000002</v>
      </c>
      <c r="N79" s="299"/>
      <c r="O79" s="160"/>
      <c r="P79" s="300"/>
      <c r="Q79" s="318" t="s">
        <v>121</v>
      </c>
      <c r="R79" s="319" t="s">
        <v>122</v>
      </c>
    </row>
    <row r="80" spans="1:29" ht="14.25" customHeight="1">
      <c r="A80" s="5"/>
      <c r="B80" s="211"/>
      <c r="C80" s="274" t="s">
        <v>177</v>
      </c>
      <c r="D80" s="264" t="s">
        <v>78</v>
      </c>
      <c r="E80" s="264" t="s">
        <v>90</v>
      </c>
      <c r="F80" s="279"/>
      <c r="G80" s="268">
        <f>1.85+0.06+0.09</f>
        <v>2</v>
      </c>
      <c r="H80" s="264" t="s">
        <v>73</v>
      </c>
      <c r="I80" s="254">
        <v>0.01</v>
      </c>
      <c r="J80" s="445">
        <f>55739.97/(16*10^3)*(1+Q86/100)</f>
        <v>3.9017979000000005</v>
      </c>
      <c r="K80" s="54">
        <f t="shared" si="34"/>
        <v>7.881631758000001</v>
      </c>
      <c r="N80" s="315" t="s">
        <v>124</v>
      </c>
      <c r="O80" s="316"/>
      <c r="P80" s="316"/>
      <c r="Q80" s="454">
        <f>177.26*1.2</f>
        <v>212.71199999999999</v>
      </c>
      <c r="R80" s="455">
        <f>422.98*1.2+50</f>
        <v>557.57600000000002</v>
      </c>
    </row>
    <row r="81" spans="1:23" ht="14.25" customHeight="1">
      <c r="A81" s="5"/>
      <c r="B81" s="211"/>
      <c r="C81" s="259" t="s">
        <v>74</v>
      </c>
      <c r="D81" s="281" t="s">
        <v>91</v>
      </c>
      <c r="E81" s="241" t="s">
        <v>41</v>
      </c>
      <c r="F81" s="241"/>
      <c r="G81" s="282">
        <v>1E-4</v>
      </c>
      <c r="H81" s="281" t="s">
        <v>129</v>
      </c>
      <c r="I81" s="269">
        <v>0.01</v>
      </c>
      <c r="J81" s="278">
        <f>380/0.53</f>
        <v>716.98113207547169</v>
      </c>
      <c r="K81" s="46">
        <f t="shared" si="34"/>
        <v>7.2415094339622649E-2</v>
      </c>
      <c r="M81" s="5"/>
      <c r="N81" s="139" t="s">
        <v>125</v>
      </c>
      <c r="O81" s="301"/>
      <c r="P81" s="301"/>
      <c r="Q81" s="405">
        <f>116.02*1.2</f>
        <v>139.22399999999999</v>
      </c>
      <c r="R81" s="406">
        <f>10.36*1.2</f>
        <v>12.431999999999999</v>
      </c>
    </row>
    <row r="82" spans="1:23" ht="14.25" customHeight="1">
      <c r="A82" s="5"/>
      <c r="B82" s="211"/>
      <c r="C82" s="259" t="s">
        <v>220</v>
      </c>
      <c r="D82" s="281" t="s">
        <v>111</v>
      </c>
      <c r="E82" s="241" t="s">
        <v>111</v>
      </c>
      <c r="F82" s="241"/>
      <c r="G82" s="369">
        <f>1.53*1.14</f>
        <v>1.7442</v>
      </c>
      <c r="H82" s="281" t="s">
        <v>146</v>
      </c>
      <c r="I82" s="269">
        <v>0.01</v>
      </c>
      <c r="J82" s="278">
        <f>2.58*1.14</f>
        <v>2.9411999999999998</v>
      </c>
      <c r="K82" s="46">
        <f t="shared" si="34"/>
        <v>5.1813414503999997</v>
      </c>
      <c r="M82" s="5"/>
      <c r="N82" s="139" t="s">
        <v>160</v>
      </c>
      <c r="O82" s="301"/>
      <c r="P82" s="301"/>
      <c r="Q82" s="405">
        <f>188.64*1.2</f>
        <v>226.36799999999997</v>
      </c>
      <c r="R82" s="406">
        <f>400.8*1.2</f>
        <v>480.96</v>
      </c>
    </row>
    <row r="83" spans="1:23" ht="14.25" customHeight="1" thickBot="1">
      <c r="A83" s="5"/>
      <c r="B83" s="212"/>
      <c r="C83" s="212"/>
      <c r="D83" s="213"/>
      <c r="E83" s="214"/>
      <c r="F83" s="215"/>
      <c r="G83" s="216"/>
      <c r="H83" s="213"/>
      <c r="I83" s="44"/>
      <c r="J83" s="91"/>
      <c r="K83" s="46"/>
      <c r="M83" s="5"/>
      <c r="N83" s="139" t="s">
        <v>127</v>
      </c>
      <c r="O83" s="301"/>
      <c r="P83" s="301"/>
      <c r="Q83" s="405">
        <f>253.79*1.2</f>
        <v>304.548</v>
      </c>
      <c r="R83" s="406">
        <f>651.6*1.2</f>
        <v>781.92</v>
      </c>
    </row>
    <row r="84" spans="1:23" ht="14.25" customHeight="1" thickBot="1">
      <c r="A84" s="5"/>
      <c r="B84" s="104" t="s">
        <v>93</v>
      </c>
      <c r="C84" s="11"/>
      <c r="D84" s="11"/>
      <c r="E84" s="12"/>
      <c r="F84" s="11"/>
      <c r="G84" s="11"/>
      <c r="H84" s="11"/>
      <c r="I84" s="11"/>
      <c r="J84" s="237" t="s">
        <v>75</v>
      </c>
      <c r="K84" s="75">
        <f>SUM(K72:K83)</f>
        <v>48.093808302739625</v>
      </c>
      <c r="M84" s="5"/>
      <c r="N84" s="120" t="s">
        <v>126</v>
      </c>
      <c r="O84" s="317"/>
      <c r="P84" s="317"/>
      <c r="Q84" s="407">
        <f>188.64*1.2</f>
        <v>226.36799999999997</v>
      </c>
      <c r="R84" s="408">
        <f>400.8*1.2</f>
        <v>480.96</v>
      </c>
      <c r="S84" s="98" t="s">
        <v>123</v>
      </c>
    </row>
    <row r="85" spans="1:23" ht="14.25" customHeight="1">
      <c r="A85" s="5"/>
      <c r="M85" s="5"/>
    </row>
    <row r="86" spans="1:23" ht="14.25" customHeight="1">
      <c r="A86" s="5"/>
      <c r="M86" s="5"/>
      <c r="N86" s="47" t="s">
        <v>211</v>
      </c>
      <c r="O86" s="158"/>
      <c r="P86" s="158"/>
      <c r="Q86" s="452">
        <v>12</v>
      </c>
      <c r="R86" s="441" t="s">
        <v>212</v>
      </c>
      <c r="T86" s="158"/>
      <c r="U86" s="158"/>
      <c r="V86" s="158"/>
      <c r="W86" s="158"/>
    </row>
    <row r="87" spans="1:23" ht="14.25" customHeight="1">
      <c r="B87" s="5"/>
      <c r="C87" s="158"/>
      <c r="D87" s="47"/>
      <c r="E87" s="77"/>
      <c r="F87" s="158"/>
      <c r="G87" s="47"/>
      <c r="H87" s="47"/>
      <c r="I87" s="158"/>
      <c r="J87" s="47"/>
      <c r="K87" s="47"/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TMR050 18ch, For Japan</vt:lpstr>
      <vt:lpstr>TMR050 16ch, For Not Japan</vt:lpstr>
      <vt:lpstr>TMR050 18ch, For Other Country</vt:lpstr>
      <vt:lpstr>TMR050 16ch, For Other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Yoshimura</dc:creator>
  <cp:lastModifiedBy>Carlo Sotomayor</cp:lastModifiedBy>
  <cp:lastPrinted>2018-03-12T07:23:57Z</cp:lastPrinted>
  <dcterms:created xsi:type="dcterms:W3CDTF">2005-08-24T00:27:18Z</dcterms:created>
  <dcterms:modified xsi:type="dcterms:W3CDTF">2019-08-23T07:55:46Z</dcterms:modified>
</cp:coreProperties>
</file>