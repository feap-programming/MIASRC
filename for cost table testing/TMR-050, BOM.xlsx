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for cost table testing\"/>
    </mc:Choice>
  </mc:AlternateContent>
  <xr:revisionPtr revIDLastSave="0" documentId="8_{42304977-ABE9-411A-BC35-ACA7C01BC06D}" xr6:coauthVersionLast="43" xr6:coauthVersionMax="43" xr10:uidLastSave="{00000000-0000-0000-0000-000000000000}"/>
  <bookViews>
    <workbookView xWindow="-120" yWindow="-120" windowWidth="21840" windowHeight="13140" xr2:uid="{47AB44B1-05C0-442A-8FB2-754D873431A8}"/>
  </bookViews>
  <sheets>
    <sheet name="Form 1-4" sheetId="2" r:id="rId1"/>
  </sheets>
  <externalReferences>
    <externalReference r:id="rId2"/>
    <externalReference r:id="rId3"/>
    <externalReference r:id="rId4"/>
    <externalReference r:id="rId5"/>
  </externalReferences>
  <definedNames>
    <definedName name="_10Excel_BuiltIn_Print_Area_2_1">#REF!</definedName>
    <definedName name="_10Excel_BuiltIn_Print_Area_2_1_1">#REF!</definedName>
    <definedName name="_13Excel_BuiltIn_Print_Titles_2_1">#REF!</definedName>
    <definedName name="_14Excel_BuiltIn_Print_Titles_2_1">#REF!</definedName>
    <definedName name="_17Excel_BuiltIn_Print_Area_2_1_1">#REF!</definedName>
    <definedName name="_18Excel_BuiltIn_Print_Area_2_1_1">#REF!</definedName>
    <definedName name="_1Excel_BuiltIn_Print_Area_14_1">#REF!</definedName>
    <definedName name="_25Excel_BuiltIn_Print_Titles_2_1">#REF!</definedName>
    <definedName name="_26Excel_BuiltIn_Print_Titles_2_1">#REF!</definedName>
    <definedName name="_2Excel_BuiltIn_Print_Area_14_1">#REF!</definedName>
    <definedName name="_2Excel_BuiltIn_Print_Area_2_1">#REF!</definedName>
    <definedName name="_3Excel_BuiltIn_Print_Area_2_1_1">#REF!</definedName>
    <definedName name="_4Excel_BuiltIn_Print_Titles_2_1">#REF!</definedName>
    <definedName name="_5Excel_BuiltIn_Print_Area_2_1">#REF!</definedName>
    <definedName name="_6Excel_BuiltIn_Print_Area_2_1">#REF!</definedName>
    <definedName name="_6Excel_BuiltIn_Print_Area_2_1_1">#REF!</definedName>
    <definedName name="_7Excel_BuiltIn_Print_Titles_2_1">#REF!</definedName>
    <definedName name="_9Excel_BuiltIn_Print_Area_2_1">#REF!</definedName>
    <definedName name="_9Excel_BuiltIn_Print_Area_2_1_1">#REF!</definedName>
    <definedName name="_GoA1">#N/A</definedName>
    <definedName name="_Key1" hidden="1">#REF!</definedName>
    <definedName name="_mer1">#N/A</definedName>
    <definedName name="_Order1" hidden="1">255</definedName>
    <definedName name="_SHR1">'[1]Customize Your Invoice'!$D$30</definedName>
    <definedName name="_Sort" hidden="1">#REF!</definedName>
    <definedName name="A">#REF!</definedName>
    <definedName name="aaaaa">#REF!</definedName>
    <definedName name="aaaaaa">#REF!</definedName>
    <definedName name="aaaaaaaa">#REF!</definedName>
    <definedName name="af">'[2]MI12 SRC'!$A$1:$T$50</definedName>
    <definedName name="Aldrin">#REF!</definedName>
    <definedName name="andon">#N/A</definedName>
    <definedName name="Capture.Capture">#N/A</definedName>
    <definedName name="d">#N/A</definedName>
    <definedName name="dflt3">'[1]Customize Your Invoice'!$D$24</definedName>
    <definedName name="dflt6">'[1]Customize Your Invoice'!$D$28</definedName>
    <definedName name="dfsdf">#N/A</definedName>
    <definedName name="EFDS">#N/A</definedName>
    <definedName name="Excel_BuiltIn_Print_Area_1">#REF!</definedName>
    <definedName name="Excel_BuiltIn_Print_Area_10">#REF!</definedName>
    <definedName name="Excel_BuiltIn_Print_Area_10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7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2">#REF!</definedName>
    <definedName name="Excel_BuiltIn_Print_Area_22">#REF!</definedName>
    <definedName name="Excel_BuiltIn_Print_Area_22_36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8">#REF!</definedName>
    <definedName name="Excel_BuiltIn_Print_Area_88">#REF!</definedName>
    <definedName name="Excel_BuiltIn_Print_Area_9">#REF!</definedName>
    <definedName name="Excel_BuiltIn_Print_Titles_1">#REF!</definedName>
    <definedName name="Excel_BuiltIn_Print_Titles_10">#REF!</definedName>
    <definedName name="Excel_BuiltIn_Print_Titles_11">#REF!</definedName>
    <definedName name="Excel_BuiltIn_Print_Titles_12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2">#REF!</definedName>
    <definedName name="Excel_BuiltIn_Print_Titles_20">#REF!</definedName>
    <definedName name="Excel_BuiltIn_Print_Titles_3_1">#REF!</definedName>
    <definedName name="Excel_BuiltIn_Print_Titles_4">#REF!</definedName>
    <definedName name="Excel_BuiltIn_Print_Titles_5">#REF!</definedName>
    <definedName name="Excel_BuiltIn_Print_Titles_5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9">#REF!</definedName>
    <definedName name="excel_buli">#REF!</definedName>
    <definedName name="Excel_Bulitin_Print_Area_7">#REF!</definedName>
    <definedName name="fd" hidden="1">#REF!</definedName>
    <definedName name="fs">'[2]MI12 SRC'!$A$1:$T$49</definedName>
    <definedName name="HYOU">#N/A</definedName>
    <definedName name="IP">[3]月次データ!$B$3:$L$1000</definedName>
    <definedName name="ka">#N/A</definedName>
    <definedName name="ko">#N/A</definedName>
    <definedName name="koiso">#N/A</definedName>
    <definedName name="mer">#N/A</definedName>
    <definedName name="msjah">#N/A</definedName>
    <definedName name="_xlnm.Print_Area" localSheetId="0">'Form 1-4'!$H$2:$AU$283</definedName>
    <definedName name="Print_Area_MI">#REF!</definedName>
    <definedName name="_xlnm.Print_Titles">#REF!</definedName>
    <definedName name="qpro_resist_table">#REF!</definedName>
    <definedName name="romer">#N/A</definedName>
    <definedName name="S">#N/A</definedName>
    <definedName name="sheet1">#REF!</definedName>
    <definedName name="src">#N/A</definedName>
    <definedName name="TAKA">#N/A</definedName>
    <definedName name="TAKAKI">#N/A</definedName>
    <definedName name="TERE">#N/A</definedName>
    <definedName name="い">#N/A</definedName>
    <definedName name="表">#N/A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8" i="2" l="1"/>
  <c r="AC9" i="2"/>
  <c r="H10" i="2"/>
  <c r="AC10" i="2"/>
  <c r="AC11" i="2"/>
  <c r="AL11" i="2"/>
  <c r="AQ11" i="2"/>
  <c r="AA22" i="2"/>
  <c r="AB22" i="2"/>
  <c r="AC22" i="2"/>
  <c r="AD22" i="2"/>
  <c r="AE22" i="2"/>
  <c r="AE54" i="2" s="1"/>
  <c r="AE74" i="2" s="1"/>
  <c r="AE86" i="2" s="1"/>
  <c r="AF22" i="2"/>
  <c r="AF54" i="2" s="1"/>
  <c r="AF74" i="2" s="1"/>
  <c r="AF86" i="2" s="1"/>
  <c r="AA23" i="2"/>
  <c r="AA55" i="2" s="1"/>
  <c r="AA75" i="2" s="1"/>
  <c r="AA87" i="2" s="1"/>
  <c r="AB23" i="2"/>
  <c r="AB55" i="2" s="1"/>
  <c r="AB75" i="2" s="1"/>
  <c r="AB87" i="2" s="1"/>
  <c r="AC23" i="2"/>
  <c r="AD23" i="2"/>
  <c r="AE23" i="2"/>
  <c r="AF23" i="2"/>
  <c r="AA28" i="2"/>
  <c r="AB28" i="2"/>
  <c r="AC28" i="2"/>
  <c r="AD28" i="2"/>
  <c r="AE28" i="2"/>
  <c r="AF28" i="2"/>
  <c r="AB33" i="2"/>
  <c r="AC33" i="2"/>
  <c r="BI35" i="2"/>
  <c r="AA36" i="2"/>
  <c r="AD36" i="2"/>
  <c r="AE36" i="2"/>
  <c r="AF36" i="2"/>
  <c r="H40" i="2"/>
  <c r="AA54" i="2"/>
  <c r="AA74" i="2" s="1"/>
  <c r="AA86" i="2" s="1"/>
  <c r="AB54" i="2"/>
  <c r="AB74" i="2" s="1"/>
  <c r="AB86" i="2" s="1"/>
  <c r="AC54" i="2"/>
  <c r="AC74" i="2" s="1"/>
  <c r="AC86" i="2" s="1"/>
  <c r="AD54" i="2"/>
  <c r="AD74" i="2" s="1"/>
  <c r="AD86" i="2" s="1"/>
  <c r="AC55" i="2"/>
  <c r="AC75" i="2" s="1"/>
  <c r="AC87" i="2" s="1"/>
  <c r="AD55" i="2"/>
  <c r="AD75" i="2" s="1"/>
  <c r="AD87" i="2" s="1"/>
  <c r="AE55" i="2"/>
  <c r="AE75" i="2" s="1"/>
  <c r="AE87" i="2" s="1"/>
  <c r="AF55" i="2"/>
  <c r="AF75" i="2" s="1"/>
  <c r="AF87" i="2" s="1"/>
  <c r="I89" i="2"/>
  <c r="I91" i="2"/>
  <c r="K91" i="2"/>
  <c r="AB97" i="2"/>
  <c r="AC97" i="2"/>
  <c r="AD97" i="2"/>
  <c r="AE97" i="2"/>
  <c r="AF97" i="2"/>
  <c r="AB99" i="2"/>
  <c r="AC99" i="2"/>
  <c r="AD99" i="2"/>
  <c r="AE99" i="2"/>
  <c r="AF99" i="2"/>
  <c r="I105" i="2"/>
  <c r="I108" i="2"/>
  <c r="AK124" i="2"/>
  <c r="AB191" i="2"/>
  <c r="AE191" i="2"/>
  <c r="AF191" i="2"/>
  <c r="AB194" i="2"/>
  <c r="AE194" i="2"/>
  <c r="AF194" i="2"/>
  <c r="AA197" i="2"/>
  <c r="AB197" i="2"/>
  <c r="AC197" i="2"/>
  <c r="AD197" i="2"/>
  <c r="AE197" i="2"/>
  <c r="AF197" i="2"/>
  <c r="AA200" i="2"/>
  <c r="AC200" i="2"/>
  <c r="AD200" i="2"/>
  <c r="AK238" i="2"/>
  <c r="AA257" i="2"/>
  <c r="AC257" i="2"/>
  <c r="AD257" i="2"/>
  <c r="AA260" i="2"/>
  <c r="AC260" i="2"/>
  <c r="AD260" i="2"/>
  <c r="AC263" i="2"/>
  <c r="AD263" i="2"/>
  <c r="K272" i="2"/>
  <c r="AA278" i="2"/>
  <c r="AB278" i="2"/>
  <c r="AC278" i="2"/>
  <c r="AD278" i="2"/>
  <c r="AE278" i="2"/>
  <c r="AF278" i="2"/>
  <c r="AA279" i="2"/>
  <c r="AB279" i="2"/>
  <c r="AC279" i="2"/>
  <c r="AD279" i="2"/>
  <c r="AE279" i="2"/>
  <c r="AF279" i="2"/>
  <c r="AA289" i="2"/>
  <c r="AA152" i="2" s="1"/>
  <c r="AA166" i="2" s="1"/>
  <c r="AB103" i="2" l="1"/>
  <c r="AB129" i="2" s="1"/>
  <c r="AB289" i="2" s="1"/>
  <c r="AB152" i="2" s="1"/>
  <c r="AB166" i="2" s="1"/>
  <c r="AB174" i="2" s="1"/>
  <c r="AB189" i="2" s="1"/>
  <c r="AB204" i="2" s="1"/>
  <c r="AB95" i="2"/>
  <c r="AB112" i="2"/>
  <c r="AA95" i="2"/>
  <c r="AA112" i="2"/>
  <c r="AA103" i="2" s="1"/>
  <c r="AA129" i="2" s="1"/>
  <c r="AC102" i="2"/>
  <c r="AC128" i="2" s="1"/>
  <c r="AC288" i="2" s="1"/>
  <c r="AC151" i="2" s="1"/>
  <c r="AC165" i="2" s="1"/>
  <c r="AC173" i="2" s="1"/>
  <c r="AC188" i="2" s="1"/>
  <c r="AC203" i="2" s="1"/>
  <c r="AC94" i="2"/>
  <c r="AB111" i="2"/>
  <c r="AB102" i="2"/>
  <c r="AB128" i="2" s="1"/>
  <c r="AB288" i="2" s="1"/>
  <c r="AB151" i="2" s="1"/>
  <c r="AB165" i="2" s="1"/>
  <c r="AB173" i="2" s="1"/>
  <c r="AB188" i="2" s="1"/>
  <c r="AB203" i="2" s="1"/>
  <c r="AB94" i="2"/>
  <c r="AA111" i="2"/>
  <c r="AA102" i="2" s="1"/>
  <c r="AA128" i="2" s="1"/>
  <c r="AA288" i="2" s="1"/>
  <c r="AA94" i="2"/>
  <c r="AE95" i="2"/>
  <c r="AE103" i="2"/>
  <c r="AE129" i="2" s="1"/>
  <c r="AE289" i="2" s="1"/>
  <c r="AE152" i="2" s="1"/>
  <c r="AE166" i="2" s="1"/>
  <c r="AE174" i="2" s="1"/>
  <c r="AE189" i="2" s="1"/>
  <c r="AE204" i="2" s="1"/>
  <c r="AD103" i="2"/>
  <c r="AD129" i="2" s="1"/>
  <c r="AD289" i="2" s="1"/>
  <c r="AD152" i="2" s="1"/>
  <c r="AD166" i="2" s="1"/>
  <c r="AD174" i="2" s="1"/>
  <c r="AD189" i="2" s="1"/>
  <c r="AD204" i="2" s="1"/>
  <c r="AD95" i="2"/>
  <c r="AC103" i="2"/>
  <c r="AC129" i="2" s="1"/>
  <c r="AC289" i="2" s="1"/>
  <c r="AC152" i="2" s="1"/>
  <c r="AC166" i="2" s="1"/>
  <c r="AC174" i="2" s="1"/>
  <c r="AC189" i="2" s="1"/>
  <c r="AC204" i="2" s="1"/>
  <c r="AC95" i="2"/>
  <c r="AD94" i="2"/>
  <c r="AD102" i="2"/>
  <c r="AD128" i="2" s="1"/>
  <c r="AD288" i="2" s="1"/>
  <c r="AD151" i="2" s="1"/>
  <c r="AD165" i="2" s="1"/>
  <c r="AD173" i="2" s="1"/>
  <c r="AD188" i="2" s="1"/>
  <c r="AD203" i="2" s="1"/>
  <c r="AF94" i="2"/>
  <c r="AF102" i="2"/>
  <c r="AF128" i="2" s="1"/>
  <c r="AF165" i="2" s="1"/>
  <c r="AF173" i="2" s="1"/>
  <c r="AF188" i="2" s="1"/>
  <c r="AF203" i="2" s="1"/>
  <c r="AF242" i="2" s="1"/>
  <c r="AF267" i="2" s="1"/>
  <c r="AE102" i="2"/>
  <c r="AE128" i="2" s="1"/>
  <c r="AE288" i="2" s="1"/>
  <c r="AE151" i="2" s="1"/>
  <c r="AE165" i="2" s="1"/>
  <c r="AE173" i="2" s="1"/>
  <c r="AE188" i="2" s="1"/>
  <c r="AE203" i="2" s="1"/>
  <c r="AE94" i="2"/>
  <c r="AF95" i="2"/>
  <c r="AF103" i="2"/>
  <c r="AF129" i="2" s="1"/>
  <c r="AF166" i="2" s="1"/>
  <c r="AF174" i="2" s="1"/>
  <c r="AF189" i="2" s="1"/>
  <c r="AF204" i="2" s="1"/>
  <c r="AF243" i="2" s="1"/>
  <c r="AF268" i="2" s="1"/>
  <c r="AA174" i="2"/>
  <c r="AA151" i="2" l="1"/>
  <c r="AA165" i="2" s="1"/>
  <c r="AA173" i="2"/>
  <c r="AB242" i="2"/>
  <c r="AB267" i="2" s="1"/>
  <c r="AB231" i="2"/>
  <c r="AE242" i="2"/>
  <c r="AE267" i="2" s="1"/>
  <c r="AE231" i="2"/>
  <c r="AD232" i="2"/>
  <c r="AD243" i="2"/>
  <c r="AD268" i="2" s="1"/>
  <c r="AA189" i="2"/>
  <c r="AA204" i="2" s="1"/>
  <c r="AA232" i="2" s="1"/>
  <c r="AA243" i="2"/>
  <c r="AA268" i="2" s="1"/>
  <c r="AB232" i="2"/>
  <c r="AB243" i="2"/>
  <c r="AB268" i="2" s="1"/>
  <c r="AE243" i="2"/>
  <c r="AE268" i="2" s="1"/>
  <c r="AE232" i="2"/>
  <c r="AC242" i="2"/>
  <c r="AC267" i="2" s="1"/>
  <c r="AC231" i="2"/>
  <c r="AD231" i="2"/>
  <c r="AD242" i="2"/>
  <c r="AD267" i="2" s="1"/>
  <c r="AC232" i="2"/>
  <c r="AC243" i="2"/>
  <c r="AC268" i="2" s="1"/>
  <c r="AA188" i="2" l="1"/>
  <c r="AA203" i="2" s="1"/>
  <c r="AA231" i="2" s="1"/>
  <c r="AA242" i="2"/>
  <c r="AA26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 Lissie Cruz</author>
    <author>aileen.andico</author>
    <author>lealissie.cruz</author>
  </authors>
  <commentList>
    <comment ref="H14" authorId="0" shapeId="0" xr:uid="{45E92565-8825-433A-971C-73868981313F}">
      <text>
        <r>
          <rPr>
            <b/>
            <sz val="9"/>
            <color indexed="81"/>
            <rFont val="Tahoma"/>
            <family val="2"/>
          </rPr>
          <t>Lea Lissie Cruz:</t>
        </r>
        <r>
          <rPr>
            <sz val="9"/>
            <color indexed="81"/>
            <rFont val="Tahoma"/>
            <family val="2"/>
          </rPr>
          <t xml:space="preserve">
mp: aug 25, 2017
</t>
        </r>
      </text>
    </comment>
    <comment ref="H15" authorId="0" shapeId="0" xr:uid="{AC741DF7-363B-47A8-8031-390C226A93C5}">
      <text>
        <r>
          <rPr>
            <b/>
            <sz val="9"/>
            <color indexed="81"/>
            <rFont val="Tahoma"/>
            <family val="2"/>
          </rPr>
          <t>Lea Lissie Cruz:</t>
        </r>
        <r>
          <rPr>
            <sz val="9"/>
            <color indexed="81"/>
            <rFont val="Tahoma"/>
            <family val="2"/>
          </rPr>
          <t xml:space="preserve">
MP : March 21, 2018</t>
        </r>
      </text>
    </comment>
    <comment ref="H16" authorId="0" shapeId="0" xr:uid="{5C9C5545-987A-49C2-A078-65050CCB3E42}">
      <text>
        <r>
          <rPr>
            <b/>
            <sz val="9"/>
            <color indexed="81"/>
            <rFont val="Tahoma"/>
            <family val="2"/>
          </rPr>
          <t>Lea Lissie Cruz:</t>
        </r>
        <r>
          <rPr>
            <sz val="9"/>
            <color indexed="81"/>
            <rFont val="Tahoma"/>
            <family val="2"/>
          </rPr>
          <t xml:space="preserve">
MP: March 21, 2018</t>
        </r>
      </text>
    </comment>
    <comment ref="H17" authorId="0" shapeId="0" xr:uid="{2DC3B59C-06F0-4279-A4C5-AE4C4C0DB8F3}">
      <text>
        <r>
          <rPr>
            <b/>
            <sz val="9"/>
            <color indexed="81"/>
            <rFont val="Tahoma"/>
            <family val="2"/>
          </rPr>
          <t>Lea Lissie Cruz:</t>
        </r>
        <r>
          <rPr>
            <sz val="9"/>
            <color indexed="81"/>
            <rFont val="Tahoma"/>
            <family val="2"/>
          </rPr>
          <t xml:space="preserve">
August 13 - initial mp</t>
        </r>
      </text>
    </comment>
    <comment ref="H19" authorId="0" shapeId="0" xr:uid="{A97CEF53-AE17-48FE-B327-D136536E34BB}">
      <text>
        <r>
          <rPr>
            <b/>
            <sz val="9"/>
            <color indexed="81"/>
            <rFont val="Tahoma"/>
            <family val="2"/>
          </rPr>
          <t>Lea Lissie Cruz:</t>
        </r>
        <r>
          <rPr>
            <sz val="9"/>
            <color indexed="81"/>
            <rFont val="Tahoma"/>
            <family val="2"/>
          </rPr>
          <t xml:space="preserve">
initial MP:03/22</t>
        </r>
      </text>
    </comment>
    <comment ref="AA28" authorId="1" shapeId="0" xr:uid="{43C553A0-8A9C-4352-A335-1189179753CA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100mm
1 roll = 25m
Formula:
=25*1000 = 25000
=130*(1/25000)
=0.0040</t>
        </r>
      </text>
    </comment>
    <comment ref="AB28" authorId="1" shapeId="0" xr:uid="{E751FA53-4533-45BC-A05C-3BD7AB6F605C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45mm + 100mm
1 roll = 25m
Formula:
=25*1000 = 25000
=45*(1/25000)
=0.0058</t>
        </r>
      </text>
    </comment>
    <comment ref="AC28" authorId="1" shapeId="0" xr:uid="{7D49C39C-E935-452B-A485-A4C08682C725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100mm
1 roll = 25m
Formula:
=25*1000 = 25000
=130*(1/25000)
=0.0040</t>
        </r>
      </text>
    </comment>
    <comment ref="AD28" authorId="1" shapeId="0" xr:uid="{02131A39-FA5F-41D8-A836-2122DD937DB7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100mm
1 roll = 25m
Formula:
=25*1000 = 25000
=130*(1/25000)
=0.0040</t>
        </r>
      </text>
    </comment>
    <comment ref="AE28" authorId="1" shapeId="0" xr:uid="{7A58E023-FC5C-4A92-A141-24C59A95480C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45mm + 100mm
1 roll = 25m
Formula:
=25*1000 = 25000
=45*(1/25000)
=0.0058</t>
        </r>
      </text>
    </comment>
    <comment ref="AF28" authorId="1" shapeId="0" xr:uid="{1645F399-D22A-4685-BF4D-AB1DD7CEB985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Given: 45mm + 100mm
1 roll = 25m
Formula:
=25*1000 = 25000
=45*(1/25000)
=0.0058</t>
        </r>
      </text>
    </comment>
    <comment ref="H35" authorId="2" shapeId="0" xr:uid="{B1956DDE-EDCA-465E-91AC-B8B508D1A08E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not for FAS</t>
        </r>
      </text>
    </comment>
    <comment ref="H36" authorId="2" shapeId="0" xr:uid="{750E3B94-CE7B-4719-A571-201F3CDBDF61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not for FAS</t>
        </r>
      </text>
    </comment>
    <comment ref="AA57" authorId="2" shapeId="0" xr:uid="{00E6E1EB-CBAF-470E-92FE-A16B263C5020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apcs-51415
part w- 31.43+31.55
runner- 16.12
=((31.43+31.55+16.12)/2)/1000
= 0.0396</t>
        </r>
      </text>
    </comment>
    <comment ref="AB57" authorId="2" shapeId="0" xr:uid="{38517B32-A845-4B8C-8FD6-3A59E06542A1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apcs-51415
part w- 31.43+31.55
runner- 16.12
=((31.43+31.55+16.12)/2)/1000
= 0.0396</t>
        </r>
      </text>
    </comment>
    <comment ref="AC57" authorId="2" shapeId="0" xr:uid="{D2A5C08C-C9F1-4843-AAF8-F2AF87B92F18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apcs-51415
part w- 31.43+31.55
runner- 16.12
=((31.43+31.55+16.12)/2)/1000
= 0.0396</t>
        </r>
      </text>
    </comment>
    <comment ref="AD57" authorId="2" shapeId="0" xr:uid="{6D1B8DCD-2145-459C-B183-CAD1932629E7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apcs-51415
part w- 31.43+31.55
runner- 16.12
=((31.43+31.55+16.12)/2)/1000
= 0.0396</t>
        </r>
      </text>
    </comment>
    <comment ref="AE57" authorId="2" shapeId="0" xr:uid="{B57B1A7B-AA23-4441-9862-316347532303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apcs-51415
part w- 31.43+31.55
runner- 16.12
=((31.43+31.55+16.12)/2)/1000
= 0.0396</t>
        </r>
      </text>
    </comment>
    <comment ref="AF57" authorId="2" shapeId="0" xr:uid="{3BC106F8-86C8-4CF1-97B2-AA9205CEAA7B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apcs-51415
part w- 31.43+31.55
runner- 16.12
=((31.43+31.55+16.12)/2)/1000
= 0.0396</t>
        </r>
      </text>
    </comment>
    <comment ref="AA61" authorId="2" shapeId="0" xr:uid="{1020EEC6-653A-4D64-A381-2881821E271E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apcs-51413
part w- 25.20+25.20
runner- 16.52
=((25.20+25.20+16.52)/2)/1000
= 0.0475</t>
        </r>
      </text>
    </comment>
    <comment ref="AB61" authorId="2" shapeId="0" xr:uid="{9BD8B0DF-D0DA-4225-928D-993229195573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apcs-51413
part w- 25.20+25.20
runner- 16.52
=((25.20+25.20+16.52)/2)/1000
= 0.0475</t>
        </r>
      </text>
    </comment>
    <comment ref="AC61" authorId="2" shapeId="0" xr:uid="{BAE44BE5-9981-4E1C-AE24-72C2824A0C77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apcs-51413
part w- 25.20+25.20
runner- 16.52
=((25.20+25.20+16.52)/2)/1000
= 0.0475</t>
        </r>
      </text>
    </comment>
    <comment ref="AD61" authorId="2" shapeId="0" xr:uid="{557709B9-5439-48DA-B630-B5882B4D1BC9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apcs-51413
part w- 25.20+25.20
runner- 16.52
=((25.20+25.20+16.52)/2)/1000
= 0.0475</t>
        </r>
      </text>
    </comment>
    <comment ref="AE61" authorId="2" shapeId="0" xr:uid="{1C2CC2AE-0EEE-45E4-8FA9-1DFBA2CEBB3F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apcs-51413
part w- 25.20+25.20
runner- 16.52
=((25.20+25.20+16.52)/2)/1000
= 0.0475</t>
        </r>
      </text>
    </comment>
    <comment ref="AF61" authorId="2" shapeId="0" xr:uid="{07D10D9D-5981-4338-9FED-A65DC3419664}">
      <text>
        <r>
          <rPr>
            <b/>
            <sz val="9"/>
            <color indexed="81"/>
            <rFont val="Tahoma"/>
            <family val="2"/>
          </rPr>
          <t>lealissie.cruz:</t>
        </r>
        <r>
          <rPr>
            <sz val="9"/>
            <color indexed="81"/>
            <rFont val="Tahoma"/>
            <family val="2"/>
          </rPr>
          <t xml:space="preserve">
apcs-51413
part w- 25.20+25.20
runner- 16.52
=((25.20+25.20+16.52)/2)/1000
= 0.0475</t>
        </r>
      </text>
    </comment>
    <comment ref="AB191" authorId="1" shapeId="0" xr:uid="{4BFB6994-A0A9-4E7D-A2B2-E74DD562C2B8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max:380
BOM Given: 380mm
1 roll = 25m
Formula:
=25*1000 = 25000
=380*(1/25000)
=0.0152</t>
        </r>
      </text>
    </comment>
    <comment ref="AE191" authorId="1" shapeId="0" xr:uid="{51CF3E67-7FB3-4F1D-9A55-8F713CD05397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max:380
BOM Given: 380mm
1 roll = 25m
Formula:
=25*1000 = 25000
=380*(1/25000)
=0.0152</t>
        </r>
      </text>
    </comment>
    <comment ref="AF191" authorId="1" shapeId="0" xr:uid="{52A1D0C8-1647-49C6-A158-1BC59284601B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max:380
BOM Given: 380mm
1 roll = 25m
Formula:
=25*1000 = 25000
=380*(1/25000)
=0.0152</t>
        </r>
      </text>
    </comment>
    <comment ref="AB194" authorId="1" shapeId="0" xr:uid="{94FB6209-A8C7-48A3-9DF5-D172A3A7105E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max:290m
BOM Given: 345m
1 roll = 25m
Formula:
=25*1000 = 25000
=345*(1/25000)
=0.0138</t>
        </r>
      </text>
    </comment>
    <comment ref="AE194" authorId="1" shapeId="0" xr:uid="{309BDDC1-17C6-4B26-BC4A-470C87D47F1B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max:290m
BOM Given: 345m
1 roll = 25m
Formula:
=25*1000 = 25000
=345*(1/25000)
=0.0138</t>
        </r>
      </text>
    </comment>
    <comment ref="AF194" authorId="1" shapeId="0" xr:uid="{CEF43CFA-11CA-457C-BBB1-F522EA93E45F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max:290m
BOM Given: 345m
1 roll = 25m
Formula:
=25*1000 = 25000
=345*(1/25000)
=0.0138</t>
        </r>
      </text>
    </comment>
    <comment ref="AA197" authorId="1" shapeId="0" xr:uid="{3FB11983-C0DA-49BC-B1C2-2AB2BEBDE3D6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B197" authorId="1" shapeId="0" xr:uid="{73DA45FB-97BE-49EB-BB45-55420763EA22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C197" authorId="1" shapeId="0" xr:uid="{7A8119F4-BF0C-4A26-97C1-890805B369A6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D197" authorId="1" shapeId="0" xr:uid="{9305E267-3972-4ED4-B5F7-F36858474AC4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E197" authorId="1" shapeId="0" xr:uid="{B0EAEDD2-BFA7-44E9-A0DC-E78122786F47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F197" authorId="1" shapeId="0" xr:uid="{0872D470-45AB-491C-BC3C-9CA619F1ED52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max:284m
BOM Given: 305m
1 roll = 25m
Formula:
=25*1000 = 25000
=305*(1/25000)
=0.0122</t>
        </r>
      </text>
    </comment>
    <comment ref="AA200" authorId="1" shapeId="0" xr:uid="{2E827A5F-D9CA-4D5C-B70A-1EA1C4D98592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max:300
BOM Given: 380mm
1 roll = 25m
Formula:
=25*1000 = 25000
=380*(1/25000)
=0.0152</t>
        </r>
      </text>
    </comment>
    <comment ref="AC200" authorId="1" shapeId="0" xr:uid="{A6F28720-4301-40A1-B873-115F4CE44D74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max:300
BOM Given: 380mm
1 roll = 25m
Formula:
=25*1000 = 25000
=380*(1/25000)
=0.0152</t>
        </r>
      </text>
    </comment>
    <comment ref="AD200" authorId="1" shapeId="0" xr:uid="{9EF4B703-9BD1-43F2-A4F4-8F11DE5E42DA}">
      <text>
        <r>
          <rPr>
            <b/>
            <sz val="9"/>
            <color indexed="81"/>
            <rFont val="Tahoma"/>
            <family val="2"/>
          </rPr>
          <t>aileen.andico:</t>
        </r>
        <r>
          <rPr>
            <sz val="9"/>
            <color indexed="81"/>
            <rFont val="Tahoma"/>
            <family val="2"/>
          </rPr>
          <t xml:space="preserve">
actual max:300
BOM Given: 380mm
1 roll = 25m
Formula:
=25*1000 = 25000
=380*(1/25000)
=0.0152</t>
        </r>
      </text>
    </comment>
  </commentList>
</comments>
</file>

<file path=xl/sharedStrings.xml><?xml version="1.0" encoding="utf-8"?>
<sst xmlns="http://schemas.openxmlformats.org/spreadsheetml/2006/main" count="1033" uniqueCount="382">
  <si>
    <t>FEAP Laminating</t>
  </si>
  <si>
    <t>pc</t>
  </si>
  <si>
    <t>Y150084 0</t>
  </si>
  <si>
    <t>FFC136 L878.5</t>
  </si>
  <si>
    <t>WP2469a</t>
  </si>
  <si>
    <t>FEAP FFC Cutting</t>
  </si>
  <si>
    <t>TMR-051 FFC CUTTING 2</t>
  </si>
  <si>
    <t>WP2433a</t>
  </si>
  <si>
    <t>Y150083 0</t>
  </si>
  <si>
    <t>FFC136 L754.5</t>
  </si>
  <si>
    <t>WP2468a</t>
  </si>
  <si>
    <t>TMR-051 FFC CUTTING 1</t>
  </si>
  <si>
    <t>WP2432a</t>
  </si>
  <si>
    <t>Remarks</t>
  </si>
  <si>
    <t>Supplier / Trader</t>
  </si>
  <si>
    <t>U/M</t>
  </si>
  <si>
    <t>FAS Part No.</t>
  </si>
  <si>
    <t>Part Name / Grade / Material</t>
  </si>
  <si>
    <t>FEAP Part No.</t>
  </si>
  <si>
    <t>FFC CUTTING</t>
  </si>
  <si>
    <t>OTHERS</t>
  </si>
  <si>
    <t>OF</t>
  </si>
  <si>
    <t>TG</t>
  </si>
  <si>
    <t>ETE</t>
  </si>
  <si>
    <t>ACCTG</t>
  </si>
  <si>
    <t>ENG'G</t>
  </si>
  <si>
    <t>IVG</t>
  </si>
  <si>
    <t>QAQC</t>
  </si>
  <si>
    <t>PD</t>
  </si>
  <si>
    <t>PL</t>
  </si>
  <si>
    <t>FS</t>
  </si>
  <si>
    <t>HR/GAD</t>
  </si>
  <si>
    <t>CONTROLLED COPY DISTRIBUTION LIST</t>
  </si>
  <si>
    <t>Controlled Stamp</t>
  </si>
  <si>
    <t>FSKP</t>
  </si>
  <si>
    <t>kg</t>
  </si>
  <si>
    <t>MBF20-73C2 HOM4F305</t>
  </si>
  <si>
    <t>RM1529</t>
  </si>
  <si>
    <t>IUPITAL F30-73R1 (N)</t>
  </si>
  <si>
    <t>RM1528</t>
  </si>
  <si>
    <t>FEAP Runner Recycling</t>
  </si>
  <si>
    <t>TMR-032 1ST MOLDING KEY 1 MIXED RESIN</t>
  </si>
  <si>
    <t>WP2212a</t>
  </si>
  <si>
    <t>FEAP</t>
  </si>
  <si>
    <t>WP2212b</t>
  </si>
  <si>
    <t>BASF Runner  - Recycled</t>
  </si>
  <si>
    <t>RM906</t>
  </si>
  <si>
    <t>WP1242</t>
  </si>
  <si>
    <t>BASF / Toyota Tsusho</t>
  </si>
  <si>
    <t>Ultradur B4520 Q120 (B) PBT Resin (Malaysia)</t>
  </si>
  <si>
    <t>RM723</t>
  </si>
  <si>
    <t>RECYCLED RUNNER - BASF</t>
  </si>
  <si>
    <t>RECYCLED ULTRADUR B4520 Q120 (B) PBT RESIN (RECYCLED LESS THAN 20%)</t>
  </si>
  <si>
    <t>WP2787</t>
  </si>
  <si>
    <t>RUNNER RECYCLING PROCESS</t>
  </si>
  <si>
    <t>FAS</t>
  </si>
  <si>
    <t>Z130073 0</t>
  </si>
  <si>
    <t>SPS-21T-205</t>
  </si>
  <si>
    <t>RM1577</t>
  </si>
  <si>
    <t>m</t>
  </si>
  <si>
    <t>Y150088 0</t>
  </si>
  <si>
    <t>AESSX 0.5f (V) Lead Wire</t>
  </si>
  <si>
    <t>RM1584</t>
  </si>
  <si>
    <t>FEAP Terminal Crimping</t>
  </si>
  <si>
    <t>AESSX 0.5f (V) 0.2660m TERMINAL CRIMPING</t>
  </si>
  <si>
    <t>WP2489a</t>
  </si>
  <si>
    <t>FSK</t>
  </si>
  <si>
    <t>R150067 0</t>
  </si>
  <si>
    <t>SSQSK-A03GJ-P-R</t>
  </si>
  <si>
    <t>RM1498</t>
  </si>
  <si>
    <t>T140136 0</t>
  </si>
  <si>
    <t>AESSX 0.3f (G) Lead Wire</t>
  </si>
  <si>
    <t>RM1362</t>
  </si>
  <si>
    <t>AESSX 0.3f (G) 0.2840m TERMINAL CRIMPING</t>
  </si>
  <si>
    <t>WP2488a</t>
  </si>
  <si>
    <t>R150068 0</t>
  </si>
  <si>
    <t>SSQSK-A03GJ-P-L</t>
  </si>
  <si>
    <t>RM1499</t>
  </si>
  <si>
    <t>T140135 0</t>
  </si>
  <si>
    <t>AESSX 0.3f (W) Lead Wire</t>
  </si>
  <si>
    <t>RM1361</t>
  </si>
  <si>
    <t>AESSX 0.3f (W) 0.2840m TERMINAL CRIMPING</t>
  </si>
  <si>
    <t>WP2487a</t>
  </si>
  <si>
    <t>AESSX 0.3f (G) 0.2760m TERMINAL CRIMPING</t>
  </si>
  <si>
    <t>WP2486a</t>
  </si>
  <si>
    <t>AESSX 0.3f (W) 0.2760m TERMINAL CRIMPING</t>
  </si>
  <si>
    <t>WP2485a</t>
  </si>
  <si>
    <t>T140134 0</t>
  </si>
  <si>
    <t>AESSX 0.3f (Gr) Lead Wire</t>
  </si>
  <si>
    <t>RM1360</t>
  </si>
  <si>
    <t>AESSX 0.3f (Gr) 0.3010m TERMINAL CRIMPING</t>
  </si>
  <si>
    <t>WP2484a</t>
  </si>
  <si>
    <t>T140133 0</t>
  </si>
  <si>
    <t>AESSX 0.3f (Br) Lead Wire</t>
  </si>
  <si>
    <t>RM1359</t>
  </si>
  <si>
    <t>AESSX 0.3f (Br) 0.3010m TERMINAL CRIMPING</t>
  </si>
  <si>
    <t>WP2483a</t>
  </si>
  <si>
    <t>TERMINAL CRIMPING</t>
  </si>
  <si>
    <t>Philippines Inc.</t>
  </si>
  <si>
    <t>3 of 3</t>
  </si>
  <si>
    <t>Page No./  Total No. of Pages</t>
  </si>
  <si>
    <t>Furukawa Electric Autoparts</t>
  </si>
  <si>
    <t>DOCUMENT NO:</t>
  </si>
  <si>
    <t>Unauthorized reproduction and/or distribution are strictly prohibited.</t>
  </si>
  <si>
    <t>MANUFACTURING BILL OF MATERIALS</t>
  </si>
  <si>
    <t xml:space="preserve">   FEAP</t>
  </si>
  <si>
    <t>Nittodenko</t>
  </si>
  <si>
    <t>PET FILM (T0.125 W14.7)</t>
  </si>
  <si>
    <t>RM1303</t>
  </si>
  <si>
    <t>FEAP DUMMY CABLE Assembly</t>
  </si>
  <si>
    <t>TMR-050 DUMMY CABLE ASSEMBLY</t>
  </si>
  <si>
    <t>WP2505a</t>
  </si>
  <si>
    <t>R150066 0</t>
  </si>
  <si>
    <t>SQSKC-02H-1A-D</t>
  </si>
  <si>
    <t>RM1501</t>
  </si>
  <si>
    <t>R150065 0</t>
  </si>
  <si>
    <t>SQSKL-02H-2A-Y</t>
  </si>
  <si>
    <t>RM1500</t>
  </si>
  <si>
    <t>Y150048 0</t>
  </si>
  <si>
    <t>SQSKR-02H-7B-LM</t>
  </si>
  <si>
    <t>RM1715</t>
  </si>
  <si>
    <t>W020190 0</t>
  </si>
  <si>
    <t>SQSF02-1A FERRITE</t>
  </si>
  <si>
    <t>RM302</t>
  </si>
  <si>
    <t>WP2488</t>
  </si>
  <si>
    <t>WP2487</t>
  </si>
  <si>
    <t>FEAP Pigtail Assembly</t>
  </si>
  <si>
    <t>TMR-051 PIGTAIL ASSEMBLY - S5</t>
  </si>
  <si>
    <t>WP2610a</t>
  </si>
  <si>
    <t>SQSKR-02H-6A-K - with hook right side</t>
  </si>
  <si>
    <t>SQSKR-02H-5A-K - with hook left side</t>
  </si>
  <si>
    <t>SQSKR-02H-1A-K - no hook</t>
  </si>
  <si>
    <t>R150063 0</t>
  </si>
  <si>
    <t>SQSKR-02H-1B-LM</t>
  </si>
  <si>
    <t>RM1504</t>
  </si>
  <si>
    <t>SQSKR-02H-6B-LM - with hook right side</t>
  </si>
  <si>
    <t>SQSKR-02H-1B-LM - no hook</t>
  </si>
  <si>
    <t>SQSKR-02H-5B-LM - with hook left side</t>
  </si>
  <si>
    <t>TMR-051 PIGTAIL ASSEMBLY - S2</t>
  </si>
  <si>
    <t>WP2417a</t>
  </si>
  <si>
    <t>276pcs</t>
  </si>
  <si>
    <t>P170011 0</t>
  </si>
  <si>
    <t>SQSKR-02H-7A-K</t>
  </si>
  <si>
    <t>RM1714</t>
  </si>
  <si>
    <t>TMR-051 PIGTAIL ASSEMBLY - S1</t>
  </si>
  <si>
    <t>WP2609a</t>
  </si>
  <si>
    <t>PIGTAIL ASSEMBLY</t>
  </si>
  <si>
    <t>roll</t>
  </si>
  <si>
    <t>T140139 0</t>
  </si>
  <si>
    <t>PET CLOSE TAPE NO 51036</t>
  </si>
  <si>
    <t>RM1363</t>
  </si>
  <si>
    <t>FEAP Pigtail Taping</t>
  </si>
  <si>
    <t>TMR-051 PIGTAIL TAPING - S5</t>
  </si>
  <si>
    <t>WP2611a</t>
  </si>
  <si>
    <t>TMR-051 PIGTAIL TAPING - S2 HO</t>
  </si>
  <si>
    <t>WP2421a</t>
  </si>
  <si>
    <t>TMR-051 PIGTAIL TAPING - S2</t>
  </si>
  <si>
    <t>WP2420a</t>
  </si>
  <si>
    <t>TMR-051 PIGTAIL TAPING - S1</t>
  </si>
  <si>
    <t>WP2612a</t>
  </si>
  <si>
    <t>PIGTAIL TAPING</t>
  </si>
  <si>
    <t>FEAP Injection Molding</t>
  </si>
  <si>
    <t>V150011 0</t>
  </si>
  <si>
    <t>TMR-051 1st Molding S2  (with IR Testing)</t>
  </si>
  <si>
    <t>WP2830a</t>
  </si>
  <si>
    <t>FEAP Pigtail Welding</t>
  </si>
  <si>
    <t>TMR-051 PIGTAIL WELDING - S5/S2 HO</t>
  </si>
  <si>
    <t>WP2613a</t>
  </si>
  <si>
    <t>TMR-051 PIGTAIL WELDING - S2/S2 HO</t>
  </si>
  <si>
    <t>WP2424a</t>
  </si>
  <si>
    <t>V150010 0</t>
  </si>
  <si>
    <t>TMR-051 1ST MOLDING S1 (with IR Testing)</t>
  </si>
  <si>
    <t>WP2829b</t>
  </si>
  <si>
    <t>TMR-051 PIGTAIL WELDING - S1</t>
  </si>
  <si>
    <t>WP2614a</t>
  </si>
  <si>
    <t>PIGTAIL WELDING</t>
  </si>
  <si>
    <t>Copper coil C1100RH (0.035tx46mmx2050m)</t>
  </si>
  <si>
    <t>RM1195</t>
  </si>
  <si>
    <t>FEAP Slitting</t>
  </si>
  <si>
    <t>W1300329 0</t>
  </si>
  <si>
    <t>1.4MM W SLITTED COPPER CONDUCTOR</t>
  </si>
  <si>
    <t>WP1716a</t>
  </si>
  <si>
    <t>Copper coil C1100RH (0.035tx27mmx2050m)</t>
  </si>
  <si>
    <t>RM1194</t>
  </si>
  <si>
    <t>W130030 0</t>
  </si>
  <si>
    <t>0.8MM W SLITTED COPPER CONDUCTOR</t>
  </si>
  <si>
    <t>WP1717a</t>
  </si>
  <si>
    <t>COPPER SLITTING</t>
  </si>
  <si>
    <t>Dummy pet wire (570H 0.15W.)</t>
  </si>
  <si>
    <t>RM1159</t>
  </si>
  <si>
    <t>Q011861 0</t>
  </si>
  <si>
    <t>NC6002 (Pet Film)</t>
  </si>
  <si>
    <t>RM1154</t>
  </si>
  <si>
    <t>W130029 0</t>
  </si>
  <si>
    <t>TMR051 FFC 2</t>
  </si>
  <si>
    <t>TMR051 FFC 1</t>
  </si>
  <si>
    <t>FFC LAMINATING</t>
  </si>
  <si>
    <t>Enomoto</t>
  </si>
  <si>
    <t>R100074 0</t>
  </si>
  <si>
    <t>TMR-034 1ST MOLDING C2</t>
  </si>
  <si>
    <t>RM941</t>
  </si>
  <si>
    <t>Y080091 2</t>
  </si>
  <si>
    <t>TMR-032 1ST MOLDING KEY 1</t>
  </si>
  <si>
    <t>WP2213a</t>
  </si>
  <si>
    <t>FEAP FFC Assembly</t>
  </si>
  <si>
    <t>N160031 2</t>
  </si>
  <si>
    <t>TMR-051 FFC Assy 6</t>
  </si>
  <si>
    <t>WP3322</t>
  </si>
  <si>
    <t>TMR-051 1st Molding S1 (with IR Testing)</t>
  </si>
  <si>
    <t>U130337 0</t>
  </si>
  <si>
    <t>TMR-041 1ST MOLDING C1</t>
  </si>
  <si>
    <t>RM1254</t>
  </si>
  <si>
    <t>N160030 0</t>
  </si>
  <si>
    <t>TMR-051 FFC Assy 5</t>
  </si>
  <si>
    <t>WP3321</t>
  </si>
  <si>
    <t>Q100071 0</t>
  </si>
  <si>
    <t>Y150082 1</t>
  </si>
  <si>
    <t>TMR-051 FFC Assy 2</t>
  </si>
  <si>
    <t>WP3320</t>
  </si>
  <si>
    <t>Q100070 0</t>
  </si>
  <si>
    <t>TMR-034 1ST MOLDING C1</t>
  </si>
  <si>
    <t>RM940</t>
  </si>
  <si>
    <t>Y150081 2</t>
  </si>
  <si>
    <t>TMR-051 FFC Assy 1</t>
  </si>
  <si>
    <t>WP3319</t>
  </si>
  <si>
    <t>FFC ASSEMBLY</t>
  </si>
  <si>
    <t>2 of 3</t>
  </si>
  <si>
    <t>TMR-051 1st Molding S2 (with Die Cutting)</t>
  </si>
  <si>
    <t>WP2472</t>
  </si>
  <si>
    <t>TMR-051 1st Molding S2 (with IR Testing)</t>
  </si>
  <si>
    <t>WP2473</t>
  </si>
  <si>
    <t>TMR-051 1st Molding S1 (with Die Cutting)</t>
  </si>
  <si>
    <t>WP2470</t>
  </si>
  <si>
    <t>WP2471</t>
  </si>
  <si>
    <t>IR TESTING PROCESS</t>
  </si>
  <si>
    <t>YMTech</t>
  </si>
  <si>
    <t>P010397 1</t>
  </si>
  <si>
    <t>T11/T15 SHORT CIRCUIT SPRING</t>
  </si>
  <si>
    <t>RM1336</t>
  </si>
  <si>
    <t>Q100064 0</t>
  </si>
  <si>
    <t>TMR-034 STATOR HOUSING 1 &amp; 3</t>
  </si>
  <si>
    <t>FEAP SCS Assembly</t>
  </si>
  <si>
    <t>TMR-034 STATOR HOUSING ASSEMBLY</t>
  </si>
  <si>
    <t>WP1927a</t>
  </si>
  <si>
    <t>TMR-034 STATOR HOUSING ASSEMBLY (dual)</t>
  </si>
  <si>
    <t>WP1929a</t>
  </si>
  <si>
    <t>STATOR HOUSING ASSEMBLY</t>
  </si>
  <si>
    <t>WP2472a</t>
  </si>
  <si>
    <t>TMR-051 1ST MOLDING S2 (with IR Testing)</t>
  </si>
  <si>
    <t>WP2470a</t>
  </si>
  <si>
    <r>
      <t>WP2829</t>
    </r>
    <r>
      <rPr>
        <sz val="10"/>
        <color theme="1"/>
        <rFont val="Arial"/>
        <family val="2"/>
      </rPr>
      <t>b</t>
    </r>
  </si>
  <si>
    <t>TMR-051 1ST MOLDING S1</t>
  </si>
  <si>
    <t>DIE CUTTING PROCESS</t>
  </si>
  <si>
    <t>TMR-051 BUS BAR 6P S2 SIDE</t>
  </si>
  <si>
    <t>RM1596</t>
  </si>
  <si>
    <t>TMR-051 BUS BAR 3P S2 SIDE</t>
  </si>
  <si>
    <t>RM1595</t>
  </si>
  <si>
    <t>g</t>
  </si>
  <si>
    <t>DIC-PPS FZ-1140-D5 Resin</t>
  </si>
  <si>
    <t>RM1597</t>
  </si>
  <si>
    <t>TMR-051 1ST MOLDING S2</t>
  </si>
  <si>
    <t>WP2633a</t>
  </si>
  <si>
    <t>TMR-051 BUS BAR 7P S1 SIDE</t>
  </si>
  <si>
    <t>RM1594</t>
  </si>
  <si>
    <t>TMR-051 BUS BAR 2P S1 SIDE</t>
  </si>
  <si>
    <t>RM1593</t>
  </si>
  <si>
    <t>WP2632a</t>
  </si>
  <si>
    <t xml:space="preserve"> </t>
  </si>
  <si>
    <t>VERTICAL INJECTION MOLDING PROCESS</t>
  </si>
  <si>
    <t>WP2873</t>
  </si>
  <si>
    <t>TMR-032 1ST MOLD KEY 1 MIXED RESIN</t>
  </si>
  <si>
    <t>Y080003 2</t>
  </si>
  <si>
    <t>V150009 0</t>
  </si>
  <si>
    <t>TMR-051 Interlock Plate 1</t>
  </si>
  <si>
    <t>WP2880</t>
  </si>
  <si>
    <t>V150007 0</t>
  </si>
  <si>
    <t>TMR-051 Mold Holder 1</t>
  </si>
  <si>
    <t>WP2866</t>
  </si>
  <si>
    <t>LEMALLOY C82HL</t>
  </si>
  <si>
    <t>RM1568</t>
  </si>
  <si>
    <t>V150006 0</t>
  </si>
  <si>
    <t>TMR-051 Sleeve 1</t>
  </si>
  <si>
    <t>WP2463a</t>
  </si>
  <si>
    <t>R160043 0</t>
  </si>
  <si>
    <t>TMR-050 Substator</t>
  </si>
  <si>
    <t>WP2564a</t>
  </si>
  <si>
    <t>R160042 0</t>
  </si>
  <si>
    <t>TMR-050 Stator</t>
  </si>
  <si>
    <t>WP3005</t>
  </si>
  <si>
    <t>Iupital FX-11J (Black) (POM Resin)</t>
  </si>
  <si>
    <t>RM1130</t>
  </si>
  <si>
    <t>R160041 0</t>
  </si>
  <si>
    <t>TMR-050 Rotator</t>
  </si>
  <si>
    <t>WP2562a</t>
  </si>
  <si>
    <t>INJECTION MOLDING PROCESS</t>
  </si>
  <si>
    <t>WP2564</t>
  </si>
  <si>
    <t>RM1682(TPO)</t>
  </si>
  <si>
    <t>RM1681(TPO)</t>
  </si>
  <si>
    <t>for other customer (not for FAS)</t>
  </si>
  <si>
    <t>Y150080 0</t>
  </si>
  <si>
    <t>90467-05172 (Clip)</t>
  </si>
  <si>
    <t>RM1693</t>
  </si>
  <si>
    <t>Y150079 0</t>
  </si>
  <si>
    <t>TMR-051 Clamp 1</t>
  </si>
  <si>
    <t>RM1692</t>
  </si>
  <si>
    <t>L = 760.5 &amp; 885.5</t>
  </si>
  <si>
    <t>U130321 0</t>
  </si>
  <si>
    <t>for FAS only</t>
  </si>
  <si>
    <t>RM1581</t>
  </si>
  <si>
    <t>RM1580</t>
  </si>
  <si>
    <t>MSM</t>
  </si>
  <si>
    <t>U170024 0</t>
  </si>
  <si>
    <t>TMR-051 SPRING 2</t>
  </si>
  <si>
    <t>RM1724</t>
  </si>
  <si>
    <t>JPN</t>
  </si>
  <si>
    <t>Q100067 0</t>
  </si>
  <si>
    <t>TMR-034 NEUTRAL WINDOW 1</t>
  </si>
  <si>
    <t>RM931</t>
  </si>
  <si>
    <t>X090004 0</t>
  </si>
  <si>
    <t>GREASE MULTEMP SC-EF</t>
  </si>
  <si>
    <t>RM927</t>
  </si>
  <si>
    <t>Cable Tie Band</t>
  </si>
  <si>
    <t>T140113 0</t>
  </si>
  <si>
    <t>T18R-HS-PA66(LG)</t>
  </si>
  <si>
    <t>RM1366</t>
  </si>
  <si>
    <t>T140112 0</t>
  </si>
  <si>
    <t>T30R-HSW-PA66(B)</t>
  </si>
  <si>
    <t>RM1365</t>
  </si>
  <si>
    <t>R160033 0</t>
  </si>
  <si>
    <t>BARCODE LABEL 40mm x 6mm</t>
  </si>
  <si>
    <t>RM1638</t>
  </si>
  <si>
    <t>Smart Pack</t>
  </si>
  <si>
    <t>CARBON RIBBON</t>
  </si>
  <si>
    <t>RM002</t>
  </si>
  <si>
    <t>SRC ASSEMBLY</t>
  </si>
  <si>
    <t>77C667-0000</t>
  </si>
  <si>
    <t>9S*</t>
  </si>
  <si>
    <t>Y170032 0</t>
  </si>
  <si>
    <t>TMR-050 18CH CN Steering Roll Connector</t>
  </si>
  <si>
    <t>FG616-JINHEa</t>
  </si>
  <si>
    <t>77C600-0000</t>
  </si>
  <si>
    <t>9W*</t>
  </si>
  <si>
    <t>Q180074 0</t>
  </si>
  <si>
    <t>TMR-050 18CH CN B Steering Roll Connector</t>
  </si>
  <si>
    <t>FG623-JINHEc</t>
  </si>
  <si>
    <t>77C573-0000</t>
  </si>
  <si>
    <t>9E*</t>
  </si>
  <si>
    <t>P170017 2</t>
  </si>
  <si>
    <t>TMR-050 16CH TH Steering Roll Connector</t>
  </si>
  <si>
    <t>FG601-FASTc</t>
  </si>
  <si>
    <t>77C564-0000</t>
  </si>
  <si>
    <t>9D*</t>
  </si>
  <si>
    <t>P170016 2</t>
  </si>
  <si>
    <t>TMR-050 16CH JP Steering Roll Connector</t>
  </si>
  <si>
    <t>FG592-FASa</t>
  </si>
  <si>
    <t>77C565-0000</t>
  </si>
  <si>
    <t>9C*</t>
  </si>
  <si>
    <t>P170015 2</t>
  </si>
  <si>
    <t>TMR-050 18CH JP Steering Roll Connector</t>
  </si>
  <si>
    <t>FG591-FASa</t>
  </si>
  <si>
    <t>77C309-0001A</t>
  </si>
  <si>
    <t>84*</t>
  </si>
  <si>
    <t>R160040 3</t>
  </si>
  <si>
    <t>TMR-050 16CH CN Steering Roll Connector</t>
  </si>
  <si>
    <t>FG573-JINHEc</t>
  </si>
  <si>
    <t>Customer Part No.</t>
  </si>
  <si>
    <t>Barcode No.</t>
  </si>
  <si>
    <t>Model Name</t>
  </si>
  <si>
    <t xml:space="preserve">   </t>
  </si>
  <si>
    <t>H. Toide</t>
  </si>
  <si>
    <t>Implementation Date :</t>
  </si>
  <si>
    <t>Revised Date :</t>
  </si>
  <si>
    <t>Established Date :</t>
  </si>
  <si>
    <t>TITLE</t>
  </si>
  <si>
    <t>Prepared By</t>
  </si>
  <si>
    <t>Checked By</t>
  </si>
  <si>
    <t>Approved By</t>
  </si>
  <si>
    <t>N/A</t>
  </si>
  <si>
    <t>Reference No. :</t>
  </si>
  <si>
    <t>DOCUMENT NO.</t>
  </si>
  <si>
    <t>1 of 3</t>
  </si>
  <si>
    <t>Page No./ Total No. of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</si>
</sst>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"/>
    <numFmt numFmtId="166" formatCode="0.0000"/>
    <numFmt numFmtId="167" formatCode="mmmm\ d\,\ yyyy"/>
    <numFmt numFmtId="168" formatCode="0.000"/>
    <numFmt numFmtId="169" formatCode="[$-409]mmmm\ d\,\ yyyy;@"/>
  </numFmts>
  <fonts count="32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sz val="24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b/>
      <sz val="5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b/>
      <sz val="20"/>
      <name val="Arial"/>
      <family val="2"/>
    </font>
    <font>
      <b/>
      <sz val="24"/>
      <color theme="1"/>
      <name val="Arial"/>
      <family val="2"/>
    </font>
    <font>
      <b/>
      <sz val="20"/>
      <color theme="1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sz val="11"/>
      <name val="Arial"/>
      <family val="2"/>
    </font>
    <font>
      <sz val="12"/>
      <color indexed="9"/>
      <name val="Arial"/>
      <family val="2"/>
    </font>
    <font>
      <sz val="11"/>
      <name val="ＭＳ Ｐゴシック"/>
      <family val="3"/>
      <charset val="128"/>
    </font>
    <font>
      <sz val="9"/>
      <name val="Arial"/>
      <family val="2"/>
    </font>
    <font>
      <b/>
      <sz val="8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4" fillId="0" borderId="0">
      <alignment vertical="center"/>
    </xf>
    <xf numFmtId="0" fontId="24" fillId="0" borderId="0">
      <alignment vertical="center"/>
    </xf>
    <xf numFmtId="0" fontId="1" fillId="0" borderId="0"/>
  </cellStyleXfs>
  <cellXfs count="73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7" fillId="0" borderId="0" xfId="1" applyFont="1" applyAlignment="1">
      <alignment horizontal="centerContinuous" vertical="center"/>
    </xf>
    <xf numFmtId="0" fontId="8" fillId="0" borderId="1" xfId="1" applyFont="1" applyBorder="1" applyAlignment="1">
      <alignment horizontal="centerContinuous" vertical="center"/>
    </xf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164" fontId="1" fillId="0" borderId="3" xfId="1" applyNumberForma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9" xfId="1" applyBorder="1" applyAlignment="1">
      <alignment vertical="center"/>
    </xf>
    <xf numFmtId="0" fontId="9" fillId="0" borderId="10" xfId="1" applyFont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13" xfId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12" xfId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2" xfId="1" applyFont="1" applyBorder="1" applyAlignment="1">
      <alignment vertical="center"/>
    </xf>
    <xf numFmtId="0" fontId="9" fillId="0" borderId="16" xfId="1" applyFont="1" applyBorder="1" applyAlignment="1">
      <alignment horizontal="left" vertical="center"/>
    </xf>
    <xf numFmtId="0" fontId="1" fillId="0" borderId="17" xfId="1" applyBorder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19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1" xfId="1" applyBorder="1" applyAlignment="1">
      <alignment vertical="center"/>
    </xf>
    <xf numFmtId="0" fontId="9" fillId="0" borderId="22" xfId="1" applyFont="1" applyBorder="1" applyAlignment="1">
      <alignment vertical="center"/>
    </xf>
    <xf numFmtId="0" fontId="1" fillId="0" borderId="23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25" xfId="1" applyBorder="1" applyAlignment="1">
      <alignment vertical="center"/>
    </xf>
    <xf numFmtId="0" fontId="1" fillId="0" borderId="26" xfId="1" applyBorder="1" applyAlignment="1">
      <alignment vertical="center"/>
    </xf>
    <xf numFmtId="0" fontId="1" fillId="0" borderId="27" xfId="1" applyBorder="1" applyAlignment="1">
      <alignment vertical="center"/>
    </xf>
    <xf numFmtId="0" fontId="1" fillId="0" borderId="28" xfId="1" applyBorder="1" applyAlignment="1">
      <alignment vertical="center"/>
    </xf>
    <xf numFmtId="0" fontId="4" fillId="0" borderId="24" xfId="1" applyFont="1" applyBorder="1" applyAlignment="1">
      <alignment horizontal="center" vertical="center"/>
    </xf>
    <xf numFmtId="0" fontId="4" fillId="0" borderId="24" xfId="1" applyFont="1" applyBorder="1" applyAlignment="1">
      <alignment vertical="center"/>
    </xf>
    <xf numFmtId="0" fontId="4" fillId="0" borderId="29" xfId="1" applyFont="1" applyBorder="1" applyAlignment="1">
      <alignment vertical="center"/>
    </xf>
    <xf numFmtId="0" fontId="9" fillId="0" borderId="30" xfId="1" applyFont="1" applyBorder="1" applyAlignment="1">
      <alignment vertical="center"/>
    </xf>
    <xf numFmtId="0" fontId="9" fillId="0" borderId="26" xfId="1" applyFont="1" applyBorder="1" applyAlignment="1">
      <alignment vertical="center"/>
    </xf>
    <xf numFmtId="0" fontId="9" fillId="0" borderId="31" xfId="1" applyFont="1" applyBorder="1" applyAlignment="1">
      <alignment horizontal="left" vertical="center"/>
    </xf>
    <xf numFmtId="0" fontId="4" fillId="0" borderId="34" xfId="1" applyFont="1" applyBorder="1" applyAlignment="1">
      <alignment horizontal="center" vertical="center" shrinkToFit="1"/>
    </xf>
    <xf numFmtId="0" fontId="4" fillId="0" borderId="36" xfId="1" applyFont="1" applyBorder="1" applyAlignment="1">
      <alignment horizontal="center" vertical="center" shrinkToFit="1"/>
    </xf>
    <xf numFmtId="0" fontId="10" fillId="0" borderId="36" xfId="1" applyFont="1" applyBorder="1" applyAlignment="1">
      <alignment horizontal="center" vertical="center" wrapText="1"/>
    </xf>
    <xf numFmtId="0" fontId="11" fillId="0" borderId="40" xfId="1" applyFont="1" applyBorder="1" applyAlignment="1">
      <alignment horizontal="center" vertical="center" shrinkToFit="1"/>
    </xf>
    <xf numFmtId="0" fontId="11" fillId="0" borderId="42" xfId="1" applyFont="1" applyBorder="1" applyAlignment="1">
      <alignment horizontal="center" vertical="center" shrinkToFit="1"/>
    </xf>
    <xf numFmtId="0" fontId="1" fillId="0" borderId="44" xfId="1" applyBorder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8" fillId="0" borderId="0" xfId="1" applyFont="1" applyAlignment="1">
      <alignment vertical="center"/>
    </xf>
    <xf numFmtId="0" fontId="9" fillId="0" borderId="45" xfId="1" applyFont="1" applyBorder="1" applyAlignment="1">
      <alignment vertical="center"/>
    </xf>
    <xf numFmtId="0" fontId="2" fillId="0" borderId="46" xfId="1" applyFont="1" applyBorder="1" applyAlignment="1">
      <alignment vertical="center"/>
    </xf>
    <xf numFmtId="0" fontId="2" fillId="0" borderId="26" xfId="1" applyFont="1" applyBorder="1" applyAlignment="1">
      <alignment vertical="center"/>
    </xf>
    <xf numFmtId="0" fontId="12" fillId="0" borderId="47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/>
    </xf>
    <xf numFmtId="0" fontId="1" fillId="0" borderId="26" xfId="1" applyBorder="1" applyAlignment="1">
      <alignment vertical="top"/>
    </xf>
    <xf numFmtId="0" fontId="8" fillId="0" borderId="26" xfId="1" applyFont="1" applyBorder="1" applyAlignment="1">
      <alignment vertical="top"/>
    </xf>
    <xf numFmtId="0" fontId="8" fillId="0" borderId="47" xfId="1" applyFont="1" applyBorder="1" applyAlignment="1">
      <alignment vertical="top"/>
    </xf>
    <xf numFmtId="0" fontId="2" fillId="0" borderId="48" xfId="1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12" fillId="0" borderId="25" xfId="1" applyFont="1" applyBorder="1" applyAlignment="1">
      <alignment horizontal="center" vertical="center"/>
    </xf>
    <xf numFmtId="0" fontId="1" fillId="0" borderId="0" xfId="1" applyAlignment="1">
      <alignment vertical="top"/>
    </xf>
    <xf numFmtId="0" fontId="8" fillId="0" borderId="0" xfId="1" applyFont="1" applyAlignment="1">
      <alignment vertical="top"/>
    </xf>
    <xf numFmtId="0" fontId="8" fillId="0" borderId="1" xfId="1" applyFont="1" applyBorder="1" applyAlignment="1">
      <alignment vertical="top"/>
    </xf>
    <xf numFmtId="0" fontId="1" fillId="0" borderId="1" xfId="1" applyBorder="1" applyAlignment="1">
      <alignment vertical="center"/>
    </xf>
    <xf numFmtId="0" fontId="1" fillId="0" borderId="30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9" xfId="1" applyBorder="1" applyAlignment="1">
      <alignment horizontal="left" vertical="center"/>
    </xf>
    <xf numFmtId="0" fontId="1" fillId="0" borderId="29" xfId="1" applyBorder="1" applyAlignment="1">
      <alignment horizontal="left" vertical="top"/>
    </xf>
    <xf numFmtId="0" fontId="1" fillId="0" borderId="18" xfId="1" applyBorder="1" applyAlignment="1">
      <alignment horizontal="left" vertical="top"/>
    </xf>
    <xf numFmtId="0" fontId="8" fillId="0" borderId="18" xfId="1" applyFont="1" applyBorder="1" applyAlignment="1">
      <alignment horizontal="left" vertical="top"/>
    </xf>
    <xf numFmtId="0" fontId="8" fillId="0" borderId="19" xfId="1" applyFont="1" applyBorder="1" applyAlignment="1">
      <alignment horizontal="left" vertical="top"/>
    </xf>
    <xf numFmtId="0" fontId="1" fillId="0" borderId="41" xfId="1" applyBorder="1" applyAlignment="1">
      <alignment vertical="center"/>
    </xf>
    <xf numFmtId="0" fontId="1" fillId="0" borderId="39" xfId="1" applyBorder="1" applyAlignment="1">
      <alignment vertical="center"/>
    </xf>
    <xf numFmtId="0" fontId="1" fillId="0" borderId="39" xfId="1" applyBorder="1" applyAlignment="1">
      <alignment horizontal="center" vertical="center"/>
    </xf>
    <xf numFmtId="0" fontId="8" fillId="0" borderId="39" xfId="1" applyFont="1" applyBorder="1" applyAlignment="1">
      <alignment vertical="center"/>
    </xf>
    <xf numFmtId="0" fontId="9" fillId="0" borderId="40" xfId="1" applyFont="1" applyBorder="1" applyAlignment="1">
      <alignment vertical="center"/>
    </xf>
    <xf numFmtId="0" fontId="2" fillId="0" borderId="49" xfId="1" applyFont="1" applyBorder="1" applyAlignment="1">
      <alignment vertical="center"/>
    </xf>
    <xf numFmtId="0" fontId="2" fillId="0" borderId="50" xfId="1" applyFont="1" applyBorder="1" applyAlignment="1">
      <alignment vertical="center"/>
    </xf>
    <xf numFmtId="0" fontId="1" fillId="0" borderId="50" xfId="1" applyBorder="1" applyAlignment="1">
      <alignment vertical="center"/>
    </xf>
    <xf numFmtId="0" fontId="1" fillId="0" borderId="51" xfId="1" applyBorder="1" applyAlignment="1">
      <alignment vertical="center"/>
    </xf>
    <xf numFmtId="0" fontId="1" fillId="0" borderId="52" xfId="1" applyBorder="1" applyAlignment="1">
      <alignment vertical="center"/>
    </xf>
    <xf numFmtId="164" fontId="1" fillId="0" borderId="7" xfId="1" applyNumberFormat="1" applyBorder="1" applyAlignment="1">
      <alignment wrapText="1"/>
    </xf>
    <xf numFmtId="166" fontId="1" fillId="0" borderId="51" xfId="1" applyNumberFormat="1" applyBorder="1" applyAlignment="1">
      <alignment horizontal="center" vertical="center"/>
    </xf>
    <xf numFmtId="166" fontId="1" fillId="0" borderId="50" xfId="1" applyNumberFormat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0" fontId="4" fillId="0" borderId="50" xfId="1" applyFont="1" applyBorder="1" applyAlignment="1">
      <alignment vertical="center"/>
    </xf>
    <xf numFmtId="0" fontId="1" fillId="0" borderId="50" xfId="2" applyBorder="1" applyAlignment="1">
      <alignment vertical="center"/>
    </xf>
    <xf numFmtId="0" fontId="8" fillId="2" borderId="51" xfId="2" applyFont="1" applyFill="1" applyBorder="1" applyAlignment="1">
      <alignment vertical="center"/>
    </xf>
    <xf numFmtId="0" fontId="8" fillId="2" borderId="50" xfId="2" applyFont="1" applyFill="1" applyBorder="1" applyAlignment="1">
      <alignment vertical="center"/>
    </xf>
    <xf numFmtId="165" fontId="9" fillId="2" borderId="50" xfId="2" applyNumberFormat="1" applyFont="1" applyFill="1" applyBorder="1" applyAlignment="1">
      <alignment vertical="center" wrapText="1"/>
    </xf>
    <xf numFmtId="0" fontId="2" fillId="0" borderId="53" xfId="1" applyFont="1" applyBorder="1" applyAlignment="1">
      <alignment vertical="center"/>
    </xf>
    <xf numFmtId="0" fontId="1" fillId="0" borderId="46" xfId="1" applyBorder="1" applyAlignment="1">
      <alignment vertical="center"/>
    </xf>
    <xf numFmtId="0" fontId="1" fillId="0" borderId="47" xfId="1" applyBorder="1" applyAlignment="1">
      <alignment vertical="center"/>
    </xf>
    <xf numFmtId="164" fontId="1" fillId="0" borderId="25" xfId="1" applyNumberFormat="1" applyBorder="1" applyAlignment="1">
      <alignment vertical="center" wrapText="1"/>
    </xf>
    <xf numFmtId="166" fontId="1" fillId="0" borderId="46" xfId="1" applyNumberFormat="1" applyBorder="1" applyAlignment="1">
      <alignment horizontal="center" vertical="center"/>
    </xf>
    <xf numFmtId="166" fontId="1" fillId="0" borderId="26" xfId="1" applyNumberFormat="1" applyBorder="1" applyAlignment="1">
      <alignment horizontal="center" vertical="center"/>
    </xf>
    <xf numFmtId="0" fontId="1" fillId="0" borderId="46" xfId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4" fillId="0" borderId="26" xfId="1" applyFont="1" applyBorder="1" applyAlignment="1">
      <alignment vertical="center"/>
    </xf>
    <xf numFmtId="0" fontId="1" fillId="0" borderId="26" xfId="2" applyBorder="1" applyAlignment="1">
      <alignment vertical="center"/>
    </xf>
    <xf numFmtId="0" fontId="8" fillId="2" borderId="46" xfId="2" applyFont="1" applyFill="1" applyBorder="1" applyAlignment="1">
      <alignment vertical="center"/>
    </xf>
    <xf numFmtId="0" fontId="8" fillId="2" borderId="26" xfId="2" applyFont="1" applyFill="1" applyBorder="1" applyAlignment="1">
      <alignment vertical="center"/>
    </xf>
    <xf numFmtId="165" fontId="9" fillId="2" borderId="26" xfId="2" applyNumberFormat="1" applyFont="1" applyFill="1" applyBorder="1" applyAlignment="1">
      <alignment vertical="center" wrapText="1"/>
    </xf>
    <xf numFmtId="0" fontId="2" fillId="0" borderId="11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1" fillId="0" borderId="15" xfId="1" applyBorder="1" applyAlignment="1">
      <alignment vertical="center"/>
    </xf>
    <xf numFmtId="166" fontId="1" fillId="0" borderId="12" xfId="2" applyNumberFormat="1" applyBorder="1" applyAlignment="1">
      <alignment horizontal="center" vertical="center" wrapText="1"/>
    </xf>
    <xf numFmtId="166" fontId="1" fillId="0" borderId="12" xfId="1" applyNumberFormat="1" applyBorder="1" applyAlignment="1">
      <alignment horizontal="center" vertical="center"/>
    </xf>
    <xf numFmtId="166" fontId="1" fillId="0" borderId="15" xfId="1" applyNumberForma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4" fillId="0" borderId="12" xfId="2" applyFont="1" applyBorder="1" applyAlignment="1">
      <alignment vertical="center"/>
    </xf>
    <xf numFmtId="0" fontId="8" fillId="2" borderId="15" xfId="2" applyFont="1" applyFill="1" applyBorder="1" applyAlignment="1">
      <alignment vertical="center"/>
    </xf>
    <xf numFmtId="0" fontId="8" fillId="2" borderId="12" xfId="2" applyFont="1" applyFill="1" applyBorder="1" applyAlignment="1">
      <alignment vertical="center"/>
    </xf>
    <xf numFmtId="165" fontId="9" fillId="2" borderId="12" xfId="2" applyNumberFormat="1" applyFont="1" applyFill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1" fillId="0" borderId="8" xfId="1" applyBorder="1" applyAlignment="1">
      <alignment vertical="center"/>
    </xf>
    <xf numFmtId="166" fontId="1" fillId="0" borderId="7" xfId="2" applyNumberFormat="1" applyBorder="1" applyAlignment="1">
      <alignment horizontal="center" vertical="center" wrapText="1"/>
    </xf>
    <xf numFmtId="166" fontId="1" fillId="0" borderId="6" xfId="1" applyNumberFormat="1" applyBorder="1" applyAlignment="1">
      <alignment horizontal="center" vertical="center"/>
    </xf>
    <xf numFmtId="166" fontId="1" fillId="0" borderId="7" xfId="1" applyNumberFormat="1" applyBorder="1" applyAlignment="1">
      <alignment horizontal="center" vertical="center"/>
    </xf>
    <xf numFmtId="0" fontId="4" fillId="0" borderId="6" xfId="1" applyFont="1" applyBorder="1" applyAlignment="1">
      <alignment vertical="center"/>
    </xf>
    <xf numFmtId="0" fontId="1" fillId="0" borderId="52" xfId="2" applyBorder="1" applyAlignment="1">
      <alignment vertical="center"/>
    </xf>
    <xf numFmtId="0" fontId="8" fillId="0" borderId="8" xfId="2" applyFont="1" applyBorder="1" applyAlignment="1">
      <alignment vertical="center"/>
    </xf>
    <xf numFmtId="0" fontId="8" fillId="0" borderId="6" xfId="2" applyFont="1" applyBorder="1" applyAlignment="1">
      <alignment vertical="center"/>
    </xf>
    <xf numFmtId="165" fontId="9" fillId="0" borderId="6" xfId="2" applyNumberFormat="1" applyFont="1" applyBorder="1" applyAlignment="1">
      <alignment vertical="center" wrapText="1"/>
    </xf>
    <xf numFmtId="0" fontId="2" fillId="0" borderId="17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1" fillId="0" borderId="20" xfId="1" applyBorder="1" applyAlignment="1">
      <alignment vertical="center"/>
    </xf>
    <xf numFmtId="166" fontId="1" fillId="0" borderId="19" xfId="2" applyNumberFormat="1" applyBorder="1" applyAlignment="1">
      <alignment horizontal="center" vertical="center" wrapText="1"/>
    </xf>
    <xf numFmtId="166" fontId="1" fillId="0" borderId="25" xfId="2" applyNumberFormat="1" applyBorder="1" applyAlignment="1">
      <alignment horizontal="center" vertical="center" wrapText="1"/>
    </xf>
    <xf numFmtId="166" fontId="1" fillId="0" borderId="18" xfId="1" applyNumberFormat="1" applyBorder="1" applyAlignment="1">
      <alignment horizontal="center" vertical="center"/>
    </xf>
    <xf numFmtId="166" fontId="1" fillId="0" borderId="19" xfId="1" applyNumberFormat="1" applyBorder="1" applyAlignment="1">
      <alignment horizontal="center" vertical="center"/>
    </xf>
    <xf numFmtId="0" fontId="4" fillId="0" borderId="18" xfId="1" applyFont="1" applyBorder="1" applyAlignment="1">
      <alignment vertical="center"/>
    </xf>
    <xf numFmtId="0" fontId="1" fillId="0" borderId="25" xfId="2" applyBorder="1" applyAlignment="1">
      <alignment vertical="center"/>
    </xf>
    <xf numFmtId="0" fontId="8" fillId="0" borderId="30" xfId="2" applyFont="1" applyBorder="1" applyAlignment="1">
      <alignment vertical="center"/>
    </xf>
    <xf numFmtId="0" fontId="8" fillId="0" borderId="18" xfId="2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2" fillId="0" borderId="38" xfId="1" applyFont="1" applyBorder="1" applyAlignment="1">
      <alignment vertical="center"/>
    </xf>
    <xf numFmtId="0" fontId="2" fillId="0" borderId="39" xfId="1" applyFont="1" applyBorder="1" applyAlignment="1">
      <alignment vertical="center"/>
    </xf>
    <xf numFmtId="0" fontId="1" fillId="0" borderId="40" xfId="1" applyBorder="1" applyAlignment="1">
      <alignment vertical="center"/>
    </xf>
    <xf numFmtId="166" fontId="1" fillId="0" borderId="12" xfId="1" applyNumberFormat="1" applyBorder="1" applyAlignment="1">
      <alignment vertical="center"/>
    </xf>
    <xf numFmtId="166" fontId="12" fillId="0" borderId="12" xfId="1" applyNumberFormat="1" applyFont="1" applyBorder="1" applyAlignment="1">
      <alignment horizontal="center" vertical="center"/>
    </xf>
    <xf numFmtId="166" fontId="12" fillId="0" borderId="13" xfId="1" applyNumberFormat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12" fillId="0" borderId="12" xfId="1" applyFont="1" applyBorder="1" applyAlignment="1">
      <alignment vertical="center"/>
    </xf>
    <xf numFmtId="0" fontId="9" fillId="0" borderId="15" xfId="2" applyFont="1" applyBorder="1" applyAlignment="1">
      <alignment vertical="center"/>
    </xf>
    <xf numFmtId="0" fontId="9" fillId="0" borderId="12" xfId="2" applyFont="1" applyBorder="1" applyAlignment="1">
      <alignment vertical="center"/>
    </xf>
    <xf numFmtId="0" fontId="9" fillId="0" borderId="15" xfId="2" applyFont="1" applyBorder="1" applyAlignment="1">
      <alignment horizontal="left" vertical="center"/>
    </xf>
    <xf numFmtId="1" fontId="1" fillId="0" borderId="7" xfId="1" applyNumberFormat="1" applyBorder="1" applyAlignment="1">
      <alignment horizontal="center" vertical="center"/>
    </xf>
    <xf numFmtId="0" fontId="8" fillId="0" borderId="8" xfId="1" applyFont="1" applyBorder="1" applyAlignment="1">
      <alignment vertical="center"/>
    </xf>
    <xf numFmtId="0" fontId="8" fillId="0" borderId="8" xfId="1" applyFont="1" applyBorder="1" applyAlignment="1">
      <alignment horizontal="left" vertical="center"/>
    </xf>
    <xf numFmtId="0" fontId="9" fillId="0" borderId="6" xfId="1" applyFont="1" applyBorder="1" applyAlignment="1">
      <alignment vertical="center"/>
    </xf>
    <xf numFmtId="0" fontId="13" fillId="0" borderId="13" xfId="1" applyFont="1" applyBorder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2" xfId="1" applyFont="1" applyBorder="1" applyAlignment="1">
      <alignment vertical="center"/>
    </xf>
    <xf numFmtId="0" fontId="14" fillId="0" borderId="17" xfId="1" applyFont="1" applyBorder="1" applyAlignment="1">
      <alignment vertical="center"/>
    </xf>
    <xf numFmtId="0" fontId="14" fillId="0" borderId="18" xfId="1" applyFont="1" applyBorder="1" applyAlignment="1">
      <alignment vertical="center"/>
    </xf>
    <xf numFmtId="0" fontId="14" fillId="0" borderId="19" xfId="1" applyFont="1" applyBorder="1" applyAlignment="1">
      <alignment vertical="center"/>
    </xf>
    <xf numFmtId="164" fontId="1" fillId="0" borderId="25" xfId="1" applyNumberFormat="1" applyBorder="1" applyAlignment="1">
      <alignment horizontal="center" vertical="center"/>
    </xf>
    <xf numFmtId="166" fontId="4" fillId="0" borderId="18" xfId="1" applyNumberFormat="1" applyFont="1" applyBorder="1" applyAlignment="1">
      <alignment horizontal="center" vertical="center"/>
    </xf>
    <xf numFmtId="166" fontId="4" fillId="0" borderId="19" xfId="1" applyNumberFormat="1" applyFont="1" applyBorder="1" applyAlignment="1">
      <alignment horizontal="center" vertical="center"/>
    </xf>
    <xf numFmtId="0" fontId="4" fillId="0" borderId="18" xfId="1" applyFont="1" applyBorder="1" applyAlignment="1">
      <alignment horizontal="centerContinuous" vertical="center"/>
    </xf>
    <xf numFmtId="0" fontId="8" fillId="0" borderId="18" xfId="1" applyFont="1" applyBorder="1" applyAlignment="1">
      <alignment vertical="center"/>
    </xf>
    <xf numFmtId="0" fontId="8" fillId="0" borderId="20" xfId="1" applyFont="1" applyBorder="1" applyAlignment="1">
      <alignment horizontal="left" vertical="center"/>
    </xf>
    <xf numFmtId="165" fontId="9" fillId="0" borderId="18" xfId="1" applyNumberFormat="1" applyFont="1" applyBorder="1" applyAlignment="1">
      <alignment vertical="center" wrapText="1"/>
    </xf>
    <xf numFmtId="0" fontId="14" fillId="0" borderId="23" xfId="1" applyFont="1" applyBorder="1" applyAlignment="1">
      <alignment vertical="center"/>
    </xf>
    <xf numFmtId="0" fontId="14" fillId="0" borderId="24" xfId="1" applyFont="1" applyBorder="1" applyAlignment="1">
      <alignment vertical="center"/>
    </xf>
    <xf numFmtId="0" fontId="14" fillId="0" borderId="25" xfId="1" applyFont="1" applyBorder="1" applyAlignment="1">
      <alignment vertical="center"/>
    </xf>
    <xf numFmtId="166" fontId="1" fillId="0" borderId="24" xfId="1" applyNumberFormat="1" applyBorder="1" applyAlignment="1">
      <alignment horizontal="center" vertical="center"/>
    </xf>
    <xf numFmtId="166" fontId="1" fillId="0" borderId="25" xfId="1" applyNumberFormat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8" fillId="0" borderId="30" xfId="1" applyFont="1" applyBorder="1" applyAlignment="1">
      <alignment vertical="center"/>
    </xf>
    <xf numFmtId="0" fontId="8" fillId="0" borderId="30" xfId="1" applyFont="1" applyBorder="1" applyAlignment="1">
      <alignment horizontal="left" vertical="center"/>
    </xf>
    <xf numFmtId="0" fontId="9" fillId="0" borderId="24" xfId="1" applyFont="1" applyBorder="1" applyAlignment="1">
      <alignment vertical="center"/>
    </xf>
    <xf numFmtId="0" fontId="14" fillId="0" borderId="11" xfId="1" applyFont="1" applyBorder="1" applyAlignment="1">
      <alignment vertical="center"/>
    </xf>
    <xf numFmtId="0" fontId="14" fillId="0" borderId="12" xfId="1" applyFont="1" applyBorder="1" applyAlignment="1">
      <alignment vertical="center"/>
    </xf>
    <xf numFmtId="0" fontId="14" fillId="0" borderId="13" xfId="1" applyFont="1" applyBorder="1" applyAlignment="1">
      <alignment vertical="center"/>
    </xf>
    <xf numFmtId="166" fontId="12" fillId="0" borderId="27" xfId="1" applyNumberFormat="1" applyFont="1" applyBorder="1" applyAlignment="1">
      <alignment vertical="center"/>
    </xf>
    <xf numFmtId="166" fontId="12" fillId="0" borderId="12" xfId="1" applyNumberFormat="1" applyFont="1" applyBorder="1" applyAlignment="1">
      <alignment vertical="center"/>
    </xf>
    <xf numFmtId="166" fontId="12" fillId="0" borderId="13" xfId="1" applyNumberFormat="1" applyFont="1" applyBorder="1" applyAlignment="1">
      <alignment vertical="center"/>
    </xf>
    <xf numFmtId="0" fontId="13" fillId="0" borderId="54" xfId="1" applyFont="1" applyBorder="1" applyAlignment="1">
      <alignment vertical="center"/>
    </xf>
    <xf numFmtId="0" fontId="15" fillId="0" borderId="55" xfId="1" applyFont="1" applyBorder="1" applyAlignment="1">
      <alignment vertical="center"/>
    </xf>
    <xf numFmtId="167" fontId="9" fillId="0" borderId="0" xfId="1" applyNumberFormat="1" applyFont="1" applyAlignment="1">
      <alignment vertical="center"/>
    </xf>
    <xf numFmtId="0" fontId="9" fillId="0" borderId="0" xfId="1" applyFont="1" applyAlignment="1">
      <alignment vertical="center"/>
    </xf>
    <xf numFmtId="0" fontId="10" fillId="0" borderId="40" xfId="1" applyFont="1" applyBorder="1" applyAlignment="1">
      <alignment horizontal="center" vertical="center" wrapText="1"/>
    </xf>
    <xf numFmtId="0" fontId="1" fillId="0" borderId="49" xfId="1" applyBorder="1" applyAlignment="1">
      <alignment vertical="center"/>
    </xf>
    <xf numFmtId="0" fontId="4" fillId="0" borderId="50" xfId="1" applyFont="1" applyBorder="1" applyAlignment="1">
      <alignment horizontal="centerContinuous" vertical="center"/>
    </xf>
    <xf numFmtId="0" fontId="8" fillId="0" borderId="50" xfId="1" applyFont="1" applyBorder="1" applyAlignment="1">
      <alignment vertical="center"/>
    </xf>
    <xf numFmtId="0" fontId="9" fillId="0" borderId="50" xfId="1" applyFont="1" applyBorder="1" applyAlignment="1">
      <alignment vertical="center"/>
    </xf>
    <xf numFmtId="0" fontId="16" fillId="0" borderId="52" xfId="1" applyFont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0" fontId="15" fillId="0" borderId="6" xfId="1" applyFont="1" applyBorder="1" applyAlignment="1">
      <alignment vertical="center"/>
    </xf>
    <xf numFmtId="164" fontId="16" fillId="0" borderId="25" xfId="1" applyNumberFormat="1" applyFont="1" applyBorder="1" applyAlignment="1">
      <alignment horizontal="center" vertical="center"/>
    </xf>
    <xf numFmtId="0" fontId="2" fillId="0" borderId="24" xfId="1" applyFont="1" applyBorder="1" applyAlignment="1">
      <alignment vertical="center"/>
    </xf>
    <xf numFmtId="0" fontId="15" fillId="0" borderId="24" xfId="1" applyFont="1" applyBorder="1" applyAlignment="1">
      <alignment vertical="center"/>
    </xf>
    <xf numFmtId="0" fontId="2" fillId="4" borderId="0" xfId="1" applyFont="1" applyFill="1" applyAlignment="1">
      <alignment vertical="center"/>
    </xf>
    <xf numFmtId="0" fontId="1" fillId="4" borderId="0" xfId="1" applyFill="1" applyAlignment="1">
      <alignment vertical="center"/>
    </xf>
    <xf numFmtId="0" fontId="4" fillId="0" borderId="47" xfId="1" applyFont="1" applyBorder="1" applyAlignment="1">
      <alignment vertical="center"/>
    </xf>
    <xf numFmtId="0" fontId="8" fillId="0" borderId="6" xfId="1" applyFont="1" applyBorder="1" applyAlignment="1">
      <alignment vertical="center"/>
    </xf>
    <xf numFmtId="0" fontId="1" fillId="0" borderId="25" xfId="1" applyBorder="1" applyAlignment="1">
      <alignment horizontal="center" vertical="center"/>
    </xf>
    <xf numFmtId="0" fontId="16" fillId="0" borderId="12" xfId="1" applyFont="1" applyBorder="1" applyAlignment="1">
      <alignment vertical="center"/>
    </xf>
    <xf numFmtId="0" fontId="1" fillId="0" borderId="53" xfId="1" applyBorder="1" applyAlignment="1">
      <alignment vertical="center"/>
    </xf>
    <xf numFmtId="0" fontId="4" fillId="0" borderId="26" xfId="1" applyFont="1" applyBorder="1" applyAlignment="1">
      <alignment horizontal="center" vertical="center"/>
    </xf>
    <xf numFmtId="0" fontId="4" fillId="0" borderId="13" xfId="1" applyFont="1" applyBorder="1" applyAlignment="1">
      <alignment vertical="center"/>
    </xf>
    <xf numFmtId="0" fontId="4" fillId="0" borderId="25" xfId="1" applyFont="1" applyBorder="1" applyAlignment="1">
      <alignment vertical="center"/>
    </xf>
    <xf numFmtId="0" fontId="6" fillId="0" borderId="51" xfId="1" applyFont="1" applyBorder="1" applyAlignment="1">
      <alignment vertical="center"/>
    </xf>
    <xf numFmtId="0" fontId="6" fillId="0" borderId="50" xfId="1" applyFont="1" applyBorder="1" applyAlignment="1">
      <alignment vertical="center"/>
    </xf>
    <xf numFmtId="0" fontId="2" fillId="0" borderId="50" xfId="1" applyFont="1" applyBorder="1" applyAlignment="1">
      <alignment horizontal="centerContinuous" vertical="center"/>
    </xf>
    <xf numFmtId="0" fontId="3" fillId="0" borderId="50" xfId="1" applyFont="1" applyBorder="1" applyAlignment="1">
      <alignment horizontal="centerContinuous" vertical="center"/>
    </xf>
    <xf numFmtId="0" fontId="7" fillId="0" borderId="50" xfId="1" applyFont="1" applyBorder="1" applyAlignment="1">
      <alignment horizontal="centerContinuous" vertical="center"/>
    </xf>
    <xf numFmtId="0" fontId="8" fillId="0" borderId="50" xfId="1" applyFont="1" applyBorder="1" applyAlignment="1">
      <alignment horizontal="centerContinuous" vertical="center"/>
    </xf>
    <xf numFmtId="0" fontId="6" fillId="0" borderId="48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1" fillId="0" borderId="0" xfId="1" applyAlignment="1">
      <alignment horizontal="centerContinuous" vertical="center"/>
    </xf>
    <xf numFmtId="0" fontId="8" fillId="0" borderId="0" xfId="1" applyFont="1" applyAlignment="1">
      <alignment horizontal="centerContinuous" vertical="center"/>
    </xf>
    <xf numFmtId="0" fontId="18" fillId="0" borderId="0" xfId="1" applyFont="1" applyAlignment="1">
      <alignment horizontal="center" vertical="center"/>
    </xf>
    <xf numFmtId="0" fontId="19" fillId="0" borderId="0" xfId="1" applyFont="1" applyAlignment="1">
      <alignment horizontal="centerContinuous" vertical="center"/>
    </xf>
    <xf numFmtId="0" fontId="6" fillId="0" borderId="20" xfId="1" applyFont="1" applyBorder="1" applyAlignment="1">
      <alignment vertical="center"/>
    </xf>
    <xf numFmtId="0" fontId="6" fillId="0" borderId="18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3" fillId="0" borderId="18" xfId="1" applyFont="1" applyBorder="1" applyAlignment="1">
      <alignment horizontal="centerContinuous" vertical="center"/>
    </xf>
    <xf numFmtId="0" fontId="1" fillId="0" borderId="0" xfId="1" applyAlignment="1">
      <alignment horizontal="center" vertical="center" shrinkToFit="1"/>
    </xf>
    <xf numFmtId="164" fontId="1" fillId="0" borderId="52" xfId="1" applyNumberFormat="1" applyBorder="1" applyAlignment="1">
      <alignment horizontal="center" vertical="center"/>
    </xf>
    <xf numFmtId="0" fontId="8" fillId="0" borderId="5" xfId="1" applyFont="1" applyBorder="1" applyAlignment="1">
      <alignment vertical="center"/>
    </xf>
    <xf numFmtId="0" fontId="1" fillId="0" borderId="56" xfId="1" applyBorder="1" applyAlignment="1">
      <alignment vertical="center"/>
    </xf>
    <xf numFmtId="0" fontId="4" fillId="0" borderId="27" xfId="1" applyFont="1" applyBorder="1" applyAlignment="1">
      <alignment horizontal="center" vertical="center"/>
    </xf>
    <xf numFmtId="0" fontId="4" fillId="0" borderId="27" xfId="1" applyFont="1" applyBorder="1" applyAlignment="1">
      <alignment vertical="center"/>
    </xf>
    <xf numFmtId="0" fontId="4" fillId="0" borderId="57" xfId="1" applyFont="1" applyBorder="1" applyAlignment="1">
      <alignment vertical="center"/>
    </xf>
    <xf numFmtId="0" fontId="10" fillId="0" borderId="36" xfId="1" applyFont="1" applyBorder="1" applyAlignment="1">
      <alignment horizontal="center" vertical="center" shrinkToFit="1"/>
    </xf>
    <xf numFmtId="0" fontId="12" fillId="0" borderId="1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/>
    </xf>
    <xf numFmtId="0" fontId="12" fillId="0" borderId="47" xfId="1" applyFont="1" applyBorder="1" applyAlignment="1">
      <alignment vertical="center"/>
    </xf>
    <xf numFmtId="0" fontId="9" fillId="0" borderId="39" xfId="1" applyFont="1" applyBorder="1" applyAlignment="1">
      <alignment vertical="center"/>
    </xf>
    <xf numFmtId="0" fontId="1" fillId="0" borderId="59" xfId="1" applyBorder="1" applyAlignment="1">
      <alignment horizontal="center" vertical="center"/>
    </xf>
    <xf numFmtId="0" fontId="1" fillId="0" borderId="7" xfId="1" applyBorder="1" applyAlignment="1">
      <alignment horizontal="center" vertical="center" shrinkToFit="1"/>
    </xf>
    <xf numFmtId="0" fontId="1" fillId="0" borderId="25" xfId="1" applyBorder="1" applyAlignment="1">
      <alignment horizontal="center" vertical="center" shrinkToFit="1"/>
    </xf>
    <xf numFmtId="0" fontId="8" fillId="0" borderId="20" xfId="1" applyFont="1" applyBorder="1" applyAlignment="1">
      <alignment vertical="center"/>
    </xf>
    <xf numFmtId="0" fontId="8" fillId="0" borderId="24" xfId="1" applyFont="1" applyBorder="1" applyAlignment="1">
      <alignment vertical="center"/>
    </xf>
    <xf numFmtId="0" fontId="9" fillId="0" borderId="18" xfId="1" applyFont="1" applyBorder="1" applyAlignment="1">
      <alignment vertical="center"/>
    </xf>
    <xf numFmtId="0" fontId="20" fillId="0" borderId="18" xfId="1" applyFont="1" applyBorder="1" applyAlignment="1">
      <alignment vertical="center"/>
    </xf>
    <xf numFmtId="0" fontId="20" fillId="0" borderId="25" xfId="1" applyFont="1" applyBorder="1" applyAlignment="1">
      <alignment vertical="center"/>
    </xf>
    <xf numFmtId="0" fontId="20" fillId="0" borderId="25" xfId="1" applyFont="1" applyBorder="1" applyAlignment="1">
      <alignment horizontal="center" vertical="center" shrinkToFit="1"/>
    </xf>
    <xf numFmtId="0" fontId="21" fillId="0" borderId="18" xfId="1" applyFont="1" applyBorder="1" applyAlignment="1">
      <alignment vertical="center"/>
    </xf>
    <xf numFmtId="0" fontId="20" fillId="0" borderId="18" xfId="1" applyFont="1" applyBorder="1" applyAlignment="1">
      <alignment horizontal="center" vertical="center"/>
    </xf>
    <xf numFmtId="0" fontId="20" fillId="0" borderId="19" xfId="1" applyFont="1" applyBorder="1" applyAlignment="1">
      <alignment vertical="center"/>
    </xf>
    <xf numFmtId="0" fontId="8" fillId="0" borderId="26" xfId="1" applyFont="1" applyBorder="1" applyAlignment="1">
      <alignment vertical="center"/>
    </xf>
    <xf numFmtId="0" fontId="9" fillId="0" borderId="60" xfId="1" applyFont="1" applyBorder="1" applyAlignment="1">
      <alignment vertical="center"/>
    </xf>
    <xf numFmtId="0" fontId="8" fillId="0" borderId="23" xfId="1" applyFont="1" applyBorder="1" applyAlignment="1">
      <alignment vertical="center"/>
    </xf>
    <xf numFmtId="0" fontId="1" fillId="0" borderId="47" xfId="1" applyBorder="1" applyAlignment="1">
      <alignment horizontal="center" vertical="center"/>
    </xf>
    <xf numFmtId="0" fontId="4" fillId="0" borderId="61" xfId="1" applyFont="1" applyBorder="1" applyAlignment="1">
      <alignment vertical="center"/>
    </xf>
    <xf numFmtId="0" fontId="1" fillId="0" borderId="19" xfId="1" applyBorder="1" applyAlignment="1">
      <alignment horizontal="center" vertical="center" shrinkToFit="1"/>
    </xf>
    <xf numFmtId="0" fontId="1" fillId="6" borderId="25" xfId="1" applyFill="1" applyBorder="1" applyAlignment="1">
      <alignment vertical="center"/>
    </xf>
    <xf numFmtId="0" fontId="9" fillId="0" borderId="39" xfId="1" applyFont="1" applyBorder="1" applyAlignment="1">
      <alignment horizontal="left" vertical="center"/>
    </xf>
    <xf numFmtId="0" fontId="20" fillId="0" borderId="19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20" fillId="0" borderId="24" xfId="1" applyFont="1" applyBorder="1" applyAlignment="1">
      <alignment vertical="center"/>
    </xf>
    <xf numFmtId="0" fontId="4" fillId="0" borderId="62" xfId="1" applyFont="1" applyBorder="1" applyAlignment="1">
      <alignment vertical="center"/>
    </xf>
    <xf numFmtId="1" fontId="1" fillId="0" borderId="25" xfId="1" applyNumberFormat="1" applyBorder="1" applyAlignment="1">
      <alignment horizontal="center" vertical="center" shrinkToFit="1"/>
    </xf>
    <xf numFmtId="0" fontId="1" fillId="0" borderId="63" xfId="1" applyBorder="1" applyAlignment="1">
      <alignment vertical="center"/>
    </xf>
    <xf numFmtId="0" fontId="20" fillId="0" borderId="52" xfId="1" applyFont="1" applyBorder="1" applyAlignment="1">
      <alignment horizontal="center" vertical="center"/>
    </xf>
    <xf numFmtId="0" fontId="9" fillId="0" borderId="39" xfId="2" applyFont="1" applyBorder="1" applyAlignment="1">
      <alignment horizontal="left" vertical="center"/>
    </xf>
    <xf numFmtId="0" fontId="2" fillId="0" borderId="44" xfId="1" applyFont="1" applyBorder="1" applyAlignment="1">
      <alignment vertical="center"/>
    </xf>
    <xf numFmtId="0" fontId="8" fillId="0" borderId="0" xfId="1" applyFont="1" applyAlignment="1">
      <alignment horizontal="left" vertical="center" shrinkToFit="1"/>
    </xf>
    <xf numFmtId="0" fontId="1" fillId="0" borderId="6" xfId="2" applyBorder="1" applyAlignment="1">
      <alignment vertical="center"/>
    </xf>
    <xf numFmtId="0" fontId="1" fillId="0" borderId="64" xfId="2" applyBorder="1" applyAlignment="1">
      <alignment vertical="center"/>
    </xf>
    <xf numFmtId="0" fontId="9" fillId="0" borderId="6" xfId="2" applyFont="1" applyBorder="1" applyAlignment="1">
      <alignment vertical="center"/>
    </xf>
    <xf numFmtId="0" fontId="1" fillId="0" borderId="24" xfId="2" applyBorder="1" applyAlignment="1">
      <alignment vertical="center"/>
    </xf>
    <xf numFmtId="0" fontId="1" fillId="0" borderId="63" xfId="2" applyBorder="1" applyAlignment="1">
      <alignment vertical="center"/>
    </xf>
    <xf numFmtId="164" fontId="1" fillId="0" borderId="25" xfId="2" applyNumberFormat="1" applyBorder="1" applyAlignment="1">
      <alignment horizontal="center" vertical="center" shrinkToFit="1"/>
    </xf>
    <xf numFmtId="0" fontId="9" fillId="0" borderId="18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4" fillId="0" borderId="57" xfId="2" applyFont="1" applyBorder="1" applyAlignment="1">
      <alignment vertical="center"/>
    </xf>
    <xf numFmtId="0" fontId="9" fillId="0" borderId="3" xfId="1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1" fillId="0" borderId="65" xfId="1" applyBorder="1" applyAlignment="1">
      <alignment vertical="center"/>
    </xf>
    <xf numFmtId="1" fontId="1" fillId="0" borderId="40" xfId="1" applyNumberFormat="1" applyBorder="1" applyAlignment="1">
      <alignment horizontal="center" vertical="center"/>
    </xf>
    <xf numFmtId="0" fontId="10" fillId="0" borderId="15" xfId="1" applyFont="1" applyBorder="1" applyAlignment="1">
      <alignment vertical="center"/>
    </xf>
    <xf numFmtId="0" fontId="8" fillId="0" borderId="15" xfId="1" applyFont="1" applyBorder="1" applyAlignment="1">
      <alignment horizontal="left" vertical="center"/>
    </xf>
    <xf numFmtId="1" fontId="1" fillId="0" borderId="1" xfId="1" applyNumberFormat="1" applyBorder="1" applyAlignment="1">
      <alignment horizontal="center" vertical="center"/>
    </xf>
    <xf numFmtId="0" fontId="10" fillId="0" borderId="66" xfId="1" applyFont="1" applyBorder="1" applyAlignment="1">
      <alignment horizontal="left" vertical="center"/>
    </xf>
    <xf numFmtId="0" fontId="9" fillId="0" borderId="15" xfId="1" applyFont="1" applyBorder="1" applyAlignment="1">
      <alignment vertical="center" shrinkToFit="1"/>
    </xf>
    <xf numFmtId="0" fontId="4" fillId="0" borderId="42" xfId="1" applyFont="1" applyBorder="1" applyAlignment="1">
      <alignment horizontal="center" vertical="center" shrinkToFit="1"/>
    </xf>
    <xf numFmtId="0" fontId="10" fillId="0" borderId="42" xfId="1" applyFont="1" applyBorder="1" applyAlignment="1">
      <alignment horizontal="center" vertical="center" shrinkToFit="1"/>
    </xf>
    <xf numFmtId="164" fontId="1" fillId="0" borderId="7" xfId="1" applyNumberFormat="1" applyBorder="1" applyAlignment="1">
      <alignment horizontal="center" vertical="center"/>
    </xf>
    <xf numFmtId="0" fontId="9" fillId="0" borderId="6" xfId="1" applyFont="1" applyBorder="1" applyAlignment="1">
      <alignment horizontal="left" vertical="center"/>
    </xf>
    <xf numFmtId="164" fontId="1" fillId="0" borderId="19" xfId="1" applyNumberFormat="1" applyBorder="1" applyAlignment="1">
      <alignment horizontal="center" vertical="center"/>
    </xf>
    <xf numFmtId="0" fontId="1" fillId="0" borderId="67" xfId="1" applyBorder="1" applyAlignment="1">
      <alignment horizontal="left" vertical="center"/>
    </xf>
    <xf numFmtId="0" fontId="8" fillId="0" borderId="24" xfId="1" applyFont="1" applyBorder="1" applyAlignment="1">
      <alignment horizontal="left" vertical="center"/>
    </xf>
    <xf numFmtId="0" fontId="1" fillId="0" borderId="67" xfId="1" applyBorder="1" applyAlignment="1">
      <alignment vertical="center"/>
    </xf>
    <xf numFmtId="0" fontId="9" fillId="0" borderId="24" xfId="1" applyFont="1" applyBorder="1" applyAlignment="1">
      <alignment horizontal="left" vertical="center"/>
    </xf>
    <xf numFmtId="164" fontId="1" fillId="0" borderId="12" xfId="1" applyNumberFormat="1" applyBorder="1" applyAlignment="1">
      <alignment vertical="center"/>
    </xf>
    <xf numFmtId="0" fontId="4" fillId="0" borderId="18" xfId="1" applyFont="1" applyBorder="1" applyAlignment="1">
      <alignment horizontal="center" vertical="center"/>
    </xf>
    <xf numFmtId="0" fontId="9" fillId="0" borderId="18" xfId="1" applyFont="1" applyBorder="1" applyAlignment="1">
      <alignment horizontal="left" vertical="center"/>
    </xf>
    <xf numFmtId="0" fontId="1" fillId="0" borderId="27" xfId="1" applyBorder="1" applyAlignment="1">
      <alignment horizontal="center" vertical="center"/>
    </xf>
    <xf numFmtId="0" fontId="4" fillId="0" borderId="68" xfId="1" applyFont="1" applyBorder="1" applyAlignment="1">
      <alignment vertical="center"/>
    </xf>
    <xf numFmtId="0" fontId="1" fillId="2" borderId="25" xfId="1" applyFill="1" applyBorder="1" applyAlignment="1">
      <alignment horizontal="center" vertical="center"/>
    </xf>
    <xf numFmtId="0" fontId="1" fillId="0" borderId="29" xfId="1" applyBorder="1" applyAlignment="1">
      <alignment vertical="center"/>
    </xf>
    <xf numFmtId="0" fontId="1" fillId="0" borderId="67" xfId="2" applyBorder="1" applyAlignment="1">
      <alignment vertical="center"/>
    </xf>
    <xf numFmtId="0" fontId="4" fillId="0" borderId="24" xfId="2" applyFont="1" applyBorder="1" applyAlignment="1">
      <alignment vertical="center"/>
    </xf>
    <xf numFmtId="0" fontId="4" fillId="0" borderId="66" xfId="2" applyFont="1" applyBorder="1" applyAlignment="1">
      <alignment vertical="center"/>
    </xf>
    <xf numFmtId="0" fontId="1" fillId="0" borderId="65" xfId="2" applyBorder="1" applyAlignment="1">
      <alignment vertical="center"/>
    </xf>
    <xf numFmtId="0" fontId="1" fillId="0" borderId="21" xfId="2" applyBorder="1" applyAlignment="1">
      <alignment vertical="center"/>
    </xf>
    <xf numFmtId="0" fontId="8" fillId="0" borderId="20" xfId="2" applyFont="1" applyBorder="1" applyAlignment="1">
      <alignment vertical="center"/>
    </xf>
    <xf numFmtId="0" fontId="8" fillId="0" borderId="0" xfId="2" applyFont="1" applyAlignment="1">
      <alignment vertical="center"/>
    </xf>
    <xf numFmtId="0" fontId="1" fillId="0" borderId="29" xfId="2" applyBorder="1" applyAlignment="1">
      <alignment vertical="center"/>
    </xf>
    <xf numFmtId="0" fontId="6" fillId="0" borderId="46" xfId="1" applyFont="1" applyBorder="1" applyAlignment="1">
      <alignment vertical="center"/>
    </xf>
    <xf numFmtId="0" fontId="6" fillId="0" borderId="26" xfId="1" applyFont="1" applyBorder="1" applyAlignment="1">
      <alignment vertical="center"/>
    </xf>
    <xf numFmtId="0" fontId="2" fillId="0" borderId="26" xfId="1" applyFont="1" applyBorder="1" applyAlignment="1">
      <alignment horizontal="centerContinuous" vertical="center"/>
    </xf>
    <xf numFmtId="0" fontId="3" fillId="0" borderId="26" xfId="1" applyFont="1" applyBorder="1" applyAlignment="1">
      <alignment horizontal="centerContinuous" vertical="center"/>
    </xf>
    <xf numFmtId="0" fontId="7" fillId="0" borderId="26" xfId="1" applyFont="1" applyBorder="1" applyAlignment="1">
      <alignment horizontal="centerContinuous" vertical="center"/>
    </xf>
    <xf numFmtId="0" fontId="8" fillId="0" borderId="26" xfId="1" applyFont="1" applyBorder="1" applyAlignment="1">
      <alignment horizontal="centerContinuous" vertical="center"/>
    </xf>
    <xf numFmtId="168" fontId="1" fillId="0" borderId="0" xfId="1" applyNumberFormat="1" applyAlignment="1">
      <alignment horizontal="center" vertical="center"/>
    </xf>
    <xf numFmtId="1" fontId="1" fillId="0" borderId="0" xfId="1" applyNumberFormat="1" applyAlignment="1">
      <alignment horizontal="center" vertical="center"/>
    </xf>
    <xf numFmtId="166" fontId="1" fillId="0" borderId="0" xfId="1" applyNumberFormat="1" applyAlignment="1">
      <alignment horizontal="center" vertical="center"/>
    </xf>
    <xf numFmtId="0" fontId="1" fillId="0" borderId="0" xfId="1" applyAlignment="1">
      <alignment horizontal="left" vertical="center"/>
    </xf>
    <xf numFmtId="0" fontId="2" fillId="6" borderId="0" xfId="1" applyFont="1" applyFill="1" applyAlignment="1">
      <alignment vertical="center"/>
    </xf>
    <xf numFmtId="166" fontId="1" fillId="0" borderId="8" xfId="1" applyNumberFormat="1" applyBorder="1" applyAlignment="1">
      <alignment horizontal="center" vertical="center"/>
    </xf>
    <xf numFmtId="167" fontId="9" fillId="0" borderId="8" xfId="1" applyNumberFormat="1" applyFont="1" applyBorder="1" applyAlignment="1">
      <alignment vertical="center"/>
    </xf>
    <xf numFmtId="166" fontId="1" fillId="0" borderId="0" xfId="1" applyNumberFormat="1" applyAlignment="1">
      <alignment vertical="center"/>
    </xf>
    <xf numFmtId="166" fontId="1" fillId="0" borderId="15" xfId="1" applyNumberFormat="1" applyBorder="1" applyAlignment="1">
      <alignment vertical="center"/>
    </xf>
    <xf numFmtId="166" fontId="1" fillId="0" borderId="13" xfId="1" applyNumberFormat="1" applyBorder="1" applyAlignment="1">
      <alignment vertical="center"/>
    </xf>
    <xf numFmtId="0" fontId="15" fillId="0" borderId="15" xfId="1" applyFont="1" applyBorder="1" applyAlignment="1">
      <alignment vertical="center"/>
    </xf>
    <xf numFmtId="0" fontId="1" fillId="0" borderId="69" xfId="1" applyBorder="1" applyAlignment="1">
      <alignment vertical="center"/>
    </xf>
    <xf numFmtId="0" fontId="4" fillId="0" borderId="0" xfId="1" applyFont="1" applyAlignment="1">
      <alignment vertical="center"/>
    </xf>
    <xf numFmtId="0" fontId="10" fillId="0" borderId="40" xfId="1" applyFont="1" applyBorder="1" applyAlignment="1">
      <alignment horizontal="center" vertical="center" shrinkToFit="1"/>
    </xf>
    <xf numFmtId="0" fontId="2" fillId="8" borderId="0" xfId="1" applyFont="1" applyFill="1" applyAlignment="1">
      <alignment vertical="center"/>
    </xf>
    <xf numFmtId="0" fontId="1" fillId="9" borderId="18" xfId="1" applyFill="1" applyBorder="1" applyAlignment="1">
      <alignment horizontal="center" vertical="center"/>
    </xf>
    <xf numFmtId="0" fontId="1" fillId="9" borderId="24" xfId="1" applyFill="1" applyBorder="1" applyAlignment="1">
      <alignment horizontal="center" vertical="center"/>
    </xf>
    <xf numFmtId="0" fontId="1" fillId="9" borderId="24" xfId="1" applyFill="1" applyBorder="1" applyAlignment="1">
      <alignment vertical="center"/>
    </xf>
    <xf numFmtId="0" fontId="1" fillId="9" borderId="67" xfId="1" applyFill="1" applyBorder="1" applyAlignment="1">
      <alignment vertical="center"/>
    </xf>
    <xf numFmtId="0" fontId="9" fillId="9" borderId="24" xfId="1" applyFont="1" applyFill="1" applyBorder="1" applyAlignment="1">
      <alignment vertical="center"/>
    </xf>
    <xf numFmtId="0" fontId="4" fillId="0" borderId="12" xfId="1" applyFont="1" applyBorder="1" applyAlignment="1">
      <alignment vertical="center" shrinkToFit="1"/>
    </xf>
    <xf numFmtId="0" fontId="9" fillId="9" borderId="6" xfId="1" applyFont="1" applyFill="1" applyBorder="1" applyAlignment="1">
      <alignment vertical="center"/>
    </xf>
    <xf numFmtId="0" fontId="1" fillId="0" borderId="30" xfId="1" applyBorder="1" applyAlignment="1">
      <alignment vertical="center"/>
    </xf>
    <xf numFmtId="0" fontId="4" fillId="0" borderId="24" xfId="1" applyFont="1" applyBorder="1" applyAlignment="1">
      <alignment vertical="center" shrinkToFit="1"/>
    </xf>
    <xf numFmtId="1" fontId="1" fillId="0" borderId="50" xfId="1" applyNumberFormat="1" applyBorder="1" applyAlignment="1">
      <alignment horizontal="center" vertical="center"/>
    </xf>
    <xf numFmtId="0" fontId="1" fillId="0" borderId="50" xfId="1" applyBorder="1" applyAlignment="1">
      <alignment horizontal="left" vertical="center"/>
    </xf>
    <xf numFmtId="0" fontId="8" fillId="0" borderId="50" xfId="1" applyFont="1" applyBorder="1" applyAlignment="1">
      <alignment horizontal="left" vertical="center" shrinkToFit="1"/>
    </xf>
    <xf numFmtId="0" fontId="1" fillId="0" borderId="7" xfId="1" applyBorder="1" applyAlignment="1">
      <alignment horizontal="left" vertical="center"/>
    </xf>
    <xf numFmtId="0" fontId="4" fillId="0" borderId="0" xfId="1" applyFont="1" applyAlignment="1">
      <alignment vertical="center" shrinkToFit="1"/>
    </xf>
    <xf numFmtId="0" fontId="4" fillId="0" borderId="39" xfId="1" applyFont="1" applyBorder="1" applyAlignment="1">
      <alignment vertical="center" shrinkToFit="1"/>
    </xf>
    <xf numFmtId="0" fontId="3" fillId="0" borderId="39" xfId="1" applyFont="1" applyBorder="1" applyAlignment="1">
      <alignment vertical="center"/>
    </xf>
    <xf numFmtId="167" fontId="9" fillId="0" borderId="15" xfId="1" applyNumberFormat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168" fontId="1" fillId="0" borderId="3" xfId="1" applyNumberFormat="1" applyBorder="1" applyAlignment="1">
      <alignment horizontal="center" vertical="center"/>
    </xf>
    <xf numFmtId="166" fontId="1" fillId="0" borderId="3" xfId="1" applyNumberFormat="1" applyBorder="1" applyAlignment="1">
      <alignment horizontal="center" vertical="center"/>
    </xf>
    <xf numFmtId="166" fontId="1" fillId="0" borderId="3" xfId="1" applyNumberFormat="1" applyBorder="1" applyAlignment="1">
      <alignment vertical="center"/>
    </xf>
    <xf numFmtId="0" fontId="1" fillId="0" borderId="3" xfId="1" applyBorder="1" applyAlignment="1">
      <alignment horizontal="left" vertical="center"/>
    </xf>
    <xf numFmtId="167" fontId="9" fillId="0" borderId="3" xfId="1" applyNumberFormat="1" applyFont="1" applyBorder="1" applyAlignment="1">
      <alignment vertical="center"/>
    </xf>
    <xf numFmtId="0" fontId="1" fillId="9" borderId="18" xfId="1" applyFill="1" applyBorder="1" applyAlignment="1">
      <alignment vertical="center"/>
    </xf>
    <xf numFmtId="0" fontId="1" fillId="9" borderId="0" xfId="1" applyFill="1" applyAlignment="1">
      <alignment vertical="center"/>
    </xf>
    <xf numFmtId="166" fontId="1" fillId="0" borderId="26" xfId="1" applyNumberFormat="1" applyBorder="1" applyAlignment="1">
      <alignment vertical="center"/>
    </xf>
    <xf numFmtId="166" fontId="1" fillId="0" borderId="46" xfId="1" applyNumberFormat="1" applyBorder="1" applyAlignment="1">
      <alignment vertical="center"/>
    </xf>
    <xf numFmtId="166" fontId="1" fillId="0" borderId="47" xfId="1" applyNumberFormat="1" applyBorder="1" applyAlignment="1">
      <alignment vertical="center"/>
    </xf>
    <xf numFmtId="166" fontId="1" fillId="0" borderId="50" xfId="1" applyNumberFormat="1" applyBorder="1" applyAlignment="1">
      <alignment vertical="center"/>
    </xf>
    <xf numFmtId="167" fontId="9" fillId="0" borderId="50" xfId="1" applyNumberFormat="1" applyFont="1" applyBorder="1" applyAlignment="1">
      <alignment vertical="center"/>
    </xf>
    <xf numFmtId="166" fontId="1" fillId="0" borderId="6" xfId="1" applyNumberFormat="1" applyBorder="1" applyAlignment="1">
      <alignment vertical="center"/>
    </xf>
    <xf numFmtId="166" fontId="1" fillId="0" borderId="7" xfId="1" applyNumberFormat="1" applyBorder="1" applyAlignment="1">
      <alignment vertical="center"/>
    </xf>
    <xf numFmtId="1" fontId="1" fillId="0" borderId="25" xfId="1" applyNumberFormat="1" applyBorder="1" applyAlignment="1">
      <alignment horizontal="center" vertical="center"/>
    </xf>
    <xf numFmtId="166" fontId="1" fillId="0" borderId="18" xfId="1" applyNumberFormat="1" applyBorder="1" applyAlignment="1">
      <alignment vertical="center"/>
    </xf>
    <xf numFmtId="166" fontId="1" fillId="0" borderId="19" xfId="1" applyNumberFormat="1" applyBorder="1" applyAlignment="1">
      <alignment vertical="center"/>
    </xf>
    <xf numFmtId="164" fontId="1" fillId="0" borderId="19" xfId="2" applyNumberFormat="1" applyBorder="1" applyAlignment="1">
      <alignment horizontal="center" vertical="center"/>
    </xf>
    <xf numFmtId="0" fontId="1" fillId="0" borderId="19" xfId="1" applyBorder="1" applyAlignment="1">
      <alignment horizontal="left" vertical="center"/>
    </xf>
    <xf numFmtId="0" fontId="4" fillId="9" borderId="13" xfId="1" applyFont="1" applyFill="1" applyBorder="1" applyAlignment="1">
      <alignment vertical="center"/>
    </xf>
    <xf numFmtId="0" fontId="4" fillId="0" borderId="4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 shrinkToFit="1"/>
    </xf>
    <xf numFmtId="165" fontId="9" fillId="0" borderId="0" xfId="1" applyNumberFormat="1" applyFont="1" applyAlignment="1">
      <alignment horizontal="center" vertical="center" wrapText="1"/>
    </xf>
    <xf numFmtId="164" fontId="1" fillId="0" borderId="7" xfId="2" applyNumberFormat="1" applyBorder="1" applyAlignment="1">
      <alignment horizontal="center" vertical="center"/>
    </xf>
    <xf numFmtId="0" fontId="5" fillId="0" borderId="6" xfId="1" applyFont="1" applyBorder="1" applyAlignment="1">
      <alignment vertical="center"/>
    </xf>
    <xf numFmtId="0" fontId="8" fillId="9" borderId="6" xfId="1" applyFont="1" applyFill="1" applyBorder="1" applyAlignment="1">
      <alignment vertical="center"/>
    </xf>
    <xf numFmtId="0" fontId="4" fillId="0" borderId="70" xfId="1" applyFont="1" applyBorder="1" applyAlignment="1">
      <alignment vertical="center"/>
    </xf>
    <xf numFmtId="167" fontId="9" fillId="0" borderId="46" xfId="1" applyNumberFormat="1" applyFont="1" applyBorder="1" applyAlignment="1">
      <alignment vertical="center"/>
    </xf>
    <xf numFmtId="0" fontId="9" fillId="9" borderId="26" xfId="1" applyFont="1" applyFill="1" applyBorder="1" applyAlignment="1">
      <alignment vertical="center"/>
    </xf>
    <xf numFmtId="164" fontId="1" fillId="2" borderId="8" xfId="2" applyNumberFormat="1" applyFill="1" applyBorder="1" applyAlignment="1">
      <alignment horizontal="center" vertical="center"/>
    </xf>
    <xf numFmtId="164" fontId="1" fillId="2" borderId="59" xfId="2" applyNumberFormat="1" applyFill="1" applyBorder="1" applyAlignment="1">
      <alignment horizontal="center" vertical="center"/>
    </xf>
    <xf numFmtId="0" fontId="3" fillId="2" borderId="8" xfId="1" applyFont="1" applyFill="1" applyBorder="1" applyAlignment="1">
      <alignment vertical="center"/>
    </xf>
    <xf numFmtId="0" fontId="8" fillId="2" borderId="6" xfId="1" applyFont="1" applyFill="1" applyBorder="1" applyAlignment="1">
      <alignment vertical="center"/>
    </xf>
    <xf numFmtId="165" fontId="9" fillId="2" borderId="6" xfId="1" applyNumberFormat="1" applyFont="1" applyFill="1" applyBorder="1" applyAlignment="1">
      <alignment horizontal="left" vertical="center" wrapText="1"/>
    </xf>
    <xf numFmtId="0" fontId="1" fillId="0" borderId="38" xfId="1" applyBorder="1" applyAlignment="1">
      <alignment vertical="center"/>
    </xf>
    <xf numFmtId="164" fontId="1" fillId="0" borderId="39" xfId="2" applyNumberFormat="1" applyBorder="1" applyAlignment="1">
      <alignment horizontal="center" vertical="center"/>
    </xf>
    <xf numFmtId="166" fontId="1" fillId="0" borderId="39" xfId="1" applyNumberFormat="1" applyBorder="1" applyAlignment="1">
      <alignment horizontal="center" vertical="center"/>
    </xf>
    <xf numFmtId="0" fontId="4" fillId="0" borderId="39" xfId="1" applyFont="1" applyBorder="1" applyAlignment="1">
      <alignment horizontal="left" vertical="center"/>
    </xf>
    <xf numFmtId="0" fontId="3" fillId="2" borderId="41" xfId="1" applyFont="1" applyFill="1" applyBorder="1" applyAlignment="1">
      <alignment vertical="center"/>
    </xf>
    <xf numFmtId="0" fontId="8" fillId="2" borderId="39" xfId="1" applyFont="1" applyFill="1" applyBorder="1" applyAlignment="1">
      <alignment vertical="center"/>
    </xf>
    <xf numFmtId="165" fontId="9" fillId="2" borderId="39" xfId="1" applyNumberFormat="1" applyFont="1" applyFill="1" applyBorder="1" applyAlignment="1">
      <alignment horizontal="left" vertical="center"/>
    </xf>
    <xf numFmtId="0" fontId="5" fillId="0" borderId="7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165" fontId="9" fillId="0" borderId="6" xfId="1" applyNumberFormat="1" applyFont="1" applyBorder="1" applyAlignment="1">
      <alignment horizontal="left" vertical="center" wrapText="1"/>
    </xf>
    <xf numFmtId="0" fontId="4" fillId="0" borderId="14" xfId="1" applyFont="1" applyBorder="1" applyAlignment="1">
      <alignment horizontal="left" vertical="center"/>
    </xf>
    <xf numFmtId="0" fontId="3" fillId="0" borderId="26" xfId="1" applyFont="1" applyBorder="1" applyAlignment="1">
      <alignment vertical="center"/>
    </xf>
    <xf numFmtId="0" fontId="9" fillId="0" borderId="26" xfId="1" applyFont="1" applyBorder="1" applyAlignment="1">
      <alignment horizontal="left" vertical="center"/>
    </xf>
    <xf numFmtId="0" fontId="3" fillId="0" borderId="8" xfId="1" applyFont="1" applyBorder="1" applyAlignment="1">
      <alignment vertical="center"/>
    </xf>
    <xf numFmtId="0" fontId="4" fillId="0" borderId="12" xfId="1" applyFont="1" applyBorder="1" applyAlignment="1">
      <alignment horizontal="left" vertical="center"/>
    </xf>
    <xf numFmtId="0" fontId="3" fillId="0" borderId="15" xfId="1" applyFont="1" applyBorder="1" applyAlignment="1">
      <alignment vertical="center"/>
    </xf>
    <xf numFmtId="0" fontId="9" fillId="0" borderId="12" xfId="1" applyFont="1" applyBorder="1" applyAlignment="1">
      <alignment horizontal="left" vertical="center"/>
    </xf>
    <xf numFmtId="0" fontId="23" fillId="0" borderId="0" xfId="1" applyFont="1" applyAlignment="1">
      <alignment vertical="center"/>
    </xf>
    <xf numFmtId="0" fontId="4" fillId="0" borderId="28" xfId="1" applyFont="1" applyBorder="1" applyAlignment="1">
      <alignment vertical="center"/>
    </xf>
    <xf numFmtId="164" fontId="1" fillId="0" borderId="59" xfId="1" applyNumberFormat="1" applyBorder="1" applyAlignment="1">
      <alignment horizontal="center" vertical="center"/>
    </xf>
    <xf numFmtId="0" fontId="1" fillId="0" borderId="58" xfId="1" applyBorder="1" applyAlignment="1">
      <alignment horizontal="center" vertical="center"/>
    </xf>
    <xf numFmtId="0" fontId="1" fillId="0" borderId="70" xfId="1" applyBorder="1" applyAlignment="1">
      <alignment vertical="center"/>
    </xf>
    <xf numFmtId="0" fontId="1" fillId="0" borderId="29" xfId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53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0" fontId="4" fillId="0" borderId="24" xfId="1" applyFont="1" applyBorder="1" applyAlignment="1">
      <alignment horizontal="centerContinuous" vertical="center"/>
    </xf>
    <xf numFmtId="0" fontId="1" fillId="0" borderId="25" xfId="3" applyFont="1" applyBorder="1">
      <alignment vertical="center"/>
    </xf>
    <xf numFmtId="0" fontId="1" fillId="0" borderId="23" xfId="1" applyBorder="1" applyAlignment="1">
      <alignment vertical="center" wrapText="1"/>
    </xf>
    <xf numFmtId="0" fontId="1" fillId="0" borderId="24" xfId="1" applyBorder="1" applyAlignment="1">
      <alignment vertical="center" wrapText="1"/>
    </xf>
    <xf numFmtId="0" fontId="1" fillId="0" borderId="25" xfId="1" applyBorder="1" applyAlignment="1">
      <alignment vertical="center" wrapText="1"/>
    </xf>
    <xf numFmtId="164" fontId="1" fillId="2" borderId="25" xfId="1" applyNumberFormat="1" applyFill="1" applyBorder="1" applyAlignment="1">
      <alignment horizontal="center" vertical="center"/>
    </xf>
    <xf numFmtId="0" fontId="1" fillId="0" borderId="18" xfId="4" applyFont="1" applyBorder="1">
      <alignment vertical="center"/>
    </xf>
    <xf numFmtId="0" fontId="2" fillId="0" borderId="0" xfId="1" applyFont="1" applyAlignment="1">
      <alignment horizontal="left" vertical="center"/>
    </xf>
    <xf numFmtId="0" fontId="16" fillId="0" borderId="25" xfId="1" applyFont="1" applyBorder="1" applyAlignment="1">
      <alignment horizontal="center" vertical="center"/>
    </xf>
    <xf numFmtId="0" fontId="9" fillId="0" borderId="55" xfId="1" applyFont="1" applyBorder="1" applyAlignment="1">
      <alignment vertical="center"/>
    </xf>
    <xf numFmtId="0" fontId="9" fillId="0" borderId="27" xfId="1" applyFont="1" applyBorder="1" applyAlignment="1">
      <alignment vertical="center"/>
    </xf>
    <xf numFmtId="0" fontId="4" fillId="0" borderId="36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shrinkToFit="1"/>
    </xf>
    <xf numFmtId="0" fontId="12" fillId="0" borderId="0" xfId="1" applyFont="1" applyAlignment="1">
      <alignment vertical="center"/>
    </xf>
    <xf numFmtId="0" fontId="1" fillId="0" borderId="0" xfId="5" applyAlignment="1">
      <alignment vertical="center"/>
    </xf>
    <xf numFmtId="0" fontId="9" fillId="0" borderId="0" xfId="5" applyFont="1" applyAlignment="1">
      <alignment horizontal="left" vertical="center" shrinkToFit="1"/>
    </xf>
    <xf numFmtId="0" fontId="25" fillId="0" borderId="0" xfId="1" applyFont="1" applyAlignment="1">
      <alignment vertical="center"/>
    </xf>
    <xf numFmtId="0" fontId="4" fillId="0" borderId="49" xfId="1" applyFont="1" applyBorder="1" applyAlignment="1">
      <alignment horizontal="center" vertical="center"/>
    </xf>
    <xf numFmtId="0" fontId="4" fillId="0" borderId="50" xfId="1" applyFont="1" applyBorder="1" applyAlignment="1">
      <alignment horizontal="center" vertical="center"/>
    </xf>
    <xf numFmtId="0" fontId="8" fillId="0" borderId="52" xfId="1" applyFont="1" applyBorder="1" applyAlignment="1">
      <alignment horizontal="left" vertical="center"/>
    </xf>
    <xf numFmtId="0" fontId="1" fillId="9" borderId="26" xfId="1" applyFill="1" applyBorder="1" applyAlignment="1">
      <alignment vertical="center"/>
    </xf>
    <xf numFmtId="0" fontId="1" fillId="9" borderId="47" xfId="1" applyFill="1" applyBorder="1" applyAlignment="1">
      <alignment horizontal="left" vertical="center"/>
    </xf>
    <xf numFmtId="0" fontId="25" fillId="4" borderId="0" xfId="1" applyFont="1" applyFill="1" applyAlignment="1">
      <alignment vertical="center"/>
    </xf>
    <xf numFmtId="0" fontId="1" fillId="9" borderId="25" xfId="1" applyFill="1" applyBorder="1" applyAlignment="1">
      <alignment horizontal="left" vertical="center"/>
    </xf>
    <xf numFmtId="0" fontId="4" fillId="9" borderId="24" xfId="1" applyFont="1" applyFill="1" applyBorder="1" applyAlignment="1">
      <alignment vertical="center"/>
    </xf>
    <xf numFmtId="0" fontId="1" fillId="9" borderId="25" xfId="5" applyFill="1" applyBorder="1" applyAlignment="1">
      <alignment vertical="center"/>
    </xf>
    <xf numFmtId="0" fontId="4" fillId="0" borderId="56" xfId="1" applyFont="1" applyBorder="1" applyAlignment="1">
      <alignment horizontal="center" vertical="center"/>
    </xf>
    <xf numFmtId="0" fontId="2" fillId="0" borderId="27" xfId="1" applyFont="1" applyBorder="1" applyAlignment="1">
      <alignment vertical="center"/>
    </xf>
    <xf numFmtId="0" fontId="4" fillId="9" borderId="71" xfId="1" applyFont="1" applyFill="1" applyBorder="1" applyAlignment="1">
      <alignment vertical="center"/>
    </xf>
    <xf numFmtId="0" fontId="1" fillId="9" borderId="68" xfId="5" applyFill="1" applyBorder="1" applyAlignment="1">
      <alignment vertical="center"/>
    </xf>
    <xf numFmtId="0" fontId="4" fillId="0" borderId="73" xfId="1" applyFont="1" applyBorder="1" applyAlignment="1">
      <alignment horizontal="centerContinuous" vertical="center"/>
    </xf>
    <xf numFmtId="0" fontId="4" fillId="0" borderId="36" xfId="1" applyFont="1" applyBorder="1" applyAlignment="1">
      <alignment horizontal="centerContinuous" vertical="center"/>
    </xf>
    <xf numFmtId="0" fontId="27" fillId="0" borderId="48" xfId="1" applyFont="1" applyBorder="1" applyAlignment="1">
      <alignment horizontal="left" vertical="center"/>
    </xf>
    <xf numFmtId="0" fontId="27" fillId="0" borderId="0" xfId="1" applyFont="1" applyAlignment="1">
      <alignment horizontal="left" vertical="center"/>
    </xf>
    <xf numFmtId="0" fontId="27" fillId="0" borderId="1" xfId="1" applyFont="1" applyBorder="1" applyAlignment="1">
      <alignment horizontal="left" vertical="center"/>
    </xf>
    <xf numFmtId="0" fontId="29" fillId="0" borderId="0" xfId="1" applyFont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2" fillId="0" borderId="24" xfId="1" applyFont="1" applyBorder="1" applyAlignment="1">
      <alignment horizontal="centerContinuous" vertical="center"/>
    </xf>
    <xf numFmtId="0" fontId="3" fillId="0" borderId="24" xfId="1" applyFont="1" applyBorder="1" applyAlignment="1">
      <alignment horizontal="centerContinuous" vertical="center"/>
    </xf>
    <xf numFmtId="0" fontId="7" fillId="0" borderId="25" xfId="1" applyFont="1" applyBorder="1" applyAlignment="1">
      <alignment horizontal="left" vertical="center"/>
    </xf>
    <xf numFmtId="0" fontId="2" fillId="0" borderId="18" xfId="1" applyFont="1" applyBorder="1" applyAlignment="1">
      <alignment horizontal="centerContinuous" vertical="center"/>
    </xf>
    <xf numFmtId="0" fontId="7" fillId="0" borderId="19" xfId="1" applyFont="1" applyBorder="1" applyAlignment="1">
      <alignment horizontal="left" vertical="center"/>
    </xf>
    <xf numFmtId="0" fontId="8" fillId="0" borderId="47" xfId="1" applyFont="1" applyBorder="1" applyAlignment="1">
      <alignment horizontal="centerContinuous" vertical="center"/>
    </xf>
    <xf numFmtId="0" fontId="19" fillId="0" borderId="1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17" fillId="0" borderId="18" xfId="1" applyFont="1" applyBorder="1" applyAlignment="1">
      <alignment horizontal="left" vertical="center"/>
    </xf>
    <xf numFmtId="0" fontId="17" fillId="0" borderId="20" xfId="1" applyFont="1" applyBorder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7" fillId="0" borderId="48" xfId="1" applyFont="1" applyBorder="1" applyAlignment="1">
      <alignment horizontal="left" vertical="center"/>
    </xf>
    <xf numFmtId="0" fontId="6" fillId="0" borderId="19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48" xfId="1" applyFont="1" applyBorder="1" applyAlignment="1">
      <alignment horizontal="center" vertical="center"/>
    </xf>
    <xf numFmtId="0" fontId="6" fillId="0" borderId="47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46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48" xfId="1" applyFont="1" applyBorder="1" applyAlignment="1">
      <alignment horizontal="center" vertical="center" wrapText="1"/>
    </xf>
    <xf numFmtId="0" fontId="12" fillId="0" borderId="47" xfId="1" applyFont="1" applyBorder="1" applyAlignment="1">
      <alignment horizontal="center" vertical="center" wrapText="1"/>
    </xf>
    <xf numFmtId="0" fontId="12" fillId="0" borderId="26" xfId="1" applyFont="1" applyBorder="1" applyAlignment="1">
      <alignment horizontal="center" vertical="center" wrapText="1"/>
    </xf>
    <xf numFmtId="0" fontId="12" fillId="0" borderId="46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47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1" fillId="0" borderId="25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169" fontId="27" fillId="0" borderId="25" xfId="1" applyNumberFormat="1" applyFont="1" applyBorder="1" applyAlignment="1">
      <alignment horizontal="center" vertical="center"/>
    </xf>
    <xf numFmtId="169" fontId="27" fillId="0" borderId="24" xfId="1" applyNumberFormat="1" applyFont="1" applyBorder="1" applyAlignment="1">
      <alignment horizontal="center" vertical="center"/>
    </xf>
    <xf numFmtId="169" fontId="27" fillId="0" borderId="30" xfId="1" applyNumberFormat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/>
    </xf>
    <xf numFmtId="0" fontId="28" fillId="0" borderId="1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48" xfId="1" applyFont="1" applyBorder="1" applyAlignment="1">
      <alignment horizontal="center" vertical="center"/>
    </xf>
    <xf numFmtId="0" fontId="1" fillId="0" borderId="47" xfId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1" fillId="0" borderId="46" xfId="1" applyBorder="1" applyAlignment="1">
      <alignment horizontal="center" vertical="center"/>
    </xf>
    <xf numFmtId="0" fontId="1" fillId="0" borderId="47" xfId="1" applyBorder="1" applyAlignment="1">
      <alignment horizontal="center" vertical="center" shrinkToFit="1"/>
    </xf>
    <xf numFmtId="0" fontId="1" fillId="0" borderId="26" xfId="1" applyBorder="1" applyAlignment="1">
      <alignment horizontal="center" vertical="center" shrinkToFit="1"/>
    </xf>
    <xf numFmtId="0" fontId="1" fillId="0" borderId="46" xfId="1" applyBorder="1" applyAlignment="1">
      <alignment horizontal="center" vertical="center" shrinkToFit="1"/>
    </xf>
    <xf numFmtId="165" fontId="26" fillId="0" borderId="73" xfId="1" applyNumberFormat="1" applyFont="1" applyBorder="1" applyAlignment="1">
      <alignment horizontal="center" vertical="center" wrapText="1"/>
    </xf>
    <xf numFmtId="165" fontId="26" fillId="0" borderId="74" xfId="1" applyNumberFormat="1" applyFont="1" applyBorder="1" applyAlignment="1">
      <alignment horizontal="center" vertical="center" wrapText="1"/>
    </xf>
    <xf numFmtId="0" fontId="4" fillId="0" borderId="36" xfId="1" applyFont="1" applyBorder="1" applyAlignment="1">
      <alignment horizontal="center" vertical="center"/>
    </xf>
    <xf numFmtId="0" fontId="4" fillId="0" borderId="73" xfId="1" applyFont="1" applyBorder="1" applyAlignment="1">
      <alignment horizontal="center" vertical="center"/>
    </xf>
    <xf numFmtId="0" fontId="4" fillId="0" borderId="74" xfId="1" applyFont="1" applyBorder="1" applyAlignment="1">
      <alignment horizontal="center" vertical="center"/>
    </xf>
    <xf numFmtId="0" fontId="4" fillId="0" borderId="72" xfId="1" applyFont="1" applyBorder="1" applyAlignment="1">
      <alignment horizontal="center" vertical="center"/>
    </xf>
    <xf numFmtId="165" fontId="9" fillId="0" borderId="39" xfId="1" applyNumberFormat="1" applyFont="1" applyBorder="1" applyAlignment="1">
      <alignment horizontal="center" vertical="center" wrapText="1"/>
    </xf>
    <xf numFmtId="165" fontId="9" fillId="0" borderId="41" xfId="1" applyNumberFormat="1" applyFont="1" applyBorder="1" applyAlignment="1">
      <alignment horizontal="center" vertical="center" wrapText="1"/>
    </xf>
    <xf numFmtId="165" fontId="9" fillId="0" borderId="33" xfId="1" applyNumberFormat="1" applyFont="1" applyBorder="1" applyAlignment="1">
      <alignment horizontal="center" vertical="center" wrapText="1"/>
    </xf>
    <xf numFmtId="165" fontId="9" fillId="0" borderId="35" xfId="1" applyNumberFormat="1" applyFont="1" applyBorder="1" applyAlignment="1">
      <alignment horizontal="center" vertical="center" wrapText="1"/>
    </xf>
    <xf numFmtId="0" fontId="4" fillId="0" borderId="40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33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39" xfId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0" fontId="4" fillId="0" borderId="41" xfId="1" applyFont="1" applyBorder="1" applyAlignment="1">
      <alignment horizontal="center" vertical="center"/>
    </xf>
    <xf numFmtId="0" fontId="4" fillId="0" borderId="35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shrinkToFit="1"/>
    </xf>
    <xf numFmtId="0" fontId="4" fillId="0" borderId="39" xfId="1" applyFont="1" applyBorder="1" applyAlignment="1">
      <alignment horizontal="center" vertical="center" shrinkToFit="1"/>
    </xf>
    <xf numFmtId="0" fontId="4" fillId="0" borderId="41" xfId="1" applyFont="1" applyBorder="1" applyAlignment="1">
      <alignment horizontal="center" vertical="center" shrinkToFit="1"/>
    </xf>
    <xf numFmtId="0" fontId="4" fillId="0" borderId="34" xfId="1" applyFont="1" applyBorder="1" applyAlignment="1">
      <alignment horizontal="center" vertical="center" shrinkToFit="1"/>
    </xf>
    <xf numFmtId="0" fontId="4" fillId="0" borderId="33" xfId="1" applyFont="1" applyBorder="1" applyAlignment="1">
      <alignment horizontal="center" vertical="center" shrinkToFit="1"/>
    </xf>
    <xf numFmtId="0" fontId="4" fillId="0" borderId="35" xfId="1" applyFont="1" applyBorder="1" applyAlignment="1">
      <alignment horizontal="center" vertical="center" shrinkToFit="1"/>
    </xf>
    <xf numFmtId="0" fontId="4" fillId="0" borderId="38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9" fillId="2" borderId="27" xfId="5" applyFont="1" applyFill="1" applyBorder="1" applyAlignment="1">
      <alignment horizontal="left" vertical="center" shrinkToFit="1"/>
    </xf>
    <xf numFmtId="0" fontId="9" fillId="2" borderId="55" xfId="5" applyFont="1" applyFill="1" applyBorder="1" applyAlignment="1">
      <alignment horizontal="left" vertical="center" shrinkToFit="1"/>
    </xf>
    <xf numFmtId="0" fontId="1" fillId="0" borderId="28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55" xfId="1" applyBorder="1" applyAlignment="1">
      <alignment horizontal="center" vertical="center"/>
    </xf>
    <xf numFmtId="0" fontId="9" fillId="2" borderId="24" xfId="5" applyFont="1" applyFill="1" applyBorder="1" applyAlignment="1">
      <alignment horizontal="left" vertical="center" shrinkToFit="1"/>
    </xf>
    <xf numFmtId="0" fontId="9" fillId="2" borderId="30" xfId="5" applyFont="1" applyFill="1" applyBorder="1" applyAlignment="1">
      <alignment horizontal="left" vertical="center" shrinkToFit="1"/>
    </xf>
    <xf numFmtId="0" fontId="4" fillId="2" borderId="26" xfId="5" applyFont="1" applyFill="1" applyBorder="1" applyAlignment="1">
      <alignment horizontal="left" vertical="center" shrinkToFit="1"/>
    </xf>
    <xf numFmtId="0" fontId="4" fillId="2" borderId="46" xfId="5" applyFont="1" applyFill="1" applyBorder="1" applyAlignment="1">
      <alignment horizontal="left" vertical="center" shrinkToFit="1"/>
    </xf>
    <xf numFmtId="0" fontId="9" fillId="2" borderId="6" xfId="5" applyFont="1" applyFill="1" applyBorder="1" applyAlignment="1">
      <alignment horizontal="center" vertical="center" shrinkToFit="1"/>
    </xf>
    <xf numFmtId="0" fontId="9" fillId="2" borderId="8" xfId="5" applyFont="1" applyFill="1" applyBorder="1" applyAlignment="1">
      <alignment horizontal="center" vertical="center" shrinkToFit="1"/>
    </xf>
    <xf numFmtId="0" fontId="8" fillId="0" borderId="52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1" fillId="0" borderId="52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0" fontId="1" fillId="0" borderId="50" xfId="1" applyBorder="1" applyAlignment="1">
      <alignment horizontal="center" vertical="center"/>
    </xf>
    <xf numFmtId="0" fontId="4" fillId="10" borderId="3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horizontal="center" vertical="center"/>
    </xf>
    <xf numFmtId="0" fontId="4" fillId="0" borderId="25" xfId="1" applyFont="1" applyBorder="1" applyAlignment="1">
      <alignment horizontal="left" vertical="center" shrinkToFit="1"/>
    </xf>
    <xf numFmtId="0" fontId="4" fillId="0" borderId="24" xfId="1" applyFont="1" applyBorder="1" applyAlignment="1">
      <alignment horizontal="left" vertical="center" shrinkToFit="1"/>
    </xf>
    <xf numFmtId="0" fontId="4" fillId="0" borderId="23" xfId="1" applyFont="1" applyBorder="1" applyAlignment="1">
      <alignment horizontal="left" vertical="center" shrinkToFit="1"/>
    </xf>
    <xf numFmtId="0" fontId="1" fillId="0" borderId="25" xfId="1" applyBorder="1" applyAlignment="1">
      <alignment horizontal="left" vertical="center" shrinkToFit="1"/>
    </xf>
    <xf numFmtId="0" fontId="1" fillId="0" borderId="24" xfId="1" applyBorder="1" applyAlignment="1">
      <alignment horizontal="left" vertical="center" shrinkToFit="1"/>
    </xf>
    <xf numFmtId="0" fontId="1" fillId="0" borderId="23" xfId="1" applyBorder="1" applyAlignment="1">
      <alignment horizontal="left" vertical="center" shrinkToFit="1"/>
    </xf>
    <xf numFmtId="0" fontId="1" fillId="0" borderId="27" xfId="1" applyBorder="1" applyAlignment="1">
      <alignment horizontal="left" vertical="center"/>
    </xf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9" fillId="0" borderId="24" xfId="1" applyFont="1" applyBorder="1" applyAlignment="1">
      <alignment horizontal="left" vertical="center" shrinkToFit="1"/>
    </xf>
    <xf numFmtId="0" fontId="9" fillId="0" borderId="30" xfId="1" applyFont="1" applyBorder="1" applyAlignment="1">
      <alignment horizontal="left" vertical="center" shrinkToFit="1"/>
    </xf>
    <xf numFmtId="0" fontId="1" fillId="0" borderId="25" xfId="1" applyBorder="1" applyAlignment="1">
      <alignment horizontal="center" vertical="center" wrapText="1"/>
    </xf>
    <xf numFmtId="0" fontId="1" fillId="0" borderId="24" xfId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left" vertical="center" shrinkToFit="1"/>
    </xf>
    <xf numFmtId="0" fontId="9" fillId="2" borderId="46" xfId="1" applyFont="1" applyFill="1" applyBorder="1" applyAlignment="1">
      <alignment horizontal="left" vertical="center" shrinkToFit="1"/>
    </xf>
    <xf numFmtId="0" fontId="1" fillId="0" borderId="1" xfId="1" applyBorder="1" applyAlignment="1">
      <alignment horizontal="center" vertical="center"/>
    </xf>
    <xf numFmtId="0" fontId="1" fillId="0" borderId="48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9" fillId="2" borderId="24" xfId="1" applyFont="1" applyFill="1" applyBorder="1" applyAlignment="1">
      <alignment horizontal="left" vertical="center" shrinkToFit="1"/>
    </xf>
    <xf numFmtId="0" fontId="9" fillId="2" borderId="30" xfId="1" applyFont="1" applyFill="1" applyBorder="1" applyAlignment="1">
      <alignment horizontal="left" vertical="center" shrinkToFit="1"/>
    </xf>
    <xf numFmtId="166" fontId="1" fillId="0" borderId="13" xfId="1" applyNumberFormat="1" applyBorder="1" applyAlignment="1">
      <alignment horizontal="center" vertical="center"/>
    </xf>
    <xf numFmtId="166" fontId="1" fillId="0" borderId="12" xfId="1" applyNumberFormat="1" applyBorder="1" applyAlignment="1">
      <alignment horizontal="center" vertical="center"/>
    </xf>
    <xf numFmtId="166" fontId="1" fillId="0" borderId="7" xfId="1" applyNumberFormat="1" applyBorder="1" applyAlignment="1">
      <alignment horizontal="center" vertical="center"/>
    </xf>
    <xf numFmtId="166" fontId="1" fillId="0" borderId="8" xfId="1" applyNumberFormat="1" applyBorder="1" applyAlignment="1">
      <alignment horizontal="center" vertical="center"/>
    </xf>
    <xf numFmtId="0" fontId="9" fillId="2" borderId="6" xfId="1" applyFont="1" applyFill="1" applyBorder="1" applyAlignment="1">
      <alignment horizontal="left" vertical="center" shrinkToFit="1"/>
    </xf>
    <xf numFmtId="0" fontId="9" fillId="2" borderId="8" xfId="1" applyFont="1" applyFill="1" applyBorder="1" applyAlignment="1">
      <alignment horizontal="left" vertical="center" shrinkToFi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166" fontId="1" fillId="0" borderId="28" xfId="1" applyNumberFormat="1" applyBorder="1" applyAlignment="1">
      <alignment horizontal="center" vertical="center"/>
    </xf>
    <xf numFmtId="166" fontId="1" fillId="0" borderId="27" xfId="1" applyNumberFormat="1" applyBorder="1" applyAlignment="1">
      <alignment horizontal="center" vertical="center"/>
    </xf>
    <xf numFmtId="0" fontId="8" fillId="0" borderId="6" xfId="1" applyFont="1" applyBorder="1" applyAlignment="1">
      <alignment horizontal="left" vertical="center" shrinkToFit="1"/>
    </xf>
    <xf numFmtId="0" fontId="8" fillId="0" borderId="8" xfId="1" applyFont="1" applyBorder="1" applyAlignment="1">
      <alignment horizontal="left" vertical="center" shrinkToFit="1"/>
    </xf>
    <xf numFmtId="166" fontId="1" fillId="0" borderId="40" xfId="1" applyNumberFormat="1" applyBorder="1" applyAlignment="1">
      <alignment horizontal="center" vertical="center"/>
    </xf>
    <xf numFmtId="166" fontId="1" fillId="0" borderId="39" xfId="1" applyNumberFormat="1" applyBorder="1" applyAlignment="1">
      <alignment horizontal="center" vertical="center"/>
    </xf>
    <xf numFmtId="166" fontId="1" fillId="0" borderId="6" xfId="1" applyNumberFormat="1" applyBorder="1" applyAlignment="1">
      <alignment horizontal="center" vertical="center"/>
    </xf>
    <xf numFmtId="166" fontId="1" fillId="0" borderId="47" xfId="1" applyNumberFormat="1" applyBorder="1" applyAlignment="1">
      <alignment horizontal="center" vertical="center"/>
    </xf>
    <xf numFmtId="166" fontId="1" fillId="0" borderId="26" xfId="1" applyNumberFormat="1" applyBorder="1" applyAlignment="1">
      <alignment horizontal="center" vertical="center"/>
    </xf>
    <xf numFmtId="0" fontId="1" fillId="0" borderId="7" xfId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8" xfId="1" applyBorder="1" applyAlignment="1">
      <alignment horizontal="left" vertical="center"/>
    </xf>
    <xf numFmtId="0" fontId="4" fillId="0" borderId="41" xfId="1" applyFont="1" applyBorder="1" applyAlignment="1">
      <alignment horizontal="center" vertical="center" wrapText="1"/>
    </xf>
    <xf numFmtId="0" fontId="4" fillId="0" borderId="35" xfId="1" applyFont="1" applyBorder="1" applyAlignment="1">
      <alignment horizontal="center" vertical="center" wrapText="1"/>
    </xf>
    <xf numFmtId="0" fontId="9" fillId="9" borderId="27" xfId="1" applyFont="1" applyFill="1" applyBorder="1" applyAlignment="1">
      <alignment horizontal="left" vertical="center" shrinkToFit="1"/>
    </xf>
    <xf numFmtId="0" fontId="9" fillId="9" borderId="55" xfId="1" applyFont="1" applyFill="1" applyBorder="1" applyAlignment="1">
      <alignment horizontal="left" vertical="center" shrinkToFit="1"/>
    </xf>
    <xf numFmtId="0" fontId="4" fillId="9" borderId="13" xfId="1" applyFont="1" applyFill="1" applyBorder="1" applyAlignment="1">
      <alignment horizontal="left" vertical="center" shrinkToFit="1"/>
    </xf>
    <xf numFmtId="0" fontId="4" fillId="9" borderId="12" xfId="1" applyFont="1" applyFill="1" applyBorder="1" applyAlignment="1">
      <alignment horizontal="left" vertical="center" shrinkToFit="1"/>
    </xf>
    <xf numFmtId="0" fontId="8" fillId="9" borderId="6" xfId="1" applyFont="1" applyFill="1" applyBorder="1" applyAlignment="1">
      <alignment horizontal="left" vertical="center" shrinkToFit="1"/>
    </xf>
    <xf numFmtId="0" fontId="8" fillId="9" borderId="8" xfId="1" applyFont="1" applyFill="1" applyBorder="1" applyAlignment="1">
      <alignment horizontal="left" vertical="center" shrinkToFit="1"/>
    </xf>
    <xf numFmtId="0" fontId="4" fillId="9" borderId="15" xfId="1" applyFont="1" applyFill="1" applyBorder="1" applyAlignment="1">
      <alignment horizontal="left" vertical="center" shrinkToFit="1"/>
    </xf>
    <xf numFmtId="166" fontId="1" fillId="0" borderId="58" xfId="1" applyNumberFormat="1" applyBorder="1" applyAlignment="1">
      <alignment horizontal="center" vertical="center"/>
    </xf>
    <xf numFmtId="0" fontId="1" fillId="0" borderId="30" xfId="1" applyBorder="1" applyAlignment="1">
      <alignment horizontal="left" vertical="center" shrinkToFit="1"/>
    </xf>
    <xf numFmtId="166" fontId="1" fillId="0" borderId="19" xfId="1" applyNumberFormat="1" applyBorder="1" applyAlignment="1">
      <alignment horizontal="center" vertical="center"/>
    </xf>
    <xf numFmtId="166" fontId="1" fillId="0" borderId="20" xfId="1" applyNumberFormat="1" applyBorder="1" applyAlignment="1">
      <alignment horizontal="center" vertical="center"/>
    </xf>
    <xf numFmtId="166" fontId="1" fillId="0" borderId="25" xfId="1" applyNumberFormat="1" applyBorder="1" applyAlignment="1">
      <alignment horizontal="center" vertical="center"/>
    </xf>
    <xf numFmtId="166" fontId="1" fillId="0" borderId="30" xfId="1" applyNumberFormat="1" applyBorder="1" applyAlignment="1">
      <alignment horizontal="center" vertical="center"/>
    </xf>
    <xf numFmtId="0" fontId="1" fillId="0" borderId="6" xfId="1" applyBorder="1" applyAlignment="1">
      <alignment horizontal="left" vertical="center" shrinkToFit="1"/>
    </xf>
    <xf numFmtId="0" fontId="1" fillId="0" borderId="8" xfId="1" applyBorder="1" applyAlignment="1">
      <alignment horizontal="left" vertical="center" shrinkToFit="1"/>
    </xf>
    <xf numFmtId="166" fontId="1" fillId="0" borderId="52" xfId="1" applyNumberFormat="1" applyBorder="1" applyAlignment="1">
      <alignment horizontal="center" vertical="center"/>
    </xf>
    <xf numFmtId="166" fontId="1" fillId="0" borderId="51" xfId="1" applyNumberFormat="1" applyBorder="1" applyAlignment="1">
      <alignment horizontal="center" vertical="center"/>
    </xf>
    <xf numFmtId="0" fontId="4" fillId="0" borderId="12" xfId="1" applyFont="1" applyBorder="1" applyAlignment="1">
      <alignment horizontal="left" vertical="center" shrinkToFit="1"/>
    </xf>
    <xf numFmtId="0" fontId="4" fillId="0" borderId="15" xfId="1" applyFont="1" applyBorder="1" applyAlignment="1">
      <alignment horizontal="left" vertical="center" shrinkToFit="1"/>
    </xf>
    <xf numFmtId="166" fontId="1" fillId="0" borderId="14" xfId="1" applyNumberFormat="1" applyBorder="1" applyAlignment="1">
      <alignment horizontal="center" vertical="center"/>
    </xf>
    <xf numFmtId="0" fontId="9" fillId="0" borderId="27" xfId="1" applyFont="1" applyBorder="1" applyAlignment="1">
      <alignment horizontal="left" vertical="center"/>
    </xf>
    <xf numFmtId="0" fontId="9" fillId="0" borderId="55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 shrinkToFit="1"/>
    </xf>
    <xf numFmtId="0" fontId="4" fillId="0" borderId="27" xfId="1" applyFont="1" applyBorder="1" applyAlignment="1">
      <alignment horizontal="left" vertical="center" shrinkToFit="1"/>
    </xf>
    <xf numFmtId="0" fontId="8" fillId="9" borderId="24" xfId="1" applyFont="1" applyFill="1" applyBorder="1" applyAlignment="1">
      <alignment horizontal="left" vertical="center" shrinkToFit="1"/>
    </xf>
    <xf numFmtId="0" fontId="8" fillId="9" borderId="30" xfId="1" applyFont="1" applyFill="1" applyBorder="1" applyAlignment="1">
      <alignment horizontal="left" vertical="center" shrinkToFit="1"/>
    </xf>
    <xf numFmtId="0" fontId="1" fillId="9" borderId="7" xfId="1" applyFill="1" applyBorder="1" applyAlignment="1">
      <alignment horizontal="left" vertical="center"/>
    </xf>
    <xf numFmtId="0" fontId="1" fillId="9" borderId="6" xfId="1" applyFill="1" applyBorder="1" applyAlignment="1">
      <alignment horizontal="left" vertical="center"/>
    </xf>
    <xf numFmtId="0" fontId="4" fillId="3" borderId="50" xfId="1" applyFont="1" applyFill="1" applyBorder="1" applyAlignment="1">
      <alignment horizontal="center" vertical="center"/>
    </xf>
    <xf numFmtId="0" fontId="4" fillId="3" borderId="49" xfId="1" applyFont="1" applyFill="1" applyBorder="1" applyAlignment="1">
      <alignment horizontal="center" vertical="center"/>
    </xf>
    <xf numFmtId="0" fontId="4" fillId="10" borderId="49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 shrinkToFit="1"/>
    </xf>
    <xf numFmtId="0" fontId="4" fillId="0" borderId="0" xfId="1" applyFont="1" applyAlignment="1">
      <alignment horizontal="left" vertical="center" shrinkToFit="1"/>
    </xf>
    <xf numFmtId="0" fontId="9" fillId="0" borderId="12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4" fillId="0" borderId="50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0" xfId="1" applyFont="1" applyBorder="1" applyAlignment="1">
      <alignment horizontal="left" vertical="center" shrinkToFit="1"/>
    </xf>
    <xf numFmtId="0" fontId="4" fillId="0" borderId="39" xfId="1" applyFont="1" applyBorder="1" applyAlignment="1">
      <alignment horizontal="left" vertical="center" shrinkToFit="1"/>
    </xf>
    <xf numFmtId="0" fontId="1" fillId="0" borderId="25" xfId="1" applyBorder="1" applyAlignment="1">
      <alignment horizontal="center" vertical="top"/>
    </xf>
    <xf numFmtId="0" fontId="1" fillId="0" borderId="30" xfId="1" applyBorder="1" applyAlignment="1">
      <alignment horizontal="center" vertical="top"/>
    </xf>
    <xf numFmtId="0" fontId="2" fillId="0" borderId="29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30" xfId="1" applyFont="1" applyBorder="1" applyAlignment="1">
      <alignment horizontal="center"/>
    </xf>
    <xf numFmtId="0" fontId="2" fillId="0" borderId="25" xfId="1" applyFont="1" applyBorder="1" applyAlignment="1">
      <alignment horizontal="center"/>
    </xf>
    <xf numFmtId="0" fontId="12" fillId="0" borderId="29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0" borderId="30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8" fillId="0" borderId="6" xfId="2" applyFont="1" applyBorder="1" applyAlignment="1">
      <alignment horizontal="left" vertical="center" shrinkToFit="1"/>
    </xf>
    <xf numFmtId="0" fontId="8" fillId="0" borderId="8" xfId="2" applyFont="1" applyBorder="1" applyAlignment="1">
      <alignment horizontal="left" vertical="center" shrinkToFit="1"/>
    </xf>
    <xf numFmtId="0" fontId="4" fillId="2" borderId="12" xfId="2" applyFont="1" applyFill="1" applyBorder="1" applyAlignment="1">
      <alignment horizontal="left" vertical="center" shrinkToFit="1"/>
    </xf>
    <xf numFmtId="0" fontId="4" fillId="2" borderId="15" xfId="2" applyFont="1" applyFill="1" applyBorder="1" applyAlignment="1">
      <alignment horizontal="left" vertical="center" shrinkToFit="1"/>
    </xf>
    <xf numFmtId="0" fontId="1" fillId="0" borderId="13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7" fillId="0" borderId="18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48" xfId="1" applyFont="1" applyBorder="1" applyAlignment="1">
      <alignment horizontal="center" vertical="center"/>
    </xf>
    <xf numFmtId="0" fontId="6" fillId="0" borderId="52" xfId="1" applyFont="1" applyBorder="1" applyAlignment="1">
      <alignment horizontal="center" vertical="center"/>
    </xf>
    <xf numFmtId="0" fontId="6" fillId="0" borderId="50" xfId="1" applyFont="1" applyBorder="1" applyAlignment="1">
      <alignment horizontal="center" vertical="center"/>
    </xf>
    <xf numFmtId="0" fontId="6" fillId="0" borderId="51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48" xfId="1" applyFont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4" fillId="7" borderId="2" xfId="1" applyFont="1" applyFill="1" applyBorder="1" applyAlignment="1">
      <alignment horizontal="center" vertical="center"/>
    </xf>
    <xf numFmtId="0" fontId="4" fillId="2" borderId="27" xfId="2" applyFont="1" applyFill="1" applyBorder="1" applyAlignment="1">
      <alignment horizontal="left" vertical="center" shrinkToFit="1"/>
    </xf>
    <xf numFmtId="0" fontId="4" fillId="2" borderId="55" xfId="2" applyFont="1" applyFill="1" applyBorder="1" applyAlignment="1">
      <alignment horizontal="left" vertical="center" shrinkToFit="1"/>
    </xf>
    <xf numFmtId="0" fontId="1" fillId="0" borderId="24" xfId="2" applyBorder="1" applyAlignment="1">
      <alignment horizontal="left" vertical="center" shrinkToFit="1"/>
    </xf>
    <xf numFmtId="0" fontId="1" fillId="0" borderId="30" xfId="2" applyBorder="1" applyAlignment="1">
      <alignment horizontal="left" vertical="center" shrinkToFit="1"/>
    </xf>
    <xf numFmtId="0" fontId="8" fillId="2" borderId="24" xfId="2" applyFont="1" applyFill="1" applyBorder="1" applyAlignment="1">
      <alignment horizontal="left" vertical="center" shrinkToFit="1"/>
    </xf>
    <xf numFmtId="0" fontId="8" fillId="2" borderId="30" xfId="2" applyFont="1" applyFill="1" applyBorder="1" applyAlignment="1">
      <alignment horizontal="left" vertical="center" shrinkToFit="1"/>
    </xf>
    <xf numFmtId="0" fontId="8" fillId="2" borderId="24" xfId="1" applyFont="1" applyFill="1" applyBorder="1" applyAlignment="1">
      <alignment horizontal="left" vertical="center" shrinkToFit="1"/>
    </xf>
    <xf numFmtId="0" fontId="8" fillId="2" borderId="30" xfId="1" applyFont="1" applyFill="1" applyBorder="1" applyAlignment="1">
      <alignment horizontal="left" vertical="center" shrinkToFit="1"/>
    </xf>
    <xf numFmtId="0" fontId="9" fillId="0" borderId="27" xfId="1" applyFont="1" applyBorder="1" applyAlignment="1">
      <alignment horizontal="left" vertical="center" shrinkToFit="1"/>
    </xf>
    <xf numFmtId="0" fontId="9" fillId="0" borderId="55" xfId="1" applyFont="1" applyBorder="1" applyAlignment="1">
      <alignment horizontal="left" vertical="center" shrinkToFit="1"/>
    </xf>
    <xf numFmtId="0" fontId="9" fillId="0" borderId="12" xfId="1" applyFont="1" applyBorder="1" applyAlignment="1">
      <alignment horizontal="left" vertical="center" shrinkToFit="1"/>
    </xf>
    <xf numFmtId="0" fontId="9" fillId="0" borderId="15" xfId="1" applyFont="1" applyBorder="1" applyAlignment="1">
      <alignment horizontal="left" vertical="center" shrinkToFit="1"/>
    </xf>
    <xf numFmtId="165" fontId="9" fillId="0" borderId="0" xfId="1" applyNumberFormat="1" applyFont="1" applyAlignment="1">
      <alignment horizontal="center" vertical="center" wrapText="1"/>
    </xf>
    <xf numFmtId="165" fontId="9" fillId="0" borderId="48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48" xfId="1" applyFont="1" applyBorder="1" applyAlignment="1">
      <alignment horizontal="center" vertical="center"/>
    </xf>
    <xf numFmtId="0" fontId="4" fillId="0" borderId="52" xfId="1" applyFont="1" applyBorder="1" applyAlignment="1">
      <alignment horizontal="center" vertical="center" shrinkToFit="1"/>
    </xf>
    <xf numFmtId="0" fontId="4" fillId="0" borderId="50" xfId="1" applyFont="1" applyBorder="1" applyAlignment="1">
      <alignment horizontal="center" vertical="center" shrinkToFit="1"/>
    </xf>
    <xf numFmtId="0" fontId="4" fillId="0" borderId="51" xfId="1" applyFont="1" applyBorder="1" applyAlignment="1">
      <alignment horizontal="center" vertical="center" shrinkToFit="1"/>
    </xf>
    <xf numFmtId="0" fontId="4" fillId="0" borderId="44" xfId="1" applyFont="1" applyBorder="1" applyAlignment="1">
      <alignment horizontal="center" vertical="center"/>
    </xf>
    <xf numFmtId="0" fontId="8" fillId="0" borderId="24" xfId="2" applyFont="1" applyBorder="1" applyAlignment="1">
      <alignment horizontal="left" vertical="center" shrinkToFit="1"/>
    </xf>
    <xf numFmtId="0" fontId="8" fillId="0" borderId="30" xfId="2" applyFont="1" applyBorder="1" applyAlignment="1">
      <alignment horizontal="left" vertical="center" shrinkToFit="1"/>
    </xf>
    <xf numFmtId="0" fontId="1" fillId="0" borderId="15" xfId="1" applyBorder="1" applyAlignment="1">
      <alignment horizontal="center" vertical="center"/>
    </xf>
    <xf numFmtId="0" fontId="9" fillId="0" borderId="27" xfId="2" applyFont="1" applyBorder="1" applyAlignment="1">
      <alignment horizontal="left" vertical="center" shrinkToFit="1"/>
    </xf>
    <xf numFmtId="0" fontId="9" fillId="0" borderId="55" xfId="2" applyFont="1" applyBorder="1" applyAlignment="1">
      <alignment horizontal="left" vertical="center" shrinkToFit="1"/>
    </xf>
    <xf numFmtId="0" fontId="4" fillId="0" borderId="12" xfId="2" applyFont="1" applyBorder="1" applyAlignment="1">
      <alignment horizontal="left" vertical="center" shrinkToFit="1"/>
    </xf>
    <xf numFmtId="0" fontId="4" fillId="0" borderId="15" xfId="2" applyFont="1" applyBorder="1" applyAlignment="1">
      <alignment horizontal="left" vertical="center" shrinkToFit="1"/>
    </xf>
    <xf numFmtId="0" fontId="8" fillId="0" borderId="24" xfId="1" applyFont="1" applyBorder="1" applyAlignment="1">
      <alignment horizontal="left" vertical="center" shrinkToFit="1"/>
    </xf>
    <xf numFmtId="0" fontId="8" fillId="0" borderId="30" xfId="1" applyFont="1" applyBorder="1" applyAlignment="1">
      <alignment horizontal="left" vertical="center" shrinkToFit="1"/>
    </xf>
    <xf numFmtId="0" fontId="9" fillId="0" borderId="12" xfId="2" applyFont="1" applyBorder="1" applyAlignment="1">
      <alignment horizontal="left" vertical="center" shrinkToFit="1"/>
    </xf>
    <xf numFmtId="0" fontId="9" fillId="0" borderId="15" xfId="2" applyFont="1" applyBorder="1" applyAlignment="1">
      <alignment horizontal="left" vertical="center" shrinkToFit="1"/>
    </xf>
    <xf numFmtId="0" fontId="20" fillId="0" borderId="25" xfId="1" applyFont="1" applyBorder="1" applyAlignment="1">
      <alignment horizontal="center" vertical="center"/>
    </xf>
    <xf numFmtId="0" fontId="20" fillId="0" borderId="24" xfId="1" applyFont="1" applyBorder="1" applyAlignment="1">
      <alignment horizontal="center" vertical="center"/>
    </xf>
    <xf numFmtId="0" fontId="20" fillId="0" borderId="30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/>
    </xf>
    <xf numFmtId="0" fontId="2" fillId="0" borderId="46" xfId="1" applyFont="1" applyBorder="1" applyAlignment="1">
      <alignment horizontal="center"/>
    </xf>
    <xf numFmtId="0" fontId="1" fillId="0" borderId="47" xfId="1" applyBorder="1" applyAlignment="1">
      <alignment horizontal="center" vertical="top"/>
    </xf>
    <xf numFmtId="0" fontId="1" fillId="0" borderId="46" xfId="1" applyBorder="1" applyAlignment="1">
      <alignment horizontal="center" vertical="top"/>
    </xf>
    <xf numFmtId="0" fontId="2" fillId="0" borderId="58" xfId="1" applyFont="1" applyBorder="1" applyAlignment="1">
      <alignment horizontal="center"/>
    </xf>
    <xf numFmtId="0" fontId="2" fillId="0" borderId="26" xfId="1" applyFont="1" applyBorder="1" applyAlignment="1">
      <alignment horizontal="center"/>
    </xf>
    <xf numFmtId="0" fontId="1" fillId="0" borderId="0" xfId="1" applyAlignment="1">
      <alignment horizontal="center" vertical="center"/>
    </xf>
    <xf numFmtId="0" fontId="5" fillId="0" borderId="52" xfId="1" applyFont="1" applyBorder="1" applyAlignment="1">
      <alignment horizontal="center" vertical="center" wrapText="1"/>
    </xf>
    <xf numFmtId="0" fontId="5" fillId="0" borderId="50" xfId="1" applyFont="1" applyBorder="1" applyAlignment="1">
      <alignment horizontal="center" vertical="center" wrapText="1"/>
    </xf>
    <xf numFmtId="0" fontId="4" fillId="0" borderId="52" xfId="1" applyFont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9" fillId="0" borderId="26" xfId="1" applyFont="1" applyBorder="1" applyAlignment="1">
      <alignment horizontal="left" vertical="center"/>
    </xf>
    <xf numFmtId="0" fontId="9" fillId="0" borderId="46" xfId="1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165" fontId="9" fillId="0" borderId="43" xfId="1" applyNumberFormat="1" applyFont="1" applyBorder="1" applyAlignment="1">
      <alignment horizontal="center" vertical="center" wrapText="1"/>
    </xf>
    <xf numFmtId="165" fontId="9" fillId="0" borderId="37" xfId="1" applyNumberFormat="1" applyFont="1" applyBorder="1" applyAlignment="1">
      <alignment horizontal="center" vertical="center" wrapText="1"/>
    </xf>
  </cellXfs>
  <cellStyles count="6">
    <cellStyle name="Normal" xfId="0" builtinId="0"/>
    <cellStyle name="Normal 2 4" xfId="2" xr:uid="{4EBB266E-3E08-40FE-8092-2EC56A422EF8}"/>
    <cellStyle name="Normal 3" xfId="1" xr:uid="{603AFAD2-9B77-4F51-B03F-F8E3AB6E430A}"/>
    <cellStyle name="Normal_FORM 5" xfId="3" xr:uid="{8A8089B0-DDC6-40E9-828C-B844C6ED3ACF}"/>
    <cellStyle name="Normal_updated list of fg (from january to octob" xfId="5" xr:uid="{D286E7C6-F25A-4A7E-A381-4FF1BFBE945A}"/>
    <cellStyle name="標準_TMR-026_SRC Parts List_TMR-026_SRC Parts List_TMR-026_SRC Parts List" xfId="4" xr:uid="{DE632411-757E-4BAD-B796-68DB19824B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38100</xdr:rowOff>
    </xdr:from>
    <xdr:to>
      <xdr:col>9</xdr:col>
      <xdr:colOff>142875</xdr:colOff>
      <xdr:row>4</xdr:row>
      <xdr:rowOff>38100</xdr:rowOff>
    </xdr:to>
    <xdr:pic>
      <xdr:nvPicPr>
        <xdr:cNvPr id="2" name="Picture 5466">
          <a:extLst>
            <a:ext uri="{FF2B5EF4-FFF2-40B4-BE49-F238E27FC236}">
              <a16:creationId xmlns:a16="http://schemas.microsoft.com/office/drawing/2014/main" id="{E0BC0568-DEE9-40F9-9E3F-1ECDC2680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20955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57150</xdr:colOff>
      <xdr:row>121</xdr:row>
      <xdr:rowOff>38100</xdr:rowOff>
    </xdr:from>
    <xdr:to>
      <xdr:col>9</xdr:col>
      <xdr:colOff>257175</xdr:colOff>
      <xdr:row>124</xdr:row>
      <xdr:rowOff>0</xdr:rowOff>
    </xdr:to>
    <xdr:pic>
      <xdr:nvPicPr>
        <xdr:cNvPr id="3" name="Picture 5939">
          <a:extLst>
            <a:ext uri="{FF2B5EF4-FFF2-40B4-BE49-F238E27FC236}">
              <a16:creationId xmlns:a16="http://schemas.microsoft.com/office/drawing/2014/main" id="{A9CD38BC-FF2A-4235-B638-3BA60C404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20783550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47</xdr:col>
      <xdr:colOff>47624</xdr:colOff>
      <xdr:row>19</xdr:row>
      <xdr:rowOff>95250</xdr:rowOff>
    </xdr:from>
    <xdr:to>
      <xdr:col>52</xdr:col>
      <xdr:colOff>214311</xdr:colOff>
      <xdr:row>26</xdr:row>
      <xdr:rowOff>71438</xdr:rowOff>
    </xdr:to>
    <xdr:sp macro="" textlink="">
      <xdr:nvSpPr>
        <xdr:cNvPr id="4" name="Speech Bubble: Oval 3">
          <a:extLst>
            <a:ext uri="{FF2B5EF4-FFF2-40B4-BE49-F238E27FC236}">
              <a16:creationId xmlns:a16="http://schemas.microsoft.com/office/drawing/2014/main" id="{12B1EEDB-C6C4-4C2F-871F-09A7C47E9417}"/>
            </a:ext>
          </a:extLst>
        </xdr:cNvPr>
        <xdr:cNvSpPr/>
      </xdr:nvSpPr>
      <xdr:spPr bwMode="auto">
        <a:xfrm>
          <a:off x="17059274" y="3352800"/>
          <a:ext cx="1976437" cy="1176338"/>
        </a:xfrm>
        <a:prstGeom prst="wedgeEllipseCallo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1100"/>
            <a:t>NEXT update: CHANGE TAPE USAGE</a:t>
          </a:r>
        </a:p>
      </xdr:txBody>
    </xdr:sp>
    <xdr:clientData/>
  </xdr:twoCellAnchor>
  <xdr:twoCellAnchor>
    <xdr:from>
      <xdr:col>37</xdr:col>
      <xdr:colOff>224117</xdr:colOff>
      <xdr:row>67</xdr:row>
      <xdr:rowOff>22413</xdr:rowOff>
    </xdr:from>
    <xdr:to>
      <xdr:col>38</xdr:col>
      <xdr:colOff>268941</xdr:colOff>
      <xdr:row>68</xdr:row>
      <xdr:rowOff>134471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7E8E81C2-2385-434D-AB4D-C57F2D67BB5B}"/>
            </a:ext>
          </a:extLst>
        </xdr:cNvPr>
        <xdr:cNvSpPr/>
      </xdr:nvSpPr>
      <xdr:spPr bwMode="auto">
        <a:xfrm>
          <a:off x="13616267" y="11509563"/>
          <a:ext cx="406774" cy="283508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1100" b="1"/>
            <a:t>10</a:t>
          </a:r>
        </a:p>
      </xdr:txBody>
    </xdr:sp>
    <xdr:clientData/>
  </xdr:twoCellAnchor>
  <xdr:twoCellAnchor>
    <xdr:from>
      <xdr:col>37</xdr:col>
      <xdr:colOff>22412</xdr:colOff>
      <xdr:row>129</xdr:row>
      <xdr:rowOff>123264</xdr:rowOff>
    </xdr:from>
    <xdr:to>
      <xdr:col>38</xdr:col>
      <xdr:colOff>190501</xdr:colOff>
      <xdr:row>131</xdr:row>
      <xdr:rowOff>123265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F64F5DCE-54DB-4817-939C-BA547828A487}"/>
            </a:ext>
          </a:extLst>
        </xdr:cNvPr>
        <xdr:cNvSpPr/>
      </xdr:nvSpPr>
      <xdr:spPr bwMode="auto">
        <a:xfrm>
          <a:off x="13414562" y="22240314"/>
          <a:ext cx="530039" cy="342901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1100" b="1"/>
            <a:t>10</a:t>
          </a:r>
        </a:p>
      </xdr:txBody>
    </xdr:sp>
    <xdr:clientData/>
  </xdr:twoCellAnchor>
  <xdr:twoCellAnchor>
    <xdr:from>
      <xdr:col>37</xdr:col>
      <xdr:colOff>112059</xdr:colOff>
      <xdr:row>276</xdr:row>
      <xdr:rowOff>112059</xdr:rowOff>
    </xdr:from>
    <xdr:to>
      <xdr:col>38</xdr:col>
      <xdr:colOff>156883</xdr:colOff>
      <xdr:row>278</xdr:row>
      <xdr:rowOff>22411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77C3B04-C76B-4DE0-9CF1-2A790E221C34}"/>
            </a:ext>
          </a:extLst>
        </xdr:cNvPr>
        <xdr:cNvSpPr/>
      </xdr:nvSpPr>
      <xdr:spPr bwMode="auto">
        <a:xfrm>
          <a:off x="13504209" y="47432259"/>
          <a:ext cx="406774" cy="253252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1100" b="1"/>
            <a:t>10</a:t>
          </a:r>
        </a:p>
      </xdr:txBody>
    </xdr:sp>
    <xdr:clientData/>
  </xdr:twoCellAnchor>
  <xdr:twoCellAnchor>
    <xdr:from>
      <xdr:col>7</xdr:col>
      <xdr:colOff>57150</xdr:colOff>
      <xdr:row>235</xdr:row>
      <xdr:rowOff>38100</xdr:rowOff>
    </xdr:from>
    <xdr:to>
      <xdr:col>9</xdr:col>
      <xdr:colOff>257175</xdr:colOff>
      <xdr:row>238</xdr:row>
      <xdr:rowOff>0</xdr:rowOff>
    </xdr:to>
    <xdr:pic>
      <xdr:nvPicPr>
        <xdr:cNvPr id="8" name="Picture 5939">
          <a:extLst>
            <a:ext uri="{FF2B5EF4-FFF2-40B4-BE49-F238E27FC236}">
              <a16:creationId xmlns:a16="http://schemas.microsoft.com/office/drawing/2014/main" id="{BDD86219-3199-4772-9F37-F5D4EAD74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40328850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37</xdr:col>
      <xdr:colOff>179295</xdr:colOff>
      <xdr:row>47</xdr:row>
      <xdr:rowOff>1</xdr:rowOff>
    </xdr:from>
    <xdr:to>
      <xdr:col>38</xdr:col>
      <xdr:colOff>246530</xdr:colOff>
      <xdr:row>48</xdr:row>
      <xdr:rowOff>168089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A49AFB7-665C-414D-9204-0C983B1B7F6A}"/>
            </a:ext>
          </a:extLst>
        </xdr:cNvPr>
        <xdr:cNvSpPr/>
      </xdr:nvSpPr>
      <xdr:spPr bwMode="auto">
        <a:xfrm>
          <a:off x="13571445" y="8058151"/>
          <a:ext cx="429185" cy="339538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10</a:t>
          </a:r>
        </a:p>
      </xdr:txBody>
    </xdr:sp>
    <xdr:clientData/>
  </xdr:twoCellAnchor>
  <xdr:twoCellAnchor>
    <xdr:from>
      <xdr:col>37</xdr:col>
      <xdr:colOff>174812</xdr:colOff>
      <xdr:row>48</xdr:row>
      <xdr:rowOff>174813</xdr:rowOff>
    </xdr:from>
    <xdr:to>
      <xdr:col>38</xdr:col>
      <xdr:colOff>242047</xdr:colOff>
      <xdr:row>50</xdr:row>
      <xdr:rowOff>141196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ECA4381-C8F8-4957-AA75-E2EA9B2ADB5C}"/>
            </a:ext>
          </a:extLst>
        </xdr:cNvPr>
        <xdr:cNvSpPr/>
      </xdr:nvSpPr>
      <xdr:spPr bwMode="auto">
        <a:xfrm>
          <a:off x="13566962" y="8404413"/>
          <a:ext cx="429185" cy="309283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10</a:t>
          </a:r>
        </a:p>
      </xdr:txBody>
    </xdr:sp>
    <xdr:clientData/>
  </xdr:twoCellAnchor>
  <xdr:twoCellAnchor>
    <xdr:from>
      <xdr:col>37</xdr:col>
      <xdr:colOff>17930</xdr:colOff>
      <xdr:row>134</xdr:row>
      <xdr:rowOff>73959</xdr:rowOff>
    </xdr:from>
    <xdr:to>
      <xdr:col>38</xdr:col>
      <xdr:colOff>186019</xdr:colOff>
      <xdr:row>136</xdr:row>
      <xdr:rowOff>118783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A80D717-2873-4B0D-BF33-2166C711E2A4}"/>
            </a:ext>
          </a:extLst>
        </xdr:cNvPr>
        <xdr:cNvSpPr/>
      </xdr:nvSpPr>
      <xdr:spPr bwMode="auto">
        <a:xfrm>
          <a:off x="13410080" y="23048259"/>
          <a:ext cx="530039" cy="387724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1100" b="1"/>
            <a:t>10</a:t>
          </a:r>
        </a:p>
      </xdr:txBody>
    </xdr:sp>
    <xdr:clientData/>
  </xdr:twoCellAnchor>
  <xdr:twoCellAnchor>
    <xdr:from>
      <xdr:col>37</xdr:col>
      <xdr:colOff>67236</xdr:colOff>
      <xdr:row>139</xdr:row>
      <xdr:rowOff>89647</xdr:rowOff>
    </xdr:from>
    <xdr:to>
      <xdr:col>38</xdr:col>
      <xdr:colOff>235325</xdr:colOff>
      <xdr:row>141</xdr:row>
      <xdr:rowOff>134471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629DC83E-6FB0-4B72-AFB5-FAF1E8AE3841}"/>
            </a:ext>
          </a:extLst>
        </xdr:cNvPr>
        <xdr:cNvSpPr/>
      </xdr:nvSpPr>
      <xdr:spPr bwMode="auto">
        <a:xfrm>
          <a:off x="13459386" y="23921197"/>
          <a:ext cx="530039" cy="387724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1100" b="1"/>
            <a:t>10</a:t>
          </a:r>
        </a:p>
      </xdr:txBody>
    </xdr:sp>
    <xdr:clientData/>
  </xdr:twoCellAnchor>
  <xdr:twoCellAnchor>
    <xdr:from>
      <xdr:col>37</xdr:col>
      <xdr:colOff>73960</xdr:colOff>
      <xdr:row>144</xdr:row>
      <xdr:rowOff>62752</xdr:rowOff>
    </xdr:from>
    <xdr:to>
      <xdr:col>38</xdr:col>
      <xdr:colOff>242049</xdr:colOff>
      <xdr:row>146</xdr:row>
      <xdr:rowOff>107576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890ABDE4-141F-4AA1-BA38-42284211BBEA}"/>
            </a:ext>
          </a:extLst>
        </xdr:cNvPr>
        <xdr:cNvSpPr/>
      </xdr:nvSpPr>
      <xdr:spPr bwMode="auto">
        <a:xfrm>
          <a:off x="13466110" y="24751552"/>
          <a:ext cx="530039" cy="387724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1100" b="1"/>
            <a:t>10</a:t>
          </a:r>
        </a:p>
      </xdr:txBody>
    </xdr:sp>
    <xdr:clientData/>
  </xdr:twoCellAnchor>
  <xdr:twoCellAnchor>
    <xdr:from>
      <xdr:col>32</xdr:col>
      <xdr:colOff>134470</xdr:colOff>
      <xdr:row>13</xdr:row>
      <xdr:rowOff>56029</xdr:rowOff>
    </xdr:from>
    <xdr:to>
      <xdr:col>33</xdr:col>
      <xdr:colOff>201703</xdr:colOff>
      <xdr:row>15</xdr:row>
      <xdr:rowOff>112058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B7B95894-5F09-4B1E-8FCB-D9B0F614B9F8}"/>
            </a:ext>
          </a:extLst>
        </xdr:cNvPr>
        <xdr:cNvSpPr/>
      </xdr:nvSpPr>
      <xdr:spPr bwMode="auto">
        <a:xfrm>
          <a:off x="11716870" y="2284879"/>
          <a:ext cx="429183" cy="398929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10</a:t>
          </a:r>
        </a:p>
      </xdr:txBody>
    </xdr:sp>
    <xdr:clientData/>
  </xdr:twoCellAnchor>
  <xdr:twoCellAnchor>
    <xdr:from>
      <xdr:col>32</xdr:col>
      <xdr:colOff>141194</xdr:colOff>
      <xdr:row>16</xdr:row>
      <xdr:rowOff>6722</xdr:rowOff>
    </xdr:from>
    <xdr:to>
      <xdr:col>33</xdr:col>
      <xdr:colOff>208427</xdr:colOff>
      <xdr:row>18</xdr:row>
      <xdr:rowOff>62751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6223F37A-78AE-48D7-A83E-C28404F1D7DD}"/>
            </a:ext>
          </a:extLst>
        </xdr:cNvPr>
        <xdr:cNvSpPr/>
      </xdr:nvSpPr>
      <xdr:spPr bwMode="auto">
        <a:xfrm>
          <a:off x="11723594" y="2749922"/>
          <a:ext cx="429183" cy="398929"/>
        </a:xfrm>
        <a:prstGeom prst="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10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voic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ODUCTION%20STAFF%20FILES\HELEN\Monthly%20Report\October%202008\SRC\&#19981;&#33391;&#35299;&#26512;\2008-09\SRC%20ASSEMBLY%20(%20DEFECT%20)%20September%202008\Documents%20and%20Settings\HELEN1\Desktop\HELEN'S%20DOCUMENTS\Documents%202008\JUNE%202008\janette%20(production%20output%20for%20update)\docume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KAKU15\&#20849;&#26377;\&#22770;&#19978;&#38306;&#36899;\&#22770;&#19978;&#36039;&#26009;\&#30452;&#25163;&#37197;&#22770;&#19978;&#23455;&#3231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ap.local\feap-files\EXCLUSIVE\BILL%20OF%20MATERIALS\1%20SRC_BOM\TMR-050\APBM-17-783-10%20TMR-050%20SRC%20ASSEMBLY%20BOM-%20WP2213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DROP DOWN"/>
      <sheetName val="DROP DOWN LIST"/>
      <sheetName val="Summary"/>
      <sheetName val="Sheet1"/>
      <sheetName val="Sheet12"/>
      <sheetName val="Database"/>
      <sheetName val="Attachment-4(2)"/>
      <sheetName val="Format"/>
      <sheetName val="12月分"/>
    </sheetNames>
    <sheetDataSet>
      <sheetData sheetId="0" refreshError="1"/>
      <sheetData sheetId="1" refreshError="1">
        <row r="24">
          <cell r="D24" t="b">
            <v>0</v>
          </cell>
        </row>
        <row r="28">
          <cell r="D28" t="b">
            <v>1</v>
          </cell>
        </row>
        <row r="30">
          <cell r="D30" t="b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まとめ"/>
      <sheetName val="Deefects summaru graph"/>
      <sheetName val="生産数"/>
      <sheetName val="Graph1"/>
      <sheetName val="Sheet5"/>
      <sheetName val="Graph4"/>
      <sheetName val="Sheet2"/>
      <sheetName val="表"/>
      <sheetName val="Sheet6"/>
      <sheetName val="生データ"/>
      <sheetName val="LOSS RATE"/>
      <sheetName val="T10 SRC"/>
      <sheetName val="T13 SRC"/>
      <sheetName val="T15 SRC #1"/>
      <sheetName val="T15 SRC #2"/>
      <sheetName val="T15 SRC #3"/>
      <sheetName val="T11 SRC"/>
      <sheetName val="T18 SRC"/>
      <sheetName val="TMR020 SRC"/>
      <sheetName val="TMR021 LINE #3"/>
      <sheetName val="TMR-021 LINE #5"/>
      <sheetName val="TMR-021 LINE #6"/>
      <sheetName val="TMR022 LINE#1 "/>
      <sheetName val="TMR025 SRC"/>
      <sheetName val="TMR026 #2 SRC"/>
      <sheetName val="TMR-027 SRC"/>
      <sheetName val="SZ07 SRC #1"/>
      <sheetName val="SZ07 SRC #3"/>
      <sheetName val="SZR009 SRC"/>
      <sheetName val="DK06 SRC"/>
      <sheetName val="IS05 SRC"/>
      <sheetName val="MI12 SRC"/>
      <sheetName val="MI14 SRC"/>
      <sheetName val="MZ06 SRC"/>
      <sheetName val="MZ07 SRC"/>
      <sheetName val="MZ08 SRC"/>
      <sheetName val="MZR009 SRC"/>
      <sheetName val="MZ010 SRC"/>
      <sheetName val="SZR010 SRC"/>
      <sheetName val="FU06 SRC"/>
      <sheetName val="FUR-007 SRC"/>
      <sheetName val="HMR007 SRC"/>
      <sheetName val="HMR012 SRC"/>
      <sheetName val="TMR021 Line #2"/>
      <sheetName val="TMR022 LINE#5"/>
      <sheetName val="TMR024 SRC"/>
      <sheetName val="TMR026 #5 SRC"/>
      <sheetName val="FU04 SRC"/>
      <sheetName val="SZR008 SRC"/>
      <sheetName val="Planvs.Actual"/>
      <sheetName val="Defect"/>
      <sheetName val="Sheet4"/>
      <sheetName val="_MISSION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>
        <row r="1">
          <cell r="A1" t="str">
            <v>MI12 SRC Assembly</v>
          </cell>
        </row>
        <row r="2">
          <cell r="A2" t="str">
            <v>OCTOBER. 2007</v>
          </cell>
          <cell r="B2" t="str">
            <v>1</v>
          </cell>
          <cell r="C2" t="str">
            <v>2</v>
          </cell>
          <cell r="D2" t="str">
            <v>3</v>
          </cell>
          <cell r="E2" t="str">
            <v>4</v>
          </cell>
          <cell r="F2" t="str">
            <v>5</v>
          </cell>
          <cell r="G2" t="str">
            <v>6</v>
          </cell>
          <cell r="H2" t="str">
            <v>7</v>
          </cell>
          <cell r="I2" t="str">
            <v>8</v>
          </cell>
          <cell r="J2" t="str">
            <v>9</v>
          </cell>
          <cell r="K2" t="str">
            <v>10</v>
          </cell>
          <cell r="L2" t="str">
            <v>11</v>
          </cell>
          <cell r="M2" t="str">
            <v>12</v>
          </cell>
          <cell r="N2" t="str">
            <v>13</v>
          </cell>
          <cell r="O2" t="str">
            <v>14</v>
          </cell>
          <cell r="P2" t="str">
            <v>15</v>
          </cell>
          <cell r="Q2" t="str">
            <v>16</v>
          </cell>
          <cell r="R2" t="str">
            <v>17</v>
          </cell>
          <cell r="S2" t="str">
            <v>18</v>
          </cell>
          <cell r="T2" t="str">
            <v>19</v>
          </cell>
        </row>
        <row r="3">
          <cell r="A3" t="str">
            <v>IN PROCESS DEFECT</v>
          </cell>
        </row>
        <row r="4">
          <cell r="A4" t="str">
            <v>A. FUNCTION TESTER</v>
          </cell>
        </row>
        <row r="5">
          <cell r="A5" t="str">
            <v>Torque Error</v>
          </cell>
        </row>
        <row r="7">
          <cell r="A7" t="str">
            <v>B. ELECTRICAL TESTER</v>
          </cell>
        </row>
        <row r="8">
          <cell r="A8" t="str">
            <v>Barcode Error</v>
          </cell>
        </row>
        <row r="9">
          <cell r="A9" t="str">
            <v>C.R Error</v>
          </cell>
        </row>
        <row r="10">
          <cell r="A10" t="str">
            <v>Damaged Barcode</v>
          </cell>
        </row>
        <row r="11">
          <cell r="A11" t="str">
            <v>I.R Error</v>
          </cell>
        </row>
        <row r="12">
          <cell r="A12" t="str">
            <v>Pattern Error</v>
          </cell>
        </row>
        <row r="13">
          <cell r="A13" t="str">
            <v>Pattern Short</v>
          </cell>
        </row>
        <row r="14">
          <cell r="A14" t="str">
            <v>C. FINAL TESTER</v>
          </cell>
        </row>
        <row r="15">
          <cell r="A15" t="str">
            <v>Damage Busbar</v>
          </cell>
        </row>
        <row r="16">
          <cell r="A16" t="str">
            <v>Damaged Connector</v>
          </cell>
        </row>
        <row r="17">
          <cell r="A17" t="str">
            <v>Damaged Case(Broken Pin,Tab)</v>
          </cell>
        </row>
        <row r="18">
          <cell r="A18" t="str">
            <v>Excess Mold on Post Cover</v>
          </cell>
        </row>
        <row r="19">
          <cell r="A19" t="str">
            <v>Weld Line of Sleeve</v>
          </cell>
        </row>
        <row r="20">
          <cell r="A20" t="str">
            <v>Unlocked Busbar</v>
          </cell>
        </row>
        <row r="21">
          <cell r="A21" t="str">
            <v>Unlocked Post Cover</v>
          </cell>
        </row>
        <row r="22">
          <cell r="A22" t="str">
            <v>D. OTHER PROCESS</v>
          </cell>
        </row>
        <row r="42">
          <cell r="A42" t="str">
            <v>TOTAL DEFECTIVE QUANTITY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 t="str">
            <v>LOSS RATE (%)</v>
          </cell>
          <cell r="B43" t="e">
            <v>#DIV/0!</v>
          </cell>
          <cell r="C43" t="e">
            <v>#DIV/0!</v>
          </cell>
          <cell r="D43">
            <v>0</v>
          </cell>
          <cell r="E43" t="e">
            <v>#DIV/0!</v>
          </cell>
          <cell r="F43" t="e">
            <v>#DIV/0!</v>
          </cell>
          <cell r="G43">
            <v>0</v>
          </cell>
          <cell r="H43" t="e">
            <v>#DIV/0!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e">
            <v>#DIV/0!</v>
          </cell>
          <cell r="N43" t="e">
            <v>#DIV/0!</v>
          </cell>
          <cell r="O43" t="e">
            <v>#DIV/0!</v>
          </cell>
          <cell r="P43" t="e">
            <v>#DIV/0!</v>
          </cell>
          <cell r="Q43" t="e">
            <v>#DIV/0!</v>
          </cell>
          <cell r="R43" t="e">
            <v>#DIV/0!</v>
          </cell>
          <cell r="S43" t="e">
            <v>#DIV/0!</v>
          </cell>
          <cell r="T43" t="e">
            <v>#DIV/0!</v>
          </cell>
        </row>
        <row r="44">
          <cell r="A44" t="str">
            <v>TOTAL GOOD QUANTITY</v>
          </cell>
          <cell r="D44">
            <v>192</v>
          </cell>
          <cell r="G44">
            <v>512</v>
          </cell>
        </row>
        <row r="45">
          <cell r="A45" t="str">
            <v>TOTAL PRODUCTION OUTPUT</v>
          </cell>
          <cell r="B45">
            <v>0</v>
          </cell>
          <cell r="C45">
            <v>0</v>
          </cell>
          <cell r="D45">
            <v>192</v>
          </cell>
          <cell r="E45">
            <v>0</v>
          </cell>
          <cell r="F45">
            <v>0</v>
          </cell>
          <cell r="G45">
            <v>512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 t="str">
            <v>OPERATION TIME (MINS.)</v>
          </cell>
          <cell r="D46">
            <v>140</v>
          </cell>
          <cell r="G46">
            <v>360</v>
          </cell>
        </row>
        <row r="47">
          <cell r="A47" t="str">
            <v>NO. OF PERSONS (operators)</v>
          </cell>
          <cell r="D47">
            <v>7</v>
          </cell>
          <cell r="G47">
            <v>7</v>
          </cell>
        </row>
        <row r="48">
          <cell r="A48" t="str">
            <v>NO. OF PERSONS (LL &amp; QC)</v>
          </cell>
          <cell r="D48">
            <v>2</v>
          </cell>
          <cell r="G48">
            <v>2</v>
          </cell>
        </row>
        <row r="49">
          <cell r="A49" t="str">
            <v>CYCLE TIME</v>
          </cell>
          <cell r="D49">
            <v>43.75</v>
          </cell>
          <cell r="G49">
            <v>42.1875</v>
          </cell>
          <cell r="O49" t="e">
            <v>#DIV/0!</v>
          </cell>
        </row>
        <row r="50">
          <cell r="A50" t="str">
            <v>MANSECOND</v>
          </cell>
          <cell r="D50">
            <v>350</v>
          </cell>
          <cell r="G50">
            <v>337.5</v>
          </cell>
          <cell r="O50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月次データ"/>
      <sheetName val="入力確認"/>
      <sheetName val="Sheet1"/>
      <sheetName val="Sheet2"/>
      <sheetName val="推移データ"/>
      <sheetName val="工数集計"/>
      <sheetName val="FW_STEXCEL"/>
      <sheetName val="主要WH売上"/>
      <sheetName val="HL extract"/>
      <sheetName val="①評価項目_メーカー"/>
      <sheetName val="直手配売上実績"/>
      <sheetName val="計算DATA"/>
      <sheetName val="MI12 SRC"/>
      <sheetName val="コード表"/>
      <sheetName val="部門ﾏｽﾀｰ"/>
      <sheetName val="３発デ－タ"/>
      <sheetName val="MOTO"/>
      <sheetName val="TBL"/>
      <sheetName val="賃率総括"/>
      <sheetName val="371国内試設変通知（日車記入）"/>
      <sheetName val="県別ﾏﾙﾁ"/>
      <sheetName val="After Sales Supplier #'s"/>
      <sheetName val="TW_STDATA"/>
      <sheetName val="74上"/>
      <sheetName val="A"/>
      <sheetName val="図面台帳"/>
      <sheetName val="名簿データ"/>
      <sheetName val="加工費Muster"/>
      <sheetName val="04年度長期操業予測_数量_0412月3発反映"/>
      <sheetName val="VN48 A,Btype 標準工数"/>
      <sheetName val="T_クロス集計テーブル【基データ】"/>
      <sheetName val="inspector"/>
      <sheetName val="点检表"/>
      <sheetName val="班部番別"/>
      <sheetName val="Data"/>
      <sheetName val="BAO-GIA"/>
      <sheetName val="Du_lieu"/>
      <sheetName val="DATABASE"/>
      <sheetName val="SC用内示データ2"/>
      <sheetName val="X02A (DF) TERMINAL LIST"/>
      <sheetName val="总"/>
      <sheetName val="INPUT SHEET"/>
      <sheetName val="週数量"/>
      <sheetName val="051110_金額_REV1"/>
      <sheetName val="FAV2_M_KHNHMK"/>
      <sheetName val="三重組立（1万）"/>
      <sheetName val="HL_extract"/>
      <sheetName val="MI12_SRC"/>
      <sheetName val="VN48_A,Btype_標準工数"/>
      <sheetName val="After_Sales_Supplier_#'s"/>
      <sheetName val="HL_extract1"/>
      <sheetName val="MI12_SRC1"/>
      <sheetName val="VN48_A,Btype_標準工数1"/>
      <sheetName val="After_Sales_Supplier_#'s1"/>
      <sheetName val="HL_extract2"/>
      <sheetName val="MI12_SRC2"/>
      <sheetName val="VN48_A,Btype_標準工数2"/>
      <sheetName val="After_Sales_Supplier_#'s2"/>
      <sheetName val="HL_extract3"/>
      <sheetName val="MI12_SRC3"/>
      <sheetName val="VN48_A,Btype_標準工数3"/>
      <sheetName val="After_Sales_Supplier_#'s3"/>
      <sheetName val="HL_extract4"/>
      <sheetName val="MI12_SRC4"/>
      <sheetName val="VN48_A,Btype_標準工数4"/>
      <sheetName val="After_Sales_Supplier_#'s4"/>
      <sheetName val="HL_extract5"/>
      <sheetName val="MI12_SRC5"/>
      <sheetName val="VN48_A,Btype_標準工数5"/>
      <sheetName val="After_Sales_Supplier_#'s5"/>
      <sheetName val="HL_extract6"/>
      <sheetName val="MI12_SRC6"/>
      <sheetName val="VN48_A,Btype_標準工数6"/>
      <sheetName val="After_Sales_Supplier_#'s6"/>
      <sheetName val="HL_extract7"/>
      <sheetName val="MI12_SRC7"/>
      <sheetName val="VN48_A,Btype_標準工数7"/>
      <sheetName val="After_Sales_Supplier_#'s7"/>
      <sheetName val="HL_extract8"/>
      <sheetName val="MI12_SRC8"/>
      <sheetName val="HL_extract9"/>
      <sheetName val="MI12_SRC9"/>
      <sheetName val="VN48_A,Btype_標準工数8"/>
      <sheetName val="After_Sales_Supplier_#'s8"/>
      <sheetName val="圧着条件"/>
      <sheetName val="ﾏﾙﾁ回路"/>
      <sheetName val="PROFILE"/>
      <sheetName val="静ﾊﾟﾀﾝ分析"/>
      <sheetName val="DT-XL"/>
      <sheetName val="Lban"/>
      <sheetName val="公差"/>
      <sheetName val="TM_SENSIZ（参考）"/>
      <sheetName val="部品情報"/>
      <sheetName val="BOM"/>
      <sheetName val="費用明細-ASSY盤"/>
      <sheetName val="費用明細-導通盤"/>
      <sheetName val="7 issue TS Report-Production"/>
      <sheetName val="4-m sheets"/>
      <sheetName val="Ramp-up"/>
      <sheetName val="Summary"/>
      <sheetName val="明細"/>
      <sheetName val="HYO"/>
      <sheetName val="Temperature Raw Data"/>
      <sheetName val="sample 2 "/>
      <sheetName val="VN48 A_Btype 標準工数"/>
      <sheetName val="集計表"/>
      <sheetName val="F-30"/>
      <sheetName val="V2プロジェクトチーム_予決算比較"/>
      <sheetName val="基準"/>
      <sheetName val="tong du toan"/>
      <sheetName val="00年9月"/>
      <sheetName val="フォーム1"/>
      <sheetName val="W_LBOOK"/>
      <sheetName val="売上総益ﾃﾞｰﾀ"/>
      <sheetName val="#REF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</sheetNames>
    <sheetDataSet>
      <sheetData sheetId="0" refreshError="1">
        <row r="3">
          <cell r="B3" t="str">
            <v>年月</v>
          </cell>
          <cell r="C3" t="str">
            <v>名称</v>
          </cell>
          <cell r="D3" t="str">
            <v>受注種類</v>
          </cell>
          <cell r="E3" t="str">
            <v>金額</v>
          </cell>
          <cell r="F3" t="str">
            <v>出荷数量</v>
          </cell>
          <cell r="G3" t="str">
            <v>手配件数</v>
          </cell>
          <cell r="H3" t="str">
            <v>見積有(新規)</v>
          </cell>
          <cell r="I3" t="str">
            <v>見積無試作A</v>
          </cell>
          <cell r="J3" t="str">
            <v>見積無旧単価</v>
          </cell>
          <cell r="K3" t="str">
            <v>見積無指値</v>
          </cell>
          <cell r="L3" t="str">
            <v>登録 件数計</v>
          </cell>
        </row>
        <row r="4">
          <cell r="B4">
            <v>35886</v>
          </cell>
          <cell r="C4" t="str">
            <v>ﾜｲﾔｰﾊｰﾈｽ</v>
          </cell>
          <cell r="D4">
            <v>1</v>
          </cell>
          <cell r="E4">
            <v>1832253</v>
          </cell>
          <cell r="F4">
            <v>2695</v>
          </cell>
          <cell r="G4">
            <v>54</v>
          </cell>
          <cell r="H4">
            <v>7</v>
          </cell>
          <cell r="I4">
            <v>322</v>
          </cell>
          <cell r="K4">
            <v>467</v>
          </cell>
          <cell r="L4">
            <v>796</v>
          </cell>
        </row>
        <row r="5">
          <cell r="B5">
            <v>35886</v>
          </cell>
          <cell r="C5" t="str">
            <v>ﾘｰﾄﾞ線</v>
          </cell>
          <cell r="D5">
            <v>2</v>
          </cell>
          <cell r="E5">
            <v>10590</v>
          </cell>
          <cell r="F5">
            <v>101</v>
          </cell>
          <cell r="G5">
            <v>2</v>
          </cell>
          <cell r="L5">
            <v>0</v>
          </cell>
        </row>
        <row r="6">
          <cell r="B6">
            <v>35886</v>
          </cell>
          <cell r="C6" t="str">
            <v>ﾊﾞｯﾃﾘｰ</v>
          </cell>
          <cell r="D6">
            <v>3</v>
          </cell>
          <cell r="E6">
            <v>35074</v>
          </cell>
          <cell r="F6">
            <v>78</v>
          </cell>
          <cell r="G6">
            <v>4</v>
          </cell>
          <cell r="L6">
            <v>0</v>
          </cell>
        </row>
        <row r="7">
          <cell r="B7">
            <v>35886</v>
          </cell>
          <cell r="C7" t="str">
            <v>部品</v>
          </cell>
          <cell r="D7">
            <v>4</v>
          </cell>
          <cell r="E7">
            <v>57068</v>
          </cell>
          <cell r="F7">
            <v>4439</v>
          </cell>
          <cell r="G7">
            <v>5</v>
          </cell>
          <cell r="L7">
            <v>0</v>
          </cell>
        </row>
        <row r="8">
          <cell r="B8">
            <v>35886</v>
          </cell>
          <cell r="C8" t="str">
            <v>ﾊﾟｰﾂﾊｰﾈｽ</v>
          </cell>
          <cell r="D8">
            <v>9</v>
          </cell>
          <cell r="E8">
            <v>7604806</v>
          </cell>
          <cell r="F8">
            <v>10496</v>
          </cell>
          <cell r="G8">
            <v>331</v>
          </cell>
          <cell r="L8">
            <v>0</v>
          </cell>
        </row>
        <row r="9">
          <cell r="B9">
            <v>35886</v>
          </cell>
          <cell r="C9" t="str">
            <v>試作品</v>
          </cell>
          <cell r="D9" t="str">
            <v>A</v>
          </cell>
          <cell r="E9">
            <v>18796812</v>
          </cell>
          <cell r="F9">
            <v>1151</v>
          </cell>
          <cell r="G9">
            <v>334</v>
          </cell>
          <cell r="L9">
            <v>0</v>
          </cell>
        </row>
        <row r="10">
          <cell r="B10">
            <v>35886</v>
          </cell>
          <cell r="C10" t="str">
            <v>量産確認</v>
          </cell>
          <cell r="D10" t="str">
            <v>B</v>
          </cell>
          <cell r="E10">
            <v>1854934</v>
          </cell>
          <cell r="F10">
            <v>380</v>
          </cell>
          <cell r="G10">
            <v>123</v>
          </cell>
          <cell r="L10">
            <v>0</v>
          </cell>
        </row>
        <row r="11">
          <cell r="B11">
            <v>35886</v>
          </cell>
          <cell r="C11" t="str">
            <v>先行量産</v>
          </cell>
          <cell r="D11" t="str">
            <v>C</v>
          </cell>
          <cell r="E11">
            <v>5344</v>
          </cell>
          <cell r="F11">
            <v>32</v>
          </cell>
          <cell r="G11">
            <v>3</v>
          </cell>
          <cell r="L11">
            <v>0</v>
          </cell>
        </row>
        <row r="12">
          <cell r="B12">
            <v>35916</v>
          </cell>
          <cell r="C12" t="str">
            <v>ﾜｲﾔｰﾊｰﾈｽ</v>
          </cell>
          <cell r="D12">
            <v>1</v>
          </cell>
          <cell r="E12">
            <v>1065209</v>
          </cell>
          <cell r="F12">
            <v>2396</v>
          </cell>
          <cell r="G12">
            <v>64</v>
          </cell>
          <cell r="H12">
            <v>20</v>
          </cell>
          <cell r="I12">
            <v>88</v>
          </cell>
          <cell r="K12">
            <v>423</v>
          </cell>
          <cell r="L12">
            <v>531</v>
          </cell>
        </row>
        <row r="13">
          <cell r="B13">
            <v>35916</v>
          </cell>
          <cell r="C13" t="str">
            <v>ﾘｰﾄﾞ線</v>
          </cell>
          <cell r="D13">
            <v>2</v>
          </cell>
          <cell r="E13">
            <v>55245</v>
          </cell>
          <cell r="F13">
            <v>868</v>
          </cell>
          <cell r="G13">
            <v>8</v>
          </cell>
          <cell r="L13">
            <v>0</v>
          </cell>
        </row>
        <row r="14">
          <cell r="B14">
            <v>35916</v>
          </cell>
          <cell r="C14" t="str">
            <v>部品</v>
          </cell>
          <cell r="D14">
            <v>4</v>
          </cell>
          <cell r="E14">
            <v>109380</v>
          </cell>
          <cell r="F14">
            <v>4000</v>
          </cell>
          <cell r="G14">
            <v>27</v>
          </cell>
          <cell r="L14">
            <v>0</v>
          </cell>
        </row>
        <row r="15">
          <cell r="B15">
            <v>35916</v>
          </cell>
          <cell r="C15" t="str">
            <v>ﾊﾟｰﾂﾊｰﾈｽ</v>
          </cell>
          <cell r="D15">
            <v>9</v>
          </cell>
          <cell r="E15">
            <v>5686038</v>
          </cell>
          <cell r="F15">
            <v>8327</v>
          </cell>
          <cell r="G15">
            <v>285</v>
          </cell>
          <cell r="L15">
            <v>0</v>
          </cell>
        </row>
        <row r="16">
          <cell r="B16">
            <v>35916</v>
          </cell>
          <cell r="C16" t="str">
            <v>試作品</v>
          </cell>
          <cell r="D16" t="str">
            <v>A</v>
          </cell>
          <cell r="E16">
            <v>5103739</v>
          </cell>
          <cell r="F16">
            <v>532</v>
          </cell>
          <cell r="G16">
            <v>88</v>
          </cell>
          <cell r="L16">
            <v>0</v>
          </cell>
        </row>
        <row r="17">
          <cell r="B17">
            <v>35916</v>
          </cell>
          <cell r="C17" t="str">
            <v>量産確認</v>
          </cell>
          <cell r="D17" t="str">
            <v>B</v>
          </cell>
          <cell r="E17">
            <v>2351775</v>
          </cell>
          <cell r="F17">
            <v>510</v>
          </cell>
          <cell r="G17">
            <v>93</v>
          </cell>
          <cell r="L17">
            <v>0</v>
          </cell>
        </row>
        <row r="18">
          <cell r="B18">
            <v>35916</v>
          </cell>
          <cell r="C18" t="str">
            <v>先行量産</v>
          </cell>
          <cell r="D18" t="str">
            <v>C</v>
          </cell>
          <cell r="E18">
            <v>125477</v>
          </cell>
          <cell r="F18">
            <v>224</v>
          </cell>
          <cell r="G18">
            <v>8</v>
          </cell>
          <cell r="L18">
            <v>0</v>
          </cell>
        </row>
        <row r="19">
          <cell r="B19">
            <v>35947</v>
          </cell>
          <cell r="C19" t="str">
            <v>ﾜｲﾔｰﾊｰﾈｽ</v>
          </cell>
          <cell r="D19">
            <v>1</v>
          </cell>
          <cell r="E19">
            <v>1434963</v>
          </cell>
          <cell r="F19">
            <v>1938</v>
          </cell>
          <cell r="G19">
            <v>41</v>
          </cell>
          <cell r="H19">
            <v>4</v>
          </cell>
          <cell r="I19">
            <v>204</v>
          </cell>
          <cell r="K19">
            <v>778</v>
          </cell>
          <cell r="L19">
            <v>986</v>
          </cell>
        </row>
        <row r="20">
          <cell r="B20">
            <v>35947</v>
          </cell>
          <cell r="C20" t="str">
            <v>ﾘｰﾄﾞ線</v>
          </cell>
          <cell r="D20">
            <v>2</v>
          </cell>
          <cell r="E20">
            <v>67341</v>
          </cell>
          <cell r="F20">
            <v>902</v>
          </cell>
          <cell r="G20">
            <v>3</v>
          </cell>
          <cell r="L20">
            <v>0</v>
          </cell>
        </row>
        <row r="21">
          <cell r="B21">
            <v>35947</v>
          </cell>
          <cell r="C21" t="str">
            <v>ﾊﾞｯﾃﾘｰ</v>
          </cell>
          <cell r="D21">
            <v>3</v>
          </cell>
          <cell r="E21">
            <v>2498</v>
          </cell>
          <cell r="F21">
            <v>42</v>
          </cell>
          <cell r="G21">
            <v>2</v>
          </cell>
          <cell r="L21">
            <v>0</v>
          </cell>
        </row>
        <row r="22">
          <cell r="B22">
            <v>35947</v>
          </cell>
          <cell r="C22" t="str">
            <v>部品</v>
          </cell>
          <cell r="D22">
            <v>4</v>
          </cell>
          <cell r="E22">
            <v>35672</v>
          </cell>
          <cell r="F22">
            <v>8037</v>
          </cell>
          <cell r="G22">
            <v>11</v>
          </cell>
          <cell r="L22">
            <v>0</v>
          </cell>
        </row>
        <row r="23">
          <cell r="B23">
            <v>35947</v>
          </cell>
          <cell r="C23" t="str">
            <v>ＦＬ</v>
          </cell>
          <cell r="D23">
            <v>5</v>
          </cell>
          <cell r="E23">
            <v>4517</v>
          </cell>
          <cell r="F23">
            <v>39</v>
          </cell>
          <cell r="G23">
            <v>4</v>
          </cell>
          <cell r="L23">
            <v>0</v>
          </cell>
        </row>
        <row r="24">
          <cell r="B24">
            <v>35947</v>
          </cell>
          <cell r="C24" t="str">
            <v>ﾊﾟｰﾂﾊｰﾈｽ</v>
          </cell>
          <cell r="D24">
            <v>9</v>
          </cell>
          <cell r="E24">
            <v>4853118</v>
          </cell>
          <cell r="F24">
            <v>11005</v>
          </cell>
          <cell r="G24">
            <v>321</v>
          </cell>
          <cell r="L24">
            <v>0</v>
          </cell>
        </row>
        <row r="25">
          <cell r="B25">
            <v>35947</v>
          </cell>
          <cell r="C25" t="str">
            <v>改造ﾊｰﾈｽ</v>
          </cell>
          <cell r="D25">
            <v>8</v>
          </cell>
          <cell r="E25">
            <v>139260</v>
          </cell>
          <cell r="F25">
            <v>30</v>
          </cell>
          <cell r="G25">
            <v>1</v>
          </cell>
          <cell r="L25">
            <v>0</v>
          </cell>
        </row>
        <row r="26">
          <cell r="B26">
            <v>35947</v>
          </cell>
          <cell r="C26" t="str">
            <v>試作品</v>
          </cell>
          <cell r="D26" t="str">
            <v>A</v>
          </cell>
          <cell r="E26">
            <v>13245993</v>
          </cell>
          <cell r="F26">
            <v>876</v>
          </cell>
          <cell r="G26">
            <v>223</v>
          </cell>
          <cell r="L26">
            <v>0</v>
          </cell>
        </row>
        <row r="27">
          <cell r="B27">
            <v>35947</v>
          </cell>
          <cell r="C27" t="str">
            <v>量産確認</v>
          </cell>
          <cell r="D27" t="str">
            <v>B</v>
          </cell>
          <cell r="E27">
            <v>3341092</v>
          </cell>
          <cell r="F27">
            <v>2190</v>
          </cell>
          <cell r="G27">
            <v>394</v>
          </cell>
          <cell r="L27">
            <v>0</v>
          </cell>
        </row>
        <row r="28">
          <cell r="B28">
            <v>35947</v>
          </cell>
          <cell r="C28" t="str">
            <v>先行量産</v>
          </cell>
          <cell r="D28" t="str">
            <v>C</v>
          </cell>
          <cell r="E28">
            <v>446204</v>
          </cell>
          <cell r="F28">
            <v>126</v>
          </cell>
          <cell r="G28">
            <v>34</v>
          </cell>
          <cell r="L28">
            <v>0</v>
          </cell>
        </row>
        <row r="29">
          <cell r="B29">
            <v>35947</v>
          </cell>
          <cell r="C29" t="str">
            <v>ﾘｰﾄﾞ線部品</v>
          </cell>
          <cell r="D29" t="str">
            <v>X</v>
          </cell>
          <cell r="E29">
            <v>951000</v>
          </cell>
          <cell r="F29">
            <v>30000</v>
          </cell>
          <cell r="G29">
            <v>3</v>
          </cell>
          <cell r="L29">
            <v>0</v>
          </cell>
        </row>
        <row r="30">
          <cell r="B30">
            <v>35977</v>
          </cell>
          <cell r="C30" t="str">
            <v>ﾜｲﾔｰﾊｰﾈｽ</v>
          </cell>
          <cell r="D30">
            <v>1</v>
          </cell>
          <cell r="E30">
            <v>920447</v>
          </cell>
          <cell r="F30">
            <v>741</v>
          </cell>
          <cell r="G30">
            <v>65</v>
          </cell>
          <cell r="H30">
            <v>19</v>
          </cell>
          <cell r="I30">
            <v>112</v>
          </cell>
          <cell r="K30">
            <v>628</v>
          </cell>
          <cell r="L30">
            <v>759</v>
          </cell>
        </row>
        <row r="31">
          <cell r="B31">
            <v>35977</v>
          </cell>
          <cell r="C31" t="str">
            <v>ﾘｰﾄﾞ線</v>
          </cell>
          <cell r="D31">
            <v>2</v>
          </cell>
          <cell r="E31">
            <v>95752</v>
          </cell>
          <cell r="F31">
            <v>1382</v>
          </cell>
          <cell r="G31">
            <v>8</v>
          </cell>
          <cell r="L31">
            <v>0</v>
          </cell>
        </row>
        <row r="32">
          <cell r="B32">
            <v>35977</v>
          </cell>
          <cell r="C32" t="str">
            <v>ﾊﾞｯﾃﾘｰ</v>
          </cell>
          <cell r="D32">
            <v>3</v>
          </cell>
          <cell r="E32">
            <v>1800</v>
          </cell>
          <cell r="F32">
            <v>4</v>
          </cell>
          <cell r="G32">
            <v>2</v>
          </cell>
          <cell r="L32">
            <v>0</v>
          </cell>
        </row>
        <row r="33">
          <cell r="B33">
            <v>35977</v>
          </cell>
          <cell r="C33" t="str">
            <v>部品</v>
          </cell>
          <cell r="D33">
            <v>4</v>
          </cell>
          <cell r="E33">
            <v>8221236</v>
          </cell>
          <cell r="F33">
            <v>6747</v>
          </cell>
          <cell r="G33">
            <v>39</v>
          </cell>
          <cell r="L33">
            <v>0</v>
          </cell>
        </row>
        <row r="34">
          <cell r="B34">
            <v>35977</v>
          </cell>
          <cell r="C34" t="str">
            <v>ＦＬ</v>
          </cell>
          <cell r="D34">
            <v>5</v>
          </cell>
          <cell r="E34">
            <v>15592</v>
          </cell>
          <cell r="F34">
            <v>132</v>
          </cell>
          <cell r="G34">
            <v>3</v>
          </cell>
          <cell r="L34">
            <v>0</v>
          </cell>
        </row>
        <row r="35">
          <cell r="B35">
            <v>35977</v>
          </cell>
          <cell r="C35" t="str">
            <v>ﾊﾟｰﾂﾊｰﾈｽ</v>
          </cell>
          <cell r="D35">
            <v>9</v>
          </cell>
          <cell r="E35">
            <v>5610968</v>
          </cell>
          <cell r="F35">
            <v>7812</v>
          </cell>
          <cell r="G35">
            <v>290</v>
          </cell>
          <cell r="L35">
            <v>0</v>
          </cell>
        </row>
        <row r="36">
          <cell r="B36">
            <v>35977</v>
          </cell>
          <cell r="C36" t="str">
            <v>試作品</v>
          </cell>
          <cell r="D36" t="str">
            <v>A</v>
          </cell>
          <cell r="E36">
            <v>8222296</v>
          </cell>
          <cell r="F36">
            <v>1334</v>
          </cell>
          <cell r="G36">
            <v>115</v>
          </cell>
          <cell r="L36">
            <v>0</v>
          </cell>
        </row>
        <row r="37">
          <cell r="B37">
            <v>35977</v>
          </cell>
          <cell r="C37" t="str">
            <v>量産確認</v>
          </cell>
          <cell r="D37" t="str">
            <v>B</v>
          </cell>
          <cell r="E37">
            <v>1906294</v>
          </cell>
          <cell r="F37">
            <v>1068</v>
          </cell>
          <cell r="G37">
            <v>263</v>
          </cell>
          <cell r="L37">
            <v>0</v>
          </cell>
        </row>
        <row r="38">
          <cell r="B38">
            <v>35977</v>
          </cell>
          <cell r="C38" t="str">
            <v>先行量産</v>
          </cell>
          <cell r="D38" t="str">
            <v>C</v>
          </cell>
          <cell r="E38">
            <v>64600</v>
          </cell>
          <cell r="F38">
            <v>8</v>
          </cell>
          <cell r="G38">
            <v>4</v>
          </cell>
          <cell r="L38">
            <v>0</v>
          </cell>
        </row>
        <row r="39">
          <cell r="B39">
            <v>35977</v>
          </cell>
          <cell r="C39" t="str">
            <v>ﾘｰﾄﾞ線部品</v>
          </cell>
          <cell r="D39" t="str">
            <v>X</v>
          </cell>
          <cell r="E39">
            <v>634000</v>
          </cell>
          <cell r="F39">
            <v>20000</v>
          </cell>
          <cell r="G39">
            <v>2</v>
          </cell>
          <cell r="L39">
            <v>0</v>
          </cell>
        </row>
        <row r="40">
          <cell r="B40">
            <v>36008</v>
          </cell>
          <cell r="C40" t="str">
            <v>ﾜｲﾔｰﾊｰﾈｽ</v>
          </cell>
          <cell r="D40">
            <v>1</v>
          </cell>
          <cell r="E40">
            <v>1196536</v>
          </cell>
          <cell r="F40">
            <v>1223</v>
          </cell>
          <cell r="G40">
            <v>85</v>
          </cell>
          <cell r="H40">
            <v>4</v>
          </cell>
          <cell r="I40">
            <v>141</v>
          </cell>
          <cell r="K40">
            <v>745</v>
          </cell>
          <cell r="L40">
            <v>890</v>
          </cell>
        </row>
        <row r="41">
          <cell r="B41">
            <v>36008</v>
          </cell>
          <cell r="C41" t="str">
            <v>ﾘｰﾄﾞ線</v>
          </cell>
          <cell r="D41">
            <v>2</v>
          </cell>
          <cell r="E41">
            <v>139877</v>
          </cell>
          <cell r="F41">
            <v>1678</v>
          </cell>
          <cell r="G41">
            <v>7</v>
          </cell>
          <cell r="L41">
            <v>0</v>
          </cell>
        </row>
        <row r="42">
          <cell r="B42">
            <v>36008</v>
          </cell>
          <cell r="C42" t="str">
            <v>部品</v>
          </cell>
          <cell r="D42">
            <v>4</v>
          </cell>
          <cell r="E42">
            <v>10177</v>
          </cell>
          <cell r="F42">
            <v>377</v>
          </cell>
          <cell r="G42">
            <v>9</v>
          </cell>
          <cell r="L42">
            <v>0</v>
          </cell>
        </row>
        <row r="43">
          <cell r="B43">
            <v>36008</v>
          </cell>
          <cell r="C43" t="str">
            <v>ﾊﾟｰﾂﾊｰﾈｽ</v>
          </cell>
          <cell r="D43">
            <v>9</v>
          </cell>
          <cell r="E43">
            <v>3234094</v>
          </cell>
          <cell r="F43">
            <v>5462</v>
          </cell>
          <cell r="G43">
            <v>262</v>
          </cell>
          <cell r="L43">
            <v>0</v>
          </cell>
        </row>
        <row r="44">
          <cell r="B44">
            <v>36008</v>
          </cell>
          <cell r="C44" t="str">
            <v>試作品</v>
          </cell>
          <cell r="D44" t="str">
            <v>A</v>
          </cell>
          <cell r="E44">
            <v>9350829</v>
          </cell>
          <cell r="F44">
            <v>525</v>
          </cell>
          <cell r="G44">
            <v>171</v>
          </cell>
          <cell r="L44">
            <v>0</v>
          </cell>
        </row>
        <row r="45">
          <cell r="B45">
            <v>36008</v>
          </cell>
          <cell r="C45" t="str">
            <v>量産確認</v>
          </cell>
          <cell r="D45" t="str">
            <v>B</v>
          </cell>
          <cell r="E45">
            <v>5725328</v>
          </cell>
          <cell r="F45">
            <v>2426</v>
          </cell>
          <cell r="G45">
            <v>421</v>
          </cell>
          <cell r="L45">
            <v>0</v>
          </cell>
        </row>
        <row r="46">
          <cell r="B46">
            <v>36008</v>
          </cell>
          <cell r="C46" t="str">
            <v>ﾘｰﾄﾞ線部品</v>
          </cell>
          <cell r="D46" t="str">
            <v>X</v>
          </cell>
          <cell r="E46">
            <v>1141200</v>
          </cell>
          <cell r="F46">
            <v>36000</v>
          </cell>
          <cell r="G46">
            <v>4</v>
          </cell>
          <cell r="L46">
            <v>0</v>
          </cell>
        </row>
        <row r="47">
          <cell r="B47">
            <v>36039</v>
          </cell>
          <cell r="C47" t="str">
            <v>ﾜｲﾔｰﾊｰﾈｽ</v>
          </cell>
          <cell r="D47">
            <v>1</v>
          </cell>
          <cell r="E47">
            <v>1035944</v>
          </cell>
          <cell r="F47">
            <v>2444</v>
          </cell>
          <cell r="G47">
            <v>51</v>
          </cell>
          <cell r="H47">
            <v>25</v>
          </cell>
          <cell r="I47">
            <v>151</v>
          </cell>
          <cell r="K47">
            <v>514</v>
          </cell>
          <cell r="L47">
            <v>690</v>
          </cell>
        </row>
        <row r="48">
          <cell r="B48">
            <v>36039</v>
          </cell>
          <cell r="C48" t="str">
            <v>ﾘｰﾄﾞ線</v>
          </cell>
          <cell r="D48">
            <v>2</v>
          </cell>
          <cell r="E48">
            <v>368757</v>
          </cell>
          <cell r="F48">
            <v>2824</v>
          </cell>
          <cell r="G48">
            <v>15</v>
          </cell>
          <cell r="L48">
            <v>0</v>
          </cell>
        </row>
        <row r="49">
          <cell r="B49">
            <v>36039</v>
          </cell>
          <cell r="C49" t="str">
            <v>ﾊﾞｯﾃﾘｰ</v>
          </cell>
          <cell r="D49">
            <v>3</v>
          </cell>
          <cell r="E49">
            <v>1300</v>
          </cell>
          <cell r="F49">
            <v>20</v>
          </cell>
          <cell r="G49">
            <v>1</v>
          </cell>
          <cell r="L49">
            <v>0</v>
          </cell>
        </row>
        <row r="50">
          <cell r="B50">
            <v>36039</v>
          </cell>
          <cell r="C50" t="str">
            <v>部品</v>
          </cell>
          <cell r="D50">
            <v>4</v>
          </cell>
          <cell r="E50">
            <v>376631</v>
          </cell>
          <cell r="F50">
            <v>53</v>
          </cell>
          <cell r="G50">
            <v>28</v>
          </cell>
          <cell r="L50">
            <v>0</v>
          </cell>
        </row>
        <row r="51">
          <cell r="B51">
            <v>36039</v>
          </cell>
          <cell r="C51" t="str">
            <v>ＦＬ</v>
          </cell>
          <cell r="D51">
            <v>5</v>
          </cell>
          <cell r="E51">
            <v>6300</v>
          </cell>
          <cell r="F51">
            <v>50</v>
          </cell>
          <cell r="G51">
            <v>2</v>
          </cell>
          <cell r="L51">
            <v>0</v>
          </cell>
        </row>
        <row r="52">
          <cell r="B52">
            <v>36039</v>
          </cell>
          <cell r="C52" t="str">
            <v>ﾊﾟｰﾂﾊｰﾈｽ</v>
          </cell>
          <cell r="D52">
            <v>9</v>
          </cell>
          <cell r="E52">
            <v>5790871</v>
          </cell>
          <cell r="F52">
            <v>7355</v>
          </cell>
          <cell r="G52">
            <v>373</v>
          </cell>
          <cell r="L52">
            <v>0</v>
          </cell>
        </row>
        <row r="53">
          <cell r="B53">
            <v>36039</v>
          </cell>
          <cell r="C53" t="str">
            <v>試作品</v>
          </cell>
          <cell r="D53" t="str">
            <v>A</v>
          </cell>
          <cell r="E53">
            <v>9659682</v>
          </cell>
          <cell r="F53">
            <v>1004</v>
          </cell>
          <cell r="G53">
            <v>167</v>
          </cell>
          <cell r="L53">
            <v>0</v>
          </cell>
        </row>
        <row r="54">
          <cell r="B54">
            <v>36039</v>
          </cell>
          <cell r="C54" t="str">
            <v>量産確認</v>
          </cell>
          <cell r="D54" t="str">
            <v>B</v>
          </cell>
          <cell r="E54">
            <v>1720870</v>
          </cell>
          <cell r="F54">
            <v>612</v>
          </cell>
          <cell r="G54">
            <v>128</v>
          </cell>
          <cell r="L54">
            <v>0</v>
          </cell>
        </row>
        <row r="55">
          <cell r="B55">
            <v>36039</v>
          </cell>
          <cell r="C55" t="str">
            <v>先行量産</v>
          </cell>
          <cell r="D55" t="str">
            <v>C</v>
          </cell>
          <cell r="E55">
            <v>68574</v>
          </cell>
          <cell r="F55">
            <v>4</v>
          </cell>
          <cell r="G55">
            <v>2</v>
          </cell>
          <cell r="L55">
            <v>0</v>
          </cell>
        </row>
        <row r="56">
          <cell r="B56">
            <v>36039</v>
          </cell>
          <cell r="C56" t="str">
            <v>ﾘｰﾄﾞ線部品</v>
          </cell>
          <cell r="D56" t="str">
            <v>X</v>
          </cell>
          <cell r="E56">
            <v>443800</v>
          </cell>
          <cell r="F56">
            <v>14000</v>
          </cell>
          <cell r="G56">
            <v>2</v>
          </cell>
          <cell r="L56">
            <v>0</v>
          </cell>
        </row>
        <row r="57">
          <cell r="B57">
            <v>36069</v>
          </cell>
          <cell r="C57" t="str">
            <v>ﾜｲﾔｰﾊｰﾈｽ</v>
          </cell>
          <cell r="D57">
            <v>1</v>
          </cell>
          <cell r="E57">
            <v>621790</v>
          </cell>
          <cell r="F57">
            <v>879</v>
          </cell>
          <cell r="G57">
            <v>67</v>
          </cell>
          <cell r="H57">
            <v>3</v>
          </cell>
          <cell r="I57">
            <v>140</v>
          </cell>
          <cell r="K57">
            <v>580</v>
          </cell>
          <cell r="L57">
            <v>723</v>
          </cell>
        </row>
        <row r="58">
          <cell r="B58">
            <v>36069</v>
          </cell>
          <cell r="C58" t="str">
            <v>ﾘｰﾄﾞ線</v>
          </cell>
          <cell r="D58">
            <v>2</v>
          </cell>
          <cell r="E58">
            <v>175586</v>
          </cell>
          <cell r="F58">
            <v>1346</v>
          </cell>
          <cell r="G58">
            <v>8</v>
          </cell>
          <cell r="L58">
            <v>0</v>
          </cell>
        </row>
        <row r="59">
          <cell r="B59">
            <v>36069</v>
          </cell>
          <cell r="C59" t="str">
            <v>部品</v>
          </cell>
          <cell r="D59">
            <v>4</v>
          </cell>
          <cell r="E59">
            <v>408326</v>
          </cell>
          <cell r="F59">
            <v>11354</v>
          </cell>
          <cell r="G59">
            <v>31</v>
          </cell>
          <cell r="L59">
            <v>0</v>
          </cell>
        </row>
        <row r="60">
          <cell r="B60">
            <v>36069</v>
          </cell>
          <cell r="C60" t="str">
            <v>ＦＬ</v>
          </cell>
          <cell r="D60">
            <v>5</v>
          </cell>
          <cell r="E60">
            <v>2520</v>
          </cell>
          <cell r="F60">
            <v>20</v>
          </cell>
          <cell r="G60">
            <v>2</v>
          </cell>
          <cell r="L60">
            <v>0</v>
          </cell>
        </row>
        <row r="61">
          <cell r="B61">
            <v>36069</v>
          </cell>
          <cell r="C61" t="str">
            <v>ﾊﾟｰﾂﾊｰﾈｽ</v>
          </cell>
          <cell r="D61">
            <v>9</v>
          </cell>
          <cell r="E61">
            <v>6399909</v>
          </cell>
          <cell r="F61">
            <v>7933</v>
          </cell>
          <cell r="G61">
            <v>362</v>
          </cell>
          <cell r="L61">
            <v>0</v>
          </cell>
        </row>
        <row r="62">
          <cell r="B62">
            <v>36069</v>
          </cell>
          <cell r="C62" t="str">
            <v>試作品</v>
          </cell>
          <cell r="D62" t="str">
            <v>A</v>
          </cell>
          <cell r="E62">
            <v>14912298</v>
          </cell>
          <cell r="F62">
            <v>1172</v>
          </cell>
          <cell r="G62">
            <v>163</v>
          </cell>
          <cell r="L62">
            <v>0</v>
          </cell>
        </row>
        <row r="63">
          <cell r="B63">
            <v>36069</v>
          </cell>
          <cell r="C63" t="str">
            <v>量産確認</v>
          </cell>
          <cell r="D63" t="str">
            <v>B</v>
          </cell>
          <cell r="E63">
            <v>1416220</v>
          </cell>
          <cell r="F63">
            <v>368</v>
          </cell>
          <cell r="G63">
            <v>154</v>
          </cell>
          <cell r="L63">
            <v>0</v>
          </cell>
        </row>
        <row r="64">
          <cell r="B64">
            <v>36069</v>
          </cell>
          <cell r="C64" t="str">
            <v>先行量産</v>
          </cell>
          <cell r="D64" t="str">
            <v>C</v>
          </cell>
          <cell r="E64">
            <v>31644</v>
          </cell>
          <cell r="F64">
            <v>5</v>
          </cell>
          <cell r="G64">
            <v>4</v>
          </cell>
          <cell r="L64">
            <v>0</v>
          </cell>
        </row>
        <row r="65">
          <cell r="B65">
            <v>36100</v>
          </cell>
          <cell r="C65" t="str">
            <v>ﾜｲﾔｰﾊｰﾈｽ</v>
          </cell>
          <cell r="D65">
            <v>1</v>
          </cell>
          <cell r="E65">
            <v>1023502</v>
          </cell>
          <cell r="F65">
            <v>3661</v>
          </cell>
          <cell r="G65">
            <v>52</v>
          </cell>
          <cell r="H65">
            <v>7</v>
          </cell>
          <cell r="I65">
            <v>162</v>
          </cell>
          <cell r="K65">
            <v>442</v>
          </cell>
          <cell r="L65">
            <v>611</v>
          </cell>
        </row>
        <row r="66">
          <cell r="B66">
            <v>36100</v>
          </cell>
          <cell r="C66" t="str">
            <v>ﾘｰﾄﾞ線</v>
          </cell>
          <cell r="D66">
            <v>2</v>
          </cell>
          <cell r="E66">
            <v>78900</v>
          </cell>
          <cell r="F66">
            <v>804</v>
          </cell>
          <cell r="G66">
            <v>3</v>
          </cell>
          <cell r="L66">
            <v>0</v>
          </cell>
        </row>
        <row r="67">
          <cell r="B67">
            <v>36100</v>
          </cell>
          <cell r="C67" t="str">
            <v>部品</v>
          </cell>
          <cell r="D67">
            <v>4</v>
          </cell>
          <cell r="E67">
            <v>52171</v>
          </cell>
          <cell r="F67">
            <v>958</v>
          </cell>
          <cell r="G67">
            <v>11</v>
          </cell>
          <cell r="L67">
            <v>0</v>
          </cell>
        </row>
        <row r="68">
          <cell r="B68">
            <v>36100</v>
          </cell>
          <cell r="C68" t="str">
            <v>ﾊﾟｰﾂﾊｰﾈｽ</v>
          </cell>
          <cell r="D68">
            <v>9</v>
          </cell>
          <cell r="E68">
            <v>6719242</v>
          </cell>
          <cell r="F68">
            <v>14397</v>
          </cell>
          <cell r="G68">
            <v>347</v>
          </cell>
          <cell r="L68">
            <v>0</v>
          </cell>
        </row>
        <row r="69">
          <cell r="B69">
            <v>36100</v>
          </cell>
          <cell r="C69" t="str">
            <v>試作品</v>
          </cell>
          <cell r="D69" t="str">
            <v>A</v>
          </cell>
          <cell r="E69">
            <v>11558825</v>
          </cell>
          <cell r="F69">
            <v>836</v>
          </cell>
          <cell r="G69">
            <v>166</v>
          </cell>
          <cell r="L69">
            <v>0</v>
          </cell>
        </row>
        <row r="70">
          <cell r="B70">
            <v>36100</v>
          </cell>
          <cell r="C70" t="str">
            <v>量産確認</v>
          </cell>
          <cell r="D70" t="str">
            <v>B</v>
          </cell>
          <cell r="E70">
            <v>747839</v>
          </cell>
          <cell r="F70">
            <v>233</v>
          </cell>
          <cell r="G70">
            <v>88</v>
          </cell>
          <cell r="L70">
            <v>0</v>
          </cell>
        </row>
        <row r="71">
          <cell r="B71">
            <v>36130</v>
          </cell>
          <cell r="C71" t="str">
            <v>ﾜｲﾔｰﾊｰﾈｽ</v>
          </cell>
          <cell r="D71">
            <v>1</v>
          </cell>
          <cell r="E71">
            <v>812599</v>
          </cell>
          <cell r="F71">
            <v>2664</v>
          </cell>
          <cell r="G71">
            <v>28</v>
          </cell>
          <cell r="H71">
            <v>7</v>
          </cell>
          <cell r="I71">
            <v>145</v>
          </cell>
          <cell r="K71">
            <v>387</v>
          </cell>
          <cell r="L71">
            <v>539</v>
          </cell>
        </row>
        <row r="72">
          <cell r="B72">
            <v>36130</v>
          </cell>
          <cell r="C72" t="str">
            <v>部品</v>
          </cell>
          <cell r="D72">
            <v>4</v>
          </cell>
          <cell r="E72">
            <v>22384</v>
          </cell>
          <cell r="F72">
            <v>867</v>
          </cell>
          <cell r="G72">
            <v>24</v>
          </cell>
          <cell r="L72">
            <v>0</v>
          </cell>
        </row>
        <row r="73">
          <cell r="B73">
            <v>36130</v>
          </cell>
          <cell r="C73" t="str">
            <v>ＦＬ</v>
          </cell>
          <cell r="D73">
            <v>5</v>
          </cell>
          <cell r="E73">
            <v>630</v>
          </cell>
          <cell r="F73">
            <v>6</v>
          </cell>
          <cell r="G73">
            <v>1</v>
          </cell>
          <cell r="L73">
            <v>0</v>
          </cell>
        </row>
        <row r="74">
          <cell r="B74">
            <v>36130</v>
          </cell>
          <cell r="C74" t="str">
            <v>ﾊﾟｰﾂﾊｰﾈｽ</v>
          </cell>
          <cell r="D74">
            <v>9</v>
          </cell>
          <cell r="E74">
            <v>4856474</v>
          </cell>
          <cell r="F74">
            <v>10824</v>
          </cell>
          <cell r="G74">
            <v>319</v>
          </cell>
          <cell r="L74">
            <v>0</v>
          </cell>
        </row>
        <row r="75">
          <cell r="B75">
            <v>36130</v>
          </cell>
          <cell r="C75" t="str">
            <v>改造ﾊｰﾈｽ</v>
          </cell>
          <cell r="D75">
            <v>8</v>
          </cell>
          <cell r="E75">
            <v>8500</v>
          </cell>
          <cell r="F75">
            <v>2</v>
          </cell>
          <cell r="G75">
            <v>2</v>
          </cell>
          <cell r="L75">
            <v>0</v>
          </cell>
        </row>
        <row r="76">
          <cell r="B76">
            <v>36130</v>
          </cell>
          <cell r="C76" t="str">
            <v>試作品</v>
          </cell>
          <cell r="D76" t="str">
            <v>A</v>
          </cell>
          <cell r="E76">
            <v>11567536</v>
          </cell>
          <cell r="F76">
            <v>825</v>
          </cell>
          <cell r="G76">
            <v>158</v>
          </cell>
          <cell r="L76">
            <v>0</v>
          </cell>
        </row>
        <row r="77">
          <cell r="B77">
            <v>36130</v>
          </cell>
          <cell r="C77" t="str">
            <v>量産確認</v>
          </cell>
          <cell r="D77" t="str">
            <v>B</v>
          </cell>
          <cell r="E77">
            <v>740978</v>
          </cell>
          <cell r="F77">
            <v>358</v>
          </cell>
          <cell r="G77">
            <v>55</v>
          </cell>
          <cell r="L77">
            <v>0</v>
          </cell>
        </row>
        <row r="78">
          <cell r="B78">
            <v>36161</v>
          </cell>
          <cell r="C78" t="str">
            <v>ﾜｲﾔｰﾊｰﾈｽ</v>
          </cell>
          <cell r="D78">
            <v>1</v>
          </cell>
          <cell r="E78">
            <v>1234753</v>
          </cell>
          <cell r="F78">
            <v>2697</v>
          </cell>
          <cell r="G78">
            <v>39</v>
          </cell>
          <cell r="H78">
            <v>16</v>
          </cell>
          <cell r="I78">
            <v>290</v>
          </cell>
          <cell r="K78">
            <v>330</v>
          </cell>
          <cell r="L78">
            <v>636</v>
          </cell>
        </row>
        <row r="79">
          <cell r="B79">
            <v>36161</v>
          </cell>
          <cell r="C79" t="str">
            <v>ﾘｰﾄﾞ線</v>
          </cell>
          <cell r="D79">
            <v>2</v>
          </cell>
          <cell r="E79">
            <v>17700</v>
          </cell>
          <cell r="F79">
            <v>150</v>
          </cell>
          <cell r="G79">
            <v>1</v>
          </cell>
          <cell r="L79">
            <v>0</v>
          </cell>
        </row>
        <row r="80">
          <cell r="B80">
            <v>36161</v>
          </cell>
          <cell r="C80" t="str">
            <v>ﾊﾞｯﾃﾘｰ</v>
          </cell>
          <cell r="D80">
            <v>3</v>
          </cell>
          <cell r="E80">
            <v>608</v>
          </cell>
          <cell r="F80">
            <v>2</v>
          </cell>
          <cell r="G80">
            <v>2</v>
          </cell>
          <cell r="L80">
            <v>0</v>
          </cell>
        </row>
        <row r="81">
          <cell r="B81">
            <v>36161</v>
          </cell>
          <cell r="C81" t="str">
            <v>部品</v>
          </cell>
          <cell r="D81">
            <v>4</v>
          </cell>
          <cell r="E81">
            <v>63251</v>
          </cell>
          <cell r="F81">
            <v>444</v>
          </cell>
          <cell r="G81">
            <v>29</v>
          </cell>
          <cell r="L81">
            <v>0</v>
          </cell>
        </row>
        <row r="82">
          <cell r="B82">
            <v>36161</v>
          </cell>
          <cell r="C82" t="str">
            <v>ﾊﾟｰﾂﾊｰﾈｽ</v>
          </cell>
          <cell r="D82">
            <v>9</v>
          </cell>
          <cell r="E82">
            <v>3641560</v>
          </cell>
          <cell r="F82">
            <v>12428</v>
          </cell>
          <cell r="G82">
            <v>261</v>
          </cell>
          <cell r="L82">
            <v>0</v>
          </cell>
        </row>
        <row r="83">
          <cell r="B83">
            <v>36161</v>
          </cell>
          <cell r="C83" t="str">
            <v>試作品</v>
          </cell>
          <cell r="D83" t="str">
            <v>A</v>
          </cell>
          <cell r="E83">
            <v>16401621</v>
          </cell>
          <cell r="F83">
            <v>965</v>
          </cell>
          <cell r="G83">
            <v>314</v>
          </cell>
          <cell r="L83">
            <v>0</v>
          </cell>
        </row>
        <row r="84">
          <cell r="B84">
            <v>36161</v>
          </cell>
          <cell r="C84" t="str">
            <v>量産確認</v>
          </cell>
          <cell r="D84" t="str">
            <v>B</v>
          </cell>
          <cell r="E84">
            <v>553329</v>
          </cell>
          <cell r="F84">
            <v>309</v>
          </cell>
          <cell r="G84">
            <v>53</v>
          </cell>
          <cell r="L84">
            <v>0</v>
          </cell>
        </row>
        <row r="85">
          <cell r="B85">
            <v>36192</v>
          </cell>
          <cell r="C85" t="str">
            <v>ﾜｲﾔｰﾊｰﾈｽ</v>
          </cell>
          <cell r="D85">
            <v>1</v>
          </cell>
          <cell r="E85">
            <v>716676</v>
          </cell>
          <cell r="F85">
            <v>1751</v>
          </cell>
          <cell r="G85">
            <v>27</v>
          </cell>
          <cell r="H85">
            <v>8</v>
          </cell>
          <cell r="I85">
            <v>218</v>
          </cell>
          <cell r="K85">
            <v>420</v>
          </cell>
          <cell r="L85">
            <v>646</v>
          </cell>
        </row>
        <row r="86">
          <cell r="B86">
            <v>36192</v>
          </cell>
          <cell r="C86" t="str">
            <v>ﾘｰﾄﾞ線</v>
          </cell>
          <cell r="D86">
            <v>2</v>
          </cell>
          <cell r="E86">
            <v>69150</v>
          </cell>
          <cell r="F86">
            <v>510</v>
          </cell>
          <cell r="G86">
            <v>6</v>
          </cell>
          <cell r="L86">
            <v>0</v>
          </cell>
        </row>
        <row r="87">
          <cell r="B87">
            <v>36192</v>
          </cell>
          <cell r="C87" t="str">
            <v>部品</v>
          </cell>
          <cell r="D87">
            <v>4</v>
          </cell>
          <cell r="E87">
            <v>21707</v>
          </cell>
          <cell r="F87">
            <v>519</v>
          </cell>
          <cell r="G87">
            <v>20</v>
          </cell>
          <cell r="L87">
            <v>0</v>
          </cell>
        </row>
        <row r="88">
          <cell r="B88">
            <v>36192</v>
          </cell>
          <cell r="C88" t="str">
            <v>ＦＬ</v>
          </cell>
          <cell r="D88">
            <v>5</v>
          </cell>
          <cell r="E88">
            <v>1520</v>
          </cell>
          <cell r="F88">
            <v>19</v>
          </cell>
          <cell r="G88">
            <v>4</v>
          </cell>
          <cell r="L88">
            <v>0</v>
          </cell>
        </row>
        <row r="89">
          <cell r="B89">
            <v>36192</v>
          </cell>
          <cell r="C89" t="str">
            <v>ﾊﾟｰﾂﾊｰﾈｽ</v>
          </cell>
          <cell r="D89">
            <v>9</v>
          </cell>
          <cell r="E89">
            <v>4246199</v>
          </cell>
          <cell r="F89">
            <v>6191</v>
          </cell>
          <cell r="G89">
            <v>315</v>
          </cell>
          <cell r="L89">
            <v>0</v>
          </cell>
        </row>
        <row r="90">
          <cell r="B90">
            <v>36192</v>
          </cell>
          <cell r="C90" t="str">
            <v>試作品</v>
          </cell>
          <cell r="D90" t="str">
            <v>A</v>
          </cell>
          <cell r="E90">
            <v>13163860</v>
          </cell>
          <cell r="F90">
            <v>871</v>
          </cell>
          <cell r="G90">
            <v>241</v>
          </cell>
          <cell r="L90">
            <v>0</v>
          </cell>
        </row>
        <row r="91">
          <cell r="B91">
            <v>36192</v>
          </cell>
          <cell r="C91" t="str">
            <v>量産確認</v>
          </cell>
          <cell r="D91" t="str">
            <v>B</v>
          </cell>
          <cell r="E91">
            <v>19281294</v>
          </cell>
          <cell r="F91">
            <v>43013</v>
          </cell>
          <cell r="G91">
            <v>123</v>
          </cell>
          <cell r="L91">
            <v>0</v>
          </cell>
        </row>
        <row r="92">
          <cell r="B92">
            <v>36220</v>
          </cell>
          <cell r="C92" t="str">
            <v>ﾜｲﾔｰﾊｰﾈｽ</v>
          </cell>
          <cell r="D92">
            <v>1</v>
          </cell>
          <cell r="E92">
            <v>981405</v>
          </cell>
          <cell r="F92">
            <v>1680</v>
          </cell>
          <cell r="G92">
            <v>28</v>
          </cell>
          <cell r="H92">
            <v>21</v>
          </cell>
          <cell r="I92">
            <v>133</v>
          </cell>
          <cell r="K92">
            <v>719</v>
          </cell>
          <cell r="L92">
            <v>873</v>
          </cell>
        </row>
        <row r="93">
          <cell r="B93">
            <v>36220</v>
          </cell>
          <cell r="C93" t="str">
            <v>ﾘｰﾄﾞ線</v>
          </cell>
          <cell r="D93">
            <v>2</v>
          </cell>
          <cell r="E93">
            <v>36337</v>
          </cell>
          <cell r="F93">
            <v>32</v>
          </cell>
          <cell r="G93">
            <v>3</v>
          </cell>
          <cell r="L93">
            <v>0</v>
          </cell>
        </row>
        <row r="94">
          <cell r="B94">
            <v>36220</v>
          </cell>
          <cell r="C94" t="str">
            <v>部品</v>
          </cell>
          <cell r="D94">
            <v>4</v>
          </cell>
          <cell r="E94">
            <v>562922</v>
          </cell>
          <cell r="F94">
            <v>2412</v>
          </cell>
          <cell r="G94">
            <v>32</v>
          </cell>
          <cell r="L94">
            <v>0</v>
          </cell>
        </row>
        <row r="95">
          <cell r="B95">
            <v>36220</v>
          </cell>
          <cell r="C95" t="str">
            <v>ﾊﾟｰﾂﾊｰﾈｽ</v>
          </cell>
          <cell r="D95">
            <v>9</v>
          </cell>
          <cell r="E95">
            <v>7121770</v>
          </cell>
          <cell r="F95">
            <v>13126</v>
          </cell>
          <cell r="G95">
            <v>419</v>
          </cell>
          <cell r="L95">
            <v>0</v>
          </cell>
        </row>
        <row r="96">
          <cell r="B96">
            <v>36220</v>
          </cell>
          <cell r="C96" t="str">
            <v>試作品</v>
          </cell>
          <cell r="D96" t="str">
            <v>A</v>
          </cell>
          <cell r="E96">
            <v>7917603</v>
          </cell>
          <cell r="F96">
            <v>543</v>
          </cell>
          <cell r="G96">
            <v>136</v>
          </cell>
          <cell r="L96">
            <v>0</v>
          </cell>
        </row>
        <row r="97">
          <cell r="B97">
            <v>36220</v>
          </cell>
          <cell r="C97" t="str">
            <v>量産確認</v>
          </cell>
          <cell r="D97" t="str">
            <v>B</v>
          </cell>
          <cell r="E97">
            <v>41048392</v>
          </cell>
          <cell r="F97">
            <v>46893</v>
          </cell>
          <cell r="G97">
            <v>360</v>
          </cell>
          <cell r="L97">
            <v>0</v>
          </cell>
        </row>
        <row r="98">
          <cell r="B98">
            <v>36220</v>
          </cell>
          <cell r="C98" t="str">
            <v>先行量産</v>
          </cell>
          <cell r="D98" t="str">
            <v>C</v>
          </cell>
          <cell r="E98">
            <v>458890</v>
          </cell>
          <cell r="F98">
            <v>86</v>
          </cell>
          <cell r="G98">
            <v>19</v>
          </cell>
          <cell r="L98">
            <v>0</v>
          </cell>
        </row>
        <row r="99">
          <cell r="B99">
            <v>36251</v>
          </cell>
          <cell r="C99" t="str">
            <v>ﾜｲﾔｰﾊｰﾈｽ</v>
          </cell>
          <cell r="D99">
            <v>1</v>
          </cell>
          <cell r="E99">
            <v>1532974</v>
          </cell>
          <cell r="F99">
            <v>17317</v>
          </cell>
          <cell r="G99">
            <v>45</v>
          </cell>
          <cell r="H99">
            <v>16</v>
          </cell>
          <cell r="I99">
            <v>147</v>
          </cell>
          <cell r="J99">
            <v>238</v>
          </cell>
          <cell r="K99">
            <v>481</v>
          </cell>
          <cell r="L99">
            <v>882</v>
          </cell>
        </row>
        <row r="100">
          <cell r="B100">
            <v>36251</v>
          </cell>
          <cell r="C100" t="str">
            <v>ﾘｰﾄﾞ線</v>
          </cell>
          <cell r="D100">
            <v>2</v>
          </cell>
          <cell r="E100">
            <v>3766</v>
          </cell>
          <cell r="F100">
            <v>41</v>
          </cell>
          <cell r="G100">
            <v>2</v>
          </cell>
          <cell r="L100">
            <v>0</v>
          </cell>
        </row>
        <row r="101">
          <cell r="B101">
            <v>36251</v>
          </cell>
          <cell r="C101" t="str">
            <v>ﾊﾞｯﾃﾘｰ</v>
          </cell>
          <cell r="D101">
            <v>3</v>
          </cell>
          <cell r="E101">
            <v>1250</v>
          </cell>
          <cell r="F101">
            <v>25</v>
          </cell>
          <cell r="G101">
            <v>1</v>
          </cell>
          <cell r="L101">
            <v>0</v>
          </cell>
        </row>
        <row r="102">
          <cell r="B102">
            <v>36251</v>
          </cell>
          <cell r="C102" t="str">
            <v>部品</v>
          </cell>
          <cell r="D102">
            <v>4</v>
          </cell>
          <cell r="E102">
            <v>22365</v>
          </cell>
          <cell r="F102">
            <v>896</v>
          </cell>
          <cell r="G102">
            <v>16</v>
          </cell>
          <cell r="L102">
            <v>0</v>
          </cell>
        </row>
        <row r="103">
          <cell r="B103">
            <v>36251</v>
          </cell>
          <cell r="C103" t="str">
            <v>ﾊﾟｰﾂﾊｰﾈｽ</v>
          </cell>
          <cell r="D103">
            <v>9</v>
          </cell>
          <cell r="E103">
            <v>4100634</v>
          </cell>
          <cell r="F103">
            <v>5945</v>
          </cell>
          <cell r="G103">
            <v>282</v>
          </cell>
          <cell r="L103">
            <v>0</v>
          </cell>
        </row>
        <row r="104">
          <cell r="B104">
            <v>36251</v>
          </cell>
          <cell r="C104" t="str">
            <v>試作品</v>
          </cell>
          <cell r="D104" t="str">
            <v>A</v>
          </cell>
          <cell r="E104">
            <v>14320152</v>
          </cell>
          <cell r="F104">
            <v>783</v>
          </cell>
          <cell r="G104">
            <v>174</v>
          </cell>
          <cell r="L104">
            <v>0</v>
          </cell>
        </row>
        <row r="105">
          <cell r="B105">
            <v>36251</v>
          </cell>
          <cell r="C105" t="str">
            <v>量産確認</v>
          </cell>
          <cell r="D105" t="str">
            <v>B</v>
          </cell>
          <cell r="E105">
            <v>24620667</v>
          </cell>
          <cell r="F105">
            <v>50075</v>
          </cell>
          <cell r="G105">
            <v>475</v>
          </cell>
          <cell r="L105">
            <v>0</v>
          </cell>
        </row>
        <row r="106">
          <cell r="B106">
            <v>36251</v>
          </cell>
          <cell r="C106" t="str">
            <v>先行量産</v>
          </cell>
          <cell r="D106" t="str">
            <v>C</v>
          </cell>
          <cell r="E106">
            <v>17480</v>
          </cell>
          <cell r="F106">
            <v>8</v>
          </cell>
          <cell r="G106">
            <v>5</v>
          </cell>
          <cell r="L106">
            <v>0</v>
          </cell>
        </row>
        <row r="107">
          <cell r="B107">
            <v>36281</v>
          </cell>
          <cell r="C107" t="str">
            <v>ﾜｲﾔｰﾊｰﾈｽ</v>
          </cell>
          <cell r="D107">
            <v>1</v>
          </cell>
          <cell r="E107">
            <v>1802271</v>
          </cell>
          <cell r="F107">
            <v>19536</v>
          </cell>
          <cell r="G107">
            <v>51</v>
          </cell>
          <cell r="H107">
            <v>232</v>
          </cell>
          <cell r="I107">
            <v>164</v>
          </cell>
          <cell r="J107">
            <v>396</v>
          </cell>
          <cell r="K107">
            <v>104</v>
          </cell>
          <cell r="L107">
            <v>896</v>
          </cell>
        </row>
        <row r="108">
          <cell r="B108">
            <v>36281</v>
          </cell>
          <cell r="C108" t="str">
            <v>ﾘｰﾄﾞ線</v>
          </cell>
          <cell r="D108">
            <v>2</v>
          </cell>
          <cell r="E108">
            <v>377352</v>
          </cell>
          <cell r="F108">
            <v>12721</v>
          </cell>
          <cell r="G108">
            <v>6</v>
          </cell>
          <cell r="L108">
            <v>0</v>
          </cell>
        </row>
        <row r="109">
          <cell r="B109">
            <v>36281</v>
          </cell>
          <cell r="C109" t="str">
            <v>ﾊﾞｯﾃﾘｰ</v>
          </cell>
          <cell r="D109">
            <v>3</v>
          </cell>
          <cell r="E109">
            <v>847</v>
          </cell>
          <cell r="F109">
            <v>3</v>
          </cell>
          <cell r="G109">
            <v>3</v>
          </cell>
          <cell r="L109">
            <v>0</v>
          </cell>
        </row>
        <row r="110">
          <cell r="B110">
            <v>36281</v>
          </cell>
          <cell r="C110" t="str">
            <v>部品</v>
          </cell>
          <cell r="D110">
            <v>4</v>
          </cell>
          <cell r="E110">
            <v>236986</v>
          </cell>
          <cell r="F110">
            <v>27126</v>
          </cell>
          <cell r="G110">
            <v>20</v>
          </cell>
          <cell r="L110">
            <v>0</v>
          </cell>
        </row>
        <row r="111">
          <cell r="B111">
            <v>36281</v>
          </cell>
          <cell r="C111" t="str">
            <v>ＦＬ</v>
          </cell>
          <cell r="D111">
            <v>5</v>
          </cell>
          <cell r="E111">
            <v>232</v>
          </cell>
          <cell r="F111">
            <v>7</v>
          </cell>
          <cell r="G111">
            <v>3</v>
          </cell>
          <cell r="L111">
            <v>0</v>
          </cell>
        </row>
        <row r="112">
          <cell r="B112">
            <v>36281</v>
          </cell>
          <cell r="C112" t="str">
            <v>ＡＶ</v>
          </cell>
          <cell r="D112">
            <v>6</v>
          </cell>
          <cell r="E112">
            <v>3649</v>
          </cell>
          <cell r="F112">
            <v>23</v>
          </cell>
          <cell r="G112">
            <v>2</v>
          </cell>
          <cell r="L112">
            <v>0</v>
          </cell>
        </row>
        <row r="113">
          <cell r="B113">
            <v>36281</v>
          </cell>
          <cell r="C113" t="str">
            <v>ﾊﾟｰﾂﾊｰﾈｽ</v>
          </cell>
          <cell r="D113">
            <v>9</v>
          </cell>
          <cell r="E113">
            <v>4052380</v>
          </cell>
          <cell r="F113">
            <v>8056</v>
          </cell>
          <cell r="G113">
            <v>391</v>
          </cell>
          <cell r="L113">
            <v>0</v>
          </cell>
        </row>
        <row r="114">
          <cell r="B114">
            <v>36281</v>
          </cell>
          <cell r="C114" t="str">
            <v>試作品</v>
          </cell>
          <cell r="D114" t="str">
            <v>A</v>
          </cell>
          <cell r="E114">
            <v>10076646</v>
          </cell>
          <cell r="F114">
            <v>532</v>
          </cell>
          <cell r="G114">
            <v>174</v>
          </cell>
          <cell r="L114">
            <v>0</v>
          </cell>
        </row>
        <row r="115">
          <cell r="B115">
            <v>36281</v>
          </cell>
          <cell r="C115" t="str">
            <v>量産確認</v>
          </cell>
          <cell r="D115" t="str">
            <v>B</v>
          </cell>
          <cell r="E115">
            <v>2542295</v>
          </cell>
          <cell r="F115">
            <v>677</v>
          </cell>
          <cell r="G115">
            <v>309</v>
          </cell>
          <cell r="L115">
            <v>0</v>
          </cell>
        </row>
        <row r="116">
          <cell r="B116">
            <v>36312</v>
          </cell>
          <cell r="C116" t="str">
            <v>ﾜｲﾔｰﾊｰﾈｽ</v>
          </cell>
          <cell r="D116">
            <v>1</v>
          </cell>
          <cell r="E116">
            <v>730029</v>
          </cell>
          <cell r="F116">
            <v>2803</v>
          </cell>
          <cell r="G116">
            <v>34</v>
          </cell>
          <cell r="H116">
            <v>518</v>
          </cell>
          <cell r="I116">
            <v>254</v>
          </cell>
          <cell r="J116">
            <v>141</v>
          </cell>
          <cell r="K116">
            <v>59</v>
          </cell>
          <cell r="L116">
            <v>972</v>
          </cell>
        </row>
        <row r="117">
          <cell r="B117">
            <v>36312</v>
          </cell>
          <cell r="C117" t="str">
            <v>ﾘｰﾄﾞ線</v>
          </cell>
          <cell r="D117">
            <v>2</v>
          </cell>
          <cell r="E117">
            <v>40401</v>
          </cell>
          <cell r="F117">
            <v>479</v>
          </cell>
          <cell r="G117">
            <v>6</v>
          </cell>
          <cell r="L117">
            <v>0</v>
          </cell>
        </row>
        <row r="118">
          <cell r="B118">
            <v>36312</v>
          </cell>
          <cell r="C118" t="str">
            <v>部品</v>
          </cell>
          <cell r="D118">
            <v>4</v>
          </cell>
          <cell r="E118">
            <v>45348</v>
          </cell>
          <cell r="F118">
            <v>5154</v>
          </cell>
          <cell r="G118">
            <v>25</v>
          </cell>
          <cell r="L118">
            <v>0</v>
          </cell>
        </row>
        <row r="119">
          <cell r="B119">
            <v>36312</v>
          </cell>
          <cell r="C119" t="str">
            <v>ＦＬ</v>
          </cell>
          <cell r="D119">
            <v>5</v>
          </cell>
          <cell r="E119">
            <v>1623</v>
          </cell>
          <cell r="F119">
            <v>30</v>
          </cell>
          <cell r="G119">
            <v>1</v>
          </cell>
          <cell r="L119">
            <v>0</v>
          </cell>
        </row>
        <row r="120">
          <cell r="B120">
            <v>36312</v>
          </cell>
          <cell r="C120" t="str">
            <v>ＡＶ</v>
          </cell>
          <cell r="D120">
            <v>6</v>
          </cell>
          <cell r="E120">
            <v>24928</v>
          </cell>
          <cell r="F120">
            <v>36</v>
          </cell>
          <cell r="G120">
            <v>7</v>
          </cell>
          <cell r="L120">
            <v>0</v>
          </cell>
        </row>
        <row r="121">
          <cell r="B121">
            <v>36312</v>
          </cell>
          <cell r="C121" t="str">
            <v>ﾊﾟｰﾂﾊｰﾈｽ</v>
          </cell>
          <cell r="D121">
            <v>9</v>
          </cell>
          <cell r="E121">
            <v>4343734</v>
          </cell>
          <cell r="F121">
            <v>8884</v>
          </cell>
          <cell r="G121">
            <v>358</v>
          </cell>
          <cell r="L121">
            <v>0</v>
          </cell>
        </row>
        <row r="122">
          <cell r="B122">
            <v>36312</v>
          </cell>
          <cell r="C122" t="str">
            <v>試作品</v>
          </cell>
          <cell r="D122" t="str">
            <v>A</v>
          </cell>
          <cell r="E122">
            <v>16663336</v>
          </cell>
          <cell r="F122">
            <v>822</v>
          </cell>
          <cell r="G122">
            <v>248</v>
          </cell>
          <cell r="L122">
            <v>0</v>
          </cell>
        </row>
        <row r="123">
          <cell r="B123">
            <v>36312</v>
          </cell>
          <cell r="C123" t="str">
            <v>量産確認</v>
          </cell>
          <cell r="D123" t="str">
            <v>B</v>
          </cell>
          <cell r="E123">
            <v>2645493</v>
          </cell>
          <cell r="F123">
            <v>985</v>
          </cell>
          <cell r="G123">
            <v>337</v>
          </cell>
          <cell r="L123">
            <v>0</v>
          </cell>
        </row>
        <row r="124">
          <cell r="B124">
            <v>36342</v>
          </cell>
          <cell r="C124" t="str">
            <v>ﾜｲﾔｰﾊｰﾈｽ</v>
          </cell>
          <cell r="D124">
            <v>1</v>
          </cell>
          <cell r="E124">
            <v>613154</v>
          </cell>
          <cell r="F124">
            <v>2658</v>
          </cell>
          <cell r="G124">
            <v>36</v>
          </cell>
          <cell r="H124">
            <v>389</v>
          </cell>
          <cell r="I124">
            <v>157</v>
          </cell>
          <cell r="J124">
            <v>154</v>
          </cell>
          <cell r="K124">
            <v>36</v>
          </cell>
          <cell r="L124">
            <v>736</v>
          </cell>
        </row>
        <row r="125">
          <cell r="B125">
            <v>36342</v>
          </cell>
          <cell r="C125" t="str">
            <v>ﾘｰﾄﾞ線</v>
          </cell>
          <cell r="D125">
            <v>2</v>
          </cell>
          <cell r="E125">
            <v>8607</v>
          </cell>
          <cell r="F125">
            <v>1</v>
          </cell>
          <cell r="G125">
            <v>1</v>
          </cell>
          <cell r="L125">
            <v>0</v>
          </cell>
        </row>
        <row r="126">
          <cell r="B126">
            <v>36342</v>
          </cell>
          <cell r="C126" t="str">
            <v>部品</v>
          </cell>
          <cell r="D126">
            <v>4</v>
          </cell>
          <cell r="E126">
            <v>115640</v>
          </cell>
          <cell r="F126">
            <v>3066</v>
          </cell>
          <cell r="G126">
            <v>31</v>
          </cell>
          <cell r="L126">
            <v>0</v>
          </cell>
        </row>
        <row r="127">
          <cell r="B127">
            <v>36342</v>
          </cell>
          <cell r="C127" t="str">
            <v>ＦＬ</v>
          </cell>
          <cell r="D127">
            <v>5</v>
          </cell>
          <cell r="E127">
            <v>2298</v>
          </cell>
          <cell r="F127">
            <v>30</v>
          </cell>
          <cell r="G127">
            <v>1</v>
          </cell>
          <cell r="L127">
            <v>0</v>
          </cell>
        </row>
        <row r="128">
          <cell r="B128">
            <v>36342</v>
          </cell>
          <cell r="C128" t="str">
            <v>ﾊﾟｰﾂﾊｰﾈｽ</v>
          </cell>
          <cell r="D128">
            <v>9</v>
          </cell>
          <cell r="E128">
            <v>5746567</v>
          </cell>
          <cell r="F128">
            <v>11182</v>
          </cell>
          <cell r="G128">
            <v>359</v>
          </cell>
          <cell r="L128">
            <v>0</v>
          </cell>
        </row>
        <row r="129">
          <cell r="B129">
            <v>36342</v>
          </cell>
          <cell r="C129" t="str">
            <v>試作品</v>
          </cell>
          <cell r="D129" t="str">
            <v>A</v>
          </cell>
          <cell r="E129">
            <v>13354483</v>
          </cell>
          <cell r="F129">
            <v>496</v>
          </cell>
          <cell r="G129">
            <v>166</v>
          </cell>
          <cell r="L129">
            <v>0</v>
          </cell>
        </row>
        <row r="130">
          <cell r="B130">
            <v>36342</v>
          </cell>
          <cell r="C130" t="str">
            <v>量産確認</v>
          </cell>
          <cell r="D130" t="str">
            <v>B</v>
          </cell>
          <cell r="E130">
            <v>3409022</v>
          </cell>
          <cell r="F130">
            <v>1400</v>
          </cell>
          <cell r="G130">
            <v>244</v>
          </cell>
          <cell r="L130">
            <v>0</v>
          </cell>
        </row>
        <row r="131">
          <cell r="C131" t="e">
            <v>#N/A</v>
          </cell>
          <cell r="L131">
            <v>0</v>
          </cell>
        </row>
        <row r="132">
          <cell r="C132" t="e">
            <v>#N/A</v>
          </cell>
          <cell r="L132">
            <v>0</v>
          </cell>
        </row>
        <row r="133">
          <cell r="C133" t="e">
            <v>#N/A</v>
          </cell>
          <cell r="L133">
            <v>0</v>
          </cell>
        </row>
        <row r="134">
          <cell r="C134" t="e">
            <v>#N/A</v>
          </cell>
          <cell r="L134">
            <v>0</v>
          </cell>
        </row>
        <row r="135">
          <cell r="C135" t="e">
            <v>#N/A</v>
          </cell>
          <cell r="L135">
            <v>0</v>
          </cell>
        </row>
        <row r="136">
          <cell r="C136" t="e">
            <v>#N/A</v>
          </cell>
          <cell r="L136">
            <v>0</v>
          </cell>
        </row>
        <row r="137">
          <cell r="C137" t="e">
            <v>#N/A</v>
          </cell>
          <cell r="L137">
            <v>0</v>
          </cell>
        </row>
        <row r="138">
          <cell r="C138" t="e">
            <v>#N/A</v>
          </cell>
          <cell r="L138">
            <v>0</v>
          </cell>
        </row>
        <row r="139">
          <cell r="C139" t="e">
            <v>#N/A</v>
          </cell>
          <cell r="L139">
            <v>0</v>
          </cell>
        </row>
        <row r="140">
          <cell r="C140" t="e">
            <v>#N/A</v>
          </cell>
          <cell r="L140">
            <v>0</v>
          </cell>
        </row>
        <row r="141">
          <cell r="C141" t="e">
            <v>#N/A</v>
          </cell>
          <cell r="L141">
            <v>0</v>
          </cell>
        </row>
        <row r="142">
          <cell r="C142" t="e">
            <v>#N/A</v>
          </cell>
          <cell r="L142">
            <v>0</v>
          </cell>
        </row>
        <row r="143">
          <cell r="C143" t="e">
            <v>#N/A</v>
          </cell>
          <cell r="L143">
            <v>0</v>
          </cell>
        </row>
        <row r="144">
          <cell r="C144" t="e">
            <v>#N/A</v>
          </cell>
          <cell r="L144">
            <v>0</v>
          </cell>
        </row>
        <row r="145">
          <cell r="C145" t="e">
            <v>#N/A</v>
          </cell>
          <cell r="L145">
            <v>0</v>
          </cell>
        </row>
        <row r="146">
          <cell r="C146" t="e">
            <v>#N/A</v>
          </cell>
          <cell r="L146">
            <v>0</v>
          </cell>
        </row>
        <row r="147">
          <cell r="C147" t="e">
            <v>#N/A</v>
          </cell>
          <cell r="L147">
            <v>0</v>
          </cell>
        </row>
        <row r="148">
          <cell r="C148" t="e">
            <v>#N/A</v>
          </cell>
          <cell r="L148">
            <v>0</v>
          </cell>
        </row>
        <row r="149">
          <cell r="C149" t="e">
            <v>#N/A</v>
          </cell>
          <cell r="L149">
            <v>0</v>
          </cell>
        </row>
        <row r="150">
          <cell r="C150" t="e">
            <v>#N/A</v>
          </cell>
          <cell r="L150">
            <v>0</v>
          </cell>
        </row>
        <row r="151">
          <cell r="C151" t="e">
            <v>#N/A</v>
          </cell>
          <cell r="L151">
            <v>0</v>
          </cell>
        </row>
        <row r="152">
          <cell r="C152" t="e">
            <v>#N/A</v>
          </cell>
          <cell r="L152">
            <v>0</v>
          </cell>
        </row>
        <row r="153">
          <cell r="C153" t="e">
            <v>#N/A</v>
          </cell>
          <cell r="L153">
            <v>0</v>
          </cell>
        </row>
        <row r="154">
          <cell r="C154" t="e">
            <v>#N/A</v>
          </cell>
          <cell r="L154">
            <v>0</v>
          </cell>
        </row>
        <row r="155">
          <cell r="C155" t="e">
            <v>#N/A</v>
          </cell>
          <cell r="L155">
            <v>0</v>
          </cell>
        </row>
        <row r="156">
          <cell r="C156" t="e">
            <v>#N/A</v>
          </cell>
          <cell r="L156">
            <v>0</v>
          </cell>
        </row>
        <row r="157">
          <cell r="C157" t="e">
            <v>#N/A</v>
          </cell>
          <cell r="L157">
            <v>0</v>
          </cell>
        </row>
        <row r="158">
          <cell r="C158" t="e">
            <v>#N/A</v>
          </cell>
          <cell r="L158">
            <v>0</v>
          </cell>
        </row>
        <row r="159">
          <cell r="C159" t="e">
            <v>#N/A</v>
          </cell>
          <cell r="L159">
            <v>0</v>
          </cell>
        </row>
        <row r="160">
          <cell r="C160" t="e">
            <v>#N/A</v>
          </cell>
          <cell r="L160">
            <v>0</v>
          </cell>
        </row>
        <row r="161">
          <cell r="C161" t="e">
            <v>#N/A</v>
          </cell>
          <cell r="L161">
            <v>0</v>
          </cell>
        </row>
        <row r="162">
          <cell r="C162" t="e">
            <v>#N/A</v>
          </cell>
          <cell r="L162">
            <v>0</v>
          </cell>
        </row>
        <row r="163">
          <cell r="C163" t="e">
            <v>#N/A</v>
          </cell>
          <cell r="L163">
            <v>0</v>
          </cell>
        </row>
        <row r="164">
          <cell r="C164" t="e">
            <v>#N/A</v>
          </cell>
          <cell r="L164">
            <v>0</v>
          </cell>
        </row>
        <row r="165">
          <cell r="C165" t="e">
            <v>#N/A</v>
          </cell>
          <cell r="L165">
            <v>0</v>
          </cell>
        </row>
        <row r="166">
          <cell r="C166" t="e">
            <v>#N/A</v>
          </cell>
          <cell r="L166">
            <v>0</v>
          </cell>
        </row>
        <row r="167">
          <cell r="C167" t="e">
            <v>#N/A</v>
          </cell>
          <cell r="L167">
            <v>0</v>
          </cell>
        </row>
        <row r="168">
          <cell r="C168" t="e">
            <v>#N/A</v>
          </cell>
          <cell r="L168">
            <v>0</v>
          </cell>
        </row>
        <row r="169">
          <cell r="C169" t="e">
            <v>#N/A</v>
          </cell>
          <cell r="L169">
            <v>0</v>
          </cell>
        </row>
        <row r="170">
          <cell r="C170" t="e">
            <v>#N/A</v>
          </cell>
          <cell r="L170">
            <v>0</v>
          </cell>
        </row>
        <row r="171">
          <cell r="C171" t="e">
            <v>#N/A</v>
          </cell>
          <cell r="L171">
            <v>0</v>
          </cell>
        </row>
        <row r="172">
          <cell r="C172" t="e">
            <v>#N/A</v>
          </cell>
          <cell r="L172">
            <v>0</v>
          </cell>
        </row>
        <row r="173">
          <cell r="C173" t="e">
            <v>#N/A</v>
          </cell>
          <cell r="L173">
            <v>0</v>
          </cell>
        </row>
        <row r="174">
          <cell r="C174" t="e">
            <v>#N/A</v>
          </cell>
          <cell r="L174">
            <v>0</v>
          </cell>
        </row>
        <row r="175">
          <cell r="C175" t="e">
            <v>#N/A</v>
          </cell>
          <cell r="L175">
            <v>0</v>
          </cell>
        </row>
        <row r="176">
          <cell r="C176" t="e">
            <v>#N/A</v>
          </cell>
          <cell r="L176">
            <v>0</v>
          </cell>
        </row>
        <row r="177">
          <cell r="C177" t="e">
            <v>#N/A</v>
          </cell>
          <cell r="L177">
            <v>0</v>
          </cell>
        </row>
        <row r="178">
          <cell r="C178" t="e">
            <v>#N/A</v>
          </cell>
          <cell r="L178">
            <v>0</v>
          </cell>
        </row>
        <row r="179">
          <cell r="C179" t="e">
            <v>#N/A</v>
          </cell>
          <cell r="L179">
            <v>0</v>
          </cell>
        </row>
        <row r="180">
          <cell r="C180" t="e">
            <v>#N/A</v>
          </cell>
          <cell r="L180">
            <v>0</v>
          </cell>
        </row>
        <row r="181">
          <cell r="C181" t="e">
            <v>#N/A</v>
          </cell>
          <cell r="L181">
            <v>0</v>
          </cell>
        </row>
        <row r="182">
          <cell r="C182" t="e">
            <v>#N/A</v>
          </cell>
          <cell r="L182">
            <v>0</v>
          </cell>
        </row>
        <row r="183">
          <cell r="C183" t="e">
            <v>#N/A</v>
          </cell>
          <cell r="L183">
            <v>0</v>
          </cell>
        </row>
        <row r="184">
          <cell r="C184" t="e">
            <v>#N/A</v>
          </cell>
          <cell r="L184">
            <v>0</v>
          </cell>
        </row>
        <row r="185">
          <cell r="C185" t="e">
            <v>#N/A</v>
          </cell>
          <cell r="L185">
            <v>0</v>
          </cell>
        </row>
        <row r="186">
          <cell r="C186" t="e">
            <v>#N/A</v>
          </cell>
          <cell r="L186">
            <v>0</v>
          </cell>
        </row>
        <row r="187">
          <cell r="C187" t="e">
            <v>#N/A</v>
          </cell>
          <cell r="L187">
            <v>0</v>
          </cell>
        </row>
        <row r="188">
          <cell r="C188" t="e">
            <v>#N/A</v>
          </cell>
          <cell r="L188">
            <v>0</v>
          </cell>
        </row>
        <row r="189">
          <cell r="C189" t="e">
            <v>#N/A</v>
          </cell>
          <cell r="L189">
            <v>0</v>
          </cell>
        </row>
        <row r="190">
          <cell r="C190" t="e">
            <v>#N/A</v>
          </cell>
          <cell r="L190">
            <v>0</v>
          </cell>
        </row>
        <row r="191">
          <cell r="C191" t="e">
            <v>#N/A</v>
          </cell>
          <cell r="L191">
            <v>0</v>
          </cell>
        </row>
        <row r="192">
          <cell r="C192" t="e">
            <v>#N/A</v>
          </cell>
          <cell r="L192">
            <v>0</v>
          </cell>
        </row>
        <row r="193">
          <cell r="C193" t="e">
            <v>#N/A</v>
          </cell>
          <cell r="L193">
            <v>0</v>
          </cell>
        </row>
        <row r="194">
          <cell r="C194" t="e">
            <v>#N/A</v>
          </cell>
          <cell r="L194">
            <v>0</v>
          </cell>
        </row>
        <row r="195">
          <cell r="C195" t="e">
            <v>#N/A</v>
          </cell>
          <cell r="L195">
            <v>0</v>
          </cell>
        </row>
        <row r="196">
          <cell r="C196" t="e">
            <v>#N/A</v>
          </cell>
          <cell r="L196">
            <v>0</v>
          </cell>
        </row>
        <row r="197">
          <cell r="C197" t="e">
            <v>#N/A</v>
          </cell>
          <cell r="L197">
            <v>0</v>
          </cell>
        </row>
        <row r="198">
          <cell r="C198" t="e">
            <v>#N/A</v>
          </cell>
          <cell r="L198">
            <v>0</v>
          </cell>
        </row>
        <row r="199">
          <cell r="C199" t="e">
            <v>#N/A</v>
          </cell>
          <cell r="L199">
            <v>0</v>
          </cell>
        </row>
        <row r="200">
          <cell r="C200" t="e">
            <v>#N/A</v>
          </cell>
          <cell r="L200">
            <v>0</v>
          </cell>
        </row>
        <row r="201">
          <cell r="C201" t="e">
            <v>#N/A</v>
          </cell>
          <cell r="L201">
            <v>0</v>
          </cell>
        </row>
        <row r="202">
          <cell r="C202" t="e">
            <v>#N/A</v>
          </cell>
          <cell r="L202">
            <v>0</v>
          </cell>
        </row>
        <row r="203">
          <cell r="C203" t="e">
            <v>#N/A</v>
          </cell>
          <cell r="L203">
            <v>0</v>
          </cell>
        </row>
        <row r="204">
          <cell r="C204" t="e">
            <v>#N/A</v>
          </cell>
          <cell r="L204">
            <v>0</v>
          </cell>
        </row>
        <row r="205">
          <cell r="C205" t="e">
            <v>#N/A</v>
          </cell>
          <cell r="L205">
            <v>0</v>
          </cell>
        </row>
        <row r="206">
          <cell r="C206" t="e">
            <v>#N/A</v>
          </cell>
          <cell r="L206">
            <v>0</v>
          </cell>
        </row>
        <row r="207">
          <cell r="C207" t="e">
            <v>#N/A</v>
          </cell>
          <cell r="L207">
            <v>0</v>
          </cell>
        </row>
        <row r="208">
          <cell r="C208" t="e">
            <v>#N/A</v>
          </cell>
          <cell r="L208">
            <v>0</v>
          </cell>
        </row>
        <row r="209">
          <cell r="C209" t="e">
            <v>#N/A</v>
          </cell>
          <cell r="L209">
            <v>0</v>
          </cell>
        </row>
        <row r="210">
          <cell r="C210" t="e">
            <v>#N/A</v>
          </cell>
          <cell r="L210">
            <v>0</v>
          </cell>
        </row>
        <row r="211">
          <cell r="C211" t="e">
            <v>#N/A</v>
          </cell>
          <cell r="L211">
            <v>0</v>
          </cell>
        </row>
        <row r="212">
          <cell r="C212" t="e">
            <v>#N/A</v>
          </cell>
          <cell r="L212">
            <v>0</v>
          </cell>
        </row>
        <row r="213">
          <cell r="C213" t="e">
            <v>#N/A</v>
          </cell>
          <cell r="L213">
            <v>0</v>
          </cell>
        </row>
        <row r="214">
          <cell r="C214" t="e">
            <v>#N/A</v>
          </cell>
          <cell r="L214">
            <v>0</v>
          </cell>
        </row>
        <row r="215">
          <cell r="C215" t="e">
            <v>#N/A</v>
          </cell>
          <cell r="L215">
            <v>0</v>
          </cell>
        </row>
        <row r="216">
          <cell r="C216" t="e">
            <v>#N/A</v>
          </cell>
          <cell r="L216">
            <v>0</v>
          </cell>
        </row>
        <row r="217">
          <cell r="C217" t="e">
            <v>#N/A</v>
          </cell>
          <cell r="L217">
            <v>0</v>
          </cell>
        </row>
        <row r="218">
          <cell r="C218" t="e">
            <v>#N/A</v>
          </cell>
          <cell r="L218">
            <v>0</v>
          </cell>
        </row>
        <row r="219">
          <cell r="C219" t="e">
            <v>#N/A</v>
          </cell>
          <cell r="L219">
            <v>0</v>
          </cell>
        </row>
        <row r="220">
          <cell r="C220" t="e">
            <v>#N/A</v>
          </cell>
          <cell r="L220">
            <v>0</v>
          </cell>
        </row>
        <row r="221">
          <cell r="C221" t="e">
            <v>#N/A</v>
          </cell>
          <cell r="L221">
            <v>0</v>
          </cell>
        </row>
        <row r="222">
          <cell r="C222" t="e">
            <v>#N/A</v>
          </cell>
          <cell r="L222">
            <v>0</v>
          </cell>
        </row>
        <row r="223">
          <cell r="C223" t="e">
            <v>#N/A</v>
          </cell>
          <cell r="L223">
            <v>0</v>
          </cell>
        </row>
        <row r="224">
          <cell r="C224" t="e">
            <v>#N/A</v>
          </cell>
          <cell r="L224">
            <v>0</v>
          </cell>
        </row>
        <row r="225">
          <cell r="C225" t="e">
            <v>#N/A</v>
          </cell>
          <cell r="L225">
            <v>0</v>
          </cell>
        </row>
        <row r="226">
          <cell r="C226" t="e">
            <v>#N/A</v>
          </cell>
          <cell r="L226">
            <v>0</v>
          </cell>
        </row>
        <row r="227">
          <cell r="C227" t="e">
            <v>#N/A</v>
          </cell>
          <cell r="L227">
            <v>0</v>
          </cell>
        </row>
        <row r="228">
          <cell r="C228" t="e">
            <v>#N/A</v>
          </cell>
          <cell r="L228">
            <v>0</v>
          </cell>
        </row>
        <row r="229">
          <cell r="C229" t="e">
            <v>#N/A</v>
          </cell>
          <cell r="L229">
            <v>0</v>
          </cell>
        </row>
        <row r="230">
          <cell r="C230" t="e">
            <v>#N/A</v>
          </cell>
          <cell r="L230">
            <v>0</v>
          </cell>
        </row>
        <row r="231">
          <cell r="C231" t="e">
            <v>#N/A</v>
          </cell>
          <cell r="L231">
            <v>0</v>
          </cell>
        </row>
        <row r="232">
          <cell r="C232" t="e">
            <v>#N/A</v>
          </cell>
          <cell r="L232">
            <v>0</v>
          </cell>
        </row>
        <row r="233">
          <cell r="C233" t="e">
            <v>#N/A</v>
          </cell>
          <cell r="L233">
            <v>0</v>
          </cell>
        </row>
        <row r="234">
          <cell r="C234" t="e">
            <v>#N/A</v>
          </cell>
          <cell r="L234">
            <v>0</v>
          </cell>
        </row>
        <row r="235">
          <cell r="C235" t="e">
            <v>#N/A</v>
          </cell>
          <cell r="L235">
            <v>0</v>
          </cell>
        </row>
        <row r="236">
          <cell r="C236" t="e">
            <v>#N/A</v>
          </cell>
          <cell r="L236">
            <v>0</v>
          </cell>
        </row>
        <row r="237">
          <cell r="C237" t="e">
            <v>#N/A</v>
          </cell>
          <cell r="L237">
            <v>0</v>
          </cell>
        </row>
        <row r="238">
          <cell r="C238" t="e">
            <v>#N/A</v>
          </cell>
          <cell r="L238">
            <v>0</v>
          </cell>
        </row>
        <row r="239">
          <cell r="C239" t="e">
            <v>#N/A</v>
          </cell>
          <cell r="L239">
            <v>0</v>
          </cell>
        </row>
        <row r="240">
          <cell r="C240" t="e">
            <v>#N/A</v>
          </cell>
          <cell r="L240">
            <v>0</v>
          </cell>
        </row>
        <row r="241">
          <cell r="C241" t="e">
            <v>#N/A</v>
          </cell>
          <cell r="L241">
            <v>0</v>
          </cell>
        </row>
        <row r="242">
          <cell r="C242" t="e">
            <v>#N/A</v>
          </cell>
          <cell r="L242">
            <v>0</v>
          </cell>
        </row>
        <row r="243">
          <cell r="C243" t="e">
            <v>#N/A</v>
          </cell>
          <cell r="L243">
            <v>0</v>
          </cell>
        </row>
        <row r="244">
          <cell r="C244" t="e">
            <v>#N/A</v>
          </cell>
          <cell r="L244">
            <v>0</v>
          </cell>
        </row>
        <row r="245">
          <cell r="C245" t="e">
            <v>#N/A</v>
          </cell>
          <cell r="L245">
            <v>0</v>
          </cell>
        </row>
        <row r="246">
          <cell r="C246" t="e">
            <v>#N/A</v>
          </cell>
          <cell r="L246">
            <v>0</v>
          </cell>
        </row>
        <row r="247">
          <cell r="C247" t="e">
            <v>#N/A</v>
          </cell>
          <cell r="L247">
            <v>0</v>
          </cell>
        </row>
        <row r="248">
          <cell r="C248" t="e">
            <v>#N/A</v>
          </cell>
          <cell r="L248">
            <v>0</v>
          </cell>
        </row>
        <row r="249">
          <cell r="C249" t="e">
            <v>#N/A</v>
          </cell>
          <cell r="L249">
            <v>0</v>
          </cell>
        </row>
        <row r="250">
          <cell r="C250" t="e">
            <v>#N/A</v>
          </cell>
          <cell r="L250">
            <v>0</v>
          </cell>
        </row>
        <row r="251">
          <cell r="C251" t="e">
            <v>#N/A</v>
          </cell>
          <cell r="L251">
            <v>0</v>
          </cell>
        </row>
        <row r="252">
          <cell r="C252" t="e">
            <v>#N/A</v>
          </cell>
          <cell r="L252">
            <v>0</v>
          </cell>
        </row>
        <row r="253">
          <cell r="C253" t="e">
            <v>#N/A</v>
          </cell>
          <cell r="L253">
            <v>0</v>
          </cell>
        </row>
        <row r="254">
          <cell r="C254" t="e">
            <v>#N/A</v>
          </cell>
          <cell r="L254">
            <v>0</v>
          </cell>
        </row>
        <row r="255">
          <cell r="C255" t="e">
            <v>#N/A</v>
          </cell>
          <cell r="L255">
            <v>0</v>
          </cell>
        </row>
        <row r="256">
          <cell r="C256" t="e">
            <v>#N/A</v>
          </cell>
          <cell r="L256">
            <v>0</v>
          </cell>
        </row>
        <row r="257">
          <cell r="C257" t="e">
            <v>#N/A</v>
          </cell>
          <cell r="L257">
            <v>0</v>
          </cell>
        </row>
        <row r="258">
          <cell r="C258" t="e">
            <v>#N/A</v>
          </cell>
          <cell r="L258">
            <v>0</v>
          </cell>
        </row>
        <row r="259">
          <cell r="C259" t="e">
            <v>#N/A</v>
          </cell>
          <cell r="L259">
            <v>0</v>
          </cell>
        </row>
        <row r="260">
          <cell r="C260" t="e">
            <v>#N/A</v>
          </cell>
          <cell r="L260">
            <v>0</v>
          </cell>
        </row>
        <row r="261">
          <cell r="C261" t="e">
            <v>#N/A</v>
          </cell>
          <cell r="L261">
            <v>0</v>
          </cell>
        </row>
        <row r="262">
          <cell r="C262" t="e">
            <v>#N/A</v>
          </cell>
          <cell r="L262">
            <v>0</v>
          </cell>
        </row>
        <row r="263">
          <cell r="C263" t="e">
            <v>#N/A</v>
          </cell>
          <cell r="L263">
            <v>0</v>
          </cell>
        </row>
        <row r="264">
          <cell r="C264" t="e">
            <v>#N/A</v>
          </cell>
          <cell r="L264">
            <v>0</v>
          </cell>
        </row>
        <row r="265">
          <cell r="C265" t="e">
            <v>#N/A</v>
          </cell>
          <cell r="L265">
            <v>0</v>
          </cell>
        </row>
        <row r="266">
          <cell r="C266" t="e">
            <v>#N/A</v>
          </cell>
          <cell r="L266">
            <v>0</v>
          </cell>
        </row>
        <row r="267">
          <cell r="C267" t="e">
            <v>#N/A</v>
          </cell>
          <cell r="L267">
            <v>0</v>
          </cell>
        </row>
        <row r="268">
          <cell r="C268" t="e">
            <v>#N/A</v>
          </cell>
          <cell r="L268">
            <v>0</v>
          </cell>
        </row>
        <row r="269">
          <cell r="C269" t="e">
            <v>#N/A</v>
          </cell>
          <cell r="L269">
            <v>0</v>
          </cell>
        </row>
        <row r="270">
          <cell r="C270" t="e">
            <v>#N/A</v>
          </cell>
          <cell r="L270">
            <v>0</v>
          </cell>
        </row>
        <row r="271">
          <cell r="C271" t="e">
            <v>#N/A</v>
          </cell>
          <cell r="L271">
            <v>0</v>
          </cell>
        </row>
        <row r="272">
          <cell r="C272" t="e">
            <v>#N/A</v>
          </cell>
          <cell r="L272">
            <v>0</v>
          </cell>
        </row>
        <row r="273">
          <cell r="C273" t="e">
            <v>#N/A</v>
          </cell>
          <cell r="L273">
            <v>0</v>
          </cell>
        </row>
        <row r="274">
          <cell r="C274" t="e">
            <v>#N/A</v>
          </cell>
          <cell r="L274">
            <v>0</v>
          </cell>
        </row>
        <row r="275">
          <cell r="C275" t="e">
            <v>#N/A</v>
          </cell>
          <cell r="L275">
            <v>0</v>
          </cell>
        </row>
        <row r="276">
          <cell r="C276" t="e">
            <v>#N/A</v>
          </cell>
          <cell r="L276">
            <v>0</v>
          </cell>
        </row>
        <row r="277">
          <cell r="C277" t="e">
            <v>#N/A</v>
          </cell>
          <cell r="L277">
            <v>0</v>
          </cell>
        </row>
        <row r="278">
          <cell r="C278" t="e">
            <v>#N/A</v>
          </cell>
          <cell r="L278">
            <v>0</v>
          </cell>
        </row>
        <row r="279">
          <cell r="C279" t="e">
            <v>#N/A</v>
          </cell>
          <cell r="L279">
            <v>0</v>
          </cell>
        </row>
        <row r="280">
          <cell r="C280" t="e">
            <v>#N/A</v>
          </cell>
          <cell r="L280">
            <v>0</v>
          </cell>
        </row>
        <row r="281">
          <cell r="C281" t="e">
            <v>#N/A</v>
          </cell>
          <cell r="L281">
            <v>0</v>
          </cell>
        </row>
        <row r="282">
          <cell r="C282" t="e">
            <v>#N/A</v>
          </cell>
          <cell r="L282">
            <v>0</v>
          </cell>
        </row>
        <row r="283">
          <cell r="C283" t="e">
            <v>#N/A</v>
          </cell>
          <cell r="L283">
            <v>0</v>
          </cell>
        </row>
        <row r="284">
          <cell r="C284" t="e">
            <v>#N/A</v>
          </cell>
          <cell r="L284">
            <v>0</v>
          </cell>
        </row>
        <row r="285">
          <cell r="C285" t="e">
            <v>#N/A</v>
          </cell>
          <cell r="L285">
            <v>0</v>
          </cell>
        </row>
        <row r="286">
          <cell r="C286" t="e">
            <v>#N/A</v>
          </cell>
          <cell r="L286">
            <v>0</v>
          </cell>
        </row>
        <row r="287">
          <cell r="C287" t="e">
            <v>#N/A</v>
          </cell>
          <cell r="L287">
            <v>0</v>
          </cell>
        </row>
        <row r="288">
          <cell r="C288" t="e">
            <v>#N/A</v>
          </cell>
          <cell r="L288">
            <v>0</v>
          </cell>
        </row>
        <row r="289">
          <cell r="C289" t="e">
            <v>#N/A</v>
          </cell>
          <cell r="L289">
            <v>0</v>
          </cell>
        </row>
        <row r="290">
          <cell r="C290" t="e">
            <v>#N/A</v>
          </cell>
          <cell r="L290">
            <v>0</v>
          </cell>
        </row>
        <row r="291">
          <cell r="C291" t="e">
            <v>#N/A</v>
          </cell>
          <cell r="L291">
            <v>0</v>
          </cell>
        </row>
        <row r="292">
          <cell r="C292" t="e">
            <v>#N/A</v>
          </cell>
          <cell r="L292">
            <v>0</v>
          </cell>
        </row>
        <row r="293">
          <cell r="C293" t="e">
            <v>#N/A</v>
          </cell>
          <cell r="L293">
            <v>0</v>
          </cell>
        </row>
        <row r="294">
          <cell r="C294" t="e">
            <v>#N/A</v>
          </cell>
          <cell r="L294">
            <v>0</v>
          </cell>
        </row>
        <row r="295">
          <cell r="C295" t="e">
            <v>#N/A</v>
          </cell>
          <cell r="L295">
            <v>0</v>
          </cell>
        </row>
        <row r="296">
          <cell r="C296" t="e">
            <v>#N/A</v>
          </cell>
          <cell r="L296">
            <v>0</v>
          </cell>
        </row>
        <row r="297">
          <cell r="C297" t="e">
            <v>#N/A</v>
          </cell>
          <cell r="L297">
            <v>0</v>
          </cell>
        </row>
        <row r="298">
          <cell r="C298" t="e">
            <v>#N/A</v>
          </cell>
          <cell r="L298">
            <v>0</v>
          </cell>
        </row>
        <row r="299">
          <cell r="C299" t="e">
            <v>#N/A</v>
          </cell>
          <cell r="L299">
            <v>0</v>
          </cell>
        </row>
        <row r="300">
          <cell r="C300" t="e">
            <v>#N/A</v>
          </cell>
          <cell r="L300">
            <v>0</v>
          </cell>
        </row>
        <row r="301">
          <cell r="C301" t="e">
            <v>#N/A</v>
          </cell>
          <cell r="L301">
            <v>0</v>
          </cell>
        </row>
        <row r="302">
          <cell r="C302" t="e">
            <v>#N/A</v>
          </cell>
          <cell r="L302">
            <v>0</v>
          </cell>
        </row>
        <row r="303">
          <cell r="C303" t="e">
            <v>#N/A</v>
          </cell>
          <cell r="L303">
            <v>0</v>
          </cell>
        </row>
        <row r="304">
          <cell r="C304" t="e">
            <v>#N/A</v>
          </cell>
          <cell r="L304">
            <v>0</v>
          </cell>
        </row>
        <row r="305">
          <cell r="C305" t="e">
            <v>#N/A</v>
          </cell>
          <cell r="L305">
            <v>0</v>
          </cell>
        </row>
        <row r="306">
          <cell r="C306" t="e">
            <v>#N/A</v>
          </cell>
          <cell r="L306">
            <v>0</v>
          </cell>
        </row>
        <row r="307">
          <cell r="C307" t="e">
            <v>#N/A</v>
          </cell>
          <cell r="L307">
            <v>0</v>
          </cell>
        </row>
        <row r="308">
          <cell r="C308" t="e">
            <v>#N/A</v>
          </cell>
          <cell r="L308">
            <v>0</v>
          </cell>
        </row>
        <row r="309">
          <cell r="C309" t="e">
            <v>#N/A</v>
          </cell>
          <cell r="L309">
            <v>0</v>
          </cell>
        </row>
        <row r="310">
          <cell r="C310" t="e">
            <v>#N/A</v>
          </cell>
          <cell r="L310">
            <v>0</v>
          </cell>
        </row>
        <row r="311">
          <cell r="C311" t="e">
            <v>#N/A</v>
          </cell>
          <cell r="L311">
            <v>0</v>
          </cell>
        </row>
        <row r="312">
          <cell r="C312" t="e">
            <v>#N/A</v>
          </cell>
          <cell r="L312">
            <v>0</v>
          </cell>
        </row>
        <row r="313">
          <cell r="C313" t="e">
            <v>#N/A</v>
          </cell>
          <cell r="L313">
            <v>0</v>
          </cell>
        </row>
        <row r="314">
          <cell r="C314" t="e">
            <v>#N/A</v>
          </cell>
          <cell r="L314">
            <v>0</v>
          </cell>
        </row>
        <row r="315">
          <cell r="C315" t="e">
            <v>#N/A</v>
          </cell>
          <cell r="L315">
            <v>0</v>
          </cell>
        </row>
        <row r="316">
          <cell r="C316" t="e">
            <v>#N/A</v>
          </cell>
          <cell r="L316">
            <v>0</v>
          </cell>
        </row>
        <row r="317">
          <cell r="C317" t="e">
            <v>#N/A</v>
          </cell>
          <cell r="L317">
            <v>0</v>
          </cell>
        </row>
        <row r="318">
          <cell r="C318" t="e">
            <v>#N/A</v>
          </cell>
          <cell r="L318">
            <v>0</v>
          </cell>
        </row>
        <row r="319">
          <cell r="C319" t="e">
            <v>#N/A</v>
          </cell>
          <cell r="L319">
            <v>0</v>
          </cell>
        </row>
        <row r="320">
          <cell r="C320" t="e">
            <v>#N/A</v>
          </cell>
          <cell r="L320">
            <v>0</v>
          </cell>
        </row>
        <row r="321">
          <cell r="C321" t="e">
            <v>#N/A</v>
          </cell>
          <cell r="L321">
            <v>0</v>
          </cell>
        </row>
        <row r="322">
          <cell r="C322" t="e">
            <v>#N/A</v>
          </cell>
          <cell r="L322">
            <v>0</v>
          </cell>
        </row>
        <row r="323">
          <cell r="C323" t="e">
            <v>#N/A</v>
          </cell>
          <cell r="L323">
            <v>0</v>
          </cell>
        </row>
        <row r="324">
          <cell r="C324" t="e">
            <v>#N/A</v>
          </cell>
          <cell r="L324">
            <v>0</v>
          </cell>
        </row>
        <row r="325">
          <cell r="C325" t="e">
            <v>#N/A</v>
          </cell>
          <cell r="L325">
            <v>0</v>
          </cell>
        </row>
        <row r="326">
          <cell r="C326" t="e">
            <v>#N/A</v>
          </cell>
          <cell r="L326">
            <v>0</v>
          </cell>
        </row>
        <row r="327">
          <cell r="C327" t="e">
            <v>#N/A</v>
          </cell>
          <cell r="L327">
            <v>0</v>
          </cell>
        </row>
        <row r="328">
          <cell r="C328" t="e">
            <v>#N/A</v>
          </cell>
          <cell r="L328">
            <v>0</v>
          </cell>
        </row>
        <row r="329">
          <cell r="C329" t="e">
            <v>#N/A</v>
          </cell>
          <cell r="L329">
            <v>0</v>
          </cell>
        </row>
        <row r="330">
          <cell r="C330" t="e">
            <v>#N/A</v>
          </cell>
          <cell r="L330">
            <v>0</v>
          </cell>
        </row>
        <row r="331">
          <cell r="C331" t="e">
            <v>#N/A</v>
          </cell>
          <cell r="L331">
            <v>0</v>
          </cell>
        </row>
        <row r="332">
          <cell r="C332" t="e">
            <v>#N/A</v>
          </cell>
          <cell r="L332">
            <v>0</v>
          </cell>
        </row>
        <row r="333">
          <cell r="C333" t="e">
            <v>#N/A</v>
          </cell>
          <cell r="L333">
            <v>0</v>
          </cell>
        </row>
        <row r="334">
          <cell r="C334" t="e">
            <v>#N/A</v>
          </cell>
          <cell r="L334">
            <v>0</v>
          </cell>
        </row>
        <row r="335">
          <cell r="C335" t="e">
            <v>#N/A</v>
          </cell>
          <cell r="L335">
            <v>0</v>
          </cell>
        </row>
        <row r="336">
          <cell r="C336" t="e">
            <v>#N/A</v>
          </cell>
          <cell r="L336">
            <v>0</v>
          </cell>
        </row>
        <row r="337">
          <cell r="C337" t="e">
            <v>#N/A</v>
          </cell>
          <cell r="L337">
            <v>0</v>
          </cell>
        </row>
        <row r="338">
          <cell r="C338" t="e">
            <v>#N/A</v>
          </cell>
          <cell r="L338">
            <v>0</v>
          </cell>
        </row>
        <row r="339">
          <cell r="C339" t="e">
            <v>#N/A</v>
          </cell>
          <cell r="L339">
            <v>0</v>
          </cell>
        </row>
        <row r="340">
          <cell r="C340" t="e">
            <v>#N/A</v>
          </cell>
          <cell r="L340">
            <v>0</v>
          </cell>
        </row>
        <row r="341">
          <cell r="C341" t="e">
            <v>#N/A</v>
          </cell>
          <cell r="L341">
            <v>0</v>
          </cell>
        </row>
        <row r="342">
          <cell r="C342" t="e">
            <v>#N/A</v>
          </cell>
          <cell r="L342">
            <v>0</v>
          </cell>
        </row>
        <row r="343">
          <cell r="C343" t="e">
            <v>#N/A</v>
          </cell>
          <cell r="L343">
            <v>0</v>
          </cell>
        </row>
        <row r="344">
          <cell r="C344" t="e">
            <v>#N/A</v>
          </cell>
          <cell r="L344">
            <v>0</v>
          </cell>
        </row>
        <row r="345">
          <cell r="C345" t="e">
            <v>#N/A</v>
          </cell>
          <cell r="L345">
            <v>0</v>
          </cell>
        </row>
        <row r="346">
          <cell r="C346" t="e">
            <v>#N/A</v>
          </cell>
          <cell r="L346">
            <v>0</v>
          </cell>
        </row>
        <row r="347">
          <cell r="C347" t="e">
            <v>#N/A</v>
          </cell>
          <cell r="L347">
            <v>0</v>
          </cell>
        </row>
        <row r="348">
          <cell r="C348" t="e">
            <v>#N/A</v>
          </cell>
          <cell r="L348">
            <v>0</v>
          </cell>
        </row>
        <row r="349">
          <cell r="C349" t="e">
            <v>#N/A</v>
          </cell>
          <cell r="L349">
            <v>0</v>
          </cell>
        </row>
        <row r="350">
          <cell r="C350" t="e">
            <v>#N/A</v>
          </cell>
          <cell r="L350">
            <v>0</v>
          </cell>
        </row>
        <row r="351">
          <cell r="C351" t="e">
            <v>#N/A</v>
          </cell>
          <cell r="L351">
            <v>0</v>
          </cell>
        </row>
        <row r="352">
          <cell r="C352" t="e">
            <v>#N/A</v>
          </cell>
          <cell r="L352">
            <v>0</v>
          </cell>
        </row>
        <row r="353">
          <cell r="C353" t="e">
            <v>#N/A</v>
          </cell>
          <cell r="L353">
            <v>0</v>
          </cell>
        </row>
        <row r="354">
          <cell r="C354" t="e">
            <v>#N/A</v>
          </cell>
          <cell r="L354">
            <v>0</v>
          </cell>
        </row>
        <row r="355">
          <cell r="C355" t="e">
            <v>#N/A</v>
          </cell>
          <cell r="L355">
            <v>0</v>
          </cell>
        </row>
        <row r="356">
          <cell r="C356" t="e">
            <v>#N/A</v>
          </cell>
          <cell r="L356">
            <v>0</v>
          </cell>
        </row>
        <row r="357">
          <cell r="C357" t="e">
            <v>#N/A</v>
          </cell>
          <cell r="L357">
            <v>0</v>
          </cell>
        </row>
        <row r="358">
          <cell r="C358" t="e">
            <v>#N/A</v>
          </cell>
          <cell r="L358">
            <v>0</v>
          </cell>
        </row>
        <row r="359">
          <cell r="C359" t="e">
            <v>#N/A</v>
          </cell>
          <cell r="L359">
            <v>0</v>
          </cell>
        </row>
        <row r="360">
          <cell r="C360" t="e">
            <v>#N/A</v>
          </cell>
          <cell r="L360">
            <v>0</v>
          </cell>
        </row>
        <row r="361">
          <cell r="C361" t="e">
            <v>#N/A</v>
          </cell>
          <cell r="L361">
            <v>0</v>
          </cell>
        </row>
        <row r="362">
          <cell r="C362" t="e">
            <v>#N/A</v>
          </cell>
          <cell r="L362">
            <v>0</v>
          </cell>
        </row>
        <row r="363">
          <cell r="C363" t="e">
            <v>#N/A</v>
          </cell>
          <cell r="L363">
            <v>0</v>
          </cell>
        </row>
        <row r="364">
          <cell r="C364" t="e">
            <v>#N/A</v>
          </cell>
          <cell r="L364">
            <v>0</v>
          </cell>
        </row>
        <row r="365">
          <cell r="C365" t="e">
            <v>#N/A</v>
          </cell>
          <cell r="L365">
            <v>0</v>
          </cell>
        </row>
        <row r="366">
          <cell r="C366" t="e">
            <v>#N/A</v>
          </cell>
          <cell r="L366">
            <v>0</v>
          </cell>
        </row>
        <row r="367">
          <cell r="C367" t="e">
            <v>#N/A</v>
          </cell>
          <cell r="L367">
            <v>0</v>
          </cell>
        </row>
        <row r="368">
          <cell r="C368" t="e">
            <v>#N/A</v>
          </cell>
          <cell r="L368">
            <v>0</v>
          </cell>
        </row>
        <row r="369">
          <cell r="C369" t="e">
            <v>#N/A</v>
          </cell>
          <cell r="L369">
            <v>0</v>
          </cell>
        </row>
        <row r="370">
          <cell r="C370" t="e">
            <v>#N/A</v>
          </cell>
          <cell r="L370">
            <v>0</v>
          </cell>
        </row>
        <row r="371">
          <cell r="C371" t="e">
            <v>#N/A</v>
          </cell>
          <cell r="L371">
            <v>0</v>
          </cell>
        </row>
        <row r="372">
          <cell r="C372" t="e">
            <v>#N/A</v>
          </cell>
          <cell r="L372">
            <v>0</v>
          </cell>
        </row>
        <row r="373">
          <cell r="C373" t="e">
            <v>#N/A</v>
          </cell>
          <cell r="L373">
            <v>0</v>
          </cell>
        </row>
        <row r="374">
          <cell r="C374" t="e">
            <v>#N/A</v>
          </cell>
          <cell r="L374">
            <v>0</v>
          </cell>
        </row>
        <row r="375">
          <cell r="C375" t="e">
            <v>#N/A</v>
          </cell>
          <cell r="L375">
            <v>0</v>
          </cell>
        </row>
        <row r="376">
          <cell r="C376" t="e">
            <v>#N/A</v>
          </cell>
          <cell r="L376">
            <v>0</v>
          </cell>
        </row>
        <row r="377">
          <cell r="C377" t="e">
            <v>#N/A</v>
          </cell>
          <cell r="L377">
            <v>0</v>
          </cell>
        </row>
        <row r="378">
          <cell r="C378" t="e">
            <v>#N/A</v>
          </cell>
          <cell r="L378">
            <v>0</v>
          </cell>
        </row>
        <row r="379">
          <cell r="C379" t="e">
            <v>#N/A</v>
          </cell>
          <cell r="L379">
            <v>0</v>
          </cell>
        </row>
        <row r="380">
          <cell r="C380" t="e">
            <v>#N/A</v>
          </cell>
          <cell r="L380">
            <v>0</v>
          </cell>
        </row>
        <row r="381">
          <cell r="C381" t="e">
            <v>#N/A</v>
          </cell>
          <cell r="L381">
            <v>0</v>
          </cell>
        </row>
        <row r="382">
          <cell r="C382" t="e">
            <v>#N/A</v>
          </cell>
          <cell r="L382">
            <v>0</v>
          </cell>
        </row>
        <row r="383">
          <cell r="C383" t="e">
            <v>#N/A</v>
          </cell>
          <cell r="L383">
            <v>0</v>
          </cell>
        </row>
        <row r="384">
          <cell r="C384" t="e">
            <v>#N/A</v>
          </cell>
          <cell r="L384">
            <v>0</v>
          </cell>
        </row>
        <row r="385">
          <cell r="C385" t="e">
            <v>#N/A</v>
          </cell>
          <cell r="L385">
            <v>0</v>
          </cell>
        </row>
        <row r="386">
          <cell r="C386" t="e">
            <v>#N/A</v>
          </cell>
          <cell r="L386">
            <v>0</v>
          </cell>
        </row>
        <row r="387">
          <cell r="C387" t="e">
            <v>#N/A</v>
          </cell>
          <cell r="L387">
            <v>0</v>
          </cell>
        </row>
        <row r="388">
          <cell r="C388" t="e">
            <v>#N/A</v>
          </cell>
          <cell r="L388">
            <v>0</v>
          </cell>
        </row>
        <row r="389">
          <cell r="C389" t="e">
            <v>#N/A</v>
          </cell>
          <cell r="L389">
            <v>0</v>
          </cell>
        </row>
        <row r="390">
          <cell r="C390" t="e">
            <v>#N/A</v>
          </cell>
          <cell r="L390">
            <v>0</v>
          </cell>
        </row>
        <row r="391">
          <cell r="C391" t="e">
            <v>#N/A</v>
          </cell>
          <cell r="L391">
            <v>0</v>
          </cell>
        </row>
        <row r="392">
          <cell r="C392" t="e">
            <v>#N/A</v>
          </cell>
          <cell r="L392">
            <v>0</v>
          </cell>
        </row>
        <row r="393">
          <cell r="C393" t="e">
            <v>#N/A</v>
          </cell>
          <cell r="L393">
            <v>0</v>
          </cell>
        </row>
        <row r="394">
          <cell r="C394" t="e">
            <v>#N/A</v>
          </cell>
          <cell r="L394">
            <v>0</v>
          </cell>
        </row>
        <row r="395">
          <cell r="C395" t="e">
            <v>#N/A</v>
          </cell>
          <cell r="L395">
            <v>0</v>
          </cell>
        </row>
        <row r="396">
          <cell r="C396" t="e">
            <v>#N/A</v>
          </cell>
          <cell r="L396">
            <v>0</v>
          </cell>
        </row>
        <row r="397">
          <cell r="C397" t="e">
            <v>#N/A</v>
          </cell>
          <cell r="L397">
            <v>0</v>
          </cell>
        </row>
        <row r="398">
          <cell r="C398" t="e">
            <v>#N/A</v>
          </cell>
          <cell r="L398">
            <v>0</v>
          </cell>
        </row>
        <row r="399">
          <cell r="C399" t="e">
            <v>#N/A</v>
          </cell>
          <cell r="L399">
            <v>0</v>
          </cell>
        </row>
        <row r="400">
          <cell r="C400" t="e">
            <v>#N/A</v>
          </cell>
          <cell r="L400">
            <v>0</v>
          </cell>
        </row>
        <row r="401">
          <cell r="C401" t="e">
            <v>#N/A</v>
          </cell>
          <cell r="L401">
            <v>0</v>
          </cell>
        </row>
        <row r="402">
          <cell r="C402" t="e">
            <v>#N/A</v>
          </cell>
          <cell r="L402">
            <v>0</v>
          </cell>
        </row>
        <row r="403">
          <cell r="C403" t="e">
            <v>#N/A</v>
          </cell>
          <cell r="L403">
            <v>0</v>
          </cell>
        </row>
        <row r="404">
          <cell r="C404" t="e">
            <v>#N/A</v>
          </cell>
          <cell r="L404">
            <v>0</v>
          </cell>
        </row>
        <row r="405">
          <cell r="C405" t="e">
            <v>#N/A</v>
          </cell>
          <cell r="L405">
            <v>0</v>
          </cell>
        </row>
        <row r="406">
          <cell r="C406" t="e">
            <v>#N/A</v>
          </cell>
          <cell r="L406">
            <v>0</v>
          </cell>
        </row>
        <row r="407">
          <cell r="C407" t="e">
            <v>#N/A</v>
          </cell>
          <cell r="L407">
            <v>0</v>
          </cell>
        </row>
        <row r="408">
          <cell r="C408" t="e">
            <v>#N/A</v>
          </cell>
          <cell r="L408">
            <v>0</v>
          </cell>
        </row>
        <row r="409">
          <cell r="C409" t="e">
            <v>#N/A</v>
          </cell>
          <cell r="L409">
            <v>0</v>
          </cell>
        </row>
        <row r="410">
          <cell r="C410" t="e">
            <v>#N/A</v>
          </cell>
          <cell r="L410">
            <v>0</v>
          </cell>
        </row>
        <row r="411">
          <cell r="C411" t="e">
            <v>#N/A</v>
          </cell>
          <cell r="L411">
            <v>0</v>
          </cell>
        </row>
        <row r="412">
          <cell r="C412" t="e">
            <v>#N/A</v>
          </cell>
          <cell r="L412">
            <v>0</v>
          </cell>
        </row>
        <row r="413">
          <cell r="C413" t="e">
            <v>#N/A</v>
          </cell>
          <cell r="L413">
            <v>0</v>
          </cell>
        </row>
        <row r="414">
          <cell r="C414" t="e">
            <v>#N/A</v>
          </cell>
          <cell r="L414">
            <v>0</v>
          </cell>
        </row>
        <row r="415">
          <cell r="C415" t="e">
            <v>#N/A</v>
          </cell>
          <cell r="L415">
            <v>0</v>
          </cell>
        </row>
        <row r="416">
          <cell r="C416" t="e">
            <v>#N/A</v>
          </cell>
          <cell r="L416">
            <v>0</v>
          </cell>
        </row>
        <row r="417">
          <cell r="C417" t="e">
            <v>#N/A</v>
          </cell>
          <cell r="L417">
            <v>0</v>
          </cell>
        </row>
        <row r="418">
          <cell r="C418" t="e">
            <v>#N/A</v>
          </cell>
          <cell r="L418">
            <v>0</v>
          </cell>
        </row>
        <row r="419">
          <cell r="C419" t="e">
            <v>#N/A</v>
          </cell>
          <cell r="L419">
            <v>0</v>
          </cell>
        </row>
        <row r="420">
          <cell r="C420" t="e">
            <v>#N/A</v>
          </cell>
          <cell r="L420">
            <v>0</v>
          </cell>
        </row>
        <row r="421">
          <cell r="C421" t="e">
            <v>#N/A</v>
          </cell>
          <cell r="L421">
            <v>0</v>
          </cell>
        </row>
        <row r="422">
          <cell r="C422" t="e">
            <v>#N/A</v>
          </cell>
          <cell r="L422">
            <v>0</v>
          </cell>
        </row>
        <row r="423">
          <cell r="C423" t="e">
            <v>#N/A</v>
          </cell>
          <cell r="L423">
            <v>0</v>
          </cell>
        </row>
        <row r="424">
          <cell r="C424" t="e">
            <v>#N/A</v>
          </cell>
          <cell r="L424">
            <v>0</v>
          </cell>
        </row>
        <row r="425">
          <cell r="C425" t="e">
            <v>#N/A</v>
          </cell>
          <cell r="L425">
            <v>0</v>
          </cell>
        </row>
        <row r="426">
          <cell r="C426" t="e">
            <v>#N/A</v>
          </cell>
          <cell r="L426">
            <v>0</v>
          </cell>
        </row>
        <row r="427">
          <cell r="C427" t="e">
            <v>#N/A</v>
          </cell>
          <cell r="L427">
            <v>0</v>
          </cell>
        </row>
        <row r="428">
          <cell r="C428" t="e">
            <v>#N/A</v>
          </cell>
          <cell r="L428">
            <v>0</v>
          </cell>
        </row>
        <row r="429">
          <cell r="C429" t="e">
            <v>#N/A</v>
          </cell>
          <cell r="L429">
            <v>0</v>
          </cell>
        </row>
        <row r="430">
          <cell r="C430" t="e">
            <v>#N/A</v>
          </cell>
          <cell r="L430">
            <v>0</v>
          </cell>
        </row>
        <row r="431">
          <cell r="C431" t="e">
            <v>#N/A</v>
          </cell>
          <cell r="L431">
            <v>0</v>
          </cell>
        </row>
        <row r="432">
          <cell r="C432" t="e">
            <v>#N/A</v>
          </cell>
          <cell r="L432">
            <v>0</v>
          </cell>
        </row>
        <row r="433">
          <cell r="C433" t="e">
            <v>#N/A</v>
          </cell>
          <cell r="L433">
            <v>0</v>
          </cell>
        </row>
        <row r="434">
          <cell r="C434" t="e">
            <v>#N/A</v>
          </cell>
          <cell r="L434">
            <v>0</v>
          </cell>
        </row>
        <row r="435">
          <cell r="C435" t="e">
            <v>#N/A</v>
          </cell>
          <cell r="L435">
            <v>0</v>
          </cell>
        </row>
        <row r="436">
          <cell r="C436" t="e">
            <v>#N/A</v>
          </cell>
          <cell r="L436">
            <v>0</v>
          </cell>
        </row>
        <row r="437">
          <cell r="C437" t="e">
            <v>#N/A</v>
          </cell>
          <cell r="L437">
            <v>0</v>
          </cell>
        </row>
        <row r="438">
          <cell r="C438" t="e">
            <v>#N/A</v>
          </cell>
          <cell r="L438">
            <v>0</v>
          </cell>
        </row>
        <row r="439">
          <cell r="C439" t="e">
            <v>#N/A</v>
          </cell>
          <cell r="L439">
            <v>0</v>
          </cell>
        </row>
        <row r="440">
          <cell r="C440" t="e">
            <v>#N/A</v>
          </cell>
          <cell r="L440">
            <v>0</v>
          </cell>
        </row>
        <row r="441">
          <cell r="C441" t="e">
            <v>#N/A</v>
          </cell>
          <cell r="L441">
            <v>0</v>
          </cell>
        </row>
        <row r="442">
          <cell r="C442" t="e">
            <v>#N/A</v>
          </cell>
          <cell r="L442">
            <v>0</v>
          </cell>
        </row>
        <row r="443">
          <cell r="C443" t="e">
            <v>#N/A</v>
          </cell>
          <cell r="L443">
            <v>0</v>
          </cell>
        </row>
        <row r="444">
          <cell r="C444" t="e">
            <v>#N/A</v>
          </cell>
          <cell r="L444">
            <v>0</v>
          </cell>
        </row>
        <row r="445">
          <cell r="C445" t="e">
            <v>#N/A</v>
          </cell>
          <cell r="L445">
            <v>0</v>
          </cell>
        </row>
        <row r="446">
          <cell r="C446" t="e">
            <v>#N/A</v>
          </cell>
          <cell r="L446">
            <v>0</v>
          </cell>
        </row>
        <row r="447">
          <cell r="C447" t="e">
            <v>#N/A</v>
          </cell>
          <cell r="L447">
            <v>0</v>
          </cell>
        </row>
        <row r="448">
          <cell r="C448" t="e">
            <v>#N/A</v>
          </cell>
          <cell r="L448">
            <v>0</v>
          </cell>
        </row>
        <row r="449">
          <cell r="C449" t="e">
            <v>#N/A</v>
          </cell>
          <cell r="L449">
            <v>0</v>
          </cell>
        </row>
        <row r="450">
          <cell r="C450" t="e">
            <v>#N/A</v>
          </cell>
          <cell r="L450">
            <v>0</v>
          </cell>
        </row>
        <row r="451">
          <cell r="C451" t="e">
            <v>#N/A</v>
          </cell>
          <cell r="L451">
            <v>0</v>
          </cell>
        </row>
        <row r="452">
          <cell r="C452" t="e">
            <v>#N/A</v>
          </cell>
          <cell r="L452">
            <v>0</v>
          </cell>
        </row>
        <row r="453">
          <cell r="C453" t="e">
            <v>#N/A</v>
          </cell>
          <cell r="L453">
            <v>0</v>
          </cell>
        </row>
        <row r="454">
          <cell r="C454" t="e">
            <v>#N/A</v>
          </cell>
          <cell r="L454">
            <v>0</v>
          </cell>
        </row>
        <row r="455">
          <cell r="C455" t="e">
            <v>#N/A</v>
          </cell>
          <cell r="L455">
            <v>0</v>
          </cell>
        </row>
        <row r="456">
          <cell r="C456" t="e">
            <v>#N/A</v>
          </cell>
          <cell r="L456">
            <v>0</v>
          </cell>
        </row>
        <row r="457">
          <cell r="C457" t="e">
            <v>#N/A</v>
          </cell>
          <cell r="L457">
            <v>0</v>
          </cell>
        </row>
        <row r="458">
          <cell r="C458" t="e">
            <v>#N/A</v>
          </cell>
          <cell r="L458">
            <v>0</v>
          </cell>
        </row>
        <row r="459">
          <cell r="C459" t="e">
            <v>#N/A</v>
          </cell>
          <cell r="L459">
            <v>0</v>
          </cell>
        </row>
        <row r="460">
          <cell r="C460" t="e">
            <v>#N/A</v>
          </cell>
          <cell r="L460">
            <v>0</v>
          </cell>
        </row>
        <row r="461">
          <cell r="C461" t="e">
            <v>#N/A</v>
          </cell>
          <cell r="L461">
            <v>0</v>
          </cell>
        </row>
        <row r="462">
          <cell r="C462" t="e">
            <v>#N/A</v>
          </cell>
          <cell r="L462">
            <v>0</v>
          </cell>
        </row>
        <row r="463">
          <cell r="C463" t="e">
            <v>#N/A</v>
          </cell>
          <cell r="L463">
            <v>0</v>
          </cell>
        </row>
        <row r="464">
          <cell r="C464" t="e">
            <v>#N/A</v>
          </cell>
          <cell r="L464">
            <v>0</v>
          </cell>
        </row>
        <row r="465">
          <cell r="C465" t="e">
            <v>#N/A</v>
          </cell>
          <cell r="L465">
            <v>0</v>
          </cell>
        </row>
        <row r="466">
          <cell r="C466" t="e">
            <v>#N/A</v>
          </cell>
          <cell r="L466">
            <v>0</v>
          </cell>
        </row>
        <row r="467">
          <cell r="C467" t="e">
            <v>#N/A</v>
          </cell>
          <cell r="L467">
            <v>0</v>
          </cell>
        </row>
        <row r="468">
          <cell r="C468" t="e">
            <v>#N/A</v>
          </cell>
          <cell r="L468">
            <v>0</v>
          </cell>
        </row>
        <row r="469">
          <cell r="C469" t="e">
            <v>#N/A</v>
          </cell>
          <cell r="L469">
            <v>0</v>
          </cell>
        </row>
        <row r="470">
          <cell r="C470" t="e">
            <v>#N/A</v>
          </cell>
          <cell r="L470">
            <v>0</v>
          </cell>
        </row>
        <row r="471">
          <cell r="C471" t="e">
            <v>#N/A</v>
          </cell>
          <cell r="L471">
            <v>0</v>
          </cell>
        </row>
        <row r="472">
          <cell r="C472" t="e">
            <v>#N/A</v>
          </cell>
          <cell r="L472">
            <v>0</v>
          </cell>
        </row>
        <row r="473">
          <cell r="C473" t="e">
            <v>#N/A</v>
          </cell>
          <cell r="L473">
            <v>0</v>
          </cell>
        </row>
        <row r="474">
          <cell r="C474" t="e">
            <v>#N/A</v>
          </cell>
          <cell r="L474">
            <v>0</v>
          </cell>
        </row>
        <row r="475">
          <cell r="C475" t="e">
            <v>#N/A</v>
          </cell>
          <cell r="L475">
            <v>0</v>
          </cell>
        </row>
        <row r="476">
          <cell r="C476" t="e">
            <v>#N/A</v>
          </cell>
          <cell r="L476">
            <v>0</v>
          </cell>
        </row>
        <row r="477">
          <cell r="C477" t="e">
            <v>#N/A</v>
          </cell>
          <cell r="L477">
            <v>0</v>
          </cell>
        </row>
        <row r="478">
          <cell r="C478" t="e">
            <v>#N/A</v>
          </cell>
          <cell r="L478">
            <v>0</v>
          </cell>
        </row>
        <row r="479">
          <cell r="C479" t="e">
            <v>#N/A</v>
          </cell>
          <cell r="L479">
            <v>0</v>
          </cell>
        </row>
        <row r="480">
          <cell r="C480" t="e">
            <v>#N/A</v>
          </cell>
          <cell r="L480">
            <v>0</v>
          </cell>
        </row>
        <row r="481">
          <cell r="C481" t="e">
            <v>#N/A</v>
          </cell>
          <cell r="L481">
            <v>0</v>
          </cell>
        </row>
        <row r="482">
          <cell r="C482" t="e">
            <v>#N/A</v>
          </cell>
          <cell r="L482">
            <v>0</v>
          </cell>
        </row>
        <row r="483">
          <cell r="C483" t="e">
            <v>#N/A</v>
          </cell>
          <cell r="L483">
            <v>0</v>
          </cell>
        </row>
        <row r="484">
          <cell r="C484" t="e">
            <v>#N/A</v>
          </cell>
          <cell r="L484">
            <v>0</v>
          </cell>
        </row>
        <row r="485">
          <cell r="C485" t="e">
            <v>#N/A</v>
          </cell>
          <cell r="L485">
            <v>0</v>
          </cell>
        </row>
        <row r="486">
          <cell r="C486" t="e">
            <v>#N/A</v>
          </cell>
          <cell r="L486">
            <v>0</v>
          </cell>
        </row>
        <row r="487">
          <cell r="C487" t="e">
            <v>#N/A</v>
          </cell>
          <cell r="L487">
            <v>0</v>
          </cell>
        </row>
        <row r="488">
          <cell r="C488" t="e">
            <v>#N/A</v>
          </cell>
          <cell r="L488">
            <v>0</v>
          </cell>
        </row>
        <row r="489">
          <cell r="C489" t="e">
            <v>#N/A</v>
          </cell>
          <cell r="L489">
            <v>0</v>
          </cell>
        </row>
        <row r="490">
          <cell r="C490" t="e">
            <v>#N/A</v>
          </cell>
          <cell r="L490">
            <v>0</v>
          </cell>
        </row>
        <row r="491">
          <cell r="C491" t="e">
            <v>#N/A</v>
          </cell>
          <cell r="L491">
            <v>0</v>
          </cell>
        </row>
        <row r="492">
          <cell r="C492" t="e">
            <v>#N/A</v>
          </cell>
          <cell r="L492">
            <v>0</v>
          </cell>
        </row>
        <row r="493">
          <cell r="C493" t="e">
            <v>#N/A</v>
          </cell>
          <cell r="L493">
            <v>0</v>
          </cell>
        </row>
        <row r="494">
          <cell r="C494" t="e">
            <v>#N/A</v>
          </cell>
          <cell r="L494">
            <v>0</v>
          </cell>
        </row>
        <row r="495">
          <cell r="C495" t="e">
            <v>#N/A</v>
          </cell>
          <cell r="L495">
            <v>0</v>
          </cell>
        </row>
        <row r="496">
          <cell r="C496" t="e">
            <v>#N/A</v>
          </cell>
          <cell r="L496">
            <v>0</v>
          </cell>
        </row>
        <row r="497">
          <cell r="C497" t="e">
            <v>#N/A</v>
          </cell>
          <cell r="L497">
            <v>0</v>
          </cell>
        </row>
        <row r="498">
          <cell r="C498" t="e">
            <v>#N/A</v>
          </cell>
          <cell r="L498">
            <v>0</v>
          </cell>
        </row>
        <row r="499">
          <cell r="C499" t="e">
            <v>#N/A</v>
          </cell>
          <cell r="L499">
            <v>0</v>
          </cell>
        </row>
        <row r="500">
          <cell r="C500" t="e">
            <v>#N/A</v>
          </cell>
          <cell r="L500">
            <v>0</v>
          </cell>
        </row>
        <row r="501">
          <cell r="C501" t="e">
            <v>#N/A</v>
          </cell>
          <cell r="L501">
            <v>0</v>
          </cell>
        </row>
        <row r="502">
          <cell r="C502" t="e">
            <v>#N/A</v>
          </cell>
          <cell r="L502">
            <v>0</v>
          </cell>
        </row>
        <row r="503">
          <cell r="C503" t="e">
            <v>#N/A</v>
          </cell>
          <cell r="L503">
            <v>0</v>
          </cell>
        </row>
        <row r="504">
          <cell r="C504" t="e">
            <v>#N/A</v>
          </cell>
          <cell r="L504">
            <v>0</v>
          </cell>
        </row>
        <row r="505">
          <cell r="C505" t="e">
            <v>#N/A</v>
          </cell>
          <cell r="L505">
            <v>0</v>
          </cell>
        </row>
        <row r="506">
          <cell r="C506" t="e">
            <v>#N/A</v>
          </cell>
          <cell r="L506">
            <v>0</v>
          </cell>
        </row>
        <row r="507">
          <cell r="C507" t="e">
            <v>#N/A</v>
          </cell>
          <cell r="L507">
            <v>0</v>
          </cell>
        </row>
        <row r="508">
          <cell r="C508" t="e">
            <v>#N/A</v>
          </cell>
          <cell r="L508">
            <v>0</v>
          </cell>
        </row>
        <row r="509">
          <cell r="C509" t="e">
            <v>#N/A</v>
          </cell>
          <cell r="L509">
            <v>0</v>
          </cell>
        </row>
        <row r="510">
          <cell r="C510" t="e">
            <v>#N/A</v>
          </cell>
          <cell r="L510">
            <v>0</v>
          </cell>
        </row>
        <row r="511">
          <cell r="C511" t="e">
            <v>#N/A</v>
          </cell>
          <cell r="L511">
            <v>0</v>
          </cell>
        </row>
        <row r="512">
          <cell r="C512" t="e">
            <v>#N/A</v>
          </cell>
          <cell r="L512">
            <v>0</v>
          </cell>
        </row>
        <row r="513">
          <cell r="C513" t="e">
            <v>#N/A</v>
          </cell>
          <cell r="L513">
            <v>0</v>
          </cell>
        </row>
        <row r="514">
          <cell r="C514" t="e">
            <v>#N/A</v>
          </cell>
          <cell r="L514">
            <v>0</v>
          </cell>
        </row>
        <row r="515">
          <cell r="C515" t="e">
            <v>#N/A</v>
          </cell>
          <cell r="L515">
            <v>0</v>
          </cell>
        </row>
        <row r="516">
          <cell r="C516" t="e">
            <v>#N/A</v>
          </cell>
          <cell r="L516">
            <v>0</v>
          </cell>
        </row>
        <row r="517">
          <cell r="C517" t="e">
            <v>#N/A</v>
          </cell>
          <cell r="L517">
            <v>0</v>
          </cell>
        </row>
        <row r="518">
          <cell r="C518" t="e">
            <v>#N/A</v>
          </cell>
          <cell r="L518">
            <v>0</v>
          </cell>
        </row>
        <row r="519">
          <cell r="C519" t="e">
            <v>#N/A</v>
          </cell>
          <cell r="L519">
            <v>0</v>
          </cell>
        </row>
        <row r="520">
          <cell r="C520" t="e">
            <v>#N/A</v>
          </cell>
          <cell r="L520">
            <v>0</v>
          </cell>
        </row>
        <row r="521">
          <cell r="C521" t="e">
            <v>#N/A</v>
          </cell>
          <cell r="L521">
            <v>0</v>
          </cell>
        </row>
        <row r="522">
          <cell r="C522" t="e">
            <v>#N/A</v>
          </cell>
          <cell r="L522">
            <v>0</v>
          </cell>
        </row>
        <row r="523">
          <cell r="C523" t="e">
            <v>#N/A</v>
          </cell>
          <cell r="L523">
            <v>0</v>
          </cell>
        </row>
        <row r="524">
          <cell r="C524" t="e">
            <v>#N/A</v>
          </cell>
          <cell r="L524">
            <v>0</v>
          </cell>
        </row>
        <row r="525">
          <cell r="C525" t="e">
            <v>#N/A</v>
          </cell>
          <cell r="L525">
            <v>0</v>
          </cell>
        </row>
        <row r="526">
          <cell r="C526" t="e">
            <v>#N/A</v>
          </cell>
          <cell r="L526">
            <v>0</v>
          </cell>
        </row>
        <row r="527">
          <cell r="C527" t="e">
            <v>#N/A</v>
          </cell>
          <cell r="L527">
            <v>0</v>
          </cell>
        </row>
        <row r="528">
          <cell r="C528" t="e">
            <v>#N/A</v>
          </cell>
          <cell r="L528">
            <v>0</v>
          </cell>
        </row>
        <row r="529">
          <cell r="C529" t="e">
            <v>#N/A</v>
          </cell>
          <cell r="L529">
            <v>0</v>
          </cell>
        </row>
        <row r="530">
          <cell r="C530" t="e">
            <v>#N/A</v>
          </cell>
          <cell r="L530">
            <v>0</v>
          </cell>
        </row>
        <row r="531">
          <cell r="C531" t="e">
            <v>#N/A</v>
          </cell>
          <cell r="L531">
            <v>0</v>
          </cell>
        </row>
        <row r="532">
          <cell r="C532" t="e">
            <v>#N/A</v>
          </cell>
          <cell r="L532">
            <v>0</v>
          </cell>
        </row>
        <row r="533">
          <cell r="C533" t="e">
            <v>#N/A</v>
          </cell>
          <cell r="L533">
            <v>0</v>
          </cell>
        </row>
        <row r="534">
          <cell r="C534" t="e">
            <v>#N/A</v>
          </cell>
          <cell r="L534">
            <v>0</v>
          </cell>
        </row>
        <row r="535">
          <cell r="C535" t="e">
            <v>#N/A</v>
          </cell>
          <cell r="L535">
            <v>0</v>
          </cell>
        </row>
        <row r="536">
          <cell r="C536" t="e">
            <v>#N/A</v>
          </cell>
          <cell r="L536">
            <v>0</v>
          </cell>
        </row>
        <row r="537">
          <cell r="C537" t="e">
            <v>#N/A</v>
          </cell>
          <cell r="L537">
            <v>0</v>
          </cell>
        </row>
        <row r="538">
          <cell r="C538" t="e">
            <v>#N/A</v>
          </cell>
          <cell r="L538">
            <v>0</v>
          </cell>
        </row>
        <row r="539">
          <cell r="C539" t="e">
            <v>#N/A</v>
          </cell>
          <cell r="L539">
            <v>0</v>
          </cell>
        </row>
        <row r="540">
          <cell r="C540" t="e">
            <v>#N/A</v>
          </cell>
          <cell r="L540">
            <v>0</v>
          </cell>
        </row>
        <row r="541">
          <cell r="C541" t="e">
            <v>#N/A</v>
          </cell>
          <cell r="L541">
            <v>0</v>
          </cell>
        </row>
        <row r="542">
          <cell r="C542" t="e">
            <v>#N/A</v>
          </cell>
          <cell r="L542">
            <v>0</v>
          </cell>
        </row>
        <row r="543">
          <cell r="C543" t="e">
            <v>#N/A</v>
          </cell>
          <cell r="L543">
            <v>0</v>
          </cell>
        </row>
        <row r="544">
          <cell r="C544" t="e">
            <v>#N/A</v>
          </cell>
          <cell r="L544">
            <v>0</v>
          </cell>
        </row>
        <row r="545">
          <cell r="C545" t="e">
            <v>#N/A</v>
          </cell>
          <cell r="L545">
            <v>0</v>
          </cell>
        </row>
        <row r="546">
          <cell r="C546" t="e">
            <v>#N/A</v>
          </cell>
          <cell r="L546">
            <v>0</v>
          </cell>
        </row>
        <row r="547">
          <cell r="C547" t="e">
            <v>#N/A</v>
          </cell>
          <cell r="L547">
            <v>0</v>
          </cell>
        </row>
        <row r="548">
          <cell r="C548" t="e">
            <v>#N/A</v>
          </cell>
          <cell r="L548">
            <v>0</v>
          </cell>
        </row>
        <row r="549">
          <cell r="C549" t="e">
            <v>#N/A</v>
          </cell>
          <cell r="L549">
            <v>0</v>
          </cell>
        </row>
        <row r="550">
          <cell r="C550" t="e">
            <v>#N/A</v>
          </cell>
          <cell r="L550">
            <v>0</v>
          </cell>
        </row>
        <row r="551">
          <cell r="C551" t="e">
            <v>#N/A</v>
          </cell>
          <cell r="L551">
            <v>0</v>
          </cell>
        </row>
        <row r="552">
          <cell r="C552" t="e">
            <v>#N/A</v>
          </cell>
          <cell r="L552">
            <v>0</v>
          </cell>
        </row>
        <row r="553">
          <cell r="C553" t="e">
            <v>#N/A</v>
          </cell>
          <cell r="L553">
            <v>0</v>
          </cell>
        </row>
        <row r="554">
          <cell r="C554" t="e">
            <v>#N/A</v>
          </cell>
          <cell r="L554">
            <v>0</v>
          </cell>
        </row>
        <row r="555">
          <cell r="C555" t="e">
            <v>#N/A</v>
          </cell>
          <cell r="L555">
            <v>0</v>
          </cell>
        </row>
        <row r="556">
          <cell r="C556" t="e">
            <v>#N/A</v>
          </cell>
          <cell r="L556">
            <v>0</v>
          </cell>
        </row>
        <row r="557">
          <cell r="C557" t="e">
            <v>#N/A</v>
          </cell>
          <cell r="L557">
            <v>0</v>
          </cell>
        </row>
        <row r="558">
          <cell r="C558" t="e">
            <v>#N/A</v>
          </cell>
          <cell r="L558">
            <v>0</v>
          </cell>
        </row>
        <row r="559">
          <cell r="C559" t="e">
            <v>#N/A</v>
          </cell>
          <cell r="L559">
            <v>0</v>
          </cell>
        </row>
        <row r="560">
          <cell r="C560" t="e">
            <v>#N/A</v>
          </cell>
          <cell r="L560">
            <v>0</v>
          </cell>
        </row>
        <row r="561">
          <cell r="C561" t="e">
            <v>#N/A</v>
          </cell>
          <cell r="L561">
            <v>0</v>
          </cell>
        </row>
        <row r="562">
          <cell r="C562" t="e">
            <v>#N/A</v>
          </cell>
          <cell r="L562">
            <v>0</v>
          </cell>
        </row>
        <row r="563">
          <cell r="C563" t="e">
            <v>#N/A</v>
          </cell>
          <cell r="L563">
            <v>0</v>
          </cell>
        </row>
        <row r="564">
          <cell r="C564" t="e">
            <v>#N/A</v>
          </cell>
          <cell r="L564">
            <v>0</v>
          </cell>
        </row>
        <row r="565">
          <cell r="C565" t="e">
            <v>#N/A</v>
          </cell>
          <cell r="L565">
            <v>0</v>
          </cell>
        </row>
        <row r="566">
          <cell r="C566" t="e">
            <v>#N/A</v>
          </cell>
          <cell r="L566">
            <v>0</v>
          </cell>
        </row>
        <row r="567">
          <cell r="C567" t="e">
            <v>#N/A</v>
          </cell>
          <cell r="L567">
            <v>0</v>
          </cell>
        </row>
        <row r="568">
          <cell r="C568" t="e">
            <v>#N/A</v>
          </cell>
          <cell r="L568">
            <v>0</v>
          </cell>
        </row>
        <row r="569">
          <cell r="C569" t="e">
            <v>#N/A</v>
          </cell>
          <cell r="L569">
            <v>0</v>
          </cell>
        </row>
        <row r="570">
          <cell r="C570" t="e">
            <v>#N/A</v>
          </cell>
          <cell r="L570">
            <v>0</v>
          </cell>
        </row>
        <row r="571">
          <cell r="C571" t="e">
            <v>#N/A</v>
          </cell>
          <cell r="L571">
            <v>0</v>
          </cell>
        </row>
        <row r="572">
          <cell r="C572" t="e">
            <v>#N/A</v>
          </cell>
          <cell r="L572">
            <v>0</v>
          </cell>
        </row>
        <row r="573">
          <cell r="C573" t="e">
            <v>#N/A</v>
          </cell>
          <cell r="L573">
            <v>0</v>
          </cell>
        </row>
        <row r="574">
          <cell r="C574" t="e">
            <v>#N/A</v>
          </cell>
          <cell r="L574">
            <v>0</v>
          </cell>
        </row>
        <row r="575">
          <cell r="C575" t="e">
            <v>#N/A</v>
          </cell>
          <cell r="L575">
            <v>0</v>
          </cell>
        </row>
        <row r="576">
          <cell r="C576" t="e">
            <v>#N/A</v>
          </cell>
          <cell r="L576">
            <v>0</v>
          </cell>
        </row>
        <row r="577">
          <cell r="C577" t="e">
            <v>#N/A</v>
          </cell>
          <cell r="L577">
            <v>0</v>
          </cell>
        </row>
        <row r="578">
          <cell r="C578" t="e">
            <v>#N/A</v>
          </cell>
          <cell r="L578">
            <v>0</v>
          </cell>
        </row>
        <row r="579">
          <cell r="C579" t="e">
            <v>#N/A</v>
          </cell>
          <cell r="L579">
            <v>0</v>
          </cell>
        </row>
        <row r="580">
          <cell r="C580" t="e">
            <v>#N/A</v>
          </cell>
          <cell r="L580">
            <v>0</v>
          </cell>
        </row>
        <row r="581">
          <cell r="C581" t="e">
            <v>#N/A</v>
          </cell>
          <cell r="L581">
            <v>0</v>
          </cell>
        </row>
        <row r="582">
          <cell r="C582" t="e">
            <v>#N/A</v>
          </cell>
          <cell r="L582">
            <v>0</v>
          </cell>
        </row>
        <row r="583">
          <cell r="C583" t="e">
            <v>#N/A</v>
          </cell>
          <cell r="L583">
            <v>0</v>
          </cell>
        </row>
        <row r="584">
          <cell r="C584" t="e">
            <v>#N/A</v>
          </cell>
          <cell r="L584">
            <v>0</v>
          </cell>
        </row>
        <row r="585">
          <cell r="C585" t="e">
            <v>#N/A</v>
          </cell>
          <cell r="L585">
            <v>0</v>
          </cell>
        </row>
        <row r="586">
          <cell r="C586" t="e">
            <v>#N/A</v>
          </cell>
          <cell r="L586">
            <v>0</v>
          </cell>
        </row>
        <row r="587">
          <cell r="C587" t="e">
            <v>#N/A</v>
          </cell>
          <cell r="L587">
            <v>0</v>
          </cell>
        </row>
        <row r="588">
          <cell r="C588" t="e">
            <v>#N/A</v>
          </cell>
          <cell r="L588">
            <v>0</v>
          </cell>
        </row>
        <row r="589">
          <cell r="C589" t="e">
            <v>#N/A</v>
          </cell>
          <cell r="L589">
            <v>0</v>
          </cell>
        </row>
        <row r="590">
          <cell r="C590" t="e">
            <v>#N/A</v>
          </cell>
          <cell r="L590">
            <v>0</v>
          </cell>
        </row>
        <row r="591">
          <cell r="C591" t="e">
            <v>#N/A</v>
          </cell>
          <cell r="L591">
            <v>0</v>
          </cell>
        </row>
        <row r="592">
          <cell r="C592" t="e">
            <v>#N/A</v>
          </cell>
          <cell r="L592">
            <v>0</v>
          </cell>
        </row>
        <row r="593">
          <cell r="C593" t="e">
            <v>#N/A</v>
          </cell>
          <cell r="L593">
            <v>0</v>
          </cell>
        </row>
        <row r="594">
          <cell r="C594" t="e">
            <v>#N/A</v>
          </cell>
          <cell r="L594">
            <v>0</v>
          </cell>
        </row>
        <row r="595">
          <cell r="C595" t="e">
            <v>#N/A</v>
          </cell>
          <cell r="L595">
            <v>0</v>
          </cell>
        </row>
        <row r="596">
          <cell r="C596" t="e">
            <v>#N/A</v>
          </cell>
          <cell r="L596">
            <v>0</v>
          </cell>
        </row>
        <row r="597">
          <cell r="C597" t="e">
            <v>#N/A</v>
          </cell>
          <cell r="L597">
            <v>0</v>
          </cell>
        </row>
        <row r="598">
          <cell r="C598" t="e">
            <v>#N/A</v>
          </cell>
          <cell r="L598">
            <v>0</v>
          </cell>
        </row>
        <row r="599">
          <cell r="C599" t="e">
            <v>#N/A</v>
          </cell>
          <cell r="L599">
            <v>0</v>
          </cell>
        </row>
        <row r="600">
          <cell r="C600" t="e">
            <v>#N/A</v>
          </cell>
          <cell r="L600">
            <v>0</v>
          </cell>
        </row>
        <row r="601">
          <cell r="C601" t="e">
            <v>#N/A</v>
          </cell>
          <cell r="L601">
            <v>0</v>
          </cell>
        </row>
        <row r="602">
          <cell r="C602" t="e">
            <v>#N/A</v>
          </cell>
          <cell r="L602">
            <v>0</v>
          </cell>
        </row>
        <row r="603">
          <cell r="C603" t="e">
            <v>#N/A</v>
          </cell>
          <cell r="L603">
            <v>0</v>
          </cell>
        </row>
        <row r="604">
          <cell r="C604" t="e">
            <v>#N/A</v>
          </cell>
          <cell r="L604">
            <v>0</v>
          </cell>
        </row>
        <row r="605">
          <cell r="C605" t="e">
            <v>#N/A</v>
          </cell>
          <cell r="L605">
            <v>0</v>
          </cell>
        </row>
        <row r="606">
          <cell r="C606" t="e">
            <v>#N/A</v>
          </cell>
          <cell r="L606">
            <v>0</v>
          </cell>
        </row>
        <row r="607">
          <cell r="C607" t="e">
            <v>#N/A</v>
          </cell>
          <cell r="L607">
            <v>0</v>
          </cell>
        </row>
        <row r="608">
          <cell r="C608" t="e">
            <v>#N/A</v>
          </cell>
          <cell r="L608">
            <v>0</v>
          </cell>
        </row>
        <row r="609">
          <cell r="C609" t="e">
            <v>#N/A</v>
          </cell>
          <cell r="L609">
            <v>0</v>
          </cell>
        </row>
        <row r="610">
          <cell r="C610" t="e">
            <v>#N/A</v>
          </cell>
          <cell r="L610">
            <v>0</v>
          </cell>
        </row>
        <row r="611">
          <cell r="C611" t="e">
            <v>#N/A</v>
          </cell>
          <cell r="L611">
            <v>0</v>
          </cell>
        </row>
        <row r="612">
          <cell r="C612" t="e">
            <v>#N/A</v>
          </cell>
          <cell r="L612">
            <v>0</v>
          </cell>
        </row>
        <row r="613">
          <cell r="C613" t="e">
            <v>#N/A</v>
          </cell>
          <cell r="L613">
            <v>0</v>
          </cell>
        </row>
        <row r="614">
          <cell r="C614" t="e">
            <v>#N/A</v>
          </cell>
          <cell r="L614">
            <v>0</v>
          </cell>
        </row>
        <row r="615">
          <cell r="C615" t="e">
            <v>#N/A</v>
          </cell>
          <cell r="L615">
            <v>0</v>
          </cell>
        </row>
        <row r="616">
          <cell r="C616" t="e">
            <v>#N/A</v>
          </cell>
          <cell r="L616">
            <v>0</v>
          </cell>
        </row>
        <row r="617">
          <cell r="C617" t="e">
            <v>#N/A</v>
          </cell>
          <cell r="L617">
            <v>0</v>
          </cell>
        </row>
        <row r="618">
          <cell r="C618" t="e">
            <v>#N/A</v>
          </cell>
          <cell r="L618">
            <v>0</v>
          </cell>
        </row>
        <row r="619">
          <cell r="C619" t="e">
            <v>#N/A</v>
          </cell>
          <cell r="L619">
            <v>0</v>
          </cell>
        </row>
        <row r="620">
          <cell r="C620" t="e">
            <v>#N/A</v>
          </cell>
          <cell r="L620">
            <v>0</v>
          </cell>
        </row>
        <row r="621">
          <cell r="C621" t="e">
            <v>#N/A</v>
          </cell>
          <cell r="L621">
            <v>0</v>
          </cell>
        </row>
        <row r="622">
          <cell r="C622" t="e">
            <v>#N/A</v>
          </cell>
          <cell r="L622">
            <v>0</v>
          </cell>
        </row>
        <row r="623">
          <cell r="C623" t="e">
            <v>#N/A</v>
          </cell>
          <cell r="L623">
            <v>0</v>
          </cell>
        </row>
        <row r="624">
          <cell r="C624" t="e">
            <v>#N/A</v>
          </cell>
          <cell r="L624">
            <v>0</v>
          </cell>
        </row>
        <row r="625">
          <cell r="C625" t="e">
            <v>#N/A</v>
          </cell>
          <cell r="L625">
            <v>0</v>
          </cell>
        </row>
        <row r="626">
          <cell r="C626" t="e">
            <v>#N/A</v>
          </cell>
          <cell r="L626">
            <v>0</v>
          </cell>
        </row>
        <row r="627">
          <cell r="C627" t="e">
            <v>#N/A</v>
          </cell>
          <cell r="L627">
            <v>0</v>
          </cell>
        </row>
        <row r="628">
          <cell r="C628" t="e">
            <v>#N/A</v>
          </cell>
          <cell r="L628">
            <v>0</v>
          </cell>
        </row>
        <row r="629">
          <cell r="C629" t="e">
            <v>#N/A</v>
          </cell>
          <cell r="L629">
            <v>0</v>
          </cell>
        </row>
        <row r="630">
          <cell r="C630" t="e">
            <v>#N/A</v>
          </cell>
          <cell r="L630">
            <v>0</v>
          </cell>
        </row>
        <row r="631">
          <cell r="C631" t="e">
            <v>#N/A</v>
          </cell>
          <cell r="L631">
            <v>0</v>
          </cell>
        </row>
        <row r="632">
          <cell r="C632" t="e">
            <v>#N/A</v>
          </cell>
          <cell r="L632">
            <v>0</v>
          </cell>
        </row>
        <row r="633">
          <cell r="C633" t="e">
            <v>#N/A</v>
          </cell>
          <cell r="L633">
            <v>0</v>
          </cell>
        </row>
        <row r="634">
          <cell r="C634" t="e">
            <v>#N/A</v>
          </cell>
          <cell r="L634">
            <v>0</v>
          </cell>
        </row>
        <row r="635">
          <cell r="C635" t="e">
            <v>#N/A</v>
          </cell>
          <cell r="L635">
            <v>0</v>
          </cell>
        </row>
        <row r="636">
          <cell r="C636" t="e">
            <v>#N/A</v>
          </cell>
          <cell r="L636">
            <v>0</v>
          </cell>
        </row>
        <row r="637">
          <cell r="C637" t="e">
            <v>#N/A</v>
          </cell>
          <cell r="L637">
            <v>0</v>
          </cell>
        </row>
        <row r="638">
          <cell r="C638" t="e">
            <v>#N/A</v>
          </cell>
          <cell r="L638">
            <v>0</v>
          </cell>
        </row>
        <row r="639">
          <cell r="C639" t="e">
            <v>#N/A</v>
          </cell>
          <cell r="L639">
            <v>0</v>
          </cell>
        </row>
        <row r="640">
          <cell r="C640" t="e">
            <v>#N/A</v>
          </cell>
          <cell r="L640">
            <v>0</v>
          </cell>
        </row>
        <row r="641">
          <cell r="C641" t="e">
            <v>#N/A</v>
          </cell>
          <cell r="L641">
            <v>0</v>
          </cell>
        </row>
        <row r="642">
          <cell r="C642" t="e">
            <v>#N/A</v>
          </cell>
          <cell r="L642">
            <v>0</v>
          </cell>
        </row>
        <row r="643">
          <cell r="C643" t="e">
            <v>#N/A</v>
          </cell>
          <cell r="L643">
            <v>0</v>
          </cell>
        </row>
        <row r="644">
          <cell r="C644" t="e">
            <v>#N/A</v>
          </cell>
          <cell r="L644">
            <v>0</v>
          </cell>
        </row>
        <row r="645">
          <cell r="C645" t="e">
            <v>#N/A</v>
          </cell>
          <cell r="L645">
            <v>0</v>
          </cell>
        </row>
        <row r="646">
          <cell r="C646" t="e">
            <v>#N/A</v>
          </cell>
          <cell r="L646">
            <v>0</v>
          </cell>
        </row>
        <row r="647">
          <cell r="C647" t="e">
            <v>#N/A</v>
          </cell>
          <cell r="L647">
            <v>0</v>
          </cell>
        </row>
        <row r="648">
          <cell r="C648" t="e">
            <v>#N/A</v>
          </cell>
          <cell r="L648">
            <v>0</v>
          </cell>
        </row>
        <row r="649">
          <cell r="C649" t="e">
            <v>#N/A</v>
          </cell>
          <cell r="L649">
            <v>0</v>
          </cell>
        </row>
        <row r="650">
          <cell r="C650" t="e">
            <v>#N/A</v>
          </cell>
          <cell r="L650">
            <v>0</v>
          </cell>
        </row>
        <row r="651">
          <cell r="C651" t="e">
            <v>#N/A</v>
          </cell>
          <cell r="L651">
            <v>0</v>
          </cell>
        </row>
        <row r="652">
          <cell r="C652" t="e">
            <v>#N/A</v>
          </cell>
          <cell r="L652">
            <v>0</v>
          </cell>
        </row>
        <row r="653">
          <cell r="C653" t="e">
            <v>#N/A</v>
          </cell>
          <cell r="L653">
            <v>0</v>
          </cell>
        </row>
        <row r="654">
          <cell r="C654" t="e">
            <v>#N/A</v>
          </cell>
          <cell r="L654">
            <v>0</v>
          </cell>
        </row>
        <row r="655">
          <cell r="C655" t="e">
            <v>#N/A</v>
          </cell>
          <cell r="L655">
            <v>0</v>
          </cell>
        </row>
        <row r="656">
          <cell r="C656" t="e">
            <v>#N/A</v>
          </cell>
          <cell r="L656">
            <v>0</v>
          </cell>
        </row>
        <row r="657">
          <cell r="C657" t="e">
            <v>#N/A</v>
          </cell>
          <cell r="L657">
            <v>0</v>
          </cell>
        </row>
        <row r="658">
          <cell r="C658" t="e">
            <v>#N/A</v>
          </cell>
          <cell r="L658">
            <v>0</v>
          </cell>
        </row>
        <row r="659">
          <cell r="C659" t="e">
            <v>#N/A</v>
          </cell>
          <cell r="L659">
            <v>0</v>
          </cell>
        </row>
        <row r="660">
          <cell r="C660" t="e">
            <v>#N/A</v>
          </cell>
          <cell r="L660">
            <v>0</v>
          </cell>
        </row>
        <row r="661">
          <cell r="C661" t="e">
            <v>#N/A</v>
          </cell>
          <cell r="L661">
            <v>0</v>
          </cell>
        </row>
        <row r="662">
          <cell r="C662" t="e">
            <v>#N/A</v>
          </cell>
          <cell r="L662">
            <v>0</v>
          </cell>
        </row>
        <row r="663">
          <cell r="C663" t="e">
            <v>#N/A</v>
          </cell>
          <cell r="L663">
            <v>0</v>
          </cell>
        </row>
        <row r="664">
          <cell r="C664" t="e">
            <v>#N/A</v>
          </cell>
          <cell r="L664">
            <v>0</v>
          </cell>
        </row>
        <row r="665">
          <cell r="C665" t="e">
            <v>#N/A</v>
          </cell>
          <cell r="L665">
            <v>0</v>
          </cell>
        </row>
        <row r="666">
          <cell r="C666" t="e">
            <v>#N/A</v>
          </cell>
          <cell r="L666">
            <v>0</v>
          </cell>
        </row>
        <row r="667">
          <cell r="C667" t="e">
            <v>#N/A</v>
          </cell>
          <cell r="L667">
            <v>0</v>
          </cell>
        </row>
        <row r="668">
          <cell r="C668" t="e">
            <v>#N/A</v>
          </cell>
          <cell r="L668">
            <v>0</v>
          </cell>
        </row>
        <row r="669">
          <cell r="C669" t="e">
            <v>#N/A</v>
          </cell>
          <cell r="L669">
            <v>0</v>
          </cell>
        </row>
        <row r="670">
          <cell r="C670" t="e">
            <v>#N/A</v>
          </cell>
          <cell r="L670">
            <v>0</v>
          </cell>
        </row>
        <row r="671">
          <cell r="C671" t="e">
            <v>#N/A</v>
          </cell>
          <cell r="L671">
            <v>0</v>
          </cell>
        </row>
        <row r="672">
          <cell r="C672" t="e">
            <v>#N/A</v>
          </cell>
          <cell r="L672">
            <v>0</v>
          </cell>
        </row>
        <row r="673">
          <cell r="C673" t="e">
            <v>#N/A</v>
          </cell>
          <cell r="L673">
            <v>0</v>
          </cell>
        </row>
        <row r="674">
          <cell r="C674" t="e">
            <v>#N/A</v>
          </cell>
          <cell r="L674">
            <v>0</v>
          </cell>
        </row>
        <row r="675">
          <cell r="C675" t="e">
            <v>#N/A</v>
          </cell>
          <cell r="L675">
            <v>0</v>
          </cell>
        </row>
        <row r="676">
          <cell r="C676" t="e">
            <v>#N/A</v>
          </cell>
          <cell r="L676">
            <v>0</v>
          </cell>
        </row>
        <row r="677">
          <cell r="C677" t="e">
            <v>#N/A</v>
          </cell>
          <cell r="L677">
            <v>0</v>
          </cell>
        </row>
        <row r="678">
          <cell r="C678" t="e">
            <v>#N/A</v>
          </cell>
          <cell r="L678">
            <v>0</v>
          </cell>
        </row>
        <row r="679">
          <cell r="C679" t="e">
            <v>#N/A</v>
          </cell>
          <cell r="L679">
            <v>0</v>
          </cell>
        </row>
        <row r="680">
          <cell r="C680" t="e">
            <v>#N/A</v>
          </cell>
          <cell r="L680">
            <v>0</v>
          </cell>
        </row>
        <row r="681">
          <cell r="C681" t="e">
            <v>#N/A</v>
          </cell>
          <cell r="L681">
            <v>0</v>
          </cell>
        </row>
        <row r="682">
          <cell r="C682" t="e">
            <v>#N/A</v>
          </cell>
          <cell r="L682">
            <v>0</v>
          </cell>
        </row>
        <row r="683">
          <cell r="C683" t="e">
            <v>#N/A</v>
          </cell>
          <cell r="L683">
            <v>0</v>
          </cell>
        </row>
        <row r="684">
          <cell r="C684" t="e">
            <v>#N/A</v>
          </cell>
          <cell r="L684">
            <v>0</v>
          </cell>
        </row>
        <row r="685">
          <cell r="C685" t="e">
            <v>#N/A</v>
          </cell>
          <cell r="L685">
            <v>0</v>
          </cell>
        </row>
        <row r="686">
          <cell r="C686" t="e">
            <v>#N/A</v>
          </cell>
          <cell r="L686">
            <v>0</v>
          </cell>
        </row>
        <row r="687">
          <cell r="C687" t="e">
            <v>#N/A</v>
          </cell>
          <cell r="L687">
            <v>0</v>
          </cell>
        </row>
        <row r="688">
          <cell r="C688" t="e">
            <v>#N/A</v>
          </cell>
          <cell r="L688">
            <v>0</v>
          </cell>
        </row>
        <row r="689">
          <cell r="C689" t="e">
            <v>#N/A</v>
          </cell>
          <cell r="L689">
            <v>0</v>
          </cell>
        </row>
        <row r="690">
          <cell r="C690" t="e">
            <v>#N/A</v>
          </cell>
          <cell r="L690">
            <v>0</v>
          </cell>
        </row>
        <row r="691">
          <cell r="C691" t="e">
            <v>#N/A</v>
          </cell>
          <cell r="L691">
            <v>0</v>
          </cell>
        </row>
        <row r="692">
          <cell r="C692" t="e">
            <v>#N/A</v>
          </cell>
          <cell r="L692">
            <v>0</v>
          </cell>
        </row>
        <row r="693">
          <cell r="C693" t="e">
            <v>#N/A</v>
          </cell>
          <cell r="L693">
            <v>0</v>
          </cell>
        </row>
        <row r="694">
          <cell r="C694" t="e">
            <v>#N/A</v>
          </cell>
          <cell r="L694">
            <v>0</v>
          </cell>
        </row>
        <row r="695">
          <cell r="C695" t="e">
            <v>#N/A</v>
          </cell>
          <cell r="L695">
            <v>0</v>
          </cell>
        </row>
        <row r="696">
          <cell r="C696" t="e">
            <v>#N/A</v>
          </cell>
          <cell r="L696">
            <v>0</v>
          </cell>
        </row>
        <row r="697">
          <cell r="C697" t="e">
            <v>#N/A</v>
          </cell>
          <cell r="L697">
            <v>0</v>
          </cell>
        </row>
        <row r="698">
          <cell r="C698" t="e">
            <v>#N/A</v>
          </cell>
          <cell r="L698">
            <v>0</v>
          </cell>
        </row>
        <row r="699">
          <cell r="C699" t="e">
            <v>#N/A</v>
          </cell>
          <cell r="L699">
            <v>0</v>
          </cell>
        </row>
        <row r="700">
          <cell r="C700" t="e">
            <v>#N/A</v>
          </cell>
          <cell r="L700">
            <v>0</v>
          </cell>
        </row>
        <row r="701">
          <cell r="C701" t="e">
            <v>#N/A</v>
          </cell>
          <cell r="L701">
            <v>0</v>
          </cell>
        </row>
        <row r="702">
          <cell r="C702" t="e">
            <v>#N/A</v>
          </cell>
          <cell r="L702">
            <v>0</v>
          </cell>
        </row>
        <row r="703">
          <cell r="C703" t="e">
            <v>#N/A</v>
          </cell>
          <cell r="L703">
            <v>0</v>
          </cell>
        </row>
        <row r="704">
          <cell r="C704" t="e">
            <v>#N/A</v>
          </cell>
          <cell r="L704">
            <v>0</v>
          </cell>
        </row>
        <row r="705">
          <cell r="C705" t="e">
            <v>#N/A</v>
          </cell>
          <cell r="L705">
            <v>0</v>
          </cell>
        </row>
        <row r="706">
          <cell r="C706" t="e">
            <v>#N/A</v>
          </cell>
          <cell r="L706">
            <v>0</v>
          </cell>
        </row>
        <row r="707">
          <cell r="C707" t="e">
            <v>#N/A</v>
          </cell>
          <cell r="L707">
            <v>0</v>
          </cell>
        </row>
        <row r="708">
          <cell r="C708" t="e">
            <v>#N/A</v>
          </cell>
          <cell r="L708">
            <v>0</v>
          </cell>
        </row>
        <row r="709">
          <cell r="C709" t="e">
            <v>#N/A</v>
          </cell>
          <cell r="L709">
            <v>0</v>
          </cell>
        </row>
        <row r="710">
          <cell r="C710" t="e">
            <v>#N/A</v>
          </cell>
          <cell r="L710">
            <v>0</v>
          </cell>
        </row>
        <row r="711">
          <cell r="C711" t="e">
            <v>#N/A</v>
          </cell>
          <cell r="L711">
            <v>0</v>
          </cell>
        </row>
        <row r="712">
          <cell r="C712" t="e">
            <v>#N/A</v>
          </cell>
          <cell r="L712">
            <v>0</v>
          </cell>
        </row>
        <row r="713">
          <cell r="C713" t="e">
            <v>#N/A</v>
          </cell>
          <cell r="L713">
            <v>0</v>
          </cell>
        </row>
        <row r="714">
          <cell r="C714" t="e">
            <v>#N/A</v>
          </cell>
          <cell r="L714">
            <v>0</v>
          </cell>
        </row>
        <row r="715">
          <cell r="C715" t="e">
            <v>#N/A</v>
          </cell>
          <cell r="L715">
            <v>0</v>
          </cell>
        </row>
        <row r="716">
          <cell r="C716" t="e">
            <v>#N/A</v>
          </cell>
          <cell r="L716">
            <v>0</v>
          </cell>
        </row>
        <row r="717">
          <cell r="C717" t="e">
            <v>#N/A</v>
          </cell>
          <cell r="L717">
            <v>0</v>
          </cell>
        </row>
        <row r="718">
          <cell r="C718" t="e">
            <v>#N/A</v>
          </cell>
          <cell r="L718">
            <v>0</v>
          </cell>
        </row>
        <row r="719">
          <cell r="C719" t="e">
            <v>#N/A</v>
          </cell>
          <cell r="L719">
            <v>0</v>
          </cell>
        </row>
        <row r="720">
          <cell r="C720" t="e">
            <v>#N/A</v>
          </cell>
          <cell r="L720">
            <v>0</v>
          </cell>
        </row>
        <row r="721">
          <cell r="C721" t="e">
            <v>#N/A</v>
          </cell>
          <cell r="L721">
            <v>0</v>
          </cell>
        </row>
        <row r="722">
          <cell r="C722" t="e">
            <v>#N/A</v>
          </cell>
          <cell r="L722">
            <v>0</v>
          </cell>
        </row>
        <row r="723">
          <cell r="C723" t="e">
            <v>#N/A</v>
          </cell>
          <cell r="L723">
            <v>0</v>
          </cell>
        </row>
        <row r="724">
          <cell r="C724" t="e">
            <v>#N/A</v>
          </cell>
          <cell r="L724">
            <v>0</v>
          </cell>
        </row>
        <row r="725">
          <cell r="C725" t="e">
            <v>#N/A</v>
          </cell>
          <cell r="L725">
            <v>0</v>
          </cell>
        </row>
        <row r="726">
          <cell r="C726" t="e">
            <v>#N/A</v>
          </cell>
          <cell r="L726">
            <v>0</v>
          </cell>
        </row>
        <row r="727">
          <cell r="C727" t="e">
            <v>#N/A</v>
          </cell>
          <cell r="L727">
            <v>0</v>
          </cell>
        </row>
        <row r="728">
          <cell r="C728" t="e">
            <v>#N/A</v>
          </cell>
          <cell r="L728">
            <v>0</v>
          </cell>
        </row>
        <row r="729">
          <cell r="C729" t="e">
            <v>#N/A</v>
          </cell>
          <cell r="L729">
            <v>0</v>
          </cell>
        </row>
        <row r="730">
          <cell r="C730" t="e">
            <v>#N/A</v>
          </cell>
          <cell r="L730">
            <v>0</v>
          </cell>
        </row>
        <row r="731">
          <cell r="C731" t="e">
            <v>#N/A</v>
          </cell>
          <cell r="L731">
            <v>0</v>
          </cell>
        </row>
        <row r="732">
          <cell r="C732" t="e">
            <v>#N/A</v>
          </cell>
          <cell r="L732">
            <v>0</v>
          </cell>
        </row>
        <row r="733">
          <cell r="C733" t="e">
            <v>#N/A</v>
          </cell>
          <cell r="L733">
            <v>0</v>
          </cell>
        </row>
        <row r="734">
          <cell r="C734" t="e">
            <v>#N/A</v>
          </cell>
          <cell r="L734">
            <v>0</v>
          </cell>
        </row>
        <row r="735">
          <cell r="C735" t="e">
            <v>#N/A</v>
          </cell>
          <cell r="L735">
            <v>0</v>
          </cell>
        </row>
        <row r="736">
          <cell r="C736" t="e">
            <v>#N/A</v>
          </cell>
          <cell r="L736">
            <v>0</v>
          </cell>
        </row>
        <row r="737">
          <cell r="C737" t="e">
            <v>#N/A</v>
          </cell>
          <cell r="L737">
            <v>0</v>
          </cell>
        </row>
        <row r="738">
          <cell r="C738" t="e">
            <v>#N/A</v>
          </cell>
          <cell r="L738">
            <v>0</v>
          </cell>
        </row>
        <row r="739">
          <cell r="C739" t="e">
            <v>#N/A</v>
          </cell>
          <cell r="L739">
            <v>0</v>
          </cell>
        </row>
        <row r="740">
          <cell r="C740" t="e">
            <v>#N/A</v>
          </cell>
          <cell r="L740">
            <v>0</v>
          </cell>
        </row>
        <row r="741">
          <cell r="C741" t="e">
            <v>#N/A</v>
          </cell>
          <cell r="L741">
            <v>0</v>
          </cell>
        </row>
        <row r="742">
          <cell r="C742" t="e">
            <v>#N/A</v>
          </cell>
          <cell r="L742">
            <v>0</v>
          </cell>
        </row>
        <row r="743">
          <cell r="C743" t="e">
            <v>#N/A</v>
          </cell>
          <cell r="L743">
            <v>0</v>
          </cell>
        </row>
        <row r="744">
          <cell r="C744" t="e">
            <v>#N/A</v>
          </cell>
          <cell r="L744">
            <v>0</v>
          </cell>
        </row>
        <row r="745">
          <cell r="C745" t="e">
            <v>#N/A</v>
          </cell>
          <cell r="L745">
            <v>0</v>
          </cell>
        </row>
        <row r="746">
          <cell r="C746" t="e">
            <v>#N/A</v>
          </cell>
          <cell r="L746">
            <v>0</v>
          </cell>
        </row>
        <row r="747">
          <cell r="C747" t="e">
            <v>#N/A</v>
          </cell>
          <cell r="L747">
            <v>0</v>
          </cell>
        </row>
        <row r="748">
          <cell r="C748" t="e">
            <v>#N/A</v>
          </cell>
          <cell r="L748">
            <v>0</v>
          </cell>
        </row>
        <row r="749">
          <cell r="C749" t="e">
            <v>#N/A</v>
          </cell>
          <cell r="L749">
            <v>0</v>
          </cell>
        </row>
        <row r="750">
          <cell r="C750" t="e">
            <v>#N/A</v>
          </cell>
          <cell r="L750">
            <v>0</v>
          </cell>
        </row>
        <row r="751">
          <cell r="C751" t="e">
            <v>#N/A</v>
          </cell>
          <cell r="L751">
            <v>0</v>
          </cell>
        </row>
        <row r="752">
          <cell r="C752" t="e">
            <v>#N/A</v>
          </cell>
          <cell r="L752">
            <v>0</v>
          </cell>
        </row>
        <row r="753">
          <cell r="C753" t="e">
            <v>#N/A</v>
          </cell>
          <cell r="L753">
            <v>0</v>
          </cell>
        </row>
        <row r="754">
          <cell r="C754" t="e">
            <v>#N/A</v>
          </cell>
          <cell r="L754">
            <v>0</v>
          </cell>
        </row>
        <row r="755">
          <cell r="C755" t="e">
            <v>#N/A</v>
          </cell>
          <cell r="L755">
            <v>0</v>
          </cell>
        </row>
        <row r="756">
          <cell r="C756" t="e">
            <v>#N/A</v>
          </cell>
          <cell r="L756">
            <v>0</v>
          </cell>
        </row>
        <row r="757">
          <cell r="C757" t="e">
            <v>#N/A</v>
          </cell>
          <cell r="L757">
            <v>0</v>
          </cell>
        </row>
        <row r="758">
          <cell r="C758" t="e">
            <v>#N/A</v>
          </cell>
          <cell r="L758">
            <v>0</v>
          </cell>
        </row>
        <row r="759">
          <cell r="C759" t="e">
            <v>#N/A</v>
          </cell>
          <cell r="L759">
            <v>0</v>
          </cell>
        </row>
        <row r="760">
          <cell r="C760" t="e">
            <v>#N/A</v>
          </cell>
          <cell r="L760">
            <v>0</v>
          </cell>
        </row>
        <row r="761">
          <cell r="C761" t="e">
            <v>#N/A</v>
          </cell>
          <cell r="L761">
            <v>0</v>
          </cell>
        </row>
        <row r="762">
          <cell r="C762" t="e">
            <v>#N/A</v>
          </cell>
          <cell r="L762">
            <v>0</v>
          </cell>
        </row>
        <row r="763">
          <cell r="C763" t="e">
            <v>#N/A</v>
          </cell>
          <cell r="L763">
            <v>0</v>
          </cell>
        </row>
        <row r="764">
          <cell r="C764" t="e">
            <v>#N/A</v>
          </cell>
          <cell r="L764">
            <v>0</v>
          </cell>
        </row>
        <row r="765">
          <cell r="C765" t="e">
            <v>#N/A</v>
          </cell>
          <cell r="L765">
            <v>0</v>
          </cell>
        </row>
        <row r="766">
          <cell r="C766" t="e">
            <v>#N/A</v>
          </cell>
          <cell r="L766">
            <v>0</v>
          </cell>
        </row>
        <row r="767">
          <cell r="C767" t="e">
            <v>#N/A</v>
          </cell>
          <cell r="L767">
            <v>0</v>
          </cell>
        </row>
        <row r="768">
          <cell r="C768" t="e">
            <v>#N/A</v>
          </cell>
          <cell r="L768">
            <v>0</v>
          </cell>
        </row>
        <row r="769">
          <cell r="C769" t="e">
            <v>#N/A</v>
          </cell>
          <cell r="L769">
            <v>0</v>
          </cell>
        </row>
        <row r="770">
          <cell r="C770" t="e">
            <v>#N/A</v>
          </cell>
          <cell r="L770">
            <v>0</v>
          </cell>
        </row>
        <row r="771">
          <cell r="C771" t="e">
            <v>#N/A</v>
          </cell>
          <cell r="L771">
            <v>0</v>
          </cell>
        </row>
        <row r="772">
          <cell r="C772" t="e">
            <v>#N/A</v>
          </cell>
          <cell r="L772">
            <v>0</v>
          </cell>
        </row>
        <row r="773">
          <cell r="C773" t="e">
            <v>#N/A</v>
          </cell>
          <cell r="L773">
            <v>0</v>
          </cell>
        </row>
        <row r="774">
          <cell r="C774" t="e">
            <v>#N/A</v>
          </cell>
          <cell r="L774">
            <v>0</v>
          </cell>
        </row>
        <row r="775">
          <cell r="C775" t="e">
            <v>#N/A</v>
          </cell>
          <cell r="L775">
            <v>0</v>
          </cell>
        </row>
        <row r="776">
          <cell r="C776" t="e">
            <v>#N/A</v>
          </cell>
          <cell r="L776">
            <v>0</v>
          </cell>
        </row>
        <row r="777">
          <cell r="C777" t="e">
            <v>#N/A</v>
          </cell>
          <cell r="L777">
            <v>0</v>
          </cell>
        </row>
        <row r="778">
          <cell r="C778" t="e">
            <v>#N/A</v>
          </cell>
          <cell r="L778">
            <v>0</v>
          </cell>
        </row>
        <row r="779">
          <cell r="C779" t="e">
            <v>#N/A</v>
          </cell>
          <cell r="L779">
            <v>0</v>
          </cell>
        </row>
        <row r="780">
          <cell r="C780" t="e">
            <v>#N/A</v>
          </cell>
          <cell r="L780">
            <v>0</v>
          </cell>
        </row>
        <row r="781">
          <cell r="C781" t="e">
            <v>#N/A</v>
          </cell>
          <cell r="L781">
            <v>0</v>
          </cell>
        </row>
        <row r="782">
          <cell r="C782" t="e">
            <v>#N/A</v>
          </cell>
          <cell r="L782">
            <v>0</v>
          </cell>
        </row>
        <row r="783">
          <cell r="C783" t="e">
            <v>#N/A</v>
          </cell>
          <cell r="L783">
            <v>0</v>
          </cell>
        </row>
        <row r="784">
          <cell r="C784" t="e">
            <v>#N/A</v>
          </cell>
          <cell r="L784">
            <v>0</v>
          </cell>
        </row>
        <row r="785">
          <cell r="C785" t="e">
            <v>#N/A</v>
          </cell>
          <cell r="L785">
            <v>0</v>
          </cell>
        </row>
        <row r="786">
          <cell r="C786" t="e">
            <v>#N/A</v>
          </cell>
          <cell r="L786">
            <v>0</v>
          </cell>
        </row>
        <row r="787">
          <cell r="C787" t="e">
            <v>#N/A</v>
          </cell>
          <cell r="L787">
            <v>0</v>
          </cell>
        </row>
        <row r="788">
          <cell r="C788" t="e">
            <v>#N/A</v>
          </cell>
          <cell r="L788">
            <v>0</v>
          </cell>
        </row>
        <row r="789">
          <cell r="C789" t="e">
            <v>#N/A</v>
          </cell>
          <cell r="L789">
            <v>0</v>
          </cell>
        </row>
        <row r="790">
          <cell r="C790" t="e">
            <v>#N/A</v>
          </cell>
          <cell r="L790">
            <v>0</v>
          </cell>
        </row>
        <row r="791">
          <cell r="C791" t="e">
            <v>#N/A</v>
          </cell>
          <cell r="L791">
            <v>0</v>
          </cell>
        </row>
        <row r="792">
          <cell r="C792" t="e">
            <v>#N/A</v>
          </cell>
          <cell r="L792">
            <v>0</v>
          </cell>
        </row>
        <row r="793">
          <cell r="C793" t="e">
            <v>#N/A</v>
          </cell>
          <cell r="L793">
            <v>0</v>
          </cell>
        </row>
        <row r="794">
          <cell r="C794" t="e">
            <v>#N/A</v>
          </cell>
          <cell r="L794">
            <v>0</v>
          </cell>
        </row>
        <row r="795">
          <cell r="C795" t="e">
            <v>#N/A</v>
          </cell>
          <cell r="L795">
            <v>0</v>
          </cell>
        </row>
        <row r="796">
          <cell r="C796" t="e">
            <v>#N/A</v>
          </cell>
          <cell r="L796">
            <v>0</v>
          </cell>
        </row>
        <row r="797">
          <cell r="C797" t="e">
            <v>#N/A</v>
          </cell>
          <cell r="L797">
            <v>0</v>
          </cell>
        </row>
        <row r="798">
          <cell r="C798" t="e">
            <v>#N/A</v>
          </cell>
          <cell r="L798">
            <v>0</v>
          </cell>
        </row>
        <row r="799">
          <cell r="C799" t="e">
            <v>#N/A</v>
          </cell>
          <cell r="L799">
            <v>0</v>
          </cell>
        </row>
        <row r="800">
          <cell r="C800" t="e">
            <v>#N/A</v>
          </cell>
          <cell r="L800">
            <v>0</v>
          </cell>
        </row>
        <row r="801">
          <cell r="C801" t="e">
            <v>#N/A</v>
          </cell>
          <cell r="L801">
            <v>0</v>
          </cell>
        </row>
        <row r="802">
          <cell r="C802" t="e">
            <v>#N/A</v>
          </cell>
          <cell r="L802">
            <v>0</v>
          </cell>
        </row>
        <row r="803">
          <cell r="C803" t="e">
            <v>#N/A</v>
          </cell>
          <cell r="L803">
            <v>0</v>
          </cell>
        </row>
        <row r="804">
          <cell r="C804" t="e">
            <v>#N/A</v>
          </cell>
          <cell r="L804">
            <v>0</v>
          </cell>
        </row>
        <row r="805">
          <cell r="C805" t="e">
            <v>#N/A</v>
          </cell>
          <cell r="L805">
            <v>0</v>
          </cell>
        </row>
        <row r="806">
          <cell r="C806" t="e">
            <v>#N/A</v>
          </cell>
          <cell r="L806">
            <v>0</v>
          </cell>
        </row>
        <row r="807">
          <cell r="C807" t="e">
            <v>#N/A</v>
          </cell>
          <cell r="L807">
            <v>0</v>
          </cell>
        </row>
        <row r="808">
          <cell r="C808" t="e">
            <v>#N/A</v>
          </cell>
          <cell r="L808">
            <v>0</v>
          </cell>
        </row>
        <row r="809">
          <cell r="C809" t="e">
            <v>#N/A</v>
          </cell>
          <cell r="L809">
            <v>0</v>
          </cell>
        </row>
        <row r="810">
          <cell r="C810" t="e">
            <v>#N/A</v>
          </cell>
          <cell r="L810">
            <v>0</v>
          </cell>
        </row>
        <row r="811">
          <cell r="C811" t="e">
            <v>#N/A</v>
          </cell>
          <cell r="L811">
            <v>0</v>
          </cell>
        </row>
        <row r="812">
          <cell r="C812" t="e">
            <v>#N/A</v>
          </cell>
          <cell r="L812">
            <v>0</v>
          </cell>
        </row>
        <row r="813">
          <cell r="C813" t="e">
            <v>#N/A</v>
          </cell>
          <cell r="L813">
            <v>0</v>
          </cell>
        </row>
        <row r="814">
          <cell r="C814" t="e">
            <v>#N/A</v>
          </cell>
          <cell r="L814">
            <v>0</v>
          </cell>
        </row>
        <row r="815">
          <cell r="C815" t="e">
            <v>#N/A</v>
          </cell>
          <cell r="L815">
            <v>0</v>
          </cell>
        </row>
        <row r="816">
          <cell r="C816" t="e">
            <v>#N/A</v>
          </cell>
          <cell r="L816">
            <v>0</v>
          </cell>
        </row>
        <row r="817">
          <cell r="C817" t="e">
            <v>#N/A</v>
          </cell>
          <cell r="L817">
            <v>0</v>
          </cell>
        </row>
        <row r="818">
          <cell r="C818" t="e">
            <v>#N/A</v>
          </cell>
          <cell r="L818">
            <v>0</v>
          </cell>
        </row>
        <row r="819">
          <cell r="C819" t="e">
            <v>#N/A</v>
          </cell>
          <cell r="L819">
            <v>0</v>
          </cell>
        </row>
        <row r="820">
          <cell r="C820" t="e">
            <v>#N/A</v>
          </cell>
          <cell r="L820">
            <v>0</v>
          </cell>
        </row>
        <row r="821">
          <cell r="C821" t="e">
            <v>#N/A</v>
          </cell>
          <cell r="L821">
            <v>0</v>
          </cell>
        </row>
        <row r="822">
          <cell r="C822" t="e">
            <v>#N/A</v>
          </cell>
          <cell r="L822">
            <v>0</v>
          </cell>
        </row>
        <row r="823">
          <cell r="C823" t="e">
            <v>#N/A</v>
          </cell>
          <cell r="L823">
            <v>0</v>
          </cell>
        </row>
        <row r="824">
          <cell r="C824" t="e">
            <v>#N/A</v>
          </cell>
          <cell r="L824">
            <v>0</v>
          </cell>
        </row>
        <row r="825">
          <cell r="C825" t="e">
            <v>#N/A</v>
          </cell>
          <cell r="L825">
            <v>0</v>
          </cell>
        </row>
        <row r="826">
          <cell r="C826" t="e">
            <v>#N/A</v>
          </cell>
          <cell r="L826">
            <v>0</v>
          </cell>
        </row>
        <row r="827">
          <cell r="C827" t="e">
            <v>#N/A</v>
          </cell>
          <cell r="L827">
            <v>0</v>
          </cell>
        </row>
        <row r="828">
          <cell r="C828" t="e">
            <v>#N/A</v>
          </cell>
          <cell r="L828">
            <v>0</v>
          </cell>
        </row>
        <row r="829">
          <cell r="C829" t="e">
            <v>#N/A</v>
          </cell>
          <cell r="L829">
            <v>0</v>
          </cell>
        </row>
        <row r="830">
          <cell r="C830" t="e">
            <v>#N/A</v>
          </cell>
          <cell r="L830">
            <v>0</v>
          </cell>
        </row>
        <row r="831">
          <cell r="C831" t="e">
            <v>#N/A</v>
          </cell>
          <cell r="L831">
            <v>0</v>
          </cell>
        </row>
        <row r="832">
          <cell r="C832" t="e">
            <v>#N/A</v>
          </cell>
          <cell r="L832">
            <v>0</v>
          </cell>
        </row>
        <row r="833">
          <cell r="C833" t="e">
            <v>#N/A</v>
          </cell>
          <cell r="L833">
            <v>0</v>
          </cell>
        </row>
        <row r="834">
          <cell r="C834" t="e">
            <v>#N/A</v>
          </cell>
          <cell r="L834">
            <v>0</v>
          </cell>
        </row>
        <row r="835">
          <cell r="C835" t="e">
            <v>#N/A</v>
          </cell>
          <cell r="L835">
            <v>0</v>
          </cell>
        </row>
        <row r="836">
          <cell r="C836" t="e">
            <v>#N/A</v>
          </cell>
          <cell r="L836">
            <v>0</v>
          </cell>
        </row>
        <row r="837">
          <cell r="C837" t="e">
            <v>#N/A</v>
          </cell>
          <cell r="L837">
            <v>0</v>
          </cell>
        </row>
        <row r="838">
          <cell r="C838" t="e">
            <v>#N/A</v>
          </cell>
          <cell r="L838">
            <v>0</v>
          </cell>
        </row>
        <row r="839">
          <cell r="C839" t="e">
            <v>#N/A</v>
          </cell>
          <cell r="L839">
            <v>0</v>
          </cell>
        </row>
        <row r="840">
          <cell r="C840" t="e">
            <v>#N/A</v>
          </cell>
          <cell r="L840">
            <v>0</v>
          </cell>
        </row>
        <row r="841">
          <cell r="C841" t="e">
            <v>#N/A</v>
          </cell>
          <cell r="L841">
            <v>0</v>
          </cell>
        </row>
        <row r="842">
          <cell r="C842" t="e">
            <v>#N/A</v>
          </cell>
          <cell r="L842">
            <v>0</v>
          </cell>
        </row>
        <row r="843">
          <cell r="C843" t="e">
            <v>#N/A</v>
          </cell>
          <cell r="L843">
            <v>0</v>
          </cell>
        </row>
        <row r="844">
          <cell r="C844" t="e">
            <v>#N/A</v>
          </cell>
          <cell r="L844">
            <v>0</v>
          </cell>
        </row>
        <row r="845">
          <cell r="C845" t="e">
            <v>#N/A</v>
          </cell>
          <cell r="L845">
            <v>0</v>
          </cell>
        </row>
        <row r="846">
          <cell r="C846" t="e">
            <v>#N/A</v>
          </cell>
          <cell r="L846">
            <v>0</v>
          </cell>
        </row>
        <row r="847">
          <cell r="C847" t="e">
            <v>#N/A</v>
          </cell>
          <cell r="L847">
            <v>0</v>
          </cell>
        </row>
        <row r="848">
          <cell r="C848" t="e">
            <v>#N/A</v>
          </cell>
          <cell r="L848">
            <v>0</v>
          </cell>
        </row>
        <row r="849">
          <cell r="C849" t="e">
            <v>#N/A</v>
          </cell>
          <cell r="L849">
            <v>0</v>
          </cell>
        </row>
        <row r="850">
          <cell r="C850" t="e">
            <v>#N/A</v>
          </cell>
          <cell r="L850">
            <v>0</v>
          </cell>
        </row>
        <row r="851">
          <cell r="C851" t="e">
            <v>#N/A</v>
          </cell>
          <cell r="L851">
            <v>0</v>
          </cell>
        </row>
        <row r="852">
          <cell r="C852" t="e">
            <v>#N/A</v>
          </cell>
          <cell r="L852">
            <v>0</v>
          </cell>
        </row>
        <row r="853">
          <cell r="C853" t="e">
            <v>#N/A</v>
          </cell>
          <cell r="L853">
            <v>0</v>
          </cell>
        </row>
        <row r="854">
          <cell r="C854" t="e">
            <v>#N/A</v>
          </cell>
          <cell r="L854">
            <v>0</v>
          </cell>
        </row>
        <row r="855">
          <cell r="C855" t="e">
            <v>#N/A</v>
          </cell>
          <cell r="L855">
            <v>0</v>
          </cell>
        </row>
        <row r="856">
          <cell r="C856" t="e">
            <v>#N/A</v>
          </cell>
          <cell r="L856">
            <v>0</v>
          </cell>
        </row>
        <row r="857">
          <cell r="C857" t="e">
            <v>#N/A</v>
          </cell>
          <cell r="L857">
            <v>0</v>
          </cell>
        </row>
        <row r="858">
          <cell r="C858" t="e">
            <v>#N/A</v>
          </cell>
          <cell r="L858">
            <v>0</v>
          </cell>
        </row>
        <row r="859">
          <cell r="C859" t="e">
            <v>#N/A</v>
          </cell>
          <cell r="L859">
            <v>0</v>
          </cell>
        </row>
        <row r="860">
          <cell r="C860" t="e">
            <v>#N/A</v>
          </cell>
          <cell r="L860">
            <v>0</v>
          </cell>
        </row>
        <row r="861">
          <cell r="C861" t="e">
            <v>#N/A</v>
          </cell>
          <cell r="L861">
            <v>0</v>
          </cell>
        </row>
        <row r="862">
          <cell r="C862" t="e">
            <v>#N/A</v>
          </cell>
          <cell r="L862">
            <v>0</v>
          </cell>
        </row>
        <row r="863">
          <cell r="C863" t="e">
            <v>#N/A</v>
          </cell>
          <cell r="L863">
            <v>0</v>
          </cell>
        </row>
        <row r="864">
          <cell r="C864" t="e">
            <v>#N/A</v>
          </cell>
          <cell r="L864">
            <v>0</v>
          </cell>
        </row>
        <row r="865">
          <cell r="C865" t="e">
            <v>#N/A</v>
          </cell>
          <cell r="L865">
            <v>0</v>
          </cell>
        </row>
        <row r="866">
          <cell r="C866" t="e">
            <v>#N/A</v>
          </cell>
          <cell r="L866">
            <v>0</v>
          </cell>
        </row>
        <row r="867">
          <cell r="C867" t="e">
            <v>#N/A</v>
          </cell>
          <cell r="L867">
            <v>0</v>
          </cell>
        </row>
        <row r="868">
          <cell r="C868" t="e">
            <v>#N/A</v>
          </cell>
          <cell r="L868">
            <v>0</v>
          </cell>
        </row>
        <row r="869">
          <cell r="C869" t="e">
            <v>#N/A</v>
          </cell>
          <cell r="L869">
            <v>0</v>
          </cell>
        </row>
        <row r="870">
          <cell r="C870" t="e">
            <v>#N/A</v>
          </cell>
          <cell r="L870">
            <v>0</v>
          </cell>
        </row>
        <row r="871">
          <cell r="C871" t="e">
            <v>#N/A</v>
          </cell>
          <cell r="L871">
            <v>0</v>
          </cell>
        </row>
        <row r="872">
          <cell r="C872" t="e">
            <v>#N/A</v>
          </cell>
          <cell r="L872">
            <v>0</v>
          </cell>
        </row>
        <row r="873">
          <cell r="C873" t="e">
            <v>#N/A</v>
          </cell>
          <cell r="L873">
            <v>0</v>
          </cell>
        </row>
        <row r="874">
          <cell r="C874" t="e">
            <v>#N/A</v>
          </cell>
          <cell r="L874">
            <v>0</v>
          </cell>
        </row>
        <row r="875">
          <cell r="C875" t="e">
            <v>#N/A</v>
          </cell>
          <cell r="L875">
            <v>0</v>
          </cell>
        </row>
        <row r="876">
          <cell r="C876" t="e">
            <v>#N/A</v>
          </cell>
          <cell r="L876">
            <v>0</v>
          </cell>
        </row>
        <row r="877">
          <cell r="C877" t="e">
            <v>#N/A</v>
          </cell>
          <cell r="L877">
            <v>0</v>
          </cell>
        </row>
        <row r="878">
          <cell r="C878" t="e">
            <v>#N/A</v>
          </cell>
          <cell r="L878">
            <v>0</v>
          </cell>
        </row>
        <row r="879">
          <cell r="C879" t="e">
            <v>#N/A</v>
          </cell>
          <cell r="L879">
            <v>0</v>
          </cell>
        </row>
        <row r="880">
          <cell r="C880" t="e">
            <v>#N/A</v>
          </cell>
          <cell r="L880">
            <v>0</v>
          </cell>
        </row>
        <row r="881">
          <cell r="C881" t="e">
            <v>#N/A</v>
          </cell>
          <cell r="L881">
            <v>0</v>
          </cell>
        </row>
        <row r="882">
          <cell r="C882" t="e">
            <v>#N/A</v>
          </cell>
          <cell r="L882">
            <v>0</v>
          </cell>
        </row>
        <row r="883">
          <cell r="C883" t="e">
            <v>#N/A</v>
          </cell>
          <cell r="L883">
            <v>0</v>
          </cell>
        </row>
        <row r="884">
          <cell r="C884" t="e">
            <v>#N/A</v>
          </cell>
          <cell r="L884">
            <v>0</v>
          </cell>
        </row>
        <row r="885">
          <cell r="C885" t="e">
            <v>#N/A</v>
          </cell>
          <cell r="L885">
            <v>0</v>
          </cell>
        </row>
        <row r="886">
          <cell r="C886" t="e">
            <v>#N/A</v>
          </cell>
          <cell r="L886">
            <v>0</v>
          </cell>
        </row>
        <row r="887">
          <cell r="C887" t="e">
            <v>#N/A</v>
          </cell>
          <cell r="L887">
            <v>0</v>
          </cell>
        </row>
        <row r="888">
          <cell r="C888" t="e">
            <v>#N/A</v>
          </cell>
          <cell r="L888">
            <v>0</v>
          </cell>
        </row>
        <row r="889">
          <cell r="C889" t="e">
            <v>#N/A</v>
          </cell>
          <cell r="L889">
            <v>0</v>
          </cell>
        </row>
        <row r="890">
          <cell r="C890" t="e">
            <v>#N/A</v>
          </cell>
          <cell r="L890">
            <v>0</v>
          </cell>
        </row>
        <row r="891">
          <cell r="C891" t="e">
            <v>#N/A</v>
          </cell>
          <cell r="L891">
            <v>0</v>
          </cell>
        </row>
        <row r="892">
          <cell r="C892" t="e">
            <v>#N/A</v>
          </cell>
          <cell r="L892">
            <v>0</v>
          </cell>
        </row>
        <row r="893">
          <cell r="C893" t="e">
            <v>#N/A</v>
          </cell>
          <cell r="L893">
            <v>0</v>
          </cell>
        </row>
        <row r="894">
          <cell r="C894" t="e">
            <v>#N/A</v>
          </cell>
          <cell r="L894">
            <v>0</v>
          </cell>
        </row>
        <row r="895">
          <cell r="C895" t="e">
            <v>#N/A</v>
          </cell>
          <cell r="L895">
            <v>0</v>
          </cell>
        </row>
        <row r="896">
          <cell r="C896" t="e">
            <v>#N/A</v>
          </cell>
          <cell r="L896">
            <v>0</v>
          </cell>
        </row>
        <row r="897">
          <cell r="C897" t="e">
            <v>#N/A</v>
          </cell>
          <cell r="L897">
            <v>0</v>
          </cell>
        </row>
        <row r="898">
          <cell r="C898" t="e">
            <v>#N/A</v>
          </cell>
          <cell r="L898">
            <v>0</v>
          </cell>
        </row>
        <row r="899">
          <cell r="C899" t="e">
            <v>#N/A</v>
          </cell>
          <cell r="L899">
            <v>0</v>
          </cell>
        </row>
        <row r="900">
          <cell r="C900" t="e">
            <v>#N/A</v>
          </cell>
          <cell r="L900">
            <v>0</v>
          </cell>
        </row>
        <row r="901">
          <cell r="C901" t="e">
            <v>#N/A</v>
          </cell>
          <cell r="L901">
            <v>0</v>
          </cell>
        </row>
        <row r="902">
          <cell r="C902" t="e">
            <v>#N/A</v>
          </cell>
          <cell r="L902">
            <v>0</v>
          </cell>
        </row>
        <row r="903">
          <cell r="C903" t="e">
            <v>#N/A</v>
          </cell>
          <cell r="L903">
            <v>0</v>
          </cell>
        </row>
        <row r="904">
          <cell r="C904" t="e">
            <v>#N/A</v>
          </cell>
          <cell r="L904">
            <v>0</v>
          </cell>
        </row>
        <row r="905">
          <cell r="C905" t="e">
            <v>#N/A</v>
          </cell>
          <cell r="L905">
            <v>0</v>
          </cell>
        </row>
        <row r="906">
          <cell r="C906" t="e">
            <v>#N/A</v>
          </cell>
          <cell r="L906">
            <v>0</v>
          </cell>
        </row>
        <row r="907">
          <cell r="C907" t="e">
            <v>#N/A</v>
          </cell>
          <cell r="L907">
            <v>0</v>
          </cell>
        </row>
        <row r="908">
          <cell r="C908" t="e">
            <v>#N/A</v>
          </cell>
          <cell r="L908">
            <v>0</v>
          </cell>
        </row>
        <row r="909">
          <cell r="C909" t="e">
            <v>#N/A</v>
          </cell>
          <cell r="L909">
            <v>0</v>
          </cell>
        </row>
        <row r="910">
          <cell r="C910" t="e">
            <v>#N/A</v>
          </cell>
          <cell r="L910">
            <v>0</v>
          </cell>
        </row>
        <row r="911">
          <cell r="C911" t="e">
            <v>#N/A</v>
          </cell>
          <cell r="L911">
            <v>0</v>
          </cell>
        </row>
        <row r="912">
          <cell r="C912" t="e">
            <v>#N/A</v>
          </cell>
          <cell r="L912">
            <v>0</v>
          </cell>
        </row>
        <row r="913">
          <cell r="C913" t="e">
            <v>#N/A</v>
          </cell>
          <cell r="L913">
            <v>0</v>
          </cell>
        </row>
        <row r="914">
          <cell r="C914" t="e">
            <v>#N/A</v>
          </cell>
          <cell r="L914">
            <v>0</v>
          </cell>
        </row>
        <row r="915">
          <cell r="C915" t="e">
            <v>#N/A</v>
          </cell>
          <cell r="L915">
            <v>0</v>
          </cell>
        </row>
        <row r="916">
          <cell r="C916" t="e">
            <v>#N/A</v>
          </cell>
          <cell r="L916">
            <v>0</v>
          </cell>
        </row>
        <row r="917">
          <cell r="C917" t="e">
            <v>#N/A</v>
          </cell>
          <cell r="L917">
            <v>0</v>
          </cell>
        </row>
        <row r="918">
          <cell r="C918" t="e">
            <v>#N/A</v>
          </cell>
          <cell r="L918">
            <v>0</v>
          </cell>
        </row>
        <row r="919">
          <cell r="C919" t="e">
            <v>#N/A</v>
          </cell>
          <cell r="L919">
            <v>0</v>
          </cell>
        </row>
        <row r="920">
          <cell r="C920" t="e">
            <v>#N/A</v>
          </cell>
          <cell r="L920">
            <v>0</v>
          </cell>
        </row>
        <row r="921">
          <cell r="C921" t="e">
            <v>#N/A</v>
          </cell>
          <cell r="L921">
            <v>0</v>
          </cell>
        </row>
        <row r="922">
          <cell r="C922" t="e">
            <v>#N/A</v>
          </cell>
          <cell r="L922">
            <v>0</v>
          </cell>
        </row>
        <row r="923">
          <cell r="C923" t="e">
            <v>#N/A</v>
          </cell>
          <cell r="L923">
            <v>0</v>
          </cell>
        </row>
        <row r="924">
          <cell r="C924" t="e">
            <v>#N/A</v>
          </cell>
          <cell r="L924">
            <v>0</v>
          </cell>
        </row>
        <row r="925">
          <cell r="C925" t="e">
            <v>#N/A</v>
          </cell>
          <cell r="L925">
            <v>0</v>
          </cell>
        </row>
        <row r="926">
          <cell r="C926" t="e">
            <v>#N/A</v>
          </cell>
          <cell r="L926">
            <v>0</v>
          </cell>
        </row>
        <row r="927">
          <cell r="C927" t="e">
            <v>#N/A</v>
          </cell>
          <cell r="L927">
            <v>0</v>
          </cell>
        </row>
        <row r="928">
          <cell r="C928" t="e">
            <v>#N/A</v>
          </cell>
          <cell r="L928">
            <v>0</v>
          </cell>
        </row>
        <row r="929">
          <cell r="C929" t="e">
            <v>#N/A</v>
          </cell>
          <cell r="L929">
            <v>0</v>
          </cell>
        </row>
        <row r="930">
          <cell r="C930" t="e">
            <v>#N/A</v>
          </cell>
          <cell r="L930">
            <v>0</v>
          </cell>
        </row>
        <row r="931">
          <cell r="C931" t="e">
            <v>#N/A</v>
          </cell>
          <cell r="L931">
            <v>0</v>
          </cell>
        </row>
        <row r="932">
          <cell r="C932" t="e">
            <v>#N/A</v>
          </cell>
          <cell r="L932">
            <v>0</v>
          </cell>
        </row>
        <row r="933">
          <cell r="C933" t="e">
            <v>#N/A</v>
          </cell>
          <cell r="L933">
            <v>0</v>
          </cell>
        </row>
        <row r="934">
          <cell r="C934" t="e">
            <v>#N/A</v>
          </cell>
          <cell r="L934">
            <v>0</v>
          </cell>
        </row>
        <row r="935">
          <cell r="C935" t="e">
            <v>#N/A</v>
          </cell>
          <cell r="L935">
            <v>0</v>
          </cell>
        </row>
        <row r="936">
          <cell r="C936" t="e">
            <v>#N/A</v>
          </cell>
          <cell r="L936">
            <v>0</v>
          </cell>
        </row>
        <row r="937">
          <cell r="C937" t="e">
            <v>#N/A</v>
          </cell>
          <cell r="L937">
            <v>0</v>
          </cell>
        </row>
        <row r="938">
          <cell r="C938" t="e">
            <v>#N/A</v>
          </cell>
          <cell r="L938">
            <v>0</v>
          </cell>
        </row>
        <row r="939">
          <cell r="C939" t="e">
            <v>#N/A</v>
          </cell>
          <cell r="L939">
            <v>0</v>
          </cell>
        </row>
        <row r="940">
          <cell r="C940" t="e">
            <v>#N/A</v>
          </cell>
          <cell r="L940">
            <v>0</v>
          </cell>
        </row>
        <row r="941">
          <cell r="C941" t="e">
            <v>#N/A</v>
          </cell>
          <cell r="L941">
            <v>0</v>
          </cell>
        </row>
        <row r="942">
          <cell r="C942" t="e">
            <v>#N/A</v>
          </cell>
          <cell r="L942">
            <v>0</v>
          </cell>
        </row>
        <row r="943">
          <cell r="C943" t="e">
            <v>#N/A</v>
          </cell>
          <cell r="L943">
            <v>0</v>
          </cell>
        </row>
        <row r="944">
          <cell r="C944" t="e">
            <v>#N/A</v>
          </cell>
          <cell r="L944">
            <v>0</v>
          </cell>
        </row>
        <row r="945">
          <cell r="C945" t="e">
            <v>#N/A</v>
          </cell>
          <cell r="L945">
            <v>0</v>
          </cell>
        </row>
        <row r="946">
          <cell r="C946" t="e">
            <v>#N/A</v>
          </cell>
          <cell r="L946">
            <v>0</v>
          </cell>
        </row>
        <row r="947">
          <cell r="C947" t="e">
            <v>#N/A</v>
          </cell>
          <cell r="L947">
            <v>0</v>
          </cell>
        </row>
        <row r="948">
          <cell r="C948" t="e">
            <v>#N/A</v>
          </cell>
          <cell r="L948">
            <v>0</v>
          </cell>
        </row>
        <row r="949">
          <cell r="C949" t="e">
            <v>#N/A</v>
          </cell>
          <cell r="L949">
            <v>0</v>
          </cell>
        </row>
        <row r="950">
          <cell r="C950" t="e">
            <v>#N/A</v>
          </cell>
          <cell r="L950">
            <v>0</v>
          </cell>
        </row>
        <row r="951">
          <cell r="C951" t="e">
            <v>#N/A</v>
          </cell>
          <cell r="L951">
            <v>0</v>
          </cell>
        </row>
        <row r="952">
          <cell r="C952" t="e">
            <v>#N/A</v>
          </cell>
          <cell r="L952">
            <v>0</v>
          </cell>
        </row>
        <row r="953">
          <cell r="C953" t="e">
            <v>#N/A</v>
          </cell>
          <cell r="L953">
            <v>0</v>
          </cell>
        </row>
        <row r="954">
          <cell r="C954" t="e">
            <v>#N/A</v>
          </cell>
          <cell r="L954">
            <v>0</v>
          </cell>
        </row>
        <row r="955">
          <cell r="C955" t="e">
            <v>#N/A</v>
          </cell>
          <cell r="L955">
            <v>0</v>
          </cell>
        </row>
        <row r="956">
          <cell r="C956" t="e">
            <v>#N/A</v>
          </cell>
          <cell r="L956">
            <v>0</v>
          </cell>
        </row>
        <row r="957">
          <cell r="C957" t="e">
            <v>#N/A</v>
          </cell>
          <cell r="L957">
            <v>0</v>
          </cell>
        </row>
        <row r="958">
          <cell r="C958" t="e">
            <v>#N/A</v>
          </cell>
          <cell r="L958">
            <v>0</v>
          </cell>
        </row>
        <row r="959">
          <cell r="C959" t="e">
            <v>#N/A</v>
          </cell>
          <cell r="L959">
            <v>0</v>
          </cell>
        </row>
        <row r="960">
          <cell r="C960" t="e">
            <v>#N/A</v>
          </cell>
          <cell r="L960">
            <v>0</v>
          </cell>
        </row>
        <row r="961">
          <cell r="C961" t="e">
            <v>#N/A</v>
          </cell>
          <cell r="L961">
            <v>0</v>
          </cell>
        </row>
        <row r="962">
          <cell r="C962" t="e">
            <v>#N/A</v>
          </cell>
          <cell r="L962">
            <v>0</v>
          </cell>
        </row>
        <row r="963">
          <cell r="C963" t="e">
            <v>#N/A</v>
          </cell>
          <cell r="L963">
            <v>0</v>
          </cell>
        </row>
        <row r="964">
          <cell r="C964" t="e">
            <v>#N/A</v>
          </cell>
          <cell r="L964">
            <v>0</v>
          </cell>
        </row>
        <row r="965">
          <cell r="C965" t="e">
            <v>#N/A</v>
          </cell>
          <cell r="L965">
            <v>0</v>
          </cell>
        </row>
        <row r="966">
          <cell r="C966" t="e">
            <v>#N/A</v>
          </cell>
          <cell r="L966">
            <v>0</v>
          </cell>
        </row>
        <row r="967">
          <cell r="C967" t="e">
            <v>#N/A</v>
          </cell>
          <cell r="L967">
            <v>0</v>
          </cell>
        </row>
        <row r="968">
          <cell r="C968" t="e">
            <v>#N/A</v>
          </cell>
          <cell r="L968">
            <v>0</v>
          </cell>
        </row>
        <row r="969">
          <cell r="C969" t="e">
            <v>#N/A</v>
          </cell>
          <cell r="L969">
            <v>0</v>
          </cell>
        </row>
        <row r="970">
          <cell r="C970" t="e">
            <v>#N/A</v>
          </cell>
          <cell r="L970">
            <v>0</v>
          </cell>
        </row>
        <row r="971">
          <cell r="C971" t="e">
            <v>#N/A</v>
          </cell>
          <cell r="L971">
            <v>0</v>
          </cell>
        </row>
        <row r="972">
          <cell r="C972" t="e">
            <v>#N/A</v>
          </cell>
          <cell r="L972">
            <v>0</v>
          </cell>
        </row>
        <row r="973">
          <cell r="C973" t="e">
            <v>#N/A</v>
          </cell>
          <cell r="L973">
            <v>0</v>
          </cell>
        </row>
        <row r="974">
          <cell r="C974" t="e">
            <v>#N/A</v>
          </cell>
          <cell r="L974">
            <v>0</v>
          </cell>
        </row>
        <row r="975">
          <cell r="C975" t="e">
            <v>#N/A</v>
          </cell>
          <cell r="L975">
            <v>0</v>
          </cell>
        </row>
        <row r="976">
          <cell r="C976" t="e">
            <v>#N/A</v>
          </cell>
          <cell r="L976">
            <v>0</v>
          </cell>
        </row>
        <row r="977">
          <cell r="C977" t="e">
            <v>#N/A</v>
          </cell>
          <cell r="L977">
            <v>0</v>
          </cell>
        </row>
        <row r="978">
          <cell r="C978" t="e">
            <v>#N/A</v>
          </cell>
          <cell r="L978">
            <v>0</v>
          </cell>
        </row>
        <row r="979">
          <cell r="C979" t="e">
            <v>#N/A</v>
          </cell>
          <cell r="L979">
            <v>0</v>
          </cell>
        </row>
        <row r="980">
          <cell r="C980" t="e">
            <v>#N/A</v>
          </cell>
          <cell r="L980">
            <v>0</v>
          </cell>
        </row>
        <row r="981">
          <cell r="C981" t="e">
            <v>#N/A</v>
          </cell>
          <cell r="L981">
            <v>0</v>
          </cell>
        </row>
        <row r="982">
          <cell r="C982" t="e">
            <v>#N/A</v>
          </cell>
          <cell r="L982">
            <v>0</v>
          </cell>
        </row>
        <row r="983">
          <cell r="C983" t="e">
            <v>#N/A</v>
          </cell>
          <cell r="L983">
            <v>0</v>
          </cell>
        </row>
        <row r="984">
          <cell r="C984" t="e">
            <v>#N/A</v>
          </cell>
          <cell r="L984">
            <v>0</v>
          </cell>
        </row>
        <row r="985">
          <cell r="C985" t="e">
            <v>#N/A</v>
          </cell>
          <cell r="L985">
            <v>0</v>
          </cell>
        </row>
        <row r="986">
          <cell r="C986" t="e">
            <v>#N/A</v>
          </cell>
          <cell r="L986">
            <v>0</v>
          </cell>
        </row>
        <row r="987">
          <cell r="C987" t="e">
            <v>#N/A</v>
          </cell>
          <cell r="L987">
            <v>0</v>
          </cell>
        </row>
        <row r="988">
          <cell r="C988" t="e">
            <v>#N/A</v>
          </cell>
          <cell r="L988">
            <v>0</v>
          </cell>
        </row>
        <row r="989">
          <cell r="C989" t="e">
            <v>#N/A</v>
          </cell>
          <cell r="L989">
            <v>0</v>
          </cell>
        </row>
        <row r="990">
          <cell r="C990" t="e">
            <v>#N/A</v>
          </cell>
          <cell r="L990">
            <v>0</v>
          </cell>
        </row>
        <row r="991">
          <cell r="C991" t="e">
            <v>#N/A</v>
          </cell>
          <cell r="L991">
            <v>0</v>
          </cell>
        </row>
        <row r="992">
          <cell r="C992" t="e">
            <v>#N/A</v>
          </cell>
          <cell r="L992">
            <v>0</v>
          </cell>
        </row>
        <row r="993">
          <cell r="C993" t="e">
            <v>#N/A</v>
          </cell>
          <cell r="L993">
            <v>0</v>
          </cell>
        </row>
        <row r="994">
          <cell r="C994" t="e">
            <v>#N/A</v>
          </cell>
          <cell r="L994">
            <v>0</v>
          </cell>
        </row>
        <row r="995">
          <cell r="C995" t="e">
            <v>#N/A</v>
          </cell>
          <cell r="L995">
            <v>0</v>
          </cell>
        </row>
        <row r="996">
          <cell r="C996" t="e">
            <v>#N/A</v>
          </cell>
          <cell r="L996">
            <v>0</v>
          </cell>
        </row>
        <row r="997">
          <cell r="C997" t="e">
            <v>#N/A</v>
          </cell>
          <cell r="L997">
            <v>0</v>
          </cell>
        </row>
        <row r="998">
          <cell r="C998" t="e">
            <v>#N/A</v>
          </cell>
          <cell r="L998">
            <v>0</v>
          </cell>
        </row>
        <row r="999">
          <cell r="C999" t="e">
            <v>#N/A</v>
          </cell>
          <cell r="L999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5"/>
      <sheetName val="Form 1-4"/>
      <sheetName val="16CH JINHE FAST"/>
      <sheetName val="18CH FAS"/>
      <sheetName val="16CH FAS"/>
      <sheetName val="18CH JINHE"/>
      <sheetName val="Form 3-1"/>
      <sheetName val="Form 3"/>
    </sheetNames>
    <sheetDataSet>
      <sheetData sheetId="0">
        <row r="11">
          <cell r="O11" t="str">
            <v>TMR-050 SRC ASSEMBLY MANUFACTURING BILL OF MATERIALS</v>
          </cell>
        </row>
        <row r="12">
          <cell r="E12" t="str">
            <v>APBM-17-783-10</v>
          </cell>
        </row>
        <row r="14">
          <cell r="L14">
            <v>42948</v>
          </cell>
        </row>
        <row r="15">
          <cell r="L15">
            <v>43619</v>
          </cell>
        </row>
        <row r="16">
          <cell r="L16">
            <v>43629</v>
          </cell>
          <cell r="Z16" t="str">
            <v>M. Balbarona/S. Shimoda / R. Jumilla</v>
          </cell>
          <cell r="AE16" t="str">
            <v>R. Delos Santos</v>
          </cell>
        </row>
        <row r="44">
          <cell r="E44" t="str">
            <v>RECEIVING / ISSUANCE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374C-B0F0-48B6-8FE0-5DF07D03F39D}">
  <sheetPr>
    <tabColor indexed="34"/>
  </sheetPr>
  <dimension ref="A2:CI327"/>
  <sheetViews>
    <sheetView tabSelected="1" view="pageBreakPreview" topLeftCell="A3" zoomScale="85" zoomScaleNormal="85" zoomScaleSheetLayoutView="85" workbookViewId="0">
      <pane ySplit="11" topLeftCell="A14" activePane="bottomLeft" state="frozen"/>
      <selection activeCell="A3" sqref="A3"/>
      <selection pane="bottomLeft" activeCell="AA148" sqref="AA148"/>
    </sheetView>
  </sheetViews>
  <sheetFormatPr defaultColWidth="5.42578125" defaultRowHeight="15.95" customHeight="1"/>
  <cols>
    <col min="1" max="7" width="5.42578125" style="4"/>
    <col min="8" max="8" width="4.28515625" style="3" customWidth="1"/>
    <col min="9" max="10" width="4.28515625" style="2" customWidth="1"/>
    <col min="11" max="26" width="4.28515625" style="1" customWidth="1"/>
    <col min="27" max="32" width="8.140625" style="1" customWidth="1"/>
    <col min="33" max="47" width="4.28515625" style="1" customWidth="1"/>
    <col min="48" max="48" width="5.42578125" style="1" customWidth="1"/>
    <col min="49" max="49" width="17.7109375" style="1" customWidth="1"/>
    <col min="50" max="50" width="10.42578125" style="1" customWidth="1"/>
    <col min="51" max="60" width="5.42578125" style="1"/>
    <col min="61" max="61" width="19.140625" style="1" customWidth="1"/>
    <col min="62" max="16384" width="5.42578125" style="1"/>
  </cols>
  <sheetData>
    <row r="2" spans="8:49" ht="12.75" customHeight="1">
      <c r="H2" s="466"/>
      <c r="I2" s="236"/>
      <c r="J2" s="467" t="s">
        <v>105</v>
      </c>
      <c r="K2" s="467"/>
      <c r="L2" s="467"/>
      <c r="M2" s="467"/>
      <c r="N2" s="467"/>
      <c r="O2" s="468"/>
      <c r="P2" s="471" t="s">
        <v>104</v>
      </c>
      <c r="Q2" s="472"/>
      <c r="R2" s="472"/>
      <c r="S2" s="472"/>
      <c r="T2" s="472"/>
      <c r="U2" s="472"/>
      <c r="V2" s="472"/>
      <c r="W2" s="472"/>
      <c r="X2" s="472"/>
      <c r="Y2" s="472"/>
      <c r="Z2" s="472"/>
      <c r="AA2" s="472"/>
      <c r="AB2" s="472"/>
      <c r="AC2" s="472"/>
      <c r="AD2" s="472"/>
      <c r="AE2" s="472"/>
      <c r="AF2" s="472"/>
      <c r="AG2" s="472"/>
      <c r="AH2" s="472"/>
      <c r="AI2" s="472"/>
      <c r="AJ2" s="472"/>
      <c r="AK2" s="472"/>
      <c r="AL2" s="472"/>
      <c r="AM2" s="472"/>
      <c r="AN2" s="472"/>
      <c r="AO2" s="473"/>
      <c r="AP2" s="480" t="s">
        <v>103</v>
      </c>
      <c r="AQ2" s="481"/>
      <c r="AR2" s="481"/>
      <c r="AS2" s="481"/>
      <c r="AT2" s="481"/>
      <c r="AU2" s="482"/>
    </row>
    <row r="3" spans="8:49" ht="12.75" customHeight="1">
      <c r="H3" s="465"/>
      <c r="I3" s="232"/>
      <c r="J3" s="469"/>
      <c r="K3" s="469"/>
      <c r="L3" s="469"/>
      <c r="M3" s="469"/>
      <c r="N3" s="469"/>
      <c r="O3" s="470"/>
      <c r="P3" s="474"/>
      <c r="Q3" s="475"/>
      <c r="R3" s="475"/>
      <c r="S3" s="475"/>
      <c r="T3" s="475"/>
      <c r="U3" s="475"/>
      <c r="V3" s="475"/>
      <c r="W3" s="475"/>
      <c r="X3" s="475"/>
      <c r="Y3" s="475"/>
      <c r="Z3" s="475"/>
      <c r="AA3" s="475"/>
      <c r="AB3" s="475"/>
      <c r="AC3" s="475"/>
      <c r="AD3" s="475"/>
      <c r="AE3" s="475"/>
      <c r="AF3" s="475"/>
      <c r="AG3" s="475"/>
      <c r="AH3" s="475"/>
      <c r="AI3" s="475"/>
      <c r="AJ3" s="475"/>
      <c r="AK3" s="475"/>
      <c r="AL3" s="475"/>
      <c r="AM3" s="475"/>
      <c r="AN3" s="475"/>
      <c r="AO3" s="476"/>
      <c r="AP3" s="483"/>
      <c r="AQ3" s="484"/>
      <c r="AR3" s="484"/>
      <c r="AS3" s="484"/>
      <c r="AT3" s="484"/>
      <c r="AU3" s="485"/>
    </row>
    <row r="4" spans="8:49" ht="12.75" customHeight="1">
      <c r="H4" s="465"/>
      <c r="I4" s="232"/>
      <c r="J4" s="469"/>
      <c r="K4" s="469"/>
      <c r="L4" s="469"/>
      <c r="M4" s="469"/>
      <c r="N4" s="469"/>
      <c r="O4" s="470"/>
      <c r="P4" s="474"/>
      <c r="Q4" s="475"/>
      <c r="R4" s="475"/>
      <c r="S4" s="475"/>
      <c r="T4" s="475"/>
      <c r="U4" s="475"/>
      <c r="V4" s="475"/>
      <c r="W4" s="475"/>
      <c r="X4" s="475"/>
      <c r="Y4" s="475"/>
      <c r="Z4" s="475"/>
      <c r="AA4" s="475"/>
      <c r="AB4" s="475"/>
      <c r="AC4" s="475"/>
      <c r="AD4" s="475"/>
      <c r="AE4" s="475"/>
      <c r="AF4" s="475"/>
      <c r="AG4" s="475"/>
      <c r="AH4" s="475"/>
      <c r="AI4" s="475"/>
      <c r="AJ4" s="475"/>
      <c r="AK4" s="475"/>
      <c r="AL4" s="475"/>
      <c r="AM4" s="475"/>
      <c r="AN4" s="475"/>
      <c r="AO4" s="476"/>
      <c r="AP4" s="486"/>
      <c r="AQ4" s="487"/>
      <c r="AR4" s="487"/>
      <c r="AS4" s="487"/>
      <c r="AT4" s="487"/>
      <c r="AU4" s="488"/>
    </row>
    <row r="5" spans="8:49" ht="12.95" customHeight="1">
      <c r="H5" s="11" t="s">
        <v>101</v>
      </c>
      <c r="I5" s="231"/>
      <c r="J5" s="231"/>
      <c r="K5" s="230"/>
      <c r="L5" s="230"/>
      <c r="M5" s="230"/>
      <c r="N5" s="230"/>
      <c r="O5" s="230"/>
      <c r="P5" s="474"/>
      <c r="Q5" s="475"/>
      <c r="R5" s="475"/>
      <c r="S5" s="475"/>
      <c r="T5" s="475"/>
      <c r="U5" s="475"/>
      <c r="V5" s="475"/>
      <c r="W5" s="475"/>
      <c r="X5" s="475"/>
      <c r="Y5" s="475"/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75"/>
      <c r="AK5" s="475"/>
      <c r="AL5" s="475"/>
      <c r="AM5" s="475"/>
      <c r="AN5" s="475"/>
      <c r="AO5" s="476"/>
      <c r="AP5" s="489" t="s">
        <v>381</v>
      </c>
      <c r="AQ5" s="490"/>
      <c r="AR5" s="490"/>
      <c r="AS5" s="493" t="s">
        <v>380</v>
      </c>
      <c r="AT5" s="494"/>
      <c r="AU5" s="495"/>
    </row>
    <row r="6" spans="8:49" ht="12.95" customHeight="1">
      <c r="H6" s="464" t="s">
        <v>98</v>
      </c>
      <c r="I6" s="326"/>
      <c r="J6" s="325"/>
      <c r="K6" s="324"/>
      <c r="L6" s="324"/>
      <c r="M6" s="324"/>
      <c r="N6" s="324"/>
      <c r="O6" s="324"/>
      <c r="P6" s="477"/>
      <c r="Q6" s="478"/>
      <c r="R6" s="478"/>
      <c r="S6" s="478"/>
      <c r="T6" s="478"/>
      <c r="U6" s="478"/>
      <c r="V6" s="478"/>
      <c r="W6" s="478"/>
      <c r="X6" s="478"/>
      <c r="Y6" s="478"/>
      <c r="Z6" s="478"/>
      <c r="AA6" s="478"/>
      <c r="AB6" s="478"/>
      <c r="AC6" s="478"/>
      <c r="AD6" s="478"/>
      <c r="AE6" s="478"/>
      <c r="AF6" s="478"/>
      <c r="AG6" s="478"/>
      <c r="AH6" s="478"/>
      <c r="AI6" s="478"/>
      <c r="AJ6" s="478"/>
      <c r="AK6" s="478"/>
      <c r="AL6" s="478"/>
      <c r="AM6" s="478"/>
      <c r="AN6" s="478"/>
      <c r="AO6" s="479"/>
      <c r="AP6" s="491"/>
      <c r="AQ6" s="492"/>
      <c r="AR6" s="492"/>
      <c r="AS6" s="496"/>
      <c r="AT6" s="497"/>
      <c r="AU6" s="498"/>
    </row>
    <row r="7" spans="8:49" ht="9.9499999999999993" customHeight="1">
      <c r="H7" s="463"/>
      <c r="I7" s="237"/>
      <c r="J7" s="237"/>
      <c r="K7" s="462"/>
      <c r="L7" s="462"/>
      <c r="M7" s="462"/>
      <c r="N7" s="462"/>
      <c r="O7" s="462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U7" s="72"/>
    </row>
    <row r="8" spans="8:49" ht="15.95" customHeight="1">
      <c r="H8" s="461" t="s">
        <v>379</v>
      </c>
      <c r="I8" s="460"/>
      <c r="J8" s="460"/>
      <c r="K8" s="459"/>
      <c r="L8" s="459"/>
      <c r="M8" s="459"/>
      <c r="N8" s="210"/>
      <c r="O8" s="210"/>
      <c r="P8" s="499" t="str">
        <f>+'[4]1-5'!E12</f>
        <v>APBM-17-783-10</v>
      </c>
      <c r="Q8" s="500"/>
      <c r="R8" s="500"/>
      <c r="S8" s="500"/>
      <c r="T8" s="500"/>
      <c r="U8" s="500"/>
      <c r="V8" s="500"/>
      <c r="W8" s="500"/>
      <c r="X8" s="500"/>
      <c r="Y8" s="501"/>
      <c r="Z8" s="45" t="s">
        <v>378</v>
      </c>
      <c r="AA8" s="44"/>
      <c r="AB8" s="210"/>
      <c r="AC8" s="502" t="s">
        <v>377</v>
      </c>
      <c r="AD8" s="503"/>
      <c r="AE8" s="503"/>
      <c r="AF8" s="504"/>
      <c r="AG8" s="505" t="s">
        <v>376</v>
      </c>
      <c r="AH8" s="506"/>
      <c r="AI8" s="506"/>
      <c r="AJ8" s="506"/>
      <c r="AK8" s="507"/>
      <c r="AL8" s="505" t="s">
        <v>375</v>
      </c>
      <c r="AM8" s="506"/>
      <c r="AN8" s="506"/>
      <c r="AO8" s="506"/>
      <c r="AP8" s="507"/>
      <c r="AQ8" s="505" t="s">
        <v>374</v>
      </c>
      <c r="AR8" s="506"/>
      <c r="AS8" s="506"/>
      <c r="AT8" s="506"/>
      <c r="AU8" s="507"/>
    </row>
    <row r="9" spans="8:49" ht="15.95" customHeight="1" thickBot="1">
      <c r="H9" s="458" t="s">
        <v>373</v>
      </c>
      <c r="I9" s="457"/>
      <c r="X9" s="143"/>
      <c r="Y9" s="144"/>
      <c r="Z9" s="45" t="s">
        <v>372</v>
      </c>
      <c r="AA9" s="44"/>
      <c r="AB9" s="210"/>
      <c r="AC9" s="502">
        <f>+'[4]1-5'!L14</f>
        <v>42948</v>
      </c>
      <c r="AD9" s="503"/>
      <c r="AE9" s="503"/>
      <c r="AF9" s="504"/>
      <c r="AG9" s="508"/>
      <c r="AH9" s="509"/>
      <c r="AI9" s="509"/>
      <c r="AJ9" s="509"/>
      <c r="AK9" s="510"/>
      <c r="AL9" s="508"/>
      <c r="AM9" s="509"/>
      <c r="AN9" s="509"/>
      <c r="AO9" s="509"/>
      <c r="AP9" s="510"/>
      <c r="AQ9" s="508"/>
      <c r="AR9" s="509"/>
      <c r="AS9" s="509"/>
      <c r="AT9" s="509"/>
      <c r="AU9" s="510"/>
    </row>
    <row r="10" spans="8:49" ht="15.95" customHeight="1" thickTop="1">
      <c r="H10" s="511" t="str">
        <f>+'[4]1-5'!O11</f>
        <v>TMR-050 SRC ASSEMBLY MANUFACTURING BILL OF MATERIALS</v>
      </c>
      <c r="I10" s="512"/>
      <c r="J10" s="512"/>
      <c r="K10" s="512"/>
      <c r="L10" s="512"/>
      <c r="M10" s="512"/>
      <c r="N10" s="512"/>
      <c r="O10" s="512"/>
      <c r="P10" s="512"/>
      <c r="Q10" s="512"/>
      <c r="R10" s="512"/>
      <c r="S10" s="512"/>
      <c r="T10" s="512"/>
      <c r="U10" s="512"/>
      <c r="V10" s="512"/>
      <c r="W10" s="512"/>
      <c r="X10" s="512"/>
      <c r="Y10" s="513"/>
      <c r="Z10" s="45" t="s">
        <v>371</v>
      </c>
      <c r="AA10" s="44"/>
      <c r="AB10" s="210"/>
      <c r="AC10" s="502">
        <f>+'[4]1-5'!L15</f>
        <v>43619</v>
      </c>
      <c r="AD10" s="503"/>
      <c r="AE10" s="503"/>
      <c r="AF10" s="504"/>
      <c r="AG10" s="456"/>
      <c r="AH10" s="455"/>
      <c r="AI10" s="455"/>
      <c r="AK10" s="455"/>
      <c r="AL10" s="456"/>
      <c r="AM10" s="455"/>
      <c r="AN10" s="455"/>
      <c r="AO10" s="455"/>
      <c r="AP10" s="455"/>
      <c r="AQ10" s="456"/>
      <c r="AR10" s="455"/>
      <c r="AS10" s="455"/>
      <c r="AT10" s="455"/>
      <c r="AU10" s="454"/>
    </row>
    <row r="11" spans="8:49" ht="15.95" customHeight="1">
      <c r="H11" s="511"/>
      <c r="I11" s="512"/>
      <c r="J11" s="512"/>
      <c r="K11" s="512"/>
      <c r="L11" s="512"/>
      <c r="M11" s="512"/>
      <c r="N11" s="512"/>
      <c r="O11" s="512"/>
      <c r="P11" s="512"/>
      <c r="Q11" s="512"/>
      <c r="R11" s="512"/>
      <c r="S11" s="512"/>
      <c r="T11" s="512"/>
      <c r="U11" s="512"/>
      <c r="V11" s="512"/>
      <c r="W11" s="512"/>
      <c r="X11" s="512"/>
      <c r="Y11" s="513"/>
      <c r="Z11" s="45" t="s">
        <v>370</v>
      </c>
      <c r="AA11" s="44"/>
      <c r="AB11" s="210"/>
      <c r="AC11" s="502">
        <f>+'[4]1-5'!L16</f>
        <v>43629</v>
      </c>
      <c r="AD11" s="503"/>
      <c r="AE11" s="503"/>
      <c r="AF11" s="504"/>
      <c r="AG11" s="514" t="s">
        <v>369</v>
      </c>
      <c r="AH11" s="515"/>
      <c r="AI11" s="515"/>
      <c r="AJ11" s="515"/>
      <c r="AK11" s="516"/>
      <c r="AL11" s="517" t="str">
        <f>+'[4]1-5'!Z16</f>
        <v>M. Balbarona/S. Shimoda / R. Jumilla</v>
      </c>
      <c r="AM11" s="518"/>
      <c r="AN11" s="518"/>
      <c r="AO11" s="518"/>
      <c r="AP11" s="519"/>
      <c r="AQ11" s="514" t="str">
        <f>+'[4]1-5'!AE16</f>
        <v>R. Delos Santos</v>
      </c>
      <c r="AR11" s="515"/>
      <c r="AS11" s="515"/>
      <c r="AT11" s="515"/>
      <c r="AU11" s="516"/>
    </row>
    <row r="12" spans="8:49" ht="15.95" customHeight="1" thickBot="1">
      <c r="P12" s="1" t="s">
        <v>368</v>
      </c>
      <c r="AU12" s="72"/>
    </row>
    <row r="13" spans="8:49" ht="24.95" customHeight="1" thickBot="1">
      <c r="H13" s="520" t="s">
        <v>18</v>
      </c>
      <c r="I13" s="520"/>
      <c r="J13" s="521"/>
      <c r="K13" s="453" t="s">
        <v>367</v>
      </c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522" t="s">
        <v>16</v>
      </c>
      <c r="W13" s="523"/>
      <c r="X13" s="523"/>
      <c r="Y13" s="523"/>
      <c r="Z13" s="524"/>
      <c r="AA13" s="522" t="s">
        <v>366</v>
      </c>
      <c r="AB13" s="523"/>
      <c r="AC13" s="522" t="s">
        <v>365</v>
      </c>
      <c r="AD13" s="523"/>
      <c r="AE13" s="523"/>
      <c r="AF13" s="523"/>
      <c r="AG13" s="523"/>
      <c r="AH13" s="524"/>
      <c r="AI13" s="522" t="s">
        <v>13</v>
      </c>
      <c r="AJ13" s="523"/>
      <c r="AK13" s="523"/>
      <c r="AL13" s="523"/>
      <c r="AM13" s="523"/>
      <c r="AN13" s="523"/>
      <c r="AO13" s="523"/>
      <c r="AP13" s="523"/>
      <c r="AQ13" s="523"/>
      <c r="AR13" s="523"/>
      <c r="AS13" s="523"/>
      <c r="AT13" s="523"/>
      <c r="AU13" s="525"/>
    </row>
    <row r="14" spans="8:49" s="212" customFormat="1" ht="15.95" customHeight="1" thickTop="1">
      <c r="H14" s="548" t="s">
        <v>364</v>
      </c>
      <c r="I14" s="548"/>
      <c r="J14" s="549"/>
      <c r="K14" s="451" t="s">
        <v>363</v>
      </c>
      <c r="L14" s="450"/>
      <c r="M14" s="243"/>
      <c r="N14" s="243"/>
      <c r="O14" s="47"/>
      <c r="P14" s="47"/>
      <c r="Q14" s="47"/>
      <c r="R14" s="47"/>
      <c r="S14" s="47"/>
      <c r="T14" s="47"/>
      <c r="U14" s="47"/>
      <c r="V14" s="550" t="s">
        <v>362</v>
      </c>
      <c r="W14" s="551"/>
      <c r="X14" s="551"/>
      <c r="Y14" s="551"/>
      <c r="Z14" s="552"/>
      <c r="AA14" s="550" t="s">
        <v>361</v>
      </c>
      <c r="AB14" s="551"/>
      <c r="AC14" s="550" t="s">
        <v>360</v>
      </c>
      <c r="AD14" s="551"/>
      <c r="AE14" s="551"/>
      <c r="AF14" s="551"/>
      <c r="AG14" s="551"/>
      <c r="AH14" s="552"/>
      <c r="AI14" s="48"/>
      <c r="AJ14" s="47"/>
      <c r="AK14" s="47"/>
      <c r="AL14" s="449"/>
      <c r="AM14" s="242"/>
      <c r="AN14" s="242"/>
      <c r="AO14" s="449"/>
      <c r="AP14" s="242"/>
      <c r="AQ14" s="242"/>
      <c r="AR14" s="242"/>
      <c r="AS14" s="242"/>
      <c r="AT14" s="242"/>
      <c r="AU14" s="448"/>
      <c r="AV14" s="444"/>
      <c r="AW14" s="444"/>
    </row>
    <row r="15" spans="8:49" s="212" customFormat="1" ht="15.95" customHeight="1">
      <c r="H15" s="553" t="s">
        <v>359</v>
      </c>
      <c r="I15" s="553"/>
      <c r="J15" s="554"/>
      <c r="K15" s="447" t="s">
        <v>358</v>
      </c>
      <c r="L15" s="446"/>
      <c r="M15" s="50"/>
      <c r="N15" s="50"/>
      <c r="O15" s="44"/>
      <c r="P15" s="44"/>
      <c r="Q15" s="44"/>
      <c r="R15" s="44"/>
      <c r="S15" s="44"/>
      <c r="T15" s="44"/>
      <c r="U15" s="44"/>
      <c r="V15" s="514" t="s">
        <v>357</v>
      </c>
      <c r="W15" s="515"/>
      <c r="X15" s="515"/>
      <c r="Y15" s="515"/>
      <c r="Z15" s="516"/>
      <c r="AA15" s="499" t="s">
        <v>356</v>
      </c>
      <c r="AB15" s="501"/>
      <c r="AC15" s="514" t="s">
        <v>355</v>
      </c>
      <c r="AD15" s="515"/>
      <c r="AE15" s="515"/>
      <c r="AF15" s="515"/>
      <c r="AG15" s="515"/>
      <c r="AH15" s="516"/>
      <c r="AI15" s="45"/>
      <c r="AJ15" s="44"/>
      <c r="AK15" s="44"/>
      <c r="AL15" s="210"/>
      <c r="AM15" s="49"/>
      <c r="AN15" s="49"/>
      <c r="AO15" s="210"/>
      <c r="AP15" s="49"/>
      <c r="AQ15" s="49"/>
      <c r="AR15" s="49"/>
      <c r="AS15" s="49"/>
      <c r="AT15" s="49"/>
      <c r="AU15" s="418"/>
      <c r="AV15" s="444"/>
      <c r="AW15" s="444"/>
    </row>
    <row r="16" spans="8:49" s="212" customFormat="1" ht="15.95" customHeight="1">
      <c r="H16" s="553" t="s">
        <v>354</v>
      </c>
      <c r="I16" s="553"/>
      <c r="J16" s="554"/>
      <c r="K16" s="445" t="s">
        <v>353</v>
      </c>
      <c r="L16" s="345"/>
      <c r="M16" s="44"/>
      <c r="N16" s="44"/>
      <c r="O16" s="44"/>
      <c r="P16" s="44"/>
      <c r="Q16" s="44"/>
      <c r="R16" s="1"/>
      <c r="S16" s="44"/>
      <c r="T16" s="44"/>
      <c r="U16" s="44"/>
      <c r="V16" s="499" t="s">
        <v>352</v>
      </c>
      <c r="W16" s="500"/>
      <c r="X16" s="500"/>
      <c r="Y16" s="500"/>
      <c r="Z16" s="501"/>
      <c r="AA16" s="499" t="s">
        <v>351</v>
      </c>
      <c r="AB16" s="500"/>
      <c r="AC16" s="499" t="s">
        <v>350</v>
      </c>
      <c r="AD16" s="500"/>
      <c r="AE16" s="500"/>
      <c r="AF16" s="500"/>
      <c r="AG16" s="500"/>
      <c r="AH16" s="501"/>
      <c r="AI16" s="45"/>
      <c r="AJ16" s="44"/>
      <c r="AK16" s="44"/>
      <c r="AL16" s="44"/>
      <c r="AM16" s="49"/>
      <c r="AN16" s="49"/>
      <c r="AO16" s="210"/>
      <c r="AP16" s="49"/>
      <c r="AQ16" s="49"/>
      <c r="AR16" s="49"/>
      <c r="AS16" s="49"/>
      <c r="AT16" s="49"/>
      <c r="AU16" s="418"/>
      <c r="AV16" s="444"/>
      <c r="AW16" s="444"/>
    </row>
    <row r="17" spans="8:87" s="212" customFormat="1" ht="15.95" customHeight="1">
      <c r="H17" s="553" t="s">
        <v>349</v>
      </c>
      <c r="I17" s="553"/>
      <c r="J17" s="554"/>
      <c r="K17" s="445" t="s">
        <v>348</v>
      </c>
      <c r="L17" s="345"/>
      <c r="M17" s="44"/>
      <c r="N17" s="44"/>
      <c r="O17" s="44"/>
      <c r="P17" s="44"/>
      <c r="Q17" s="44"/>
      <c r="R17" s="44"/>
      <c r="S17" s="44"/>
      <c r="T17" s="44"/>
      <c r="U17" s="44"/>
      <c r="V17" s="499" t="s">
        <v>347</v>
      </c>
      <c r="W17" s="500"/>
      <c r="X17" s="500"/>
      <c r="Y17" s="500"/>
      <c r="Z17" s="501"/>
      <c r="AA17" s="499" t="s">
        <v>346</v>
      </c>
      <c r="AB17" s="500"/>
      <c r="AC17" s="499" t="s">
        <v>345</v>
      </c>
      <c r="AD17" s="500"/>
      <c r="AE17" s="500"/>
      <c r="AF17" s="500"/>
      <c r="AG17" s="500"/>
      <c r="AH17" s="501"/>
      <c r="AI17" s="45"/>
      <c r="AJ17" s="44"/>
      <c r="AK17" s="44"/>
      <c r="AL17" s="44"/>
      <c r="AM17" s="49"/>
      <c r="AN17" s="49"/>
      <c r="AO17" s="210"/>
      <c r="AP17" s="49"/>
      <c r="AQ17" s="49"/>
      <c r="AR17" s="49"/>
      <c r="AS17" s="49"/>
      <c r="AT17" s="49"/>
      <c r="AU17" s="418"/>
      <c r="AV17" s="444"/>
      <c r="AW17" s="444"/>
    </row>
    <row r="18" spans="8:87" ht="15.95" customHeight="1">
      <c r="H18" s="555" t="s">
        <v>344</v>
      </c>
      <c r="I18" s="555"/>
      <c r="J18" s="556"/>
      <c r="K18" s="443" t="s">
        <v>343</v>
      </c>
      <c r="L18" s="442"/>
      <c r="M18" s="46"/>
      <c r="N18" s="46"/>
      <c r="O18" s="46"/>
      <c r="P18" s="46"/>
      <c r="Q18" s="46"/>
      <c r="R18" s="46"/>
      <c r="S18" s="46"/>
      <c r="T18" s="46"/>
      <c r="U18" s="46"/>
      <c r="V18" s="514" t="s">
        <v>342</v>
      </c>
      <c r="W18" s="515"/>
      <c r="X18" s="515"/>
      <c r="Y18" s="515"/>
      <c r="Z18" s="516"/>
      <c r="AA18" s="514" t="s">
        <v>341</v>
      </c>
      <c r="AB18" s="516"/>
      <c r="AC18" s="499" t="s">
        <v>340</v>
      </c>
      <c r="AD18" s="500"/>
      <c r="AE18" s="500"/>
      <c r="AF18" s="500"/>
      <c r="AG18" s="500"/>
      <c r="AH18" s="501"/>
      <c r="AI18" s="108"/>
      <c r="AJ18" s="46"/>
      <c r="AK18" s="46"/>
      <c r="AL18" s="46"/>
      <c r="AM18" s="219"/>
      <c r="AN18" s="219"/>
      <c r="AO18" s="66"/>
      <c r="AP18" s="219"/>
      <c r="AQ18" s="219"/>
      <c r="AR18" s="219"/>
      <c r="AS18" s="219"/>
      <c r="AT18" s="219"/>
      <c r="AU18" s="420"/>
      <c r="AV18" s="438"/>
      <c r="AW18" s="438"/>
    </row>
    <row r="19" spans="8:87" ht="15.95" customHeight="1" thickBot="1">
      <c r="H19" s="557" t="s">
        <v>339</v>
      </c>
      <c r="I19" s="557"/>
      <c r="J19" s="558"/>
      <c r="K19" s="441" t="s">
        <v>338</v>
      </c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559" t="s">
        <v>337</v>
      </c>
      <c r="W19" s="560"/>
      <c r="X19" s="560"/>
      <c r="Y19" s="560"/>
      <c r="Z19" s="561"/>
      <c r="AA19" s="562" t="s">
        <v>336</v>
      </c>
      <c r="AB19" s="563"/>
      <c r="AC19" s="562" t="s">
        <v>335</v>
      </c>
      <c r="AD19" s="564"/>
      <c r="AE19" s="564"/>
      <c r="AF19" s="564"/>
      <c r="AG19" s="564"/>
      <c r="AH19" s="563"/>
      <c r="AI19" s="95"/>
      <c r="AJ19" s="93"/>
      <c r="AK19" s="93"/>
      <c r="AL19" s="93"/>
      <c r="AM19" s="440"/>
      <c r="AN19" s="440"/>
      <c r="AO19" s="92"/>
      <c r="AP19" s="440"/>
      <c r="AQ19" s="440"/>
      <c r="AR19" s="440"/>
      <c r="AS19" s="440"/>
      <c r="AT19" s="440"/>
      <c r="AU19" s="439"/>
      <c r="AV19" s="438"/>
      <c r="AW19" s="438"/>
    </row>
    <row r="20" spans="8:87" s="212" customFormat="1" ht="15.95" customHeight="1" thickBot="1">
      <c r="H20" s="437"/>
      <c r="I20" s="437"/>
      <c r="J20" s="437"/>
      <c r="K20" s="436"/>
      <c r="L20" s="340"/>
      <c r="M20" s="340"/>
      <c r="N20" s="340"/>
      <c r="O20" s="61"/>
      <c r="P20" s="61"/>
      <c r="Q20" s="61"/>
      <c r="R20" s="61"/>
      <c r="S20" s="61"/>
      <c r="T20" s="61"/>
      <c r="U20" s="61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435"/>
      <c r="AH20" s="1"/>
      <c r="AI20" s="5"/>
      <c r="AJ20" s="5"/>
      <c r="AK20" s="5"/>
      <c r="AL20" s="5"/>
      <c r="AM20" s="5"/>
      <c r="AN20" s="5"/>
      <c r="AO20" s="1"/>
      <c r="AP20" s="5"/>
      <c r="AQ20" s="5"/>
      <c r="AR20" s="5"/>
      <c r="AS20" s="5"/>
      <c r="AT20" s="5"/>
      <c r="AU20" s="381"/>
    </row>
    <row r="21" spans="8:87" ht="15.95" customHeight="1" thickBot="1">
      <c r="H21" s="565" t="s">
        <v>334</v>
      </c>
      <c r="I21" s="565"/>
      <c r="J21" s="565"/>
      <c r="K21" s="565"/>
      <c r="L21" s="565"/>
      <c r="M21" s="565"/>
      <c r="N21" s="565"/>
      <c r="O21" s="565"/>
      <c r="P21" s="565"/>
      <c r="Q21" s="565"/>
      <c r="R21" s="565"/>
      <c r="S21" s="565"/>
      <c r="T21" s="565"/>
      <c r="U21" s="565"/>
      <c r="V21" s="565"/>
      <c r="W21" s="565"/>
      <c r="X21" s="565"/>
      <c r="Y21" s="565"/>
      <c r="Z21" s="565"/>
      <c r="AA21" s="565"/>
      <c r="AB21" s="565"/>
      <c r="AC21" s="565"/>
      <c r="AD21" s="565"/>
      <c r="AE21" s="565"/>
      <c r="AF21" s="565"/>
      <c r="AG21" s="565"/>
      <c r="AH21" s="565"/>
      <c r="AI21" s="565"/>
      <c r="AJ21" s="565"/>
      <c r="AK21" s="565"/>
      <c r="AL21" s="565"/>
      <c r="AM21" s="565"/>
      <c r="AN21" s="565"/>
      <c r="AO21" s="565"/>
      <c r="AP21" s="565"/>
      <c r="AQ21" s="565"/>
      <c r="AR21" s="565"/>
      <c r="AS21" s="565"/>
      <c r="AT21" s="565"/>
      <c r="AU21" s="566"/>
    </row>
    <row r="22" spans="8:87" ht="15.95" customHeight="1" thickBot="1">
      <c r="H22" s="526" t="s">
        <v>18</v>
      </c>
      <c r="I22" s="526"/>
      <c r="J22" s="527"/>
      <c r="K22" s="530" t="s">
        <v>17</v>
      </c>
      <c r="L22" s="531"/>
      <c r="M22" s="531"/>
      <c r="N22" s="531"/>
      <c r="O22" s="531"/>
      <c r="P22" s="531"/>
      <c r="Q22" s="531"/>
      <c r="R22" s="531"/>
      <c r="S22" s="531"/>
      <c r="T22" s="531"/>
      <c r="U22" s="531"/>
      <c r="V22" s="534" t="s">
        <v>16</v>
      </c>
      <c r="W22" s="535"/>
      <c r="X22" s="535"/>
      <c r="Y22" s="530" t="s">
        <v>15</v>
      </c>
      <c r="Z22" s="538"/>
      <c r="AA22" s="59" t="str">
        <f>H14</f>
        <v>FG573-JINHEc</v>
      </c>
      <c r="AB22" s="434" t="str">
        <f>+H15</f>
        <v>FG591-FASa</v>
      </c>
      <c r="AC22" s="59" t="str">
        <f>+H16</f>
        <v>FG592-FASa</v>
      </c>
      <c r="AD22" s="59" t="str">
        <f>+H17</f>
        <v>FG601-FASTc</v>
      </c>
      <c r="AE22" s="434" t="str">
        <f>+H18</f>
        <v>FG623-JINHEc</v>
      </c>
      <c r="AF22" s="434" t="str">
        <f>+H19</f>
        <v>FG616-JINHEa</v>
      </c>
      <c r="AG22" s="540" t="s">
        <v>14</v>
      </c>
      <c r="AH22" s="541"/>
      <c r="AI22" s="541"/>
      <c r="AJ22" s="541"/>
      <c r="AK22" s="541"/>
      <c r="AL22" s="541"/>
      <c r="AM22" s="541"/>
      <c r="AN22" s="542"/>
      <c r="AO22" s="530" t="s">
        <v>13</v>
      </c>
      <c r="AP22" s="531"/>
      <c r="AQ22" s="531"/>
      <c r="AR22" s="531"/>
      <c r="AS22" s="531"/>
      <c r="AT22" s="531"/>
      <c r="AU22" s="546"/>
    </row>
    <row r="23" spans="8:87" ht="15.75" customHeight="1" thickBot="1">
      <c r="H23" s="528"/>
      <c r="I23" s="528"/>
      <c r="J23" s="529"/>
      <c r="K23" s="532"/>
      <c r="L23" s="533"/>
      <c r="M23" s="533"/>
      <c r="N23" s="533"/>
      <c r="O23" s="533"/>
      <c r="P23" s="533"/>
      <c r="Q23" s="533"/>
      <c r="R23" s="533"/>
      <c r="S23" s="533"/>
      <c r="T23" s="533"/>
      <c r="U23" s="533"/>
      <c r="V23" s="536"/>
      <c r="W23" s="537"/>
      <c r="X23" s="537"/>
      <c r="Y23" s="532"/>
      <c r="Z23" s="539"/>
      <c r="AA23" s="57" t="str">
        <f>+AA14</f>
        <v>84*</v>
      </c>
      <c r="AB23" s="433" t="str">
        <f>+AA15</f>
        <v>9C*</v>
      </c>
      <c r="AC23" s="433" t="str">
        <f>+AA16</f>
        <v>9D*</v>
      </c>
      <c r="AD23" s="433" t="str">
        <f>+AA17</f>
        <v>9E*</v>
      </c>
      <c r="AE23" s="433" t="str">
        <f>+AA18</f>
        <v>9W*</v>
      </c>
      <c r="AF23" s="433" t="str">
        <f>+AA19</f>
        <v>9S*</v>
      </c>
      <c r="AG23" s="543"/>
      <c r="AH23" s="544"/>
      <c r="AI23" s="544"/>
      <c r="AJ23" s="544"/>
      <c r="AK23" s="544"/>
      <c r="AL23" s="544"/>
      <c r="AM23" s="544"/>
      <c r="AN23" s="545"/>
      <c r="AO23" s="532"/>
      <c r="AP23" s="533"/>
      <c r="AQ23" s="533"/>
      <c r="AR23" s="533"/>
      <c r="AS23" s="533"/>
      <c r="AT23" s="533"/>
      <c r="AU23" s="547"/>
    </row>
    <row r="24" spans="8:87" ht="15.75" customHeight="1" thickTop="1">
      <c r="H24" s="432" t="s">
        <v>333</v>
      </c>
      <c r="I24" s="432"/>
      <c r="J24" s="431"/>
      <c r="K24" s="573" t="s">
        <v>332</v>
      </c>
      <c r="L24" s="573"/>
      <c r="M24" s="573"/>
      <c r="N24" s="573"/>
      <c r="O24" s="573"/>
      <c r="P24" s="573"/>
      <c r="Q24" s="422"/>
      <c r="R24" s="422"/>
      <c r="S24" s="422"/>
      <c r="T24" s="422"/>
      <c r="U24" s="422"/>
      <c r="V24" s="499"/>
      <c r="W24" s="500"/>
      <c r="X24" s="500"/>
      <c r="Y24" s="499" t="s">
        <v>147</v>
      </c>
      <c r="Z24" s="501"/>
      <c r="AA24" s="175">
        <v>5.0000000000000002E-5</v>
      </c>
      <c r="AB24" s="175">
        <v>5.0000000000000002E-5</v>
      </c>
      <c r="AC24" s="175">
        <v>5.0000000000000002E-5</v>
      </c>
      <c r="AD24" s="209">
        <v>5.0000000000000002E-5</v>
      </c>
      <c r="AE24" s="175">
        <v>5.0000000000000002E-5</v>
      </c>
      <c r="AF24" s="175">
        <v>5.0000000000000002E-5</v>
      </c>
      <c r="AG24" s="45" t="s">
        <v>331</v>
      </c>
      <c r="AH24" s="50"/>
      <c r="AO24" s="45"/>
      <c r="AP24" s="44"/>
      <c r="AQ24" s="44"/>
      <c r="AR24" s="44"/>
      <c r="AS24" s="44"/>
      <c r="AT24" s="44"/>
      <c r="AU24" s="43"/>
    </row>
    <row r="25" spans="8:87" ht="15.95" customHeight="1">
      <c r="H25" s="190" t="s">
        <v>330</v>
      </c>
      <c r="I25" s="190"/>
      <c r="J25" s="52"/>
      <c r="K25" s="45" t="s">
        <v>329</v>
      </c>
      <c r="L25" s="44"/>
      <c r="M25" s="44"/>
      <c r="N25" s="44"/>
      <c r="O25" s="44"/>
      <c r="P25" s="44"/>
      <c r="Q25" s="422"/>
      <c r="R25" s="422"/>
      <c r="S25" s="422"/>
      <c r="T25" s="422"/>
      <c r="U25" s="422"/>
      <c r="V25" s="499" t="s">
        <v>328</v>
      </c>
      <c r="W25" s="500"/>
      <c r="X25" s="500"/>
      <c r="Y25" s="574" t="s">
        <v>1</v>
      </c>
      <c r="Z25" s="575"/>
      <c r="AA25" s="216">
        <v>1</v>
      </c>
      <c r="AB25" s="216">
        <v>1</v>
      </c>
      <c r="AC25" s="216">
        <v>1</v>
      </c>
      <c r="AD25" s="430">
        <v>1</v>
      </c>
      <c r="AE25" s="216">
        <v>1</v>
      </c>
      <c r="AF25" s="216">
        <v>1</v>
      </c>
      <c r="AG25" s="45" t="s">
        <v>314</v>
      </c>
      <c r="AH25" s="50"/>
      <c r="AI25" s="50"/>
      <c r="AJ25" s="50"/>
      <c r="AK25" s="50"/>
      <c r="AL25" s="50"/>
      <c r="AM25" s="50"/>
      <c r="AN25" s="50"/>
      <c r="AO25" s="45"/>
      <c r="AP25" s="44"/>
      <c r="AQ25" s="44"/>
      <c r="AR25" s="44"/>
      <c r="AS25" s="44"/>
      <c r="AT25" s="44"/>
      <c r="AU25" s="43"/>
    </row>
    <row r="26" spans="8:87" ht="15.95" customHeight="1">
      <c r="H26" s="190" t="s">
        <v>327</v>
      </c>
      <c r="I26" s="190"/>
      <c r="J26" s="52"/>
      <c r="K26" s="37" t="s">
        <v>326</v>
      </c>
      <c r="L26" s="44"/>
      <c r="M26" s="44" t="s">
        <v>267</v>
      </c>
      <c r="N26" s="44"/>
      <c r="O26" s="187"/>
      <c r="P26" s="187"/>
      <c r="Q26" s="187"/>
      <c r="R26" s="187"/>
      <c r="S26" s="187"/>
      <c r="T26" s="187"/>
      <c r="U26" s="187"/>
      <c r="V26" s="499" t="s">
        <v>325</v>
      </c>
      <c r="W26" s="500"/>
      <c r="X26" s="500"/>
      <c r="Y26" s="574" t="s">
        <v>1</v>
      </c>
      <c r="Z26" s="575"/>
      <c r="AA26" s="175">
        <v>1.0016099999999999</v>
      </c>
      <c r="AB26" s="175">
        <v>1.0016099999999999</v>
      </c>
      <c r="AC26" s="175">
        <v>1.0016099999999999</v>
      </c>
      <c r="AD26" s="175">
        <v>1.0016099999999999</v>
      </c>
      <c r="AE26" s="175">
        <v>1.0016099999999999</v>
      </c>
      <c r="AF26" s="175">
        <v>1.0016099999999999</v>
      </c>
      <c r="AG26" s="45" t="s">
        <v>55</v>
      </c>
      <c r="AH26" s="44"/>
      <c r="AI26" s="44"/>
      <c r="AJ26" s="44"/>
      <c r="AK26" s="44"/>
      <c r="AL26" s="44"/>
      <c r="AM26" s="44"/>
      <c r="AN26" s="44"/>
      <c r="AO26" s="45" t="s">
        <v>321</v>
      </c>
      <c r="AP26" s="44"/>
      <c r="AQ26" s="44"/>
      <c r="AR26" s="44"/>
      <c r="AS26" s="44"/>
      <c r="AT26" s="44"/>
      <c r="AU26" s="43"/>
    </row>
    <row r="27" spans="8:87" ht="15.95" customHeight="1">
      <c r="H27" s="190" t="s">
        <v>324</v>
      </c>
      <c r="I27" s="190"/>
      <c r="J27" s="52"/>
      <c r="K27" s="37" t="s">
        <v>323</v>
      </c>
      <c r="L27" s="44"/>
      <c r="M27" s="44"/>
      <c r="N27" s="44"/>
      <c r="O27" s="187"/>
      <c r="P27" s="187"/>
      <c r="Q27" s="187"/>
      <c r="R27" s="187"/>
      <c r="S27" s="187"/>
      <c r="T27" s="187"/>
      <c r="U27" s="187"/>
      <c r="V27" s="499" t="s">
        <v>322</v>
      </c>
      <c r="W27" s="500"/>
      <c r="X27" s="500"/>
      <c r="Y27" s="574" t="s">
        <v>1</v>
      </c>
      <c r="Z27" s="575"/>
      <c r="AA27" s="175">
        <v>1.0016099999999999</v>
      </c>
      <c r="AB27" s="175">
        <v>1.0016099999999999</v>
      </c>
      <c r="AC27" s="175">
        <v>1.0016099999999999</v>
      </c>
      <c r="AD27" s="175">
        <v>1.0016099999999999</v>
      </c>
      <c r="AE27" s="175">
        <v>1.0016099999999999</v>
      </c>
      <c r="AF27" s="175">
        <v>1.0016099999999999</v>
      </c>
      <c r="AG27" s="45" t="s">
        <v>55</v>
      </c>
      <c r="AH27" s="44"/>
      <c r="AI27" s="44"/>
      <c r="AJ27" s="44"/>
      <c r="AK27" s="44"/>
      <c r="AL27" s="44"/>
      <c r="AM27" s="44"/>
      <c r="AN27" s="44"/>
      <c r="AO27" s="45" t="s">
        <v>321</v>
      </c>
      <c r="AP27" s="44"/>
      <c r="AQ27" s="44"/>
      <c r="AR27" s="44"/>
      <c r="AS27" s="44"/>
      <c r="AT27" s="44"/>
      <c r="AU27" s="43"/>
      <c r="AW27" s="429"/>
    </row>
    <row r="28" spans="8:87" ht="15.95" customHeight="1">
      <c r="H28" s="190" t="s">
        <v>150</v>
      </c>
      <c r="I28" s="190"/>
      <c r="J28" s="52"/>
      <c r="K28" s="37" t="s">
        <v>149</v>
      </c>
      <c r="L28" s="44"/>
      <c r="M28" s="44"/>
      <c r="N28" s="44"/>
      <c r="O28" s="187"/>
      <c r="P28" s="187"/>
      <c r="Q28" s="187"/>
      <c r="R28" s="187"/>
      <c r="S28" s="187"/>
      <c r="T28" s="187"/>
      <c r="U28" s="187"/>
      <c r="V28" s="499" t="s">
        <v>148</v>
      </c>
      <c r="W28" s="500"/>
      <c r="X28" s="501"/>
      <c r="Y28" s="499" t="s">
        <v>147</v>
      </c>
      <c r="Z28" s="501"/>
      <c r="AA28" s="175">
        <f>100*(1/25000)</f>
        <v>4.0000000000000001E-3</v>
      </c>
      <c r="AB28" s="175">
        <f>(45+100)*(1/25000)</f>
        <v>5.8000000000000005E-3</v>
      </c>
      <c r="AC28" s="175">
        <f>100*(1/25000)</f>
        <v>4.0000000000000001E-3</v>
      </c>
      <c r="AD28" s="209">
        <f>100*(1/25000)</f>
        <v>4.0000000000000001E-3</v>
      </c>
      <c r="AE28" s="175">
        <f>(45+100)*(1/25000)</f>
        <v>5.8000000000000005E-3</v>
      </c>
      <c r="AF28" s="175">
        <f>(45+100)*(1/25000)</f>
        <v>5.8000000000000005E-3</v>
      </c>
      <c r="AG28" s="45" t="s">
        <v>55</v>
      </c>
      <c r="AH28" s="44"/>
      <c r="AI28" s="44"/>
      <c r="AJ28" s="44"/>
      <c r="AK28" s="44"/>
      <c r="AL28" s="44"/>
      <c r="AM28" s="44"/>
      <c r="AN28" s="44"/>
      <c r="AO28" s="45"/>
      <c r="AP28" s="44"/>
      <c r="AQ28" s="44"/>
      <c r="AR28" s="44"/>
      <c r="AS28" s="44"/>
      <c r="AT28" s="44"/>
      <c r="AU28" s="43"/>
      <c r="AW28" s="429"/>
    </row>
    <row r="29" spans="8:87" ht="15.95" customHeight="1">
      <c r="H29" s="190" t="s">
        <v>320</v>
      </c>
      <c r="I29" s="190"/>
      <c r="J29" s="52"/>
      <c r="K29" s="428" t="s">
        <v>319</v>
      </c>
      <c r="L29" s="44"/>
      <c r="M29" s="44"/>
      <c r="N29" s="44"/>
      <c r="O29" s="187"/>
      <c r="P29" s="187"/>
      <c r="Q29" s="187"/>
      <c r="R29" s="187"/>
      <c r="S29" s="187"/>
      <c r="T29" s="187"/>
      <c r="U29" s="187"/>
      <c r="V29" s="499" t="s">
        <v>318</v>
      </c>
      <c r="W29" s="500"/>
      <c r="X29" s="500"/>
      <c r="Y29" s="499" t="s">
        <v>257</v>
      </c>
      <c r="Z29" s="501"/>
      <c r="AA29" s="175">
        <v>2.14418</v>
      </c>
      <c r="AB29" s="175">
        <v>2.14418</v>
      </c>
      <c r="AC29" s="175">
        <v>2.14418</v>
      </c>
      <c r="AD29" s="209">
        <v>2.14418</v>
      </c>
      <c r="AE29" s="175">
        <v>2.14418</v>
      </c>
      <c r="AF29" s="175">
        <v>2.14418</v>
      </c>
      <c r="AG29" s="45" t="s">
        <v>55</v>
      </c>
      <c r="AH29" s="44"/>
      <c r="AI29" s="44"/>
      <c r="AJ29" s="44"/>
      <c r="AK29" s="44"/>
      <c r="AL29" s="44"/>
      <c r="AM29" s="44"/>
      <c r="AN29" s="350"/>
      <c r="AO29" s="45"/>
      <c r="AP29" s="44"/>
      <c r="AQ29" s="44"/>
      <c r="AR29" s="44"/>
      <c r="AS29" s="44"/>
      <c r="AT29" s="44"/>
      <c r="AU29" s="43"/>
    </row>
    <row r="30" spans="8:87" ht="15.95" customHeight="1">
      <c r="H30" s="190" t="s">
        <v>317</v>
      </c>
      <c r="I30" s="190"/>
      <c r="J30" s="52"/>
      <c r="K30" s="45" t="s">
        <v>316</v>
      </c>
      <c r="L30" s="422"/>
      <c r="M30" s="422"/>
      <c r="N30" s="422"/>
      <c r="O30" s="422"/>
      <c r="P30" s="422"/>
      <c r="Q30" s="422"/>
      <c r="R30" s="422"/>
      <c r="S30" s="422"/>
      <c r="T30" s="422"/>
      <c r="U30" s="422"/>
      <c r="V30" s="578" t="s">
        <v>315</v>
      </c>
      <c r="W30" s="579"/>
      <c r="X30" s="579"/>
      <c r="Y30" s="574" t="s">
        <v>1</v>
      </c>
      <c r="Z30" s="575"/>
      <c r="AA30" s="216">
        <v>1</v>
      </c>
      <c r="AB30" s="216">
        <v>1</v>
      </c>
      <c r="AC30" s="216">
        <v>1</v>
      </c>
      <c r="AD30" s="216">
        <v>1</v>
      </c>
      <c r="AE30" s="216">
        <v>1</v>
      </c>
      <c r="AF30" s="216">
        <v>1</v>
      </c>
      <c r="AG30" s="45" t="s">
        <v>314</v>
      </c>
      <c r="AH30" s="50"/>
      <c r="AI30" s="50"/>
      <c r="AJ30" s="50"/>
      <c r="AK30" s="50"/>
      <c r="AL30" s="50"/>
      <c r="AM30" s="50"/>
      <c r="AN30" s="50"/>
      <c r="AO30" s="45"/>
      <c r="AP30" s="44"/>
      <c r="AQ30" s="44"/>
      <c r="AR30" s="44"/>
      <c r="AS30" s="44"/>
      <c r="AT30" s="44"/>
      <c r="AU30" s="43"/>
    </row>
    <row r="31" spans="8:87" ht="15.95" customHeight="1">
      <c r="H31" s="190" t="s">
        <v>313</v>
      </c>
      <c r="I31" s="190"/>
      <c r="J31" s="52"/>
      <c r="K31" s="275" t="s">
        <v>312</v>
      </c>
      <c r="L31" s="422"/>
      <c r="M31" s="422"/>
      <c r="N31" s="422"/>
      <c r="O31" s="422"/>
      <c r="P31" s="422"/>
      <c r="Q31" s="422"/>
      <c r="R31" s="422"/>
      <c r="S31" s="422"/>
      <c r="T31" s="422"/>
      <c r="U31" s="422"/>
      <c r="V31" s="499" t="s">
        <v>311</v>
      </c>
      <c r="W31" s="500"/>
      <c r="X31" s="500"/>
      <c r="Y31" s="574" t="s">
        <v>1</v>
      </c>
      <c r="Z31" s="575"/>
      <c r="AA31" s="175">
        <v>1.0016099999999999</v>
      </c>
      <c r="AB31" s="175">
        <v>1.0016099999999999</v>
      </c>
      <c r="AC31" s="175">
        <v>1.0016099999999999</v>
      </c>
      <c r="AD31" s="175">
        <v>1.0016099999999999</v>
      </c>
      <c r="AE31" s="175">
        <v>1.0016099999999999</v>
      </c>
      <c r="AF31" s="175">
        <v>1.0016099999999999</v>
      </c>
      <c r="AG31" s="45" t="s">
        <v>310</v>
      </c>
      <c r="AH31" s="50"/>
      <c r="AI31" s="50"/>
      <c r="AJ31" s="50"/>
      <c r="AK31" s="50"/>
      <c r="AL31" s="50"/>
      <c r="AM31" s="50"/>
      <c r="AN31" s="50"/>
      <c r="AO31" s="45"/>
      <c r="AP31" s="44"/>
      <c r="AQ31" s="44"/>
      <c r="AR31" s="44"/>
      <c r="AS31" s="44"/>
      <c r="AT31" s="44"/>
      <c r="AU31" s="43"/>
      <c r="CD31" s="50"/>
      <c r="CE31" s="50"/>
      <c r="CF31" s="50"/>
      <c r="CG31" s="50"/>
      <c r="CH31" s="50"/>
      <c r="CI31" s="50"/>
    </row>
    <row r="32" spans="8:87" ht="15.75" customHeight="1">
      <c r="H32" s="190" t="s">
        <v>309</v>
      </c>
      <c r="I32" s="190"/>
      <c r="J32" s="52"/>
      <c r="K32" s="275" t="s">
        <v>303</v>
      </c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499" t="s">
        <v>302</v>
      </c>
      <c r="W32" s="500"/>
      <c r="X32" s="500"/>
      <c r="Y32" s="574" t="s">
        <v>1</v>
      </c>
      <c r="Z32" s="575"/>
      <c r="AA32" s="375">
        <v>0</v>
      </c>
      <c r="AB32" s="175">
        <v>1.0016099999999999</v>
      </c>
      <c r="AC32" s="175">
        <v>1.0016099999999999</v>
      </c>
      <c r="AD32" s="216">
        <v>0</v>
      </c>
      <c r="AE32" s="216">
        <v>0</v>
      </c>
      <c r="AF32" s="216">
        <v>0</v>
      </c>
      <c r="AG32" s="45" t="s">
        <v>55</v>
      </c>
      <c r="AH32" s="44"/>
      <c r="AI32" s="44"/>
      <c r="AJ32" s="44"/>
      <c r="AK32" s="44"/>
      <c r="AL32" s="44"/>
      <c r="AM32" s="44"/>
      <c r="AN32" s="44"/>
      <c r="AO32" s="567" t="s">
        <v>307</v>
      </c>
      <c r="AP32" s="568"/>
      <c r="AQ32" s="568"/>
      <c r="AR32" s="568"/>
      <c r="AS32" s="568"/>
      <c r="AT32" s="568"/>
      <c r="AU32" s="569"/>
    </row>
    <row r="33" spans="8:61" ht="15.75" customHeight="1">
      <c r="H33" s="190" t="s">
        <v>308</v>
      </c>
      <c r="I33" s="190"/>
      <c r="J33" s="52"/>
      <c r="K33" s="275" t="s">
        <v>300</v>
      </c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216"/>
      <c r="W33" s="187" t="s">
        <v>299</v>
      </c>
      <c r="X33" s="187"/>
      <c r="Y33" s="499" t="s">
        <v>1</v>
      </c>
      <c r="Z33" s="501"/>
      <c r="AA33" s="375">
        <v>0</v>
      </c>
      <c r="AB33" s="175">
        <f>1.00161*2</f>
        <v>2.0032199999999998</v>
      </c>
      <c r="AC33" s="175">
        <f>1.00161*2</f>
        <v>2.0032199999999998</v>
      </c>
      <c r="AD33" s="216">
        <v>0</v>
      </c>
      <c r="AE33" s="216">
        <v>0</v>
      </c>
      <c r="AF33" s="216">
        <v>0</v>
      </c>
      <c r="AG33" s="45" t="s">
        <v>55</v>
      </c>
      <c r="AH33" s="44"/>
      <c r="AI33" s="44"/>
      <c r="AJ33" s="44"/>
      <c r="AK33" s="44"/>
      <c r="AL33" s="44"/>
      <c r="AM33" s="44"/>
      <c r="AN33" s="44"/>
      <c r="AO33" s="567" t="s">
        <v>307</v>
      </c>
      <c r="AP33" s="568"/>
      <c r="AQ33" s="568"/>
      <c r="AR33" s="568"/>
      <c r="AS33" s="568"/>
      <c r="AT33" s="568"/>
      <c r="AU33" s="569"/>
    </row>
    <row r="34" spans="8:61" ht="15.75" customHeight="1">
      <c r="H34" s="190" t="s">
        <v>108</v>
      </c>
      <c r="I34" s="190"/>
      <c r="J34" s="52"/>
      <c r="K34" s="45" t="s">
        <v>107</v>
      </c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499" t="s">
        <v>306</v>
      </c>
      <c r="W34" s="500"/>
      <c r="X34" s="501"/>
      <c r="Y34" s="499" t="s">
        <v>59</v>
      </c>
      <c r="Z34" s="501"/>
      <c r="AA34" s="175">
        <v>1.6459999999999999</v>
      </c>
      <c r="AB34" s="175">
        <v>1.6459999999999999</v>
      </c>
      <c r="AC34" s="175">
        <v>1.6459999999999999</v>
      </c>
      <c r="AD34" s="209">
        <v>1.6459999999999999</v>
      </c>
      <c r="AE34" s="175">
        <v>1.6459999999999999</v>
      </c>
      <c r="AF34" s="175">
        <v>1.6459999999999999</v>
      </c>
      <c r="AG34" s="45" t="s">
        <v>106</v>
      </c>
      <c r="AH34" s="44"/>
      <c r="AI34" s="44"/>
      <c r="AJ34" s="44"/>
      <c r="AK34" s="44"/>
      <c r="AL34" s="44"/>
      <c r="AM34" s="44"/>
      <c r="AN34" s="44"/>
      <c r="AO34" s="570" t="s">
        <v>305</v>
      </c>
      <c r="AP34" s="571"/>
      <c r="AQ34" s="571"/>
      <c r="AR34" s="571"/>
      <c r="AS34" s="571"/>
      <c r="AT34" s="571"/>
      <c r="AU34" s="572"/>
    </row>
    <row r="35" spans="8:61" ht="15.75" customHeight="1">
      <c r="H35" s="190" t="s">
        <v>304</v>
      </c>
      <c r="I35" s="190"/>
      <c r="J35" s="52"/>
      <c r="K35" s="275" t="s">
        <v>303</v>
      </c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499" t="s">
        <v>302</v>
      </c>
      <c r="W35" s="500"/>
      <c r="X35" s="500"/>
      <c r="Y35" s="574" t="s">
        <v>1</v>
      </c>
      <c r="Z35" s="575"/>
      <c r="AA35" s="175">
        <v>1.0016099999999999</v>
      </c>
      <c r="AB35" s="216">
        <v>0</v>
      </c>
      <c r="AC35" s="216">
        <v>0</v>
      </c>
      <c r="AD35" s="175">
        <v>1.0016099999999999</v>
      </c>
      <c r="AE35" s="175">
        <v>1.0016099999999999</v>
      </c>
      <c r="AF35" s="175">
        <v>1.0016099999999999</v>
      </c>
      <c r="AG35" s="45" t="s">
        <v>55</v>
      </c>
      <c r="AH35" s="44"/>
      <c r="AI35" s="44"/>
      <c r="AJ35" s="44"/>
      <c r="AK35" s="44"/>
      <c r="AL35" s="44"/>
      <c r="AM35" s="44"/>
      <c r="AN35" s="44"/>
      <c r="AO35" s="567" t="s">
        <v>298</v>
      </c>
      <c r="AP35" s="568"/>
      <c r="AQ35" s="568"/>
      <c r="AR35" s="568"/>
      <c r="AS35" s="568"/>
      <c r="AT35" s="568"/>
      <c r="AU35" s="569"/>
      <c r="BI35" s="427">
        <f>1.00161*2</f>
        <v>2.0032199999999998</v>
      </c>
    </row>
    <row r="36" spans="8:61" ht="15.75" customHeight="1">
      <c r="H36" s="190" t="s">
        <v>301</v>
      </c>
      <c r="I36" s="190"/>
      <c r="J36" s="52"/>
      <c r="K36" s="275" t="s">
        <v>300</v>
      </c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216"/>
      <c r="W36" s="187" t="s">
        <v>299</v>
      </c>
      <c r="X36" s="187"/>
      <c r="Y36" s="499" t="s">
        <v>1</v>
      </c>
      <c r="Z36" s="501"/>
      <c r="AA36" s="175">
        <f>1.00161*2</f>
        <v>2.0032199999999998</v>
      </c>
      <c r="AB36" s="216">
        <v>0</v>
      </c>
      <c r="AC36" s="216">
        <v>0</v>
      </c>
      <c r="AD36" s="175">
        <f>1.00161*2</f>
        <v>2.0032199999999998</v>
      </c>
      <c r="AE36" s="175">
        <f>1.00161*2</f>
        <v>2.0032199999999998</v>
      </c>
      <c r="AF36" s="175">
        <f>1.00161*2</f>
        <v>2.0032199999999998</v>
      </c>
      <c r="AG36" s="45" t="s">
        <v>55</v>
      </c>
      <c r="AH36" s="44"/>
      <c r="AI36" s="44"/>
      <c r="AJ36" s="44"/>
      <c r="AK36" s="44"/>
      <c r="AL36" s="44"/>
      <c r="AM36" s="44"/>
      <c r="AN36" s="44"/>
      <c r="AO36" s="567" t="s">
        <v>298</v>
      </c>
      <c r="AP36" s="568"/>
      <c r="AQ36" s="568"/>
      <c r="AR36" s="568"/>
      <c r="AS36" s="568"/>
      <c r="AT36" s="568"/>
      <c r="AU36" s="569"/>
    </row>
    <row r="37" spans="8:61" s="332" customFormat="1" ht="15.75" hidden="1" customHeight="1">
      <c r="H37" s="576" t="s">
        <v>297</v>
      </c>
      <c r="I37" s="576"/>
      <c r="J37" s="577"/>
      <c r="K37" s="45" t="s">
        <v>292</v>
      </c>
      <c r="L37" s="44"/>
      <c r="M37" s="44"/>
      <c r="N37" s="44"/>
      <c r="O37" s="187"/>
      <c r="P37" s="187"/>
      <c r="Q37" s="187"/>
      <c r="R37" s="187"/>
      <c r="S37" s="187"/>
      <c r="T37" s="187"/>
      <c r="U37" s="187"/>
      <c r="V37" s="499" t="s">
        <v>291</v>
      </c>
      <c r="W37" s="500"/>
      <c r="X37" s="500"/>
      <c r="Y37" s="574" t="s">
        <v>1</v>
      </c>
      <c r="Z37" s="575"/>
      <c r="AA37" s="175">
        <v>1</v>
      </c>
      <c r="AB37" s="216"/>
      <c r="AC37" s="216">
        <v>1</v>
      </c>
      <c r="AD37" s="209">
        <v>1</v>
      </c>
      <c r="AE37" s="216"/>
      <c r="AF37" s="216"/>
      <c r="AG37" s="45" t="s">
        <v>55</v>
      </c>
      <c r="AH37" s="46"/>
      <c r="AI37" s="44"/>
      <c r="AJ37" s="44"/>
      <c r="AK37" s="44"/>
      <c r="AL37" s="44"/>
      <c r="AM37" s="44"/>
      <c r="AN37" s="44"/>
      <c r="AO37" s="419"/>
      <c r="AP37" s="49"/>
      <c r="AQ37" s="49"/>
      <c r="AR37" s="49"/>
      <c r="AS37" s="49"/>
      <c r="AT37" s="49"/>
      <c r="AU37" s="418"/>
    </row>
    <row r="38" spans="8:61" s="332" customFormat="1" ht="15.95" hidden="1" customHeight="1">
      <c r="H38" s="576" t="s">
        <v>296</v>
      </c>
      <c r="I38" s="576"/>
      <c r="J38" s="577"/>
      <c r="K38" s="45" t="s">
        <v>287</v>
      </c>
      <c r="L38" s="44"/>
      <c r="M38" s="44"/>
      <c r="N38" s="44"/>
      <c r="O38" s="44"/>
      <c r="P38" s="44"/>
      <c r="Q38" s="187"/>
      <c r="R38" s="187"/>
      <c r="S38" s="187"/>
      <c r="T38" s="187"/>
      <c r="U38" s="187"/>
      <c r="V38" s="499" t="s">
        <v>286</v>
      </c>
      <c r="W38" s="500"/>
      <c r="X38" s="500"/>
      <c r="Y38" s="574" t="s">
        <v>1</v>
      </c>
      <c r="Z38" s="575"/>
      <c r="AA38" s="175">
        <v>1</v>
      </c>
      <c r="AB38" s="216"/>
      <c r="AC38" s="216">
        <v>1</v>
      </c>
      <c r="AD38" s="209">
        <v>1</v>
      </c>
      <c r="AE38" s="216"/>
      <c r="AF38" s="216"/>
      <c r="AG38" s="45" t="s">
        <v>55</v>
      </c>
      <c r="AH38" s="50"/>
      <c r="AI38" s="50"/>
      <c r="AJ38" s="50"/>
      <c r="AK38" s="50"/>
      <c r="AL38" s="44"/>
      <c r="AM38" s="44"/>
      <c r="AN38" s="44"/>
      <c r="AO38" s="426"/>
      <c r="AP38" s="425"/>
      <c r="AQ38" s="49"/>
      <c r="AR38" s="49"/>
      <c r="AS38" s="425"/>
      <c r="AT38" s="425"/>
      <c r="AU38" s="424"/>
    </row>
    <row r="39" spans="8:61" s="332" customFormat="1" ht="15.75" customHeight="1">
      <c r="H39" s="576" t="s">
        <v>293</v>
      </c>
      <c r="I39" s="576"/>
      <c r="J39" s="577"/>
      <c r="K39" s="45" t="s">
        <v>292</v>
      </c>
      <c r="L39" s="44"/>
      <c r="M39" s="44"/>
      <c r="N39" s="44"/>
      <c r="O39" s="187"/>
      <c r="P39" s="187"/>
      <c r="Q39" s="187"/>
      <c r="R39" s="187"/>
      <c r="S39" s="187"/>
      <c r="T39" s="187"/>
      <c r="U39" s="187"/>
      <c r="V39" s="499" t="s">
        <v>291</v>
      </c>
      <c r="W39" s="500"/>
      <c r="X39" s="500"/>
      <c r="Y39" s="574" t="s">
        <v>1</v>
      </c>
      <c r="Z39" s="575"/>
      <c r="AA39" s="175">
        <v>1.0016099999999999</v>
      </c>
      <c r="AB39" s="175">
        <v>1.0016099999999999</v>
      </c>
      <c r="AC39" s="175">
        <v>1.0016099999999999</v>
      </c>
      <c r="AD39" s="175">
        <v>1.0016099999999999</v>
      </c>
      <c r="AE39" s="175">
        <v>1.0016099999999999</v>
      </c>
      <c r="AF39" s="175">
        <v>1.0016099999999999</v>
      </c>
      <c r="AG39" s="45" t="s">
        <v>161</v>
      </c>
      <c r="AH39" s="46"/>
      <c r="AI39" s="44"/>
      <c r="AJ39" s="44"/>
      <c r="AK39" s="44"/>
      <c r="AL39" s="44"/>
      <c r="AM39" s="44"/>
      <c r="AN39" s="44"/>
      <c r="AO39" s="419"/>
      <c r="AP39" s="49"/>
      <c r="AQ39" s="49"/>
      <c r="AR39" s="49"/>
      <c r="AS39" s="49"/>
      <c r="AT39" s="49"/>
      <c r="AU39" s="418"/>
    </row>
    <row r="40" spans="8:61" s="332" customFormat="1" ht="15.95" customHeight="1">
      <c r="H40" s="576" t="str">
        <f>H58</f>
        <v>WP3005</v>
      </c>
      <c r="I40" s="576"/>
      <c r="J40" s="577"/>
      <c r="K40" s="45" t="s">
        <v>287</v>
      </c>
      <c r="L40" s="44"/>
      <c r="M40" s="44"/>
      <c r="N40" s="44"/>
      <c r="O40" s="44"/>
      <c r="P40" s="44"/>
      <c r="Q40" s="187"/>
      <c r="R40" s="187"/>
      <c r="S40" s="187"/>
      <c r="T40" s="187"/>
      <c r="U40" s="187"/>
      <c r="V40" s="499" t="s">
        <v>286</v>
      </c>
      <c r="W40" s="500"/>
      <c r="X40" s="500"/>
      <c r="Y40" s="574" t="s">
        <v>1</v>
      </c>
      <c r="Z40" s="575"/>
      <c r="AA40" s="175">
        <v>1.0016099999999999</v>
      </c>
      <c r="AB40" s="175">
        <v>1.0016099999999999</v>
      </c>
      <c r="AC40" s="175">
        <v>1.0016099999999999</v>
      </c>
      <c r="AD40" s="175">
        <v>1.0016099999999999</v>
      </c>
      <c r="AE40" s="175">
        <v>1.0016099999999999</v>
      </c>
      <c r="AF40" s="175">
        <v>1.0016099999999999</v>
      </c>
      <c r="AG40" s="45" t="s">
        <v>161</v>
      </c>
      <c r="AH40" s="50"/>
      <c r="AI40" s="50"/>
      <c r="AJ40" s="50"/>
      <c r="AK40" s="50"/>
      <c r="AL40" s="44"/>
      <c r="AM40" s="44"/>
      <c r="AN40" s="44"/>
      <c r="AO40" s="426"/>
      <c r="AP40" s="425"/>
      <c r="AQ40" s="49"/>
      <c r="AR40" s="49"/>
      <c r="AS40" s="425"/>
      <c r="AT40" s="425"/>
      <c r="AU40" s="424"/>
    </row>
    <row r="41" spans="8:61" ht="15.75" customHeight="1">
      <c r="H41" s="190" t="s">
        <v>285</v>
      </c>
      <c r="I41" s="190"/>
      <c r="J41" s="52"/>
      <c r="K41" s="423" t="s">
        <v>284</v>
      </c>
      <c r="L41" s="44"/>
      <c r="M41" s="44"/>
      <c r="N41" s="44"/>
      <c r="O41" s="187"/>
      <c r="P41" s="187"/>
      <c r="Q41" s="187"/>
      <c r="R41" s="187"/>
      <c r="S41" s="187"/>
      <c r="T41" s="187"/>
      <c r="U41" s="187"/>
      <c r="V41" s="499" t="s">
        <v>283</v>
      </c>
      <c r="W41" s="500"/>
      <c r="X41" s="500"/>
      <c r="Y41" s="574" t="s">
        <v>1</v>
      </c>
      <c r="Z41" s="575"/>
      <c r="AA41" s="175">
        <v>1.0016099999999999</v>
      </c>
      <c r="AB41" s="175">
        <v>1.0016099999999999</v>
      </c>
      <c r="AC41" s="175">
        <v>1.0016099999999999</v>
      </c>
      <c r="AD41" s="175">
        <v>1.0016099999999999</v>
      </c>
      <c r="AE41" s="175">
        <v>1.0016099999999999</v>
      </c>
      <c r="AF41" s="175">
        <v>1.0016099999999999</v>
      </c>
      <c r="AG41" s="45" t="s">
        <v>55</v>
      </c>
      <c r="AH41" s="46"/>
      <c r="AI41" s="44"/>
      <c r="AJ41" s="44"/>
      <c r="AK41" s="44"/>
      <c r="AL41" s="44"/>
      <c r="AM41" s="44"/>
      <c r="AN41" s="44"/>
      <c r="AO41" s="45"/>
      <c r="AP41" s="44"/>
      <c r="AQ41" s="44"/>
      <c r="AR41" s="44"/>
      <c r="AS41" s="44"/>
      <c r="AT41" s="44"/>
      <c r="AU41" s="43"/>
    </row>
    <row r="42" spans="8:61" ht="15.75" hidden="1" customHeight="1">
      <c r="H42" s="190" t="s">
        <v>295</v>
      </c>
      <c r="I42" s="190"/>
      <c r="J42" s="52"/>
      <c r="K42" s="423" t="s">
        <v>284</v>
      </c>
      <c r="L42" s="44"/>
      <c r="M42" s="44"/>
      <c r="N42" s="44"/>
      <c r="O42" s="187"/>
      <c r="P42" s="187"/>
      <c r="Q42" s="187"/>
      <c r="R42" s="187"/>
      <c r="S42" s="187"/>
      <c r="T42" s="187"/>
      <c r="U42" s="187"/>
      <c r="V42" s="499" t="s">
        <v>283</v>
      </c>
      <c r="W42" s="500"/>
      <c r="X42" s="500"/>
      <c r="Y42" s="574" t="s">
        <v>1</v>
      </c>
      <c r="Z42" s="575"/>
      <c r="AA42" s="175">
        <v>1.0016099999999999</v>
      </c>
      <c r="AB42" s="175">
        <v>1.0016099999999999</v>
      </c>
      <c r="AC42" s="175">
        <v>1.0016099999999999</v>
      </c>
      <c r="AD42" s="175">
        <v>1.0016099999999999</v>
      </c>
      <c r="AE42" s="175">
        <v>1.0016099999999999</v>
      </c>
      <c r="AF42" s="175">
        <v>1.0016099999999999</v>
      </c>
      <c r="AG42" s="45" t="s">
        <v>161</v>
      </c>
      <c r="AH42" s="46"/>
      <c r="AI42" s="44"/>
      <c r="AJ42" s="44"/>
      <c r="AK42" s="44"/>
      <c r="AL42" s="44"/>
      <c r="AM42" s="44"/>
      <c r="AN42" s="44"/>
      <c r="AO42" s="45"/>
      <c r="AP42" s="44"/>
      <c r="AQ42" s="44"/>
      <c r="AR42" s="44"/>
      <c r="AS42" s="44"/>
      <c r="AT42" s="44"/>
      <c r="AU42" s="43"/>
    </row>
    <row r="43" spans="8:61" s="332" customFormat="1" ht="15.75" customHeight="1">
      <c r="H43" s="190" t="s">
        <v>282</v>
      </c>
      <c r="I43" s="190"/>
      <c r="J43" s="52"/>
      <c r="K43" s="275" t="s">
        <v>281</v>
      </c>
      <c r="L43" s="422"/>
      <c r="M43" s="422"/>
      <c r="N43" s="422"/>
      <c r="O43" s="422"/>
      <c r="P43" s="422"/>
      <c r="Q43" s="422"/>
      <c r="R43" s="422"/>
      <c r="S43" s="422"/>
      <c r="T43" s="422"/>
      <c r="U43" s="422"/>
      <c r="V43" s="499" t="s">
        <v>280</v>
      </c>
      <c r="W43" s="500"/>
      <c r="X43" s="500"/>
      <c r="Y43" s="499" t="s">
        <v>1</v>
      </c>
      <c r="Z43" s="501"/>
      <c r="AA43" s="175">
        <v>1.0016099999999999</v>
      </c>
      <c r="AB43" s="175">
        <v>1.0016099999999999</v>
      </c>
      <c r="AC43" s="175">
        <v>1.0016099999999999</v>
      </c>
      <c r="AD43" s="175">
        <v>1.0016099999999999</v>
      </c>
      <c r="AE43" s="175">
        <v>1.0016099999999999</v>
      </c>
      <c r="AF43" s="175">
        <v>1.0016099999999999</v>
      </c>
      <c r="AG43" s="45" t="s">
        <v>161</v>
      </c>
      <c r="AH43" s="50"/>
      <c r="AI43" s="50"/>
      <c r="AJ43" s="50"/>
      <c r="AK43" s="50"/>
      <c r="AL43" s="50"/>
      <c r="AM43" s="50"/>
      <c r="AN43" s="50"/>
      <c r="AO43" s="419"/>
      <c r="AP43" s="49"/>
      <c r="AQ43" s="49"/>
      <c r="AR43" s="49"/>
      <c r="AS43" s="49"/>
      <c r="AT43" s="49"/>
      <c r="AU43" s="418"/>
    </row>
    <row r="44" spans="8:61" ht="15.75" customHeight="1">
      <c r="H44" s="190" t="s">
        <v>277</v>
      </c>
      <c r="I44" s="190"/>
      <c r="J44" s="52"/>
      <c r="K44" s="275" t="s">
        <v>276</v>
      </c>
      <c r="L44" s="187"/>
      <c r="M44" s="187"/>
      <c r="N44" s="187"/>
      <c r="O44" s="187"/>
      <c r="Q44" s="187"/>
      <c r="R44" s="187"/>
      <c r="S44" s="187"/>
      <c r="T44" s="187"/>
      <c r="U44" s="187"/>
      <c r="V44" s="499" t="s">
        <v>275</v>
      </c>
      <c r="W44" s="500"/>
      <c r="X44" s="500"/>
      <c r="Y44" s="574" t="s">
        <v>1</v>
      </c>
      <c r="Z44" s="575"/>
      <c r="AA44" s="175">
        <v>1.0016099999999999</v>
      </c>
      <c r="AB44" s="175">
        <v>1.0016099999999999</v>
      </c>
      <c r="AC44" s="175">
        <v>1.0016099999999999</v>
      </c>
      <c r="AD44" s="175">
        <v>1.0016099999999999</v>
      </c>
      <c r="AE44" s="175">
        <v>1.0016099999999999</v>
      </c>
      <c r="AF44" s="175">
        <v>1.0016099999999999</v>
      </c>
      <c r="AG44" s="45" t="s">
        <v>161</v>
      </c>
      <c r="AH44" s="44"/>
      <c r="AI44" s="44"/>
      <c r="AJ44" s="44"/>
      <c r="AK44" s="44"/>
      <c r="AL44" s="44"/>
      <c r="AM44" s="44"/>
      <c r="AO44" s="419"/>
      <c r="AP44" s="49"/>
      <c r="AQ44" s="49"/>
      <c r="AR44" s="49"/>
      <c r="AS44" s="49"/>
      <c r="AT44" s="49"/>
      <c r="AU44" s="418"/>
    </row>
    <row r="45" spans="8:61" ht="15.75" customHeight="1">
      <c r="H45" s="190" t="s">
        <v>274</v>
      </c>
      <c r="I45" s="190"/>
      <c r="J45" s="52"/>
      <c r="K45" s="275" t="s">
        <v>273</v>
      </c>
      <c r="L45" s="422"/>
      <c r="M45" s="422"/>
      <c r="N45" s="422"/>
      <c r="O45" s="422"/>
      <c r="P45" s="422"/>
      <c r="Q45" s="422"/>
      <c r="R45" s="422"/>
      <c r="S45" s="422"/>
      <c r="T45" s="422"/>
      <c r="U45" s="422"/>
      <c r="V45" s="574" t="s">
        <v>272</v>
      </c>
      <c r="W45" s="584"/>
      <c r="X45" s="584"/>
      <c r="Y45" s="499" t="s">
        <v>1</v>
      </c>
      <c r="Z45" s="501"/>
      <c r="AA45" s="175">
        <v>1.0016099999999999</v>
      </c>
      <c r="AB45" s="175">
        <v>1.0016099999999999</v>
      </c>
      <c r="AC45" s="175">
        <v>1.0016099999999999</v>
      </c>
      <c r="AD45" s="175">
        <v>1.0016099999999999</v>
      </c>
      <c r="AE45" s="175">
        <v>1.0016099999999999</v>
      </c>
      <c r="AF45" s="175">
        <v>1.0016099999999999</v>
      </c>
      <c r="AG45" s="45" t="s">
        <v>161</v>
      </c>
      <c r="AH45" s="50"/>
      <c r="AI45" s="50"/>
      <c r="AJ45" s="50"/>
      <c r="AK45" s="50"/>
      <c r="AL45" s="50"/>
      <c r="AM45" s="50"/>
      <c r="AN45" s="50"/>
      <c r="AO45" s="419"/>
      <c r="AP45" s="49"/>
      <c r="AQ45" s="49"/>
      <c r="AR45" s="49"/>
      <c r="AS45" s="49"/>
      <c r="AT45" s="49"/>
      <c r="AU45" s="418"/>
    </row>
    <row r="46" spans="8:61" s="332" customFormat="1" ht="15.95" customHeight="1">
      <c r="H46" s="190" t="s">
        <v>243</v>
      </c>
      <c r="I46" s="263"/>
      <c r="J46" s="52"/>
      <c r="K46" s="44" t="s">
        <v>242</v>
      </c>
      <c r="L46" s="44"/>
      <c r="M46" s="44"/>
      <c r="N46" s="44"/>
      <c r="O46" s="187"/>
      <c r="P46" s="187"/>
      <c r="Q46" s="187"/>
      <c r="R46" s="187"/>
      <c r="S46" s="187"/>
      <c r="T46" s="187"/>
      <c r="U46" s="187"/>
      <c r="V46" s="499"/>
      <c r="W46" s="500"/>
      <c r="X46" s="501"/>
      <c r="Y46" s="499" t="s">
        <v>1</v>
      </c>
      <c r="Z46" s="501"/>
      <c r="AA46" s="175">
        <v>1.0016099999999999</v>
      </c>
      <c r="AB46" s="216">
        <v>0</v>
      </c>
      <c r="AC46" s="175">
        <v>1.0016099999999999</v>
      </c>
      <c r="AD46" s="175">
        <v>1.0016099999999999</v>
      </c>
      <c r="AE46" s="216">
        <v>0</v>
      </c>
      <c r="AF46" s="216">
        <v>0</v>
      </c>
      <c r="AG46" s="45" t="s">
        <v>241</v>
      </c>
      <c r="AH46" s="44"/>
      <c r="AI46" s="44"/>
      <c r="AJ46" s="44"/>
      <c r="AK46" s="44"/>
      <c r="AL46" s="44"/>
      <c r="AM46" s="44"/>
      <c r="AN46" s="44"/>
      <c r="AO46" s="421"/>
      <c r="AP46" s="219"/>
      <c r="AQ46" s="1"/>
      <c r="AR46" s="1"/>
      <c r="AS46" s="219"/>
      <c r="AT46" s="219"/>
      <c r="AU46" s="420"/>
    </row>
    <row r="47" spans="8:61" s="332" customFormat="1" ht="15.95" customHeight="1">
      <c r="H47" s="190" t="s">
        <v>245</v>
      </c>
      <c r="I47" s="263"/>
      <c r="J47" s="52"/>
      <c r="K47" s="44" t="s">
        <v>244</v>
      </c>
      <c r="L47" s="44"/>
      <c r="M47" s="44"/>
      <c r="N47" s="44"/>
      <c r="O47" s="187"/>
      <c r="P47" s="187"/>
      <c r="Q47" s="187"/>
      <c r="R47" s="187"/>
      <c r="S47" s="187"/>
      <c r="T47" s="187"/>
      <c r="U47" s="187"/>
      <c r="V47" s="499"/>
      <c r="W47" s="500"/>
      <c r="X47" s="501"/>
      <c r="Y47" s="499" t="s">
        <v>1</v>
      </c>
      <c r="Z47" s="501"/>
      <c r="AA47" s="216">
        <v>0</v>
      </c>
      <c r="AB47" s="175">
        <v>1.0016099999999999</v>
      </c>
      <c r="AC47" s="216">
        <v>0</v>
      </c>
      <c r="AD47" s="216">
        <v>0</v>
      </c>
      <c r="AE47" s="175">
        <v>1.0016099999999999</v>
      </c>
      <c r="AF47" s="175">
        <v>1.0016099999999999</v>
      </c>
      <c r="AG47" s="45" t="s">
        <v>241</v>
      </c>
      <c r="AH47" s="44"/>
      <c r="AI47" s="44"/>
      <c r="AJ47" s="44"/>
      <c r="AK47" s="44"/>
      <c r="AL47" s="44"/>
      <c r="AM47" s="44"/>
      <c r="AN47" s="44"/>
      <c r="AO47" s="419"/>
      <c r="AP47" s="49"/>
      <c r="AQ47" s="210"/>
      <c r="AR47" s="210"/>
      <c r="AS47" s="49"/>
      <c r="AT47" s="49"/>
      <c r="AU47" s="418"/>
    </row>
    <row r="48" spans="8:61" s="332" customFormat="1" ht="15.95" customHeight="1">
      <c r="H48" s="585" t="s">
        <v>224</v>
      </c>
      <c r="I48" s="585"/>
      <c r="J48" s="586"/>
      <c r="K48" s="305" t="s">
        <v>223</v>
      </c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499" t="s">
        <v>222</v>
      </c>
      <c r="W48" s="500"/>
      <c r="X48" s="501"/>
      <c r="Y48" s="574" t="s">
        <v>1</v>
      </c>
      <c r="Z48" s="575"/>
      <c r="AA48" s="40">
        <v>0</v>
      </c>
      <c r="AB48" s="175">
        <v>1.0016099999999999</v>
      </c>
      <c r="AC48" s="417">
        <v>0</v>
      </c>
      <c r="AD48" s="417">
        <v>0</v>
      </c>
      <c r="AE48" s="175">
        <v>1.0016099999999999</v>
      </c>
      <c r="AF48" s="175">
        <v>1.0016099999999999</v>
      </c>
      <c r="AG48" s="45" t="s">
        <v>204</v>
      </c>
      <c r="AH48" s="37"/>
      <c r="AI48" s="37"/>
      <c r="AJ48" s="37"/>
      <c r="AK48" s="44"/>
      <c r="AL48" s="44"/>
      <c r="AM48" s="44"/>
      <c r="AN48" s="44"/>
      <c r="AO48" s="45"/>
      <c r="AP48" s="44"/>
      <c r="AQ48" s="44"/>
      <c r="AR48" s="44"/>
      <c r="AS48" s="44"/>
      <c r="AT48" s="44"/>
      <c r="AU48" s="43"/>
    </row>
    <row r="49" spans="8:49" s="332" customFormat="1" ht="15.95" customHeight="1">
      <c r="H49" s="585" t="s">
        <v>218</v>
      </c>
      <c r="I49" s="585"/>
      <c r="J49" s="586"/>
      <c r="K49" s="305" t="s">
        <v>217</v>
      </c>
      <c r="L49" s="187"/>
      <c r="M49" s="187"/>
      <c r="N49" s="187"/>
      <c r="O49" s="187"/>
      <c r="P49" s="187"/>
      <c r="Q49" s="187"/>
      <c r="R49" s="187"/>
      <c r="S49" s="187"/>
      <c r="T49" s="187"/>
      <c r="U49" s="66"/>
      <c r="V49" s="499" t="s">
        <v>216</v>
      </c>
      <c r="W49" s="500"/>
      <c r="X49" s="501"/>
      <c r="Y49" s="499" t="s">
        <v>1</v>
      </c>
      <c r="Z49" s="501"/>
      <c r="AA49" s="216">
        <v>0</v>
      </c>
      <c r="AB49" s="175">
        <v>1.0016099999999999</v>
      </c>
      <c r="AC49" s="216">
        <v>0</v>
      </c>
      <c r="AD49" s="216">
        <v>0</v>
      </c>
      <c r="AE49" s="175">
        <v>1.0016099999999999</v>
      </c>
      <c r="AF49" s="175">
        <v>1.0016099999999999</v>
      </c>
      <c r="AG49" s="108" t="s">
        <v>204</v>
      </c>
      <c r="AH49" s="44"/>
      <c r="AI49" s="44"/>
      <c r="AJ49" s="44"/>
      <c r="AK49" s="44"/>
      <c r="AL49" s="44"/>
      <c r="AM49" s="44"/>
      <c r="AN49" s="44"/>
      <c r="AO49" s="45"/>
      <c r="AP49" s="44"/>
      <c r="AQ49" s="44"/>
      <c r="AR49" s="44"/>
      <c r="AS49" s="44"/>
      <c r="AT49" s="44"/>
      <c r="AU49" s="43"/>
    </row>
    <row r="50" spans="8:49" s="332" customFormat="1" ht="15.95" customHeight="1">
      <c r="H50" s="580" t="s">
        <v>214</v>
      </c>
      <c r="I50" s="580"/>
      <c r="J50" s="581"/>
      <c r="K50" s="416" t="s">
        <v>213</v>
      </c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514" t="s">
        <v>212</v>
      </c>
      <c r="W50" s="515"/>
      <c r="X50" s="516"/>
      <c r="Y50" s="582" t="s">
        <v>1</v>
      </c>
      <c r="Z50" s="583"/>
      <c r="AA50" s="175">
        <v>1.0016099999999999</v>
      </c>
      <c r="AB50" s="415">
        <v>0</v>
      </c>
      <c r="AC50" s="175">
        <v>1.0016099999999999</v>
      </c>
      <c r="AD50" s="175">
        <v>1.0016099999999999</v>
      </c>
      <c r="AE50" s="415">
        <v>0</v>
      </c>
      <c r="AF50" s="415">
        <v>0</v>
      </c>
      <c r="AG50" s="108" t="s">
        <v>204</v>
      </c>
      <c r="AH50" s="61"/>
      <c r="AI50" s="61"/>
      <c r="AJ50" s="61"/>
      <c r="AK50" s="46"/>
      <c r="AL50" s="46"/>
      <c r="AM50" s="46"/>
      <c r="AN50" s="46"/>
      <c r="AO50" s="108"/>
      <c r="AP50" s="46"/>
      <c r="AQ50" s="46"/>
      <c r="AR50" s="46"/>
      <c r="AS50" s="46"/>
      <c r="AT50" s="46"/>
      <c r="AU50" s="218"/>
    </row>
    <row r="51" spans="8:49" s="332" customFormat="1" ht="15.95" customHeight="1" thickBot="1">
      <c r="H51" s="591" t="s">
        <v>207</v>
      </c>
      <c r="I51" s="591"/>
      <c r="J51" s="592"/>
      <c r="K51" s="25" t="s">
        <v>206</v>
      </c>
      <c r="L51" s="24"/>
      <c r="M51" s="24"/>
      <c r="N51" s="24"/>
      <c r="O51" s="24"/>
      <c r="P51" s="24"/>
      <c r="Q51" s="24"/>
      <c r="R51" s="24"/>
      <c r="S51" s="24"/>
      <c r="T51" s="24"/>
      <c r="U51" s="92"/>
      <c r="V51" s="593" t="s">
        <v>205</v>
      </c>
      <c r="W51" s="594"/>
      <c r="X51" s="595"/>
      <c r="Y51" s="593" t="s">
        <v>1</v>
      </c>
      <c r="Z51" s="595"/>
      <c r="AA51" s="302">
        <v>1.0016099999999999</v>
      </c>
      <c r="AB51" s="23">
        <v>0</v>
      </c>
      <c r="AC51" s="414">
        <v>1.0016099999999999</v>
      </c>
      <c r="AD51" s="414">
        <v>1.0016099999999999</v>
      </c>
      <c r="AE51" s="23">
        <v>0</v>
      </c>
      <c r="AF51" s="23">
        <v>0</v>
      </c>
      <c r="AG51" s="95" t="s">
        <v>204</v>
      </c>
      <c r="AH51" s="21"/>
      <c r="AI51" s="21"/>
      <c r="AJ51" s="21"/>
      <c r="AK51" s="21"/>
      <c r="AL51" s="21"/>
      <c r="AM51" s="21"/>
      <c r="AN51" s="21"/>
      <c r="AO51" s="22"/>
      <c r="AP51" s="21"/>
      <c r="AQ51" s="21"/>
      <c r="AR51" s="21"/>
      <c r="AS51" s="21"/>
      <c r="AT51" s="21"/>
      <c r="AU51" s="20"/>
    </row>
    <row r="52" spans="8:49" ht="15.95" customHeight="1" thickBot="1">
      <c r="H52" s="205"/>
      <c r="I52" s="204"/>
      <c r="J52" s="204"/>
      <c r="K52" s="93"/>
      <c r="L52" s="93"/>
      <c r="M52" s="93"/>
      <c r="N52" s="93"/>
      <c r="O52" s="100"/>
      <c r="P52" s="100"/>
      <c r="Q52" s="100"/>
      <c r="R52" s="100"/>
      <c r="S52" s="100"/>
      <c r="T52" s="100"/>
      <c r="U52" s="100"/>
      <c r="V52" s="93"/>
      <c r="W52" s="100"/>
      <c r="X52" s="100"/>
      <c r="Y52" s="100"/>
      <c r="Z52" s="100"/>
      <c r="AA52" s="15"/>
      <c r="AB52" s="100"/>
      <c r="AC52" s="100"/>
      <c r="AD52" s="15"/>
      <c r="AE52" s="100"/>
      <c r="AF52" s="100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202"/>
    </row>
    <row r="53" spans="8:49" ht="15.95" customHeight="1" thickBot="1">
      <c r="H53" s="596" t="s">
        <v>294</v>
      </c>
      <c r="I53" s="596"/>
      <c r="J53" s="596"/>
      <c r="K53" s="596"/>
      <c r="L53" s="596"/>
      <c r="M53" s="596"/>
      <c r="N53" s="596"/>
      <c r="O53" s="596"/>
      <c r="P53" s="596"/>
      <c r="Q53" s="596"/>
      <c r="R53" s="596"/>
      <c r="S53" s="596"/>
      <c r="T53" s="596"/>
      <c r="U53" s="596"/>
      <c r="V53" s="596"/>
      <c r="W53" s="596"/>
      <c r="X53" s="596"/>
      <c r="Y53" s="596"/>
      <c r="Z53" s="596"/>
      <c r="AA53" s="596"/>
      <c r="AB53" s="596"/>
      <c r="AC53" s="596"/>
      <c r="AD53" s="596"/>
      <c r="AE53" s="596"/>
      <c r="AF53" s="596"/>
      <c r="AG53" s="596"/>
      <c r="AH53" s="596"/>
      <c r="AI53" s="596"/>
      <c r="AJ53" s="596"/>
      <c r="AK53" s="596"/>
      <c r="AL53" s="596"/>
      <c r="AM53" s="596"/>
      <c r="AN53" s="596"/>
      <c r="AO53" s="596"/>
      <c r="AP53" s="596"/>
      <c r="AQ53" s="596"/>
      <c r="AR53" s="596"/>
      <c r="AS53" s="596"/>
      <c r="AT53" s="596"/>
      <c r="AU53" s="597"/>
      <c r="AV53" s="340"/>
      <c r="AW53" s="340"/>
    </row>
    <row r="54" spans="8:49" ht="15.95" customHeight="1" thickBot="1">
      <c r="H54" s="526" t="s">
        <v>18</v>
      </c>
      <c r="I54" s="526"/>
      <c r="J54" s="527"/>
      <c r="K54" s="530" t="s">
        <v>17</v>
      </c>
      <c r="L54" s="531"/>
      <c r="M54" s="531"/>
      <c r="N54" s="531"/>
      <c r="O54" s="531"/>
      <c r="P54" s="531"/>
      <c r="Q54" s="531"/>
      <c r="R54" s="531"/>
      <c r="S54" s="531"/>
      <c r="T54" s="531"/>
      <c r="U54" s="531"/>
      <c r="V54" s="534" t="s">
        <v>16</v>
      </c>
      <c r="W54" s="535"/>
      <c r="X54" s="535"/>
      <c r="Y54" s="530" t="s">
        <v>15</v>
      </c>
      <c r="Z54" s="538"/>
      <c r="AA54" s="59" t="str">
        <f t="shared" ref="AA54:AF55" si="0">+AA22</f>
        <v>FG573-JINHEc</v>
      </c>
      <c r="AB54" s="59" t="str">
        <f t="shared" si="0"/>
        <v>FG591-FASa</v>
      </c>
      <c r="AC54" s="59" t="str">
        <f t="shared" si="0"/>
        <v>FG592-FASa</v>
      </c>
      <c r="AD54" s="59" t="str">
        <f t="shared" si="0"/>
        <v>FG601-FASTc</v>
      </c>
      <c r="AE54" s="59" t="str">
        <f t="shared" si="0"/>
        <v>FG623-JINHEc</v>
      </c>
      <c r="AF54" s="59" t="str">
        <f t="shared" si="0"/>
        <v>FG616-JINHEa</v>
      </c>
      <c r="AG54" s="540" t="s">
        <v>14</v>
      </c>
      <c r="AH54" s="541"/>
      <c r="AI54" s="541"/>
      <c r="AJ54" s="541"/>
      <c r="AK54" s="541"/>
      <c r="AL54" s="541"/>
      <c r="AM54" s="541"/>
      <c r="AN54" s="542"/>
      <c r="AO54" s="530" t="s">
        <v>13</v>
      </c>
      <c r="AP54" s="531"/>
      <c r="AQ54" s="531"/>
      <c r="AR54" s="531"/>
      <c r="AS54" s="531"/>
      <c r="AT54" s="531"/>
      <c r="AU54" s="546"/>
      <c r="AV54" s="340"/>
      <c r="AW54" s="340"/>
    </row>
    <row r="55" spans="8:49" ht="15.95" customHeight="1" thickBot="1">
      <c r="H55" s="528"/>
      <c r="I55" s="528"/>
      <c r="J55" s="529"/>
      <c r="K55" s="532"/>
      <c r="L55" s="533"/>
      <c r="M55" s="533"/>
      <c r="N55" s="533"/>
      <c r="O55" s="533"/>
      <c r="P55" s="533"/>
      <c r="Q55" s="533"/>
      <c r="R55" s="533"/>
      <c r="S55" s="533"/>
      <c r="T55" s="533"/>
      <c r="U55" s="533"/>
      <c r="V55" s="536"/>
      <c r="W55" s="537"/>
      <c r="X55" s="537"/>
      <c r="Y55" s="532"/>
      <c r="Z55" s="539"/>
      <c r="AA55" s="56" t="str">
        <f t="shared" si="0"/>
        <v>84*</v>
      </c>
      <c r="AB55" s="56" t="str">
        <f t="shared" si="0"/>
        <v>9C*</v>
      </c>
      <c r="AC55" s="56" t="str">
        <f t="shared" si="0"/>
        <v>9D*</v>
      </c>
      <c r="AD55" s="56" t="str">
        <f t="shared" si="0"/>
        <v>9E*</v>
      </c>
      <c r="AE55" s="56" t="str">
        <f t="shared" si="0"/>
        <v>9W*</v>
      </c>
      <c r="AF55" s="56" t="str">
        <f t="shared" si="0"/>
        <v>9S*</v>
      </c>
      <c r="AG55" s="543"/>
      <c r="AH55" s="544"/>
      <c r="AI55" s="544"/>
      <c r="AJ55" s="544"/>
      <c r="AK55" s="544"/>
      <c r="AL55" s="544"/>
      <c r="AM55" s="544"/>
      <c r="AN55" s="545"/>
      <c r="AO55" s="532"/>
      <c r="AP55" s="533"/>
      <c r="AQ55" s="533"/>
      <c r="AR55" s="533"/>
      <c r="AS55" s="533"/>
      <c r="AT55" s="533"/>
      <c r="AU55" s="547"/>
    </row>
    <row r="56" spans="8:49" s="332" customFormat="1" ht="15.75" customHeight="1" thickTop="1">
      <c r="H56" s="34" t="s">
        <v>293</v>
      </c>
      <c r="I56" s="34"/>
      <c r="J56" s="359"/>
      <c r="K56" s="413" t="s">
        <v>292</v>
      </c>
      <c r="L56" s="28"/>
      <c r="M56" s="28"/>
      <c r="N56" s="28"/>
      <c r="O56" s="28"/>
      <c r="P56" s="28"/>
      <c r="Q56" s="126"/>
      <c r="R56" s="126"/>
      <c r="S56" s="126"/>
      <c r="T56" s="126"/>
      <c r="U56" s="126"/>
      <c r="V56" s="598" t="s">
        <v>291</v>
      </c>
      <c r="W56" s="599"/>
      <c r="X56" s="599"/>
      <c r="Y56" s="157"/>
      <c r="Z56" s="157"/>
      <c r="AA56" s="157"/>
      <c r="AB56" s="157"/>
      <c r="AC56" s="157"/>
      <c r="AD56" s="157"/>
      <c r="AE56" s="157"/>
      <c r="AF56" s="335"/>
      <c r="AG56" s="78" t="s">
        <v>161</v>
      </c>
      <c r="AH56" s="61"/>
      <c r="AI56" s="1"/>
      <c r="AJ56" s="61"/>
      <c r="AK56" s="61"/>
      <c r="AL56" s="61"/>
      <c r="AM56" s="61"/>
      <c r="AN56" s="61"/>
      <c r="AO56" s="78"/>
      <c r="AP56" s="61"/>
      <c r="AQ56" s="61"/>
      <c r="AR56" s="61"/>
      <c r="AS56" s="61"/>
      <c r="AT56" s="61"/>
      <c r="AU56" s="60"/>
    </row>
    <row r="57" spans="8:49" s="332" customFormat="1" ht="15.95" customHeight="1" thickBot="1">
      <c r="H57" s="168"/>
      <c r="I57" s="215" t="s">
        <v>290</v>
      </c>
      <c r="J57" s="334"/>
      <c r="K57" s="355" t="s">
        <v>289</v>
      </c>
      <c r="L57" s="21"/>
      <c r="M57" s="21"/>
      <c r="N57" s="21"/>
      <c r="O57" s="21"/>
      <c r="P57" s="21"/>
      <c r="Q57" s="24"/>
      <c r="R57" s="24"/>
      <c r="S57" s="24"/>
      <c r="T57" s="24"/>
      <c r="U57" s="24"/>
      <c r="V57" s="374"/>
      <c r="W57" s="373"/>
      <c r="X57" s="373"/>
      <c r="Y57" s="589" t="s">
        <v>35</v>
      </c>
      <c r="Z57" s="590"/>
      <c r="AA57" s="300">
        <v>4.0340000000000001E-2</v>
      </c>
      <c r="AB57" s="300">
        <v>4.0340000000000001E-2</v>
      </c>
      <c r="AC57" s="300">
        <v>4.0340000000000001E-2</v>
      </c>
      <c r="AD57" s="300">
        <v>4.0340000000000001E-2</v>
      </c>
      <c r="AE57" s="300">
        <v>4.0340000000000001E-2</v>
      </c>
      <c r="AF57" s="300">
        <v>4.0340000000000001E-2</v>
      </c>
      <c r="AG57" s="22" t="s">
        <v>66</v>
      </c>
      <c r="AH57" s="21"/>
      <c r="AI57" s="132"/>
      <c r="AJ57" s="21"/>
      <c r="AK57" s="21"/>
      <c r="AL57" s="21"/>
      <c r="AM57" s="21"/>
      <c r="AN57" s="21"/>
      <c r="AO57" s="22"/>
      <c r="AP57" s="21"/>
      <c r="AQ57" s="21"/>
      <c r="AR57" s="21"/>
      <c r="AS57" s="21"/>
      <c r="AT57" s="21"/>
      <c r="AU57" s="20"/>
    </row>
    <row r="58" spans="8:49" s="412" customFormat="1" ht="15.75" customHeight="1">
      <c r="H58" s="34" t="s">
        <v>288</v>
      </c>
      <c r="I58" s="34"/>
      <c r="J58" s="359"/>
      <c r="K58" s="220" t="s">
        <v>287</v>
      </c>
      <c r="L58" s="28"/>
      <c r="M58" s="28"/>
      <c r="N58" s="28"/>
      <c r="O58" s="28"/>
      <c r="P58" s="28"/>
      <c r="Q58" s="126"/>
      <c r="R58" s="126"/>
      <c r="S58" s="126"/>
      <c r="T58" s="126"/>
      <c r="U58" s="126"/>
      <c r="V58" s="587" t="s">
        <v>286</v>
      </c>
      <c r="W58" s="588"/>
      <c r="X58" s="588"/>
      <c r="Y58" s="157"/>
      <c r="Z58" s="157"/>
      <c r="AA58" s="307"/>
      <c r="AB58" s="307"/>
      <c r="AC58" s="307"/>
      <c r="AD58" s="307"/>
      <c r="AE58" s="307"/>
      <c r="AF58" s="307"/>
      <c r="AG58" s="78" t="s">
        <v>161</v>
      </c>
      <c r="AH58" s="61"/>
      <c r="AI58" s="1"/>
      <c r="AJ58" s="61"/>
      <c r="AK58" s="61"/>
      <c r="AL58" s="61"/>
      <c r="AM58" s="61"/>
      <c r="AN58" s="61"/>
      <c r="AO58" s="78"/>
      <c r="AP58" s="61"/>
      <c r="AQ58" s="61"/>
      <c r="AR58" s="61"/>
      <c r="AS58" s="61"/>
      <c r="AT58" s="61"/>
      <c r="AU58" s="60"/>
    </row>
    <row r="59" spans="8:49" s="412" customFormat="1" ht="15.95" customHeight="1" thickBot="1">
      <c r="H59" s="255"/>
      <c r="I59" s="215" t="s">
        <v>53</v>
      </c>
      <c r="J59" s="408"/>
      <c r="K59" s="385" t="s">
        <v>52</v>
      </c>
      <c r="L59" s="21"/>
      <c r="M59" s="37"/>
      <c r="N59" s="21"/>
      <c r="O59" s="21"/>
      <c r="P59" s="21"/>
      <c r="Q59" s="24"/>
      <c r="R59" s="24"/>
      <c r="S59" s="24"/>
      <c r="T59" s="24"/>
      <c r="U59" s="24"/>
      <c r="V59" s="374"/>
      <c r="W59" s="373"/>
      <c r="X59" s="373"/>
      <c r="Y59" s="589" t="s">
        <v>35</v>
      </c>
      <c r="Z59" s="590"/>
      <c r="AA59" s="300">
        <v>4.7980000000000002E-2</v>
      </c>
      <c r="AB59" s="300">
        <v>4.7980000000000002E-2</v>
      </c>
      <c r="AC59" s="300">
        <v>4.7980000000000002E-2</v>
      </c>
      <c r="AD59" s="300">
        <v>4.7980000000000002E-2</v>
      </c>
      <c r="AE59" s="300">
        <v>4.7980000000000002E-2</v>
      </c>
      <c r="AF59" s="300">
        <v>4.7980000000000002E-2</v>
      </c>
      <c r="AG59" s="22" t="s">
        <v>40</v>
      </c>
      <c r="AH59" s="21"/>
      <c r="AI59" s="132"/>
      <c r="AJ59" s="21"/>
      <c r="AK59" s="21"/>
      <c r="AL59" s="21"/>
      <c r="AM59" s="21"/>
      <c r="AN59" s="21"/>
      <c r="AO59" s="22"/>
      <c r="AP59" s="21"/>
      <c r="AQ59" s="21"/>
      <c r="AR59" s="21"/>
      <c r="AS59" s="21"/>
      <c r="AT59" s="21"/>
      <c r="AU59" s="20"/>
    </row>
    <row r="60" spans="8:49" s="412" customFormat="1" ht="15.75" customHeight="1">
      <c r="H60" s="34" t="s">
        <v>285</v>
      </c>
      <c r="I60" s="34"/>
      <c r="J60" s="359"/>
      <c r="K60" s="220" t="s">
        <v>284</v>
      </c>
      <c r="L60" s="28"/>
      <c r="M60" s="28"/>
      <c r="N60" s="28"/>
      <c r="O60" s="28"/>
      <c r="P60" s="28"/>
      <c r="Q60" s="126"/>
      <c r="R60" s="126"/>
      <c r="S60" s="126"/>
      <c r="T60" s="126"/>
      <c r="U60" s="126"/>
      <c r="V60" s="587" t="s">
        <v>283</v>
      </c>
      <c r="W60" s="588"/>
      <c r="X60" s="588"/>
      <c r="Y60" s="157"/>
      <c r="Z60" s="157"/>
      <c r="AA60" s="307"/>
      <c r="AB60" s="307"/>
      <c r="AC60" s="307"/>
      <c r="AD60" s="307"/>
      <c r="AE60" s="307"/>
      <c r="AF60" s="307"/>
      <c r="AG60" s="78" t="s">
        <v>161</v>
      </c>
      <c r="AH60" s="61"/>
      <c r="AI60" s="1"/>
      <c r="AJ60" s="61"/>
      <c r="AK60" s="61"/>
      <c r="AL60" s="61"/>
      <c r="AM60" s="61"/>
      <c r="AN60" s="61"/>
      <c r="AO60" s="78"/>
      <c r="AP60" s="61"/>
      <c r="AQ60" s="61"/>
      <c r="AR60" s="61"/>
      <c r="AS60" s="61"/>
      <c r="AT60" s="61"/>
      <c r="AU60" s="60"/>
    </row>
    <row r="61" spans="8:49" s="412" customFormat="1" ht="15.95" customHeight="1" thickBot="1">
      <c r="H61" s="255"/>
      <c r="I61" s="600" t="s">
        <v>279</v>
      </c>
      <c r="J61" s="601"/>
      <c r="K61" s="379" t="s">
        <v>278</v>
      </c>
      <c r="L61" s="37"/>
      <c r="M61" s="37"/>
      <c r="N61" s="21"/>
      <c r="O61" s="21"/>
      <c r="P61" s="21"/>
      <c r="Q61" s="24"/>
      <c r="R61" s="24"/>
      <c r="S61" s="24"/>
      <c r="T61" s="24"/>
      <c r="U61" s="24"/>
      <c r="V61" s="374"/>
      <c r="W61" s="373"/>
      <c r="X61" s="373"/>
      <c r="Y61" s="589" t="s">
        <v>35</v>
      </c>
      <c r="Z61" s="590"/>
      <c r="AA61" s="300">
        <v>3.3619999999999997E-2</v>
      </c>
      <c r="AB61" s="300">
        <v>3.3619999999999997E-2</v>
      </c>
      <c r="AC61" s="300">
        <v>3.3619999999999997E-2</v>
      </c>
      <c r="AD61" s="300">
        <v>3.3619999999999997E-2</v>
      </c>
      <c r="AE61" s="300">
        <v>3.3619999999999997E-2</v>
      </c>
      <c r="AF61" s="300">
        <v>3.3619999999999997E-2</v>
      </c>
      <c r="AG61" s="22" t="s">
        <v>66</v>
      </c>
      <c r="AH61" s="21"/>
      <c r="AI61" s="132"/>
      <c r="AJ61" s="21"/>
      <c r="AK61" s="21"/>
      <c r="AL61" s="21"/>
      <c r="AM61" s="21"/>
      <c r="AN61" s="21"/>
      <c r="AO61" s="22"/>
      <c r="AP61" s="21"/>
      <c r="AQ61" s="21"/>
      <c r="AR61" s="21"/>
      <c r="AS61" s="21"/>
      <c r="AT61" s="21"/>
      <c r="AU61" s="20"/>
    </row>
    <row r="62" spans="8:49" s="412" customFormat="1" ht="15.75" customHeight="1">
      <c r="H62" s="34" t="s">
        <v>282</v>
      </c>
      <c r="I62" s="34"/>
      <c r="J62" s="359"/>
      <c r="K62" s="266" t="s">
        <v>281</v>
      </c>
      <c r="L62" s="28"/>
      <c r="M62" s="28"/>
      <c r="N62" s="28"/>
      <c r="O62" s="28"/>
      <c r="P62" s="28"/>
      <c r="Q62" s="126"/>
      <c r="R62" s="126"/>
      <c r="S62" s="126"/>
      <c r="T62" s="126"/>
      <c r="U62" s="126"/>
      <c r="V62" s="587" t="s">
        <v>280</v>
      </c>
      <c r="W62" s="588"/>
      <c r="X62" s="588"/>
      <c r="Y62" s="157"/>
      <c r="Z62" s="157"/>
      <c r="AA62" s="307"/>
      <c r="AB62" s="307"/>
      <c r="AC62" s="307"/>
      <c r="AD62" s="307"/>
      <c r="AE62" s="307"/>
      <c r="AF62" s="307"/>
      <c r="AG62" s="78" t="s">
        <v>161</v>
      </c>
      <c r="AH62" s="61"/>
      <c r="AI62" s="1"/>
      <c r="AJ62" s="61"/>
      <c r="AK62" s="61"/>
      <c r="AL62" s="61"/>
      <c r="AM62" s="61"/>
      <c r="AN62" s="61"/>
      <c r="AO62" s="78"/>
      <c r="AP62" s="61"/>
      <c r="AQ62" s="61"/>
      <c r="AR62" s="61"/>
      <c r="AS62" s="61"/>
      <c r="AT62" s="61"/>
      <c r="AU62" s="60"/>
    </row>
    <row r="63" spans="8:49" s="412" customFormat="1" ht="15.95" customHeight="1" thickBot="1">
      <c r="H63" s="255"/>
      <c r="I63" s="600" t="s">
        <v>279</v>
      </c>
      <c r="J63" s="601"/>
      <c r="K63" s="379" t="s">
        <v>278</v>
      </c>
      <c r="L63" s="37"/>
      <c r="M63" s="37"/>
      <c r="N63" s="21"/>
      <c r="O63" s="21"/>
      <c r="P63" s="21"/>
      <c r="Q63" s="24"/>
      <c r="R63" s="24"/>
      <c r="S63" s="24"/>
      <c r="T63" s="24"/>
      <c r="U63" s="24"/>
      <c r="V63" s="374"/>
      <c r="W63" s="373"/>
      <c r="X63" s="373"/>
      <c r="Y63" s="589" t="s">
        <v>35</v>
      </c>
      <c r="Z63" s="590"/>
      <c r="AA63" s="384">
        <v>1.005E-2</v>
      </c>
      <c r="AB63" s="384">
        <v>1.005E-2</v>
      </c>
      <c r="AC63" s="384">
        <v>1.005E-2</v>
      </c>
      <c r="AD63" s="384">
        <v>1.005E-2</v>
      </c>
      <c r="AE63" s="384">
        <v>1.005E-2</v>
      </c>
      <c r="AF63" s="384">
        <v>1.005E-2</v>
      </c>
      <c r="AG63" s="22" t="s">
        <v>66</v>
      </c>
      <c r="AH63" s="21"/>
      <c r="AI63" s="132"/>
      <c r="AJ63" s="21"/>
      <c r="AK63" s="21"/>
      <c r="AL63" s="21"/>
      <c r="AM63" s="21"/>
      <c r="AN63" s="21"/>
      <c r="AO63" s="22"/>
      <c r="AP63" s="21"/>
      <c r="AQ63" s="21"/>
      <c r="AR63" s="21"/>
      <c r="AS63" s="21"/>
      <c r="AT63" s="21"/>
      <c r="AU63" s="20"/>
    </row>
    <row r="64" spans="8:49" s="332" customFormat="1" ht="15.75" customHeight="1">
      <c r="H64" s="411" t="s">
        <v>277</v>
      </c>
      <c r="I64" s="411"/>
      <c r="J64" s="410"/>
      <c r="K64" s="409" t="s">
        <v>276</v>
      </c>
      <c r="L64" s="28"/>
      <c r="M64" s="28"/>
      <c r="N64" s="28"/>
      <c r="O64" s="28"/>
      <c r="P64" s="28"/>
      <c r="Q64" s="126"/>
      <c r="R64" s="126"/>
      <c r="S64" s="126"/>
      <c r="T64" s="126"/>
      <c r="U64" s="126"/>
      <c r="V64" s="587" t="s">
        <v>275</v>
      </c>
      <c r="W64" s="588"/>
      <c r="X64" s="588"/>
      <c r="Y64" s="157"/>
      <c r="Z64" s="157"/>
      <c r="AA64" s="157"/>
      <c r="AB64" s="157"/>
      <c r="AC64" s="157"/>
      <c r="AD64" s="157"/>
      <c r="AE64" s="157"/>
      <c r="AF64" s="157"/>
      <c r="AG64" s="78" t="s">
        <v>161</v>
      </c>
      <c r="AH64" s="61"/>
      <c r="AI64" s="1"/>
      <c r="AJ64" s="61"/>
      <c r="AK64" s="61"/>
      <c r="AL64" s="61"/>
      <c r="AM64" s="61"/>
      <c r="AN64" s="61"/>
      <c r="AO64" s="78"/>
      <c r="AP64" s="61"/>
      <c r="AQ64" s="61"/>
      <c r="AR64" s="61"/>
      <c r="AS64" s="61"/>
      <c r="AT64" s="61"/>
      <c r="AU64" s="60"/>
    </row>
    <row r="65" spans="8:49" s="332" customFormat="1" ht="15.95" customHeight="1" thickBot="1">
      <c r="H65" s="404"/>
      <c r="I65" s="215" t="s">
        <v>53</v>
      </c>
      <c r="J65" s="408"/>
      <c r="K65" s="385" t="s">
        <v>52</v>
      </c>
      <c r="L65" s="21"/>
      <c r="M65" s="21"/>
      <c r="N65" s="21"/>
      <c r="O65" s="21"/>
      <c r="P65" s="21"/>
      <c r="Q65" s="24"/>
      <c r="R65" s="24"/>
      <c r="S65" s="24"/>
      <c r="T65" s="24"/>
      <c r="U65" s="24"/>
      <c r="V65" s="374"/>
      <c r="W65" s="373"/>
      <c r="X65" s="373"/>
      <c r="Y65" s="589" t="s">
        <v>35</v>
      </c>
      <c r="Z65" s="590"/>
      <c r="AA65" s="384">
        <v>5.5960000000000003E-3</v>
      </c>
      <c r="AB65" s="384">
        <v>5.5960000000000003E-3</v>
      </c>
      <c r="AC65" s="384">
        <v>5.5960000000000003E-3</v>
      </c>
      <c r="AD65" s="384">
        <v>5.5960000000000003E-3</v>
      </c>
      <c r="AE65" s="384">
        <v>5.5960000000000003E-3</v>
      </c>
      <c r="AF65" s="384">
        <v>5.5960000000000003E-3</v>
      </c>
      <c r="AG65" s="22" t="s">
        <v>40</v>
      </c>
      <c r="AH65" s="21"/>
      <c r="AI65" s="132"/>
      <c r="AJ65" s="21"/>
      <c r="AK65" s="21"/>
      <c r="AL65" s="21"/>
      <c r="AM65" s="21"/>
      <c r="AN65" s="21"/>
      <c r="AO65" s="22"/>
      <c r="AP65" s="21"/>
      <c r="AQ65" s="21"/>
      <c r="AR65" s="21"/>
      <c r="AS65" s="21"/>
      <c r="AT65" s="21"/>
      <c r="AU65" s="20"/>
    </row>
    <row r="66" spans="8:49" s="332" customFormat="1" ht="15.75" customHeight="1">
      <c r="H66" s="407" t="s">
        <v>274</v>
      </c>
      <c r="I66" s="407"/>
      <c r="J66" s="406"/>
      <c r="K66" s="405" t="s">
        <v>273</v>
      </c>
      <c r="L66" s="46"/>
      <c r="M66" s="46"/>
      <c r="N66" s="28"/>
      <c r="O66" s="28"/>
      <c r="P66" s="28"/>
      <c r="Q66" s="126"/>
      <c r="R66" s="126"/>
      <c r="S66" s="126"/>
      <c r="T66" s="126"/>
      <c r="U66" s="126"/>
      <c r="V66" s="587" t="s">
        <v>272</v>
      </c>
      <c r="W66" s="588"/>
      <c r="X66" s="588"/>
      <c r="Y66" s="157"/>
      <c r="Z66" s="157"/>
      <c r="AA66" s="157"/>
      <c r="AB66" s="157"/>
      <c r="AC66" s="157"/>
      <c r="AD66" s="157"/>
      <c r="AE66" s="157"/>
      <c r="AF66" s="157"/>
      <c r="AG66" s="78" t="s">
        <v>161</v>
      </c>
      <c r="AH66" s="61"/>
      <c r="AI66" s="1"/>
      <c r="AJ66" s="61"/>
      <c r="AK66" s="61"/>
      <c r="AL66" s="61"/>
      <c r="AM66" s="61"/>
      <c r="AN66" s="61"/>
      <c r="AO66" s="78"/>
      <c r="AP66" s="61"/>
      <c r="AQ66" s="61"/>
      <c r="AR66" s="61"/>
      <c r="AS66" s="61"/>
      <c r="AT66" s="61"/>
      <c r="AU66" s="60"/>
    </row>
    <row r="67" spans="8:49" s="332" customFormat="1" ht="15.95" customHeight="1" thickBot="1">
      <c r="H67" s="404"/>
      <c r="I67" s="215" t="s">
        <v>53</v>
      </c>
      <c r="J67" s="403"/>
      <c r="K67" s="402" t="s">
        <v>52</v>
      </c>
      <c r="L67" s="21"/>
      <c r="M67" s="21"/>
      <c r="N67" s="21"/>
      <c r="O67" s="21"/>
      <c r="P67" s="21"/>
      <c r="Q67" s="24"/>
      <c r="R67" s="24"/>
      <c r="S67" s="24"/>
      <c r="T67" s="24"/>
      <c r="U67" s="24"/>
      <c r="V67" s="374"/>
      <c r="W67" s="373"/>
      <c r="X67" s="373"/>
      <c r="Y67" s="589" t="s">
        <v>35</v>
      </c>
      <c r="Z67" s="590"/>
      <c r="AA67" s="384">
        <v>4.4299999999999999E-3</v>
      </c>
      <c r="AB67" s="384">
        <v>4.4299999999999999E-3</v>
      </c>
      <c r="AC67" s="384">
        <v>4.4299999999999999E-3</v>
      </c>
      <c r="AD67" s="384">
        <v>4.4299999999999999E-3</v>
      </c>
      <c r="AE67" s="384">
        <v>4.4299999999999999E-3</v>
      </c>
      <c r="AF67" s="384">
        <v>4.4299999999999999E-3</v>
      </c>
      <c r="AG67" s="22" t="s">
        <v>40</v>
      </c>
      <c r="AH67" s="21"/>
      <c r="AI67" s="132"/>
      <c r="AJ67" s="21"/>
      <c r="AK67" s="21"/>
      <c r="AL67" s="21"/>
      <c r="AM67" s="21"/>
      <c r="AN67" s="21"/>
      <c r="AO67" s="22"/>
      <c r="AP67" s="21"/>
      <c r="AQ67" s="21"/>
      <c r="AR67" s="21"/>
      <c r="AS67" s="21"/>
      <c r="AT67" s="21"/>
      <c r="AU67" s="20"/>
    </row>
    <row r="68" spans="8:49" s="332" customFormat="1" ht="15.95" customHeight="1">
      <c r="H68" s="401" t="s">
        <v>203</v>
      </c>
      <c r="I68" s="400"/>
      <c r="J68" s="399"/>
      <c r="K68" s="398" t="s">
        <v>202</v>
      </c>
      <c r="L68" s="87"/>
      <c r="M68" s="87"/>
      <c r="N68" s="87"/>
      <c r="O68" s="87"/>
      <c r="P68" s="87"/>
      <c r="Q68" s="88"/>
      <c r="R68" s="88"/>
      <c r="S68" s="88"/>
      <c r="T68" s="88"/>
      <c r="U68" s="88"/>
      <c r="V68" s="602" t="s">
        <v>271</v>
      </c>
      <c r="W68" s="603"/>
      <c r="X68" s="603"/>
      <c r="Y68" s="397"/>
      <c r="Z68" s="397"/>
      <c r="AA68" s="396"/>
      <c r="AB68" s="396"/>
      <c r="AC68" s="396"/>
      <c r="AD68" s="396"/>
      <c r="AE68" s="396"/>
      <c r="AF68" s="396"/>
      <c r="AG68" s="156" t="s">
        <v>161</v>
      </c>
      <c r="AH68" s="87"/>
      <c r="AI68" s="155"/>
      <c r="AJ68" s="87"/>
      <c r="AK68" s="87"/>
      <c r="AL68" s="87"/>
      <c r="AM68" s="87"/>
      <c r="AN68" s="87"/>
      <c r="AO68" s="156"/>
      <c r="AP68" s="87"/>
      <c r="AQ68" s="87"/>
      <c r="AR68" s="87"/>
      <c r="AS68" s="87"/>
      <c r="AT68" s="87"/>
      <c r="AU68" s="395"/>
    </row>
    <row r="69" spans="8:49" s="332" customFormat="1" ht="15.95" customHeight="1" thickBot="1">
      <c r="H69" s="394"/>
      <c r="I69" s="393" t="s">
        <v>42</v>
      </c>
      <c r="J69" s="392"/>
      <c r="K69" s="21" t="s">
        <v>270</v>
      </c>
      <c r="L69" s="21"/>
      <c r="M69" s="21"/>
      <c r="N69" s="21"/>
      <c r="O69" s="21"/>
      <c r="P69" s="21"/>
      <c r="Q69" s="24"/>
      <c r="R69" s="24"/>
      <c r="S69" s="24"/>
      <c r="T69" s="24"/>
      <c r="U69" s="24"/>
      <c r="V69" s="589"/>
      <c r="W69" s="604"/>
      <c r="X69" s="590"/>
      <c r="Y69" s="589" t="s">
        <v>35</v>
      </c>
      <c r="Z69" s="590"/>
      <c r="AA69" s="391">
        <v>1.1900000000000001E-3</v>
      </c>
      <c r="AB69" s="390">
        <v>1.1900000000000001E-3</v>
      </c>
      <c r="AC69" s="390">
        <v>1.1900000000000001E-3</v>
      </c>
      <c r="AD69" s="390">
        <v>1.1900000000000001E-3</v>
      </c>
      <c r="AE69" s="390">
        <v>1.1900000000000001E-3</v>
      </c>
      <c r="AF69" s="390">
        <v>1.1900000000000001E-3</v>
      </c>
      <c r="AG69" s="22" t="s">
        <v>40</v>
      </c>
      <c r="AH69" s="21"/>
      <c r="AI69" s="132"/>
      <c r="AJ69" s="21"/>
      <c r="AK69" s="21"/>
      <c r="AL69" s="21"/>
      <c r="AM69" s="21"/>
      <c r="AN69" s="21"/>
      <c r="AO69" s="22"/>
      <c r="AP69" s="21"/>
      <c r="AQ69" s="21"/>
      <c r="AR69" s="21"/>
      <c r="AS69" s="21"/>
      <c r="AT69" s="21"/>
      <c r="AU69" s="20"/>
    </row>
    <row r="70" spans="8:49" s="332" customFormat="1" ht="15.75" customHeight="1">
      <c r="H70" s="389" t="s">
        <v>269</v>
      </c>
      <c r="I70" s="389"/>
      <c r="J70" s="388"/>
      <c r="K70" s="387" t="s">
        <v>240</v>
      </c>
      <c r="L70" s="46"/>
      <c r="M70" s="46"/>
      <c r="N70" s="46"/>
      <c r="O70" s="46"/>
      <c r="P70" s="46"/>
      <c r="Q70" s="113"/>
      <c r="R70" s="113"/>
      <c r="S70" s="113"/>
      <c r="T70" s="113"/>
      <c r="U70" s="113"/>
      <c r="V70" s="605" t="s">
        <v>239</v>
      </c>
      <c r="W70" s="606"/>
      <c r="X70" s="606"/>
      <c r="Y70" s="368"/>
      <c r="Z70" s="368"/>
      <c r="AA70" s="368"/>
      <c r="AB70" s="368"/>
      <c r="AC70" s="368"/>
      <c r="AD70" s="368"/>
      <c r="AE70" s="368"/>
      <c r="AF70" s="368"/>
      <c r="AG70" s="78" t="s">
        <v>161</v>
      </c>
      <c r="AH70" s="61"/>
      <c r="AI70" s="1"/>
      <c r="AJ70" s="61"/>
      <c r="AK70" s="61"/>
      <c r="AL70" s="61"/>
      <c r="AM70" s="61"/>
      <c r="AN70" s="61"/>
      <c r="AO70" s="78"/>
      <c r="AP70" s="61"/>
      <c r="AQ70" s="61"/>
      <c r="AR70" s="61"/>
      <c r="AS70" s="61"/>
      <c r="AT70" s="61"/>
      <c r="AU70" s="60"/>
    </row>
    <row r="71" spans="8:49" s="332" customFormat="1" ht="15.95" customHeight="1" thickBot="1">
      <c r="H71" s="349"/>
      <c r="I71" s="386" t="s">
        <v>53</v>
      </c>
      <c r="J71" s="334"/>
      <c r="K71" s="385" t="s">
        <v>52</v>
      </c>
      <c r="L71" s="21"/>
      <c r="M71" s="21"/>
      <c r="N71" s="21"/>
      <c r="O71" s="21"/>
      <c r="P71" s="21"/>
      <c r="Q71" s="24"/>
      <c r="R71" s="24"/>
      <c r="S71" s="24"/>
      <c r="T71" s="24"/>
      <c r="U71" s="24"/>
      <c r="V71" s="374"/>
      <c r="W71" s="373"/>
      <c r="X71" s="373"/>
      <c r="Y71" s="589" t="s">
        <v>35</v>
      </c>
      <c r="Z71" s="590"/>
      <c r="AA71" s="384">
        <v>7.4700000000000001E-3</v>
      </c>
      <c r="AB71" s="384">
        <v>7.4700000000000001E-3</v>
      </c>
      <c r="AC71" s="384">
        <v>7.4700000000000001E-3</v>
      </c>
      <c r="AD71" s="384">
        <v>7.4700000000000001E-3</v>
      </c>
      <c r="AE71" s="384">
        <v>7.4700000000000001E-3</v>
      </c>
      <c r="AF71" s="384">
        <v>7.4700000000000001E-3</v>
      </c>
      <c r="AG71" s="607" t="s">
        <v>40</v>
      </c>
      <c r="AH71" s="608"/>
      <c r="AI71" s="608"/>
      <c r="AJ71" s="608"/>
      <c r="AK71" s="608"/>
      <c r="AL71" s="608"/>
      <c r="AM71" s="608"/>
      <c r="AN71" s="609"/>
      <c r="AO71" s="22"/>
      <c r="AP71" s="21"/>
      <c r="AQ71" s="21"/>
      <c r="AR71" s="21"/>
      <c r="AS71" s="21"/>
      <c r="AT71" s="21"/>
      <c r="AU71" s="20"/>
    </row>
    <row r="72" spans="8:49" ht="15.95" customHeight="1" thickBot="1">
      <c r="H72" s="383"/>
      <c r="I72" s="383"/>
      <c r="J72" s="383"/>
      <c r="K72" s="1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382"/>
      <c r="AB72" s="382"/>
      <c r="AC72" s="382"/>
      <c r="AD72" s="382"/>
      <c r="AE72" s="382"/>
      <c r="AF72" s="382"/>
      <c r="AG72" s="382"/>
      <c r="AH72" s="382"/>
      <c r="AI72" s="382"/>
      <c r="AJ72" s="382"/>
      <c r="AK72" s="382"/>
      <c r="AL72" s="382"/>
      <c r="AM72" s="382"/>
      <c r="AN72" s="382"/>
      <c r="AO72" s="5"/>
      <c r="AP72" s="5"/>
      <c r="AQ72" s="5"/>
      <c r="AR72" s="5"/>
      <c r="AS72" s="5"/>
      <c r="AT72" s="5"/>
      <c r="AU72" s="381"/>
    </row>
    <row r="73" spans="8:49" ht="15.95" customHeight="1" thickBot="1">
      <c r="H73" s="596" t="s">
        <v>268</v>
      </c>
      <c r="I73" s="596"/>
      <c r="J73" s="596"/>
      <c r="K73" s="596"/>
      <c r="L73" s="596"/>
      <c r="M73" s="596"/>
      <c r="N73" s="596"/>
      <c r="O73" s="596"/>
      <c r="P73" s="596"/>
      <c r="Q73" s="596"/>
      <c r="R73" s="596"/>
      <c r="S73" s="596"/>
      <c r="T73" s="596"/>
      <c r="U73" s="596"/>
      <c r="V73" s="596"/>
      <c r="W73" s="596"/>
      <c r="X73" s="596"/>
      <c r="Y73" s="596"/>
      <c r="Z73" s="596"/>
      <c r="AA73" s="596"/>
      <c r="AB73" s="596"/>
      <c r="AC73" s="596"/>
      <c r="AD73" s="596"/>
      <c r="AE73" s="596"/>
      <c r="AF73" s="596"/>
      <c r="AG73" s="596"/>
      <c r="AH73" s="596"/>
      <c r="AI73" s="596"/>
      <c r="AJ73" s="596"/>
      <c r="AK73" s="596"/>
      <c r="AL73" s="596"/>
      <c r="AM73" s="596"/>
      <c r="AN73" s="596"/>
      <c r="AO73" s="596"/>
      <c r="AP73" s="596"/>
      <c r="AQ73" s="596"/>
      <c r="AR73" s="596"/>
      <c r="AS73" s="596"/>
      <c r="AT73" s="596"/>
      <c r="AU73" s="597"/>
      <c r="AV73" s="340"/>
      <c r="AW73" s="340"/>
    </row>
    <row r="74" spans="8:49" ht="15.95" customHeight="1" thickBot="1">
      <c r="H74" s="526" t="s">
        <v>18</v>
      </c>
      <c r="I74" s="526"/>
      <c r="J74" s="527"/>
      <c r="K74" s="530" t="s">
        <v>267</v>
      </c>
      <c r="L74" s="531"/>
      <c r="M74" s="531"/>
      <c r="N74" s="531"/>
      <c r="O74" s="531"/>
      <c r="P74" s="531"/>
      <c r="Q74" s="531"/>
      <c r="R74" s="531"/>
      <c r="S74" s="531"/>
      <c r="T74" s="531"/>
      <c r="U74" s="531"/>
      <c r="V74" s="534" t="s">
        <v>16</v>
      </c>
      <c r="W74" s="535"/>
      <c r="X74" s="610"/>
      <c r="Y74" s="530" t="s">
        <v>15</v>
      </c>
      <c r="Z74" s="538"/>
      <c r="AA74" s="59" t="str">
        <f t="shared" ref="AA74:AF75" si="1">+AA54</f>
        <v>FG573-JINHEc</v>
      </c>
      <c r="AB74" s="59" t="str">
        <f t="shared" si="1"/>
        <v>FG591-FASa</v>
      </c>
      <c r="AC74" s="59" t="str">
        <f t="shared" si="1"/>
        <v>FG592-FASa</v>
      </c>
      <c r="AD74" s="59" t="str">
        <f t="shared" si="1"/>
        <v>FG601-FASTc</v>
      </c>
      <c r="AE74" s="59" t="str">
        <f t="shared" si="1"/>
        <v>FG623-JINHEc</v>
      </c>
      <c r="AF74" s="59" t="str">
        <f t="shared" si="1"/>
        <v>FG616-JINHEa</v>
      </c>
      <c r="AG74" s="540" t="s">
        <v>14</v>
      </c>
      <c r="AH74" s="541"/>
      <c r="AI74" s="541"/>
      <c r="AJ74" s="541"/>
      <c r="AK74" s="541"/>
      <c r="AL74" s="541"/>
      <c r="AM74" s="541"/>
      <c r="AN74" s="542"/>
      <c r="AO74" s="530" t="s">
        <v>13</v>
      </c>
      <c r="AP74" s="531"/>
      <c r="AQ74" s="531"/>
      <c r="AR74" s="531"/>
      <c r="AS74" s="531"/>
      <c r="AT74" s="531"/>
      <c r="AU74" s="546"/>
      <c r="AV74" s="340"/>
      <c r="AW74" s="340"/>
    </row>
    <row r="75" spans="8:49" ht="15.95" customHeight="1" thickBot="1">
      <c r="H75" s="528"/>
      <c r="I75" s="528"/>
      <c r="J75" s="529"/>
      <c r="K75" s="532"/>
      <c r="L75" s="533"/>
      <c r="M75" s="533"/>
      <c r="N75" s="533"/>
      <c r="O75" s="533"/>
      <c r="P75" s="533"/>
      <c r="Q75" s="533"/>
      <c r="R75" s="533"/>
      <c r="S75" s="533"/>
      <c r="T75" s="533"/>
      <c r="U75" s="533"/>
      <c r="V75" s="536"/>
      <c r="W75" s="537"/>
      <c r="X75" s="611"/>
      <c r="Y75" s="532"/>
      <c r="Z75" s="539"/>
      <c r="AA75" s="56" t="str">
        <f t="shared" si="1"/>
        <v>84*</v>
      </c>
      <c r="AB75" s="56" t="str">
        <f t="shared" si="1"/>
        <v>9C*</v>
      </c>
      <c r="AC75" s="56" t="str">
        <f t="shared" si="1"/>
        <v>9D*</v>
      </c>
      <c r="AD75" s="56" t="str">
        <f t="shared" si="1"/>
        <v>9E*</v>
      </c>
      <c r="AE75" s="56" t="str">
        <f t="shared" si="1"/>
        <v>9W*</v>
      </c>
      <c r="AF75" s="56" t="str">
        <f t="shared" si="1"/>
        <v>9S*</v>
      </c>
      <c r="AG75" s="543"/>
      <c r="AH75" s="544"/>
      <c r="AI75" s="544"/>
      <c r="AJ75" s="544"/>
      <c r="AK75" s="544"/>
      <c r="AL75" s="544"/>
      <c r="AM75" s="544"/>
      <c r="AN75" s="545"/>
      <c r="AO75" s="532"/>
      <c r="AP75" s="533"/>
      <c r="AQ75" s="533"/>
      <c r="AR75" s="533"/>
      <c r="AS75" s="533"/>
      <c r="AT75" s="533"/>
      <c r="AU75" s="547"/>
    </row>
    <row r="76" spans="8:49" ht="15.75" customHeight="1" thickTop="1">
      <c r="H76" s="615" t="s">
        <v>266</v>
      </c>
      <c r="I76" s="615"/>
      <c r="J76" s="618"/>
      <c r="K76" s="380" t="s">
        <v>251</v>
      </c>
      <c r="L76" s="28"/>
      <c r="M76" s="28"/>
      <c r="N76" s="28"/>
      <c r="O76" s="28"/>
      <c r="P76" s="28"/>
      <c r="Q76" s="126"/>
      <c r="R76" s="126"/>
      <c r="S76" s="126"/>
      <c r="T76" s="126"/>
      <c r="U76" s="126"/>
      <c r="V76" s="619" t="s">
        <v>170</v>
      </c>
      <c r="W76" s="619"/>
      <c r="X76" s="619"/>
      <c r="Y76" s="157"/>
      <c r="Z76" s="157"/>
      <c r="AA76" s="157"/>
      <c r="AB76" s="157"/>
      <c r="AC76" s="157"/>
      <c r="AD76" s="157"/>
      <c r="AE76" s="157"/>
      <c r="AF76" s="157"/>
      <c r="AG76" s="78" t="s">
        <v>161</v>
      </c>
      <c r="AH76" s="61"/>
      <c r="AJ76" s="61"/>
      <c r="AK76" s="61"/>
      <c r="AL76" s="61"/>
      <c r="AM76" s="61"/>
      <c r="AN76" s="61"/>
      <c r="AO76" s="78"/>
      <c r="AP76" s="61"/>
      <c r="AQ76" s="61"/>
      <c r="AR76" s="61"/>
      <c r="AS76" s="61"/>
      <c r="AT76" s="61"/>
      <c r="AU76" s="60"/>
    </row>
    <row r="77" spans="8:49" s="332" customFormat="1" ht="15.95" customHeight="1">
      <c r="H77" s="1"/>
      <c r="I77" s="571" t="s">
        <v>259</v>
      </c>
      <c r="J77" s="620"/>
      <c r="K77" s="379" t="s">
        <v>258</v>
      </c>
      <c r="L77" s="37"/>
      <c r="M77" s="37"/>
      <c r="N77" s="37"/>
      <c r="O77" s="37"/>
      <c r="P77" s="37"/>
      <c r="Q77" s="40"/>
      <c r="R77" s="40"/>
      <c r="S77" s="40"/>
      <c r="T77" s="40"/>
      <c r="U77" s="40"/>
      <c r="V77" s="377"/>
      <c r="W77" s="376"/>
      <c r="X77" s="376"/>
      <c r="Y77" s="621" t="s">
        <v>257</v>
      </c>
      <c r="Z77" s="622"/>
      <c r="AA77" s="378">
        <v>2.03024</v>
      </c>
      <c r="AB77" s="378">
        <v>2.03024</v>
      </c>
      <c r="AC77" s="378">
        <v>2.03024</v>
      </c>
      <c r="AD77" s="378">
        <v>2.03024</v>
      </c>
      <c r="AE77" s="378">
        <v>2.03024</v>
      </c>
      <c r="AF77" s="378">
        <v>2.03024</v>
      </c>
      <c r="AG77" s="38" t="s">
        <v>66</v>
      </c>
      <c r="AH77" s="37"/>
      <c r="AI77" s="143"/>
      <c r="AJ77" s="37"/>
      <c r="AK77" s="37"/>
      <c r="AL77" s="37"/>
      <c r="AM77" s="37"/>
      <c r="AN77" s="37"/>
      <c r="AO77" s="38"/>
      <c r="AP77" s="37"/>
      <c r="AQ77" s="37"/>
      <c r="AR77" s="37"/>
      <c r="AS77" s="37"/>
      <c r="AT77" s="37"/>
      <c r="AU77" s="36"/>
      <c r="AW77" s="378">
        <v>2.03024</v>
      </c>
    </row>
    <row r="78" spans="8:49" s="332" customFormat="1" ht="15.95" customHeight="1">
      <c r="H78" s="149"/>
      <c r="I78" s="571" t="s">
        <v>265</v>
      </c>
      <c r="J78" s="620"/>
      <c r="K78" s="305" t="s">
        <v>264</v>
      </c>
      <c r="L78" s="37"/>
      <c r="M78" s="37"/>
      <c r="N78" s="37"/>
      <c r="O78" s="37"/>
      <c r="P78" s="37"/>
      <c r="Q78" s="40"/>
      <c r="R78" s="40"/>
      <c r="S78" s="40"/>
      <c r="T78" s="40"/>
      <c r="U78" s="40"/>
      <c r="V78" s="377"/>
      <c r="W78" s="376"/>
      <c r="X78" s="376"/>
      <c r="Y78" s="623" t="s">
        <v>1</v>
      </c>
      <c r="Z78" s="624"/>
      <c r="AA78" s="375">
        <v>1</v>
      </c>
      <c r="AB78" s="375">
        <v>1</v>
      </c>
      <c r="AC78" s="375">
        <v>1</v>
      </c>
      <c r="AD78" s="375">
        <v>1</v>
      </c>
      <c r="AE78" s="375">
        <v>1</v>
      </c>
      <c r="AF78" s="375">
        <v>1</v>
      </c>
      <c r="AG78" s="38" t="s">
        <v>235</v>
      </c>
      <c r="AH78" s="37"/>
      <c r="AI78" s="143"/>
      <c r="AJ78" s="37"/>
      <c r="AK78" s="37"/>
      <c r="AL78" s="37"/>
      <c r="AM78" s="37"/>
      <c r="AN78" s="37"/>
      <c r="AO78" s="38"/>
      <c r="AP78" s="37"/>
      <c r="AQ78" s="37"/>
      <c r="AR78" s="37"/>
      <c r="AS78" s="37"/>
      <c r="AT78" s="37"/>
      <c r="AU78" s="36"/>
      <c r="AW78" s="375">
        <v>1</v>
      </c>
    </row>
    <row r="79" spans="8:49" s="332" customFormat="1" ht="15.95" customHeight="1" thickBot="1">
      <c r="H79" s="137"/>
      <c r="I79" s="625" t="s">
        <v>263</v>
      </c>
      <c r="J79" s="626"/>
      <c r="K79" s="25" t="s">
        <v>262</v>
      </c>
      <c r="L79" s="21"/>
      <c r="M79" s="21"/>
      <c r="N79" s="21"/>
      <c r="O79" s="21"/>
      <c r="P79" s="21"/>
      <c r="Q79" s="24"/>
      <c r="R79" s="24"/>
      <c r="S79" s="24"/>
      <c r="T79" s="24"/>
      <c r="U79" s="24"/>
      <c r="V79" s="377"/>
      <c r="W79" s="376"/>
      <c r="X79" s="376"/>
      <c r="Y79" s="627" t="s">
        <v>1</v>
      </c>
      <c r="Z79" s="628"/>
      <c r="AA79" s="165">
        <v>1</v>
      </c>
      <c r="AB79" s="165">
        <v>1</v>
      </c>
      <c r="AC79" s="165">
        <v>1</v>
      </c>
      <c r="AD79" s="165">
        <v>1</v>
      </c>
      <c r="AE79" s="165">
        <v>1</v>
      </c>
      <c r="AF79" s="165">
        <v>1</v>
      </c>
      <c r="AG79" s="22" t="s">
        <v>235</v>
      </c>
      <c r="AH79" s="21"/>
      <c r="AI79" s="132"/>
      <c r="AJ79" s="21"/>
      <c r="AK79" s="21"/>
      <c r="AL79" s="21"/>
      <c r="AM79" s="21"/>
      <c r="AN79" s="21"/>
      <c r="AO79" s="22"/>
      <c r="AP79" s="21"/>
      <c r="AQ79" s="21"/>
      <c r="AR79" s="21"/>
      <c r="AS79" s="21"/>
      <c r="AT79" s="21"/>
      <c r="AU79" s="20"/>
      <c r="AW79" s="165">
        <v>1</v>
      </c>
    </row>
    <row r="80" spans="8:49" s="332" customFormat="1" ht="15.75" customHeight="1">
      <c r="H80" s="629" t="s">
        <v>261</v>
      </c>
      <c r="I80" s="629"/>
      <c r="J80" s="630"/>
      <c r="K80" s="214" t="s">
        <v>260</v>
      </c>
      <c r="L80" s="46"/>
      <c r="M80" s="46"/>
      <c r="N80" s="46"/>
      <c r="O80" s="46"/>
      <c r="P80" s="46"/>
      <c r="Q80" s="113"/>
      <c r="R80" s="113"/>
      <c r="S80" s="126"/>
      <c r="T80" s="126"/>
      <c r="U80" s="126"/>
      <c r="V80" s="631" t="s">
        <v>162</v>
      </c>
      <c r="W80" s="631"/>
      <c r="X80" s="631"/>
      <c r="Y80" s="157"/>
      <c r="Z80" s="157"/>
      <c r="AA80" s="157"/>
      <c r="AB80" s="157"/>
      <c r="AC80" s="157"/>
      <c r="AD80" s="157"/>
      <c r="AE80" s="157"/>
      <c r="AF80" s="157"/>
      <c r="AG80" s="78" t="s">
        <v>161</v>
      </c>
      <c r="AH80" s="61"/>
      <c r="AI80" s="1"/>
      <c r="AJ80" s="61"/>
      <c r="AK80" s="61"/>
      <c r="AL80" s="61"/>
      <c r="AM80" s="61"/>
      <c r="AN80" s="61"/>
      <c r="AO80" s="78"/>
      <c r="AP80" s="61"/>
      <c r="AQ80" s="61"/>
      <c r="AR80" s="61"/>
      <c r="AS80" s="61"/>
      <c r="AT80" s="61"/>
      <c r="AU80" s="60"/>
      <c r="AW80" s="157"/>
    </row>
    <row r="81" spans="8:49" s="332" customFormat="1" ht="15.95" customHeight="1">
      <c r="H81" s="1"/>
      <c r="I81" s="571" t="s">
        <v>259</v>
      </c>
      <c r="J81" s="620"/>
      <c r="K81" s="379" t="s">
        <v>258</v>
      </c>
      <c r="L81" s="37"/>
      <c r="M81" s="37"/>
      <c r="N81" s="37"/>
      <c r="O81" s="37"/>
      <c r="P81" s="37"/>
      <c r="Q81" s="40"/>
      <c r="R81" s="40"/>
      <c r="S81" s="40"/>
      <c r="T81" s="40"/>
      <c r="U81" s="40"/>
      <c r="V81" s="377"/>
      <c r="W81" s="376"/>
      <c r="X81" s="376"/>
      <c r="Y81" s="621" t="s">
        <v>257</v>
      </c>
      <c r="Z81" s="622"/>
      <c r="AA81" s="378">
        <v>2.4255599999999999</v>
      </c>
      <c r="AB81" s="378">
        <v>2.4255599999999999</v>
      </c>
      <c r="AC81" s="378">
        <v>2.4255599999999999</v>
      </c>
      <c r="AD81" s="378">
        <v>2.4255599999999999</v>
      </c>
      <c r="AE81" s="378">
        <v>2.4255599999999999</v>
      </c>
      <c r="AF81" s="378">
        <v>2.4255599999999999</v>
      </c>
      <c r="AG81" s="38" t="s">
        <v>66</v>
      </c>
      <c r="AH81" s="37"/>
      <c r="AI81" s="143"/>
      <c r="AJ81" s="37"/>
      <c r="AK81" s="37"/>
      <c r="AL81" s="37"/>
      <c r="AM81" s="37"/>
      <c r="AN81" s="37"/>
      <c r="AO81" s="38"/>
      <c r="AP81" s="37"/>
      <c r="AQ81" s="37"/>
      <c r="AR81" s="37"/>
      <c r="AS81" s="37"/>
      <c r="AT81" s="37"/>
      <c r="AU81" s="36"/>
      <c r="AW81" s="378">
        <v>2.4255599999999999</v>
      </c>
    </row>
    <row r="82" spans="8:49" s="332" customFormat="1" ht="15.95" customHeight="1">
      <c r="H82" s="149"/>
      <c r="I82" s="571" t="s">
        <v>256</v>
      </c>
      <c r="J82" s="620"/>
      <c r="K82" s="305" t="s">
        <v>255</v>
      </c>
      <c r="L82" s="37"/>
      <c r="M82" s="37"/>
      <c r="N82" s="37"/>
      <c r="O82" s="37"/>
      <c r="P82" s="37"/>
      <c r="Q82" s="40"/>
      <c r="R82" s="40"/>
      <c r="S82" s="40"/>
      <c r="T82" s="40"/>
      <c r="U82" s="40"/>
      <c r="V82" s="377"/>
      <c r="W82" s="376"/>
      <c r="X82" s="376"/>
      <c r="Y82" s="623" t="s">
        <v>1</v>
      </c>
      <c r="Z82" s="624"/>
      <c r="AA82" s="375">
        <v>1</v>
      </c>
      <c r="AB82" s="375">
        <v>1</v>
      </c>
      <c r="AC82" s="375">
        <v>1</v>
      </c>
      <c r="AD82" s="375">
        <v>1</v>
      </c>
      <c r="AE82" s="375">
        <v>1</v>
      </c>
      <c r="AF82" s="375">
        <v>1</v>
      </c>
      <c r="AG82" s="38" t="s">
        <v>235</v>
      </c>
      <c r="AH82" s="37"/>
      <c r="AI82" s="143"/>
      <c r="AJ82" s="37"/>
      <c r="AK82" s="37"/>
      <c r="AL82" s="37"/>
      <c r="AM82" s="37"/>
      <c r="AN82" s="37"/>
      <c r="AO82" s="38"/>
      <c r="AP82" s="37"/>
      <c r="AQ82" s="37"/>
      <c r="AR82" s="37"/>
      <c r="AS82" s="37"/>
      <c r="AT82" s="37"/>
      <c r="AU82" s="36"/>
      <c r="AW82" s="375">
        <v>1</v>
      </c>
    </row>
    <row r="83" spans="8:49" s="332" customFormat="1" ht="15.95" customHeight="1" thickBot="1">
      <c r="H83" s="137"/>
      <c r="I83" s="625" t="s">
        <v>254</v>
      </c>
      <c r="J83" s="626"/>
      <c r="K83" s="25" t="s">
        <v>253</v>
      </c>
      <c r="L83" s="21"/>
      <c r="M83" s="21"/>
      <c r="N83" s="21"/>
      <c r="O83" s="21"/>
      <c r="P83" s="21"/>
      <c r="Q83" s="24"/>
      <c r="R83" s="24"/>
      <c r="S83" s="24"/>
      <c r="T83" s="24"/>
      <c r="U83" s="24"/>
      <c r="V83" s="374"/>
      <c r="W83" s="373"/>
      <c r="X83" s="373"/>
      <c r="Y83" s="627" t="s">
        <v>1</v>
      </c>
      <c r="Z83" s="628"/>
      <c r="AA83" s="165">
        <v>1</v>
      </c>
      <c r="AB83" s="165">
        <v>1</v>
      </c>
      <c r="AC83" s="165">
        <v>1</v>
      </c>
      <c r="AD83" s="165">
        <v>1</v>
      </c>
      <c r="AE83" s="165">
        <v>1</v>
      </c>
      <c r="AF83" s="165">
        <v>1</v>
      </c>
      <c r="AG83" s="22" t="s">
        <v>235</v>
      </c>
      <c r="AH83" s="21"/>
      <c r="AI83" s="132"/>
      <c r="AJ83" s="21"/>
      <c r="AK83" s="21"/>
      <c r="AL83" s="21"/>
      <c r="AM83" s="21"/>
      <c r="AN83" s="21"/>
      <c r="AO83" s="22"/>
      <c r="AP83" s="21"/>
      <c r="AQ83" s="21"/>
      <c r="AR83" s="21"/>
      <c r="AS83" s="21"/>
      <c r="AT83" s="21"/>
      <c r="AU83" s="20"/>
      <c r="AW83" s="165">
        <v>1</v>
      </c>
    </row>
    <row r="84" spans="8:49" ht="15.95" customHeight="1" thickBot="1">
      <c r="H84" s="205"/>
      <c r="I84" s="204"/>
      <c r="J84" s="372"/>
      <c r="K84" s="353"/>
      <c r="L84" s="93"/>
      <c r="M84" s="93"/>
      <c r="N84" s="93"/>
      <c r="O84" s="93"/>
      <c r="P84" s="93"/>
      <c r="Q84" s="100"/>
      <c r="R84" s="100"/>
      <c r="S84" s="100"/>
      <c r="T84" s="100"/>
      <c r="U84" s="100"/>
      <c r="V84" s="371"/>
      <c r="W84" s="371"/>
      <c r="X84" s="371"/>
      <c r="Y84" s="98"/>
      <c r="Z84" s="98"/>
      <c r="AA84" s="98"/>
      <c r="AB84" s="98"/>
      <c r="AC84" s="98"/>
      <c r="AD84" s="98"/>
      <c r="AE84" s="98"/>
      <c r="AF84" s="98"/>
      <c r="AG84" s="93"/>
      <c r="AH84" s="93"/>
      <c r="AI84" s="92"/>
      <c r="AJ84" s="93"/>
      <c r="AK84" s="93"/>
      <c r="AL84" s="93"/>
      <c r="AM84" s="93"/>
      <c r="AN84" s="93"/>
      <c r="AO84" s="93"/>
      <c r="AP84" s="93"/>
      <c r="AQ84" s="93"/>
      <c r="AR84" s="93"/>
      <c r="AS84" s="93"/>
      <c r="AT84" s="93"/>
      <c r="AU84" s="202"/>
    </row>
    <row r="85" spans="8:49" s="342" customFormat="1" ht="15.95" customHeight="1" thickBot="1">
      <c r="H85" s="596" t="s">
        <v>252</v>
      </c>
      <c r="I85" s="596"/>
      <c r="J85" s="596"/>
      <c r="K85" s="596"/>
      <c r="L85" s="596"/>
      <c r="M85" s="596"/>
      <c r="N85" s="596"/>
      <c r="O85" s="596"/>
      <c r="P85" s="596"/>
      <c r="Q85" s="596"/>
      <c r="R85" s="596"/>
      <c r="S85" s="596"/>
      <c r="T85" s="596"/>
      <c r="U85" s="596"/>
      <c r="V85" s="596"/>
      <c r="W85" s="596"/>
      <c r="X85" s="596"/>
      <c r="Y85" s="596"/>
      <c r="Z85" s="596"/>
      <c r="AA85" s="596"/>
      <c r="AB85" s="596"/>
      <c r="AC85" s="596"/>
      <c r="AD85" s="596"/>
      <c r="AE85" s="596"/>
      <c r="AF85" s="596"/>
      <c r="AG85" s="596"/>
      <c r="AH85" s="596"/>
      <c r="AI85" s="596"/>
      <c r="AJ85" s="596"/>
      <c r="AK85" s="596"/>
      <c r="AL85" s="596"/>
      <c r="AM85" s="596"/>
      <c r="AN85" s="596"/>
      <c r="AO85" s="596"/>
      <c r="AP85" s="596"/>
      <c r="AQ85" s="596"/>
      <c r="AR85" s="596"/>
      <c r="AS85" s="596"/>
      <c r="AT85" s="596"/>
      <c r="AU85" s="597"/>
    </row>
    <row r="86" spans="8:49" ht="15.95" customHeight="1" thickBot="1">
      <c r="H86" s="526" t="s">
        <v>18</v>
      </c>
      <c r="I86" s="526"/>
      <c r="J86" s="527"/>
      <c r="K86" s="530" t="s">
        <v>17</v>
      </c>
      <c r="L86" s="531"/>
      <c r="M86" s="531"/>
      <c r="N86" s="531"/>
      <c r="O86" s="531"/>
      <c r="P86" s="531"/>
      <c r="Q86" s="531"/>
      <c r="R86" s="531"/>
      <c r="S86" s="531"/>
      <c r="T86" s="531"/>
      <c r="U86" s="531"/>
      <c r="V86" s="534" t="s">
        <v>16</v>
      </c>
      <c r="W86" s="535"/>
      <c r="X86" s="610"/>
      <c r="Y86" s="530" t="s">
        <v>15</v>
      </c>
      <c r="Z86" s="538"/>
      <c r="AA86" s="59" t="str">
        <f>AA74</f>
        <v>FG573-JINHEc</v>
      </c>
      <c r="AB86" s="59" t="str">
        <f t="shared" ref="AB86:AF87" si="2">+AB74</f>
        <v>FG591-FASa</v>
      </c>
      <c r="AC86" s="59" t="str">
        <f t="shared" si="2"/>
        <v>FG592-FASa</v>
      </c>
      <c r="AD86" s="59" t="str">
        <f t="shared" si="2"/>
        <v>FG601-FASTc</v>
      </c>
      <c r="AE86" s="59" t="str">
        <f t="shared" si="2"/>
        <v>FG623-JINHEc</v>
      </c>
      <c r="AF86" s="59" t="str">
        <f t="shared" si="2"/>
        <v>FG616-JINHEa</v>
      </c>
      <c r="AG86" s="540" t="s">
        <v>14</v>
      </c>
      <c r="AH86" s="541"/>
      <c r="AI86" s="541"/>
      <c r="AJ86" s="541"/>
      <c r="AK86" s="541"/>
      <c r="AL86" s="541"/>
      <c r="AM86" s="541"/>
      <c r="AN86" s="542"/>
      <c r="AO86" s="530" t="s">
        <v>13</v>
      </c>
      <c r="AP86" s="531"/>
      <c r="AQ86" s="531"/>
      <c r="AR86" s="531"/>
      <c r="AS86" s="531"/>
      <c r="AT86" s="531"/>
      <c r="AU86" s="546"/>
      <c r="AV86" s="340"/>
      <c r="AW86" s="340"/>
    </row>
    <row r="87" spans="8:49" ht="15.95" customHeight="1" thickBot="1">
      <c r="H87" s="528"/>
      <c r="I87" s="528"/>
      <c r="J87" s="529"/>
      <c r="K87" s="532"/>
      <c r="L87" s="533"/>
      <c r="M87" s="533"/>
      <c r="N87" s="533"/>
      <c r="O87" s="533"/>
      <c r="P87" s="533"/>
      <c r="Q87" s="533"/>
      <c r="R87" s="533"/>
      <c r="S87" s="533"/>
      <c r="T87" s="533"/>
      <c r="U87" s="533"/>
      <c r="V87" s="536"/>
      <c r="W87" s="537"/>
      <c r="X87" s="611"/>
      <c r="Y87" s="532"/>
      <c r="Z87" s="539"/>
      <c r="AA87" s="56" t="str">
        <f>AA75</f>
        <v>84*</v>
      </c>
      <c r="AB87" s="56" t="str">
        <f t="shared" si="2"/>
        <v>9C*</v>
      </c>
      <c r="AC87" s="56" t="str">
        <f t="shared" si="2"/>
        <v>9D*</v>
      </c>
      <c r="AD87" s="56" t="str">
        <f t="shared" si="2"/>
        <v>9E*</v>
      </c>
      <c r="AE87" s="56" t="str">
        <f t="shared" si="2"/>
        <v>9W*</v>
      </c>
      <c r="AF87" s="56" t="str">
        <f t="shared" si="2"/>
        <v>9S*</v>
      </c>
      <c r="AG87" s="543"/>
      <c r="AH87" s="544"/>
      <c r="AI87" s="544"/>
      <c r="AJ87" s="544"/>
      <c r="AK87" s="544"/>
      <c r="AL87" s="544"/>
      <c r="AM87" s="544"/>
      <c r="AN87" s="545"/>
      <c r="AO87" s="532"/>
      <c r="AP87" s="533"/>
      <c r="AQ87" s="533"/>
      <c r="AR87" s="533"/>
      <c r="AS87" s="533"/>
      <c r="AT87" s="533"/>
      <c r="AU87" s="547"/>
    </row>
    <row r="88" spans="8:49" s="332" customFormat="1" ht="15.75" customHeight="1" thickTop="1">
      <c r="H88" s="612" t="s">
        <v>249</v>
      </c>
      <c r="I88" s="612"/>
      <c r="J88" s="613"/>
      <c r="K88" s="614" t="s">
        <v>231</v>
      </c>
      <c r="L88" s="615"/>
      <c r="M88" s="615"/>
      <c r="N88" s="615"/>
      <c r="O88" s="615"/>
      <c r="P88" s="615"/>
      <c r="Q88" s="615"/>
      <c r="R88" s="615"/>
      <c r="S88" s="615"/>
      <c r="T88" s="615"/>
      <c r="U88" s="615"/>
      <c r="V88" s="370"/>
      <c r="W88" s="368"/>
      <c r="X88" s="369"/>
      <c r="Y88" s="368"/>
      <c r="Z88" s="368"/>
      <c r="AA88" s="368"/>
      <c r="AB88" s="1"/>
      <c r="AC88" s="1"/>
      <c r="AD88" s="1"/>
      <c r="AE88" s="1"/>
      <c r="AF88" s="1"/>
      <c r="AG88" s="339" t="s">
        <v>161</v>
      </c>
      <c r="AH88" s="368"/>
      <c r="AI88" s="368"/>
      <c r="AJ88" s="368"/>
      <c r="AK88" s="61"/>
      <c r="AL88" s="61"/>
      <c r="AM88" s="61"/>
      <c r="AN88" s="61"/>
      <c r="AO88" s="78"/>
      <c r="AP88" s="61"/>
      <c r="AQ88" s="61"/>
      <c r="AR88" s="61"/>
      <c r="AS88" s="61"/>
      <c r="AT88" s="61"/>
      <c r="AU88" s="60"/>
    </row>
    <row r="89" spans="8:49" s="332" customFormat="1" ht="15.95" customHeight="1" thickBot="1">
      <c r="H89" s="349"/>
      <c r="I89" s="616" t="str">
        <f>H76</f>
        <v>WP2632a</v>
      </c>
      <c r="J89" s="617"/>
      <c r="K89" s="367" t="s">
        <v>251</v>
      </c>
      <c r="L89" s="366"/>
      <c r="M89" s="366"/>
      <c r="N89" s="366"/>
      <c r="O89" s="366"/>
      <c r="P89" s="366"/>
      <c r="Q89" s="343"/>
      <c r="R89" s="343"/>
      <c r="S89" s="343"/>
      <c r="T89" s="343"/>
      <c r="U89" s="343"/>
      <c r="V89" s="136"/>
      <c r="W89" s="135"/>
      <c r="X89" s="333"/>
      <c r="Y89" s="589" t="s">
        <v>1</v>
      </c>
      <c r="Z89" s="590"/>
      <c r="AA89" s="165">
        <v>1</v>
      </c>
      <c r="AB89" s="165">
        <v>1</v>
      </c>
      <c r="AC89" s="165">
        <v>1</v>
      </c>
      <c r="AD89" s="165">
        <v>1</v>
      </c>
      <c r="AE89" s="165">
        <v>1</v>
      </c>
      <c r="AF89" s="165">
        <v>1</v>
      </c>
      <c r="AG89" s="22" t="s">
        <v>161</v>
      </c>
      <c r="AH89" s="24"/>
      <c r="AI89" s="24"/>
      <c r="AJ89" s="24"/>
      <c r="AK89" s="21"/>
      <c r="AL89" s="21"/>
      <c r="AM89" s="21"/>
      <c r="AN89" s="21"/>
      <c r="AO89" s="22"/>
      <c r="AP89" s="21"/>
      <c r="AQ89" s="21"/>
      <c r="AR89" s="21"/>
      <c r="AS89" s="21"/>
      <c r="AT89" s="21"/>
      <c r="AU89" s="20"/>
    </row>
    <row r="90" spans="8:49" s="332" customFormat="1" ht="15.75" customHeight="1">
      <c r="H90" s="615" t="s">
        <v>247</v>
      </c>
      <c r="I90" s="615"/>
      <c r="J90" s="618"/>
      <c r="K90" s="614" t="s">
        <v>227</v>
      </c>
      <c r="L90" s="615"/>
      <c r="M90" s="615"/>
      <c r="N90" s="615"/>
      <c r="O90" s="615"/>
      <c r="P90" s="615"/>
      <c r="Q90" s="615"/>
      <c r="R90" s="615"/>
      <c r="S90" s="615"/>
      <c r="T90" s="615"/>
      <c r="U90" s="615"/>
      <c r="V90" s="337"/>
      <c r="W90" s="157"/>
      <c r="X90" s="336"/>
      <c r="Y90" s="157"/>
      <c r="Z90" s="157"/>
      <c r="AA90" s="157"/>
      <c r="AB90" s="157"/>
      <c r="AC90" s="157"/>
      <c r="AD90" s="157"/>
      <c r="AE90" s="157"/>
      <c r="AF90" s="157"/>
      <c r="AG90" s="78" t="s">
        <v>161</v>
      </c>
      <c r="AH90" s="157"/>
      <c r="AI90" s="157"/>
      <c r="AJ90" s="157"/>
      <c r="AK90" s="61"/>
      <c r="AL90" s="61"/>
      <c r="AM90" s="61"/>
      <c r="AN90" s="61"/>
      <c r="AO90" s="78"/>
      <c r="AP90" s="61"/>
      <c r="AQ90" s="61"/>
      <c r="AR90" s="61"/>
      <c r="AS90" s="61"/>
      <c r="AT90" s="61"/>
      <c r="AU90" s="60"/>
    </row>
    <row r="91" spans="8:49" s="332" customFormat="1" ht="15.95" customHeight="1" thickBot="1">
      <c r="H91" s="349"/>
      <c r="I91" s="616" t="str">
        <f>H80</f>
        <v>WP2633a</v>
      </c>
      <c r="J91" s="617"/>
      <c r="K91" s="638" t="str">
        <f>K80</f>
        <v>TMR-051 1ST MOLDING S2</v>
      </c>
      <c r="L91" s="639"/>
      <c r="M91" s="639"/>
      <c r="N91" s="639"/>
      <c r="O91" s="639"/>
      <c r="P91" s="639"/>
      <c r="Q91" s="639"/>
      <c r="R91" s="639"/>
      <c r="S91" s="639"/>
      <c r="T91" s="639"/>
      <c r="U91" s="639"/>
      <c r="V91" s="136"/>
      <c r="W91" s="135"/>
      <c r="X91" s="333"/>
      <c r="Y91" s="589" t="s">
        <v>1</v>
      </c>
      <c r="Z91" s="590"/>
      <c r="AA91" s="165">
        <v>1</v>
      </c>
      <c r="AB91" s="165">
        <v>1</v>
      </c>
      <c r="AC91" s="165">
        <v>1</v>
      </c>
      <c r="AD91" s="165">
        <v>1</v>
      </c>
      <c r="AE91" s="165">
        <v>1</v>
      </c>
      <c r="AF91" s="165">
        <v>1</v>
      </c>
      <c r="AG91" s="22" t="s">
        <v>161</v>
      </c>
      <c r="AH91" s="24"/>
      <c r="AI91" s="24"/>
      <c r="AJ91" s="24"/>
      <c r="AK91" s="21"/>
      <c r="AL91" s="21"/>
      <c r="AM91" s="21"/>
      <c r="AN91" s="21"/>
      <c r="AO91" s="22"/>
      <c r="AP91" s="21"/>
      <c r="AQ91" s="21"/>
      <c r="AR91" s="21"/>
      <c r="AS91" s="21"/>
      <c r="AT91" s="21"/>
      <c r="AU91" s="20"/>
    </row>
    <row r="92" spans="8:49" ht="15.95" customHeight="1" thickBot="1">
      <c r="H92" s="289"/>
      <c r="I92" s="18"/>
      <c r="J92" s="365"/>
      <c r="K92" s="364"/>
      <c r="L92" s="13"/>
      <c r="M92" s="13"/>
      <c r="N92" s="13"/>
      <c r="O92" s="13"/>
      <c r="P92" s="13"/>
      <c r="Q92" s="15"/>
      <c r="R92" s="15"/>
      <c r="S92" s="15"/>
      <c r="T92" s="15"/>
      <c r="U92" s="15"/>
      <c r="V92" s="363"/>
      <c r="W92" s="363"/>
      <c r="X92" s="363"/>
      <c r="Y92" s="362"/>
      <c r="Z92" s="362"/>
      <c r="AA92" s="361"/>
      <c r="AB92" s="361"/>
      <c r="AC92" s="361"/>
      <c r="AD92" s="361"/>
      <c r="AE92" s="361"/>
      <c r="AF92" s="361"/>
      <c r="AG92" s="13"/>
      <c r="AH92" s="13"/>
      <c r="AI92" s="360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2"/>
    </row>
    <row r="93" spans="8:49" s="342" customFormat="1" ht="15.95" customHeight="1" thickBot="1">
      <c r="H93" s="640" t="s">
        <v>234</v>
      </c>
      <c r="I93" s="640"/>
      <c r="J93" s="640"/>
      <c r="K93" s="640"/>
      <c r="L93" s="640"/>
      <c r="M93" s="640"/>
      <c r="N93" s="640"/>
      <c r="O93" s="640"/>
      <c r="P93" s="640"/>
      <c r="Q93" s="640"/>
      <c r="R93" s="640"/>
      <c r="S93" s="640"/>
      <c r="T93" s="640"/>
      <c r="U93" s="640"/>
      <c r="V93" s="640"/>
      <c r="W93" s="640"/>
      <c r="X93" s="640"/>
      <c r="Y93" s="640"/>
      <c r="Z93" s="640"/>
      <c r="AA93" s="640"/>
      <c r="AB93" s="640"/>
      <c r="AC93" s="640"/>
      <c r="AD93" s="640"/>
      <c r="AE93" s="640"/>
      <c r="AF93" s="640"/>
      <c r="AG93" s="640"/>
      <c r="AH93" s="640"/>
      <c r="AI93" s="640"/>
      <c r="AJ93" s="640"/>
      <c r="AK93" s="640"/>
      <c r="AL93" s="640"/>
      <c r="AM93" s="640"/>
      <c r="AN93" s="640"/>
      <c r="AO93" s="640"/>
      <c r="AP93" s="640"/>
      <c r="AQ93" s="640"/>
      <c r="AR93" s="640"/>
      <c r="AS93" s="640"/>
      <c r="AT93" s="640"/>
      <c r="AU93" s="641"/>
    </row>
    <row r="94" spans="8:49" ht="15.95" customHeight="1" thickBot="1">
      <c r="H94" s="526" t="s">
        <v>18</v>
      </c>
      <c r="I94" s="526"/>
      <c r="J94" s="527"/>
      <c r="K94" s="530" t="s">
        <v>17</v>
      </c>
      <c r="L94" s="531"/>
      <c r="M94" s="531"/>
      <c r="N94" s="531"/>
      <c r="O94" s="531"/>
      <c r="P94" s="531"/>
      <c r="Q94" s="531"/>
      <c r="R94" s="531"/>
      <c r="S94" s="531"/>
      <c r="T94" s="531"/>
      <c r="U94" s="531"/>
      <c r="V94" s="534" t="s">
        <v>16</v>
      </c>
      <c r="W94" s="535"/>
      <c r="X94" s="610"/>
      <c r="Y94" s="530"/>
      <c r="Z94" s="538"/>
      <c r="AA94" s="299" t="str">
        <f t="shared" ref="AA94:AF95" si="3">AA86</f>
        <v>FG573-JINHEc</v>
      </c>
      <c r="AB94" s="59" t="str">
        <f t="shared" si="3"/>
        <v>FG591-FASa</v>
      </c>
      <c r="AC94" s="59" t="str">
        <f t="shared" si="3"/>
        <v>FG592-FASa</v>
      </c>
      <c r="AD94" s="59" t="str">
        <f t="shared" si="3"/>
        <v>FG601-FASTc</v>
      </c>
      <c r="AE94" s="59" t="str">
        <f t="shared" si="3"/>
        <v>FG623-JINHEc</v>
      </c>
      <c r="AF94" s="59" t="str">
        <f t="shared" si="3"/>
        <v>FG616-JINHEa</v>
      </c>
      <c r="AG94" s="540" t="s">
        <v>14</v>
      </c>
      <c r="AH94" s="541"/>
      <c r="AI94" s="541"/>
      <c r="AJ94" s="541"/>
      <c r="AK94" s="541"/>
      <c r="AL94" s="541"/>
      <c r="AM94" s="541"/>
      <c r="AN94" s="542"/>
      <c r="AO94" s="530" t="s">
        <v>13</v>
      </c>
      <c r="AP94" s="531"/>
      <c r="AQ94" s="531"/>
      <c r="AR94" s="531"/>
      <c r="AS94" s="531"/>
      <c r="AT94" s="531"/>
      <c r="AU94" s="546"/>
      <c r="AV94" s="340"/>
      <c r="AW94" s="340"/>
    </row>
    <row r="95" spans="8:49" ht="15.95" customHeight="1" thickBot="1">
      <c r="H95" s="528"/>
      <c r="I95" s="528"/>
      <c r="J95" s="529"/>
      <c r="K95" s="532"/>
      <c r="L95" s="533"/>
      <c r="M95" s="533"/>
      <c r="N95" s="533"/>
      <c r="O95" s="533"/>
      <c r="P95" s="533"/>
      <c r="Q95" s="533"/>
      <c r="R95" s="533"/>
      <c r="S95" s="533"/>
      <c r="T95" s="533"/>
      <c r="U95" s="533"/>
      <c r="V95" s="536"/>
      <c r="W95" s="537"/>
      <c r="X95" s="611"/>
      <c r="Y95" s="532"/>
      <c r="Z95" s="539"/>
      <c r="AA95" s="56" t="str">
        <f t="shared" si="3"/>
        <v>84*</v>
      </c>
      <c r="AB95" s="56" t="str">
        <f t="shared" si="3"/>
        <v>9C*</v>
      </c>
      <c r="AC95" s="56" t="str">
        <f t="shared" si="3"/>
        <v>9D*</v>
      </c>
      <c r="AD95" s="56" t="str">
        <f t="shared" si="3"/>
        <v>9E*</v>
      </c>
      <c r="AE95" s="56" t="str">
        <f t="shared" si="3"/>
        <v>9W*</v>
      </c>
      <c r="AF95" s="56" t="str">
        <f t="shared" si="3"/>
        <v>9S*</v>
      </c>
      <c r="AG95" s="543"/>
      <c r="AH95" s="544"/>
      <c r="AI95" s="544"/>
      <c r="AJ95" s="544"/>
      <c r="AK95" s="544"/>
      <c r="AL95" s="544"/>
      <c r="AM95" s="544"/>
      <c r="AN95" s="545"/>
      <c r="AO95" s="532"/>
      <c r="AP95" s="533"/>
      <c r="AQ95" s="533"/>
      <c r="AR95" s="533"/>
      <c r="AS95" s="533"/>
      <c r="AT95" s="533"/>
      <c r="AU95" s="547"/>
    </row>
    <row r="96" spans="8:49" s="332" customFormat="1" ht="15.75" customHeight="1" thickTop="1">
      <c r="H96" s="34" t="s">
        <v>250</v>
      </c>
      <c r="I96" s="358"/>
      <c r="J96" s="359"/>
      <c r="K96" s="220" t="s">
        <v>171</v>
      </c>
      <c r="L96" s="357"/>
      <c r="M96" s="357"/>
      <c r="N96" s="357"/>
      <c r="O96" s="357"/>
      <c r="P96" s="357"/>
      <c r="Q96" s="357"/>
      <c r="R96" s="357"/>
      <c r="S96" s="357"/>
      <c r="T96" s="357"/>
      <c r="U96" s="357"/>
      <c r="V96" s="337"/>
      <c r="W96" s="157"/>
      <c r="X96" s="336"/>
      <c r="Y96" s="157"/>
      <c r="Z96" s="157"/>
      <c r="AA96" s="157"/>
      <c r="AB96" s="1"/>
      <c r="AC96" s="1"/>
      <c r="AD96" s="1"/>
      <c r="AE96" s="1"/>
      <c r="AF96" s="1"/>
      <c r="AG96" s="339" t="s">
        <v>161</v>
      </c>
      <c r="AH96" s="157"/>
      <c r="AI96" s="157"/>
      <c r="AJ96" s="157"/>
      <c r="AK96" s="61"/>
      <c r="AL96" s="61"/>
      <c r="AM96" s="61"/>
      <c r="AN96" s="61"/>
      <c r="AO96" s="78"/>
      <c r="AP96" s="61"/>
      <c r="AQ96" s="61"/>
      <c r="AR96" s="61"/>
      <c r="AS96" s="61"/>
      <c r="AT96" s="61"/>
      <c r="AU96" s="60"/>
    </row>
    <row r="97" spans="8:49" s="332" customFormat="1" ht="15.95" customHeight="1" thickBot="1">
      <c r="H97" s="168"/>
      <c r="I97" s="600" t="s">
        <v>249</v>
      </c>
      <c r="J97" s="601"/>
      <c r="K97" s="355" t="s">
        <v>231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136"/>
      <c r="W97" s="135"/>
      <c r="X97" s="333"/>
      <c r="Y97" s="589" t="s">
        <v>1</v>
      </c>
      <c r="Z97" s="590"/>
      <c r="AA97" s="165">
        <v>1</v>
      </c>
      <c r="AB97" s="165">
        <f>AB89</f>
        <v>1</v>
      </c>
      <c r="AC97" s="165">
        <f>AC89</f>
        <v>1</v>
      </c>
      <c r="AD97" s="165">
        <f>AD89</f>
        <v>1</v>
      </c>
      <c r="AE97" s="165">
        <f>AE89</f>
        <v>1</v>
      </c>
      <c r="AF97" s="165">
        <f>AF89</f>
        <v>1</v>
      </c>
      <c r="AG97" s="22" t="s">
        <v>161</v>
      </c>
      <c r="AH97" s="24"/>
      <c r="AI97" s="24"/>
      <c r="AJ97" s="24"/>
      <c r="AK97" s="21"/>
      <c r="AL97" s="21"/>
      <c r="AM97" s="21"/>
      <c r="AN97" s="21"/>
      <c r="AO97" s="22"/>
      <c r="AP97" s="21"/>
      <c r="AQ97" s="21"/>
      <c r="AR97" s="21"/>
      <c r="AS97" s="21"/>
      <c r="AT97" s="21"/>
      <c r="AU97" s="20"/>
    </row>
    <row r="98" spans="8:49" s="332" customFormat="1" ht="15.75" customHeight="1">
      <c r="H98" s="31" t="s">
        <v>164</v>
      </c>
      <c r="I98" s="358"/>
      <c r="J98" s="338"/>
      <c r="K98" s="32" t="s">
        <v>248</v>
      </c>
      <c r="L98" s="357"/>
      <c r="M98" s="356"/>
      <c r="N98" s="356"/>
      <c r="O98" s="356"/>
      <c r="P98" s="356"/>
      <c r="Q98" s="356"/>
      <c r="R98" s="356"/>
      <c r="S98" s="356"/>
      <c r="T98" s="356"/>
      <c r="U98" s="356"/>
      <c r="V98" s="337"/>
      <c r="W98" s="157"/>
      <c r="X98" s="336"/>
      <c r="Y98" s="157"/>
      <c r="Z98" s="157"/>
      <c r="AA98" s="157"/>
      <c r="AB98" s="157"/>
      <c r="AC98" s="157"/>
      <c r="AD98" s="157"/>
      <c r="AE98" s="157"/>
      <c r="AF98" s="157"/>
      <c r="AG98" s="78" t="s">
        <v>161</v>
      </c>
      <c r="AH98" s="157"/>
      <c r="AI98" s="157"/>
      <c r="AJ98" s="157"/>
      <c r="AK98" s="61"/>
      <c r="AL98" s="61"/>
      <c r="AM98" s="61"/>
      <c r="AN98" s="61"/>
      <c r="AO98" s="78"/>
      <c r="AP98" s="61"/>
      <c r="AQ98" s="61"/>
      <c r="AR98" s="61"/>
      <c r="AS98" s="61"/>
      <c r="AT98" s="61"/>
      <c r="AU98" s="60"/>
    </row>
    <row r="99" spans="8:49" s="332" customFormat="1" ht="15.95" customHeight="1" thickBot="1">
      <c r="H99" s="168"/>
      <c r="I99" s="600" t="s">
        <v>247</v>
      </c>
      <c r="J99" s="601"/>
      <c r="K99" s="355" t="s">
        <v>227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136"/>
      <c r="W99" s="135"/>
      <c r="X99" s="333"/>
      <c r="Y99" s="589" t="s">
        <v>1</v>
      </c>
      <c r="Z99" s="590"/>
      <c r="AA99" s="165">
        <v>1</v>
      </c>
      <c r="AB99" s="165">
        <f>AB91</f>
        <v>1</v>
      </c>
      <c r="AC99" s="165">
        <f>AC91</f>
        <v>1</v>
      </c>
      <c r="AD99" s="165">
        <f>AD91</f>
        <v>1</v>
      </c>
      <c r="AE99" s="165">
        <f>AE91</f>
        <v>1</v>
      </c>
      <c r="AF99" s="165">
        <f>AF91</f>
        <v>1</v>
      </c>
      <c r="AG99" s="22" t="s">
        <v>161</v>
      </c>
      <c r="AH99" s="24"/>
      <c r="AI99" s="24"/>
      <c r="AJ99" s="24"/>
      <c r="AK99" s="21"/>
      <c r="AL99" s="21"/>
      <c r="AM99" s="21"/>
      <c r="AN99" s="21"/>
      <c r="AO99" s="22"/>
      <c r="AP99" s="21"/>
      <c r="AQ99" s="21"/>
      <c r="AR99" s="21"/>
      <c r="AS99" s="21"/>
      <c r="AT99" s="21"/>
      <c r="AU99" s="20"/>
    </row>
    <row r="100" spans="8:49" s="332" customFormat="1" ht="15.95" customHeight="1" thickBot="1">
      <c r="H100" s="205"/>
      <c r="I100" s="354"/>
      <c r="J100" s="354"/>
      <c r="K100" s="35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8"/>
      <c r="W100" s="98"/>
      <c r="X100" s="98"/>
      <c r="Y100" s="98"/>
      <c r="Z100" s="98"/>
      <c r="AA100" s="352"/>
      <c r="AB100" s="352"/>
      <c r="AC100" s="352"/>
      <c r="AD100" s="352"/>
      <c r="AE100" s="93"/>
      <c r="AF100" s="93"/>
      <c r="AG100" s="100"/>
      <c r="AH100" s="100"/>
      <c r="AI100" s="100"/>
      <c r="AJ100" s="93"/>
      <c r="AK100" s="93"/>
      <c r="AL100" s="93"/>
      <c r="AM100" s="93"/>
      <c r="AN100" s="93"/>
      <c r="AO100" s="93"/>
      <c r="AP100" s="93"/>
      <c r="AQ100" s="93"/>
      <c r="AR100" s="93"/>
      <c r="AS100" s="93"/>
      <c r="AT100" s="93"/>
      <c r="AU100" s="91"/>
    </row>
    <row r="101" spans="8:49" ht="15.95" customHeight="1" thickBot="1">
      <c r="H101" s="565" t="s">
        <v>246</v>
      </c>
      <c r="I101" s="565"/>
      <c r="J101" s="565"/>
      <c r="K101" s="565"/>
      <c r="L101" s="565"/>
      <c r="M101" s="565"/>
      <c r="N101" s="565"/>
      <c r="O101" s="565"/>
      <c r="P101" s="565"/>
      <c r="Q101" s="565"/>
      <c r="R101" s="565"/>
      <c r="S101" s="565"/>
      <c r="T101" s="565"/>
      <c r="U101" s="565"/>
      <c r="V101" s="565"/>
      <c r="W101" s="565"/>
      <c r="X101" s="565"/>
      <c r="Y101" s="565"/>
      <c r="Z101" s="565"/>
      <c r="AA101" s="565"/>
      <c r="AB101" s="565"/>
      <c r="AC101" s="565"/>
      <c r="AD101" s="565"/>
      <c r="AE101" s="565"/>
      <c r="AF101" s="565"/>
      <c r="AG101" s="565"/>
      <c r="AH101" s="565"/>
      <c r="AI101" s="565"/>
      <c r="AJ101" s="565"/>
      <c r="AK101" s="565"/>
      <c r="AL101" s="565"/>
      <c r="AM101" s="565"/>
      <c r="AN101" s="565"/>
      <c r="AO101" s="565"/>
      <c r="AP101" s="565"/>
      <c r="AQ101" s="565"/>
      <c r="AR101" s="565"/>
      <c r="AS101" s="565"/>
      <c r="AT101" s="565"/>
      <c r="AU101" s="642"/>
    </row>
    <row r="102" spans="8:49" ht="15.95" customHeight="1" thickBot="1">
      <c r="H102" s="526" t="s">
        <v>18</v>
      </c>
      <c r="I102" s="526"/>
      <c r="J102" s="527"/>
      <c r="K102" s="530" t="s">
        <v>17</v>
      </c>
      <c r="L102" s="531"/>
      <c r="M102" s="531"/>
      <c r="N102" s="531"/>
      <c r="O102" s="531"/>
      <c r="P102" s="531"/>
      <c r="Q102" s="531"/>
      <c r="R102" s="531"/>
      <c r="S102" s="531"/>
      <c r="T102" s="531"/>
      <c r="U102" s="531"/>
      <c r="V102" s="530" t="s">
        <v>16</v>
      </c>
      <c r="W102" s="531"/>
      <c r="X102" s="531"/>
      <c r="Y102" s="530" t="s">
        <v>15</v>
      </c>
      <c r="Z102" s="538"/>
      <c r="AA102" s="59" t="str">
        <f>AA111</f>
        <v>FG573-JINHEc</v>
      </c>
      <c r="AB102" s="59" t="str">
        <f t="shared" ref="AB102:AF103" si="4">+AB86</f>
        <v>FG591-FASa</v>
      </c>
      <c r="AC102" s="59" t="str">
        <f t="shared" si="4"/>
        <v>FG592-FASa</v>
      </c>
      <c r="AD102" s="59" t="str">
        <f t="shared" si="4"/>
        <v>FG601-FASTc</v>
      </c>
      <c r="AE102" s="59" t="str">
        <f t="shared" si="4"/>
        <v>FG623-JINHEc</v>
      </c>
      <c r="AF102" s="59" t="str">
        <f t="shared" si="4"/>
        <v>FG616-JINHEa</v>
      </c>
      <c r="AG102" s="540" t="s">
        <v>14</v>
      </c>
      <c r="AH102" s="541"/>
      <c r="AI102" s="541"/>
      <c r="AJ102" s="541"/>
      <c r="AK102" s="541"/>
      <c r="AL102" s="541"/>
      <c r="AM102" s="541"/>
      <c r="AN102" s="542"/>
      <c r="AO102" s="530" t="s">
        <v>13</v>
      </c>
      <c r="AP102" s="531"/>
      <c r="AQ102" s="531"/>
      <c r="AR102" s="531"/>
      <c r="AS102" s="531"/>
      <c r="AT102" s="531"/>
      <c r="AU102" s="546"/>
    </row>
    <row r="103" spans="8:49" ht="15.75" customHeight="1" thickBot="1">
      <c r="H103" s="528"/>
      <c r="I103" s="528"/>
      <c r="J103" s="529"/>
      <c r="K103" s="532"/>
      <c r="L103" s="533"/>
      <c r="M103" s="533"/>
      <c r="N103" s="533"/>
      <c r="O103" s="533"/>
      <c r="P103" s="533"/>
      <c r="Q103" s="533"/>
      <c r="R103" s="533"/>
      <c r="S103" s="533"/>
      <c r="T103" s="533"/>
      <c r="U103" s="533"/>
      <c r="V103" s="532"/>
      <c r="W103" s="533"/>
      <c r="X103" s="533"/>
      <c r="Y103" s="532"/>
      <c r="Z103" s="539"/>
      <c r="AA103" s="245" t="str">
        <f>AA112</f>
        <v>84*</v>
      </c>
      <c r="AB103" s="56" t="str">
        <f t="shared" si="4"/>
        <v>9C*</v>
      </c>
      <c r="AC103" s="56" t="str">
        <f t="shared" si="4"/>
        <v>9D*</v>
      </c>
      <c r="AD103" s="56" t="str">
        <f t="shared" si="4"/>
        <v>9E*</v>
      </c>
      <c r="AE103" s="56" t="str">
        <f t="shared" si="4"/>
        <v>9W*</v>
      </c>
      <c r="AF103" s="56" t="str">
        <f t="shared" si="4"/>
        <v>9S*</v>
      </c>
      <c r="AG103" s="543"/>
      <c r="AH103" s="544"/>
      <c r="AI103" s="544"/>
      <c r="AJ103" s="544"/>
      <c r="AK103" s="544"/>
      <c r="AL103" s="544"/>
      <c r="AM103" s="544"/>
      <c r="AN103" s="545"/>
      <c r="AO103" s="532"/>
      <c r="AP103" s="533"/>
      <c r="AQ103" s="533"/>
      <c r="AR103" s="533"/>
      <c r="AS103" s="533"/>
      <c r="AT103" s="533"/>
      <c r="AU103" s="547"/>
    </row>
    <row r="104" spans="8:49" ht="15.75" customHeight="1" thickTop="1">
      <c r="H104" s="632" t="s">
        <v>245</v>
      </c>
      <c r="I104" s="632"/>
      <c r="J104" s="633"/>
      <c r="K104" s="634" t="s">
        <v>244</v>
      </c>
      <c r="L104" s="635"/>
      <c r="M104" s="635"/>
      <c r="N104" s="635"/>
      <c r="O104" s="635"/>
      <c r="P104" s="635"/>
      <c r="Q104" s="635"/>
      <c r="R104" s="635"/>
      <c r="S104" s="635"/>
      <c r="T104" s="635"/>
      <c r="U104" s="351"/>
      <c r="V104" s="48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5" t="s">
        <v>241</v>
      </c>
      <c r="AH104" s="44"/>
      <c r="AI104" s="44"/>
      <c r="AJ104" s="44"/>
      <c r="AK104" s="44"/>
      <c r="AL104" s="44"/>
      <c r="AM104" s="44"/>
      <c r="AN104" s="350"/>
      <c r="AO104" s="45"/>
      <c r="AP104" s="44"/>
      <c r="AQ104" s="44"/>
      <c r="AR104" s="44"/>
      <c r="AS104" s="44"/>
      <c r="AT104" s="44"/>
      <c r="AU104" s="43"/>
    </row>
    <row r="105" spans="8:49" ht="15.75" customHeight="1">
      <c r="H105" s="347"/>
      <c r="I105" s="636" t="str">
        <f>H70</f>
        <v>WP2873</v>
      </c>
      <c r="J105" s="637"/>
      <c r="K105" s="346" t="s">
        <v>240</v>
      </c>
      <c r="L105" s="345"/>
      <c r="M105" s="345"/>
      <c r="N105" s="345"/>
      <c r="O105" s="344"/>
      <c r="P105" s="344"/>
      <c r="Q105" s="344"/>
      <c r="R105" s="344"/>
      <c r="S105" s="344"/>
      <c r="T105" s="343"/>
      <c r="U105" s="187"/>
      <c r="V105" s="499" t="s">
        <v>239</v>
      </c>
      <c r="W105" s="500"/>
      <c r="X105" s="501"/>
      <c r="Y105" s="499" t="s">
        <v>1</v>
      </c>
      <c r="Z105" s="501"/>
      <c r="AA105" s="216">
        <v>0</v>
      </c>
      <c r="AB105" s="216">
        <v>1</v>
      </c>
      <c r="AC105" s="216">
        <v>0</v>
      </c>
      <c r="AD105" s="216">
        <v>0</v>
      </c>
      <c r="AE105" s="216">
        <v>1</v>
      </c>
      <c r="AF105" s="216">
        <v>1</v>
      </c>
      <c r="AG105" s="78" t="s">
        <v>161</v>
      </c>
      <c r="AH105" s="44"/>
      <c r="AI105" s="44"/>
      <c r="AJ105" s="44"/>
      <c r="AK105" s="44"/>
      <c r="AL105" s="44"/>
      <c r="AM105" s="44"/>
      <c r="AN105" s="350"/>
      <c r="AO105" s="45"/>
      <c r="AP105" s="44"/>
      <c r="AQ105" s="44"/>
      <c r="AR105" s="44"/>
      <c r="AS105" s="44"/>
      <c r="AT105" s="44"/>
      <c r="AU105" s="43"/>
    </row>
    <row r="106" spans="8:49" ht="15.95" customHeight="1" thickBot="1">
      <c r="H106" s="349"/>
      <c r="I106" s="616" t="s">
        <v>238</v>
      </c>
      <c r="J106" s="617"/>
      <c r="K106" s="638" t="s">
        <v>237</v>
      </c>
      <c r="L106" s="639"/>
      <c r="M106" s="639"/>
      <c r="N106" s="639"/>
      <c r="O106" s="639"/>
      <c r="P106" s="639"/>
      <c r="Q106" s="639"/>
      <c r="R106" s="639"/>
      <c r="S106" s="639"/>
      <c r="T106" s="639"/>
      <c r="U106" s="24"/>
      <c r="V106" s="593" t="s">
        <v>236</v>
      </c>
      <c r="W106" s="594"/>
      <c r="X106" s="595"/>
      <c r="Y106" s="593" t="s">
        <v>1</v>
      </c>
      <c r="Z106" s="595"/>
      <c r="AA106" s="23">
        <v>0</v>
      </c>
      <c r="AB106" s="23">
        <v>2</v>
      </c>
      <c r="AC106" s="23">
        <v>0</v>
      </c>
      <c r="AD106" s="23">
        <v>0</v>
      </c>
      <c r="AE106" s="23">
        <v>2</v>
      </c>
      <c r="AF106" s="23">
        <v>2</v>
      </c>
      <c r="AG106" s="22" t="s">
        <v>235</v>
      </c>
      <c r="AH106" s="21"/>
      <c r="AI106" s="21"/>
      <c r="AJ106" s="21"/>
      <c r="AK106" s="21"/>
      <c r="AL106" s="21"/>
      <c r="AM106" s="21"/>
      <c r="AN106" s="133"/>
      <c r="AO106" s="22"/>
      <c r="AP106" s="21"/>
      <c r="AQ106" s="21"/>
      <c r="AR106" s="21"/>
      <c r="AS106" s="21"/>
      <c r="AT106" s="21"/>
      <c r="AU106" s="20"/>
    </row>
    <row r="107" spans="8:49" ht="15.75" customHeight="1">
      <c r="H107" s="645" t="s">
        <v>243</v>
      </c>
      <c r="I107" s="645"/>
      <c r="J107" s="646"/>
      <c r="K107" s="614" t="s">
        <v>242</v>
      </c>
      <c r="L107" s="615"/>
      <c r="M107" s="615"/>
      <c r="N107" s="615"/>
      <c r="O107" s="615"/>
      <c r="P107" s="615"/>
      <c r="Q107" s="615"/>
      <c r="R107" s="615"/>
      <c r="S107" s="615"/>
      <c r="T107" s="615"/>
      <c r="U107" s="348"/>
      <c r="V107" s="29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9" t="s">
        <v>241</v>
      </c>
      <c r="AH107" s="28"/>
      <c r="AI107" s="28"/>
      <c r="AJ107" s="28"/>
      <c r="AK107" s="28"/>
      <c r="AL107" s="28"/>
      <c r="AM107" s="28"/>
      <c r="AN107" s="28"/>
      <c r="AO107" s="29"/>
      <c r="AP107" s="28"/>
      <c r="AQ107" s="28"/>
      <c r="AR107" s="28"/>
      <c r="AS107" s="28"/>
      <c r="AT107" s="28"/>
      <c r="AU107" s="27"/>
    </row>
    <row r="108" spans="8:49" ht="15.75" customHeight="1">
      <c r="H108" s="347"/>
      <c r="I108" s="636" t="str">
        <f>I105</f>
        <v>WP2873</v>
      </c>
      <c r="J108" s="637"/>
      <c r="K108" s="346" t="s">
        <v>240</v>
      </c>
      <c r="L108" s="345"/>
      <c r="M108" s="345"/>
      <c r="N108" s="345"/>
      <c r="O108" s="344"/>
      <c r="P108" s="344"/>
      <c r="Q108" s="344"/>
      <c r="R108" s="344"/>
      <c r="S108" s="344"/>
      <c r="T108" s="343"/>
      <c r="U108" s="187"/>
      <c r="V108" s="499" t="s">
        <v>239</v>
      </c>
      <c r="W108" s="500"/>
      <c r="X108" s="501"/>
      <c r="Y108" s="499" t="s">
        <v>1</v>
      </c>
      <c r="Z108" s="501"/>
      <c r="AA108" s="216">
        <v>1</v>
      </c>
      <c r="AB108" s="216">
        <v>0</v>
      </c>
      <c r="AC108" s="216">
        <v>1</v>
      </c>
      <c r="AD108" s="216">
        <v>1</v>
      </c>
      <c r="AE108" s="216">
        <v>0</v>
      </c>
      <c r="AF108" s="216">
        <v>0</v>
      </c>
      <c r="AG108" s="78" t="s">
        <v>161</v>
      </c>
      <c r="AH108" s="44"/>
      <c r="AI108" s="44"/>
      <c r="AJ108" s="44"/>
      <c r="AK108" s="44"/>
      <c r="AL108" s="44"/>
      <c r="AM108" s="44"/>
      <c r="AN108" s="44"/>
      <c r="AO108" s="45"/>
      <c r="AP108" s="44"/>
      <c r="AQ108" s="44"/>
      <c r="AR108" s="44"/>
      <c r="AS108" s="44"/>
      <c r="AT108" s="44"/>
      <c r="AU108" s="43"/>
    </row>
    <row r="109" spans="8:49" ht="15.95" customHeight="1" thickBot="1">
      <c r="H109" s="168"/>
      <c r="I109" s="600" t="s">
        <v>238</v>
      </c>
      <c r="J109" s="601"/>
      <c r="K109" s="607" t="s">
        <v>237</v>
      </c>
      <c r="L109" s="608"/>
      <c r="M109" s="608"/>
      <c r="N109" s="608"/>
      <c r="O109" s="608"/>
      <c r="P109" s="608"/>
      <c r="Q109" s="608"/>
      <c r="R109" s="608"/>
      <c r="S109" s="608"/>
      <c r="T109" s="608"/>
      <c r="U109" s="24"/>
      <c r="V109" s="593" t="s">
        <v>236</v>
      </c>
      <c r="W109" s="594"/>
      <c r="X109" s="595"/>
      <c r="Y109" s="593" t="s">
        <v>1</v>
      </c>
      <c r="Z109" s="595"/>
      <c r="AA109" s="23">
        <v>1</v>
      </c>
      <c r="AB109" s="23">
        <v>0</v>
      </c>
      <c r="AC109" s="23">
        <v>1</v>
      </c>
      <c r="AD109" s="23">
        <v>1</v>
      </c>
      <c r="AE109" s="23">
        <v>0</v>
      </c>
      <c r="AF109" s="23">
        <v>0</v>
      </c>
      <c r="AG109" s="22" t="s">
        <v>235</v>
      </c>
      <c r="AH109" s="21"/>
      <c r="AI109" s="21"/>
      <c r="AJ109" s="21"/>
      <c r="AK109" s="21"/>
      <c r="AL109" s="21"/>
      <c r="AM109" s="21"/>
      <c r="AN109" s="21"/>
      <c r="AO109" s="22"/>
      <c r="AP109" s="21"/>
      <c r="AQ109" s="21"/>
      <c r="AR109" s="21"/>
      <c r="AS109" s="21"/>
      <c r="AT109" s="21"/>
      <c r="AU109" s="20"/>
    </row>
    <row r="110" spans="8:49" s="342" customFormat="1" ht="15.95" hidden="1" customHeight="1" thickBot="1">
      <c r="H110" s="647" t="s">
        <v>234</v>
      </c>
      <c r="I110" s="648"/>
      <c r="J110" s="648"/>
      <c r="K110" s="648"/>
      <c r="L110" s="648"/>
      <c r="M110" s="648"/>
      <c r="N110" s="648"/>
      <c r="O110" s="648"/>
      <c r="P110" s="648"/>
      <c r="Q110" s="648"/>
      <c r="R110" s="648"/>
      <c r="S110" s="648"/>
      <c r="T110" s="648"/>
      <c r="U110" s="648"/>
      <c r="V110" s="648"/>
      <c r="W110" s="648"/>
      <c r="X110" s="648"/>
      <c r="Y110" s="648"/>
      <c r="Z110" s="648"/>
      <c r="AA110" s="648"/>
      <c r="AB110" s="648"/>
      <c r="AC110" s="648"/>
      <c r="AD110" s="648"/>
      <c r="AE110" s="648"/>
      <c r="AF110" s="648"/>
      <c r="AG110" s="648"/>
      <c r="AH110" s="648"/>
      <c r="AI110" s="648"/>
      <c r="AJ110" s="648"/>
      <c r="AK110" s="648"/>
      <c r="AL110" s="648"/>
      <c r="AM110" s="648"/>
      <c r="AN110" s="648"/>
      <c r="AO110" s="648"/>
      <c r="AP110" s="648"/>
      <c r="AQ110" s="648"/>
      <c r="AR110" s="648"/>
      <c r="AS110" s="648"/>
      <c r="AT110" s="648"/>
      <c r="AU110" s="649"/>
    </row>
    <row r="111" spans="8:49" ht="15.95" hidden="1" customHeight="1" thickBot="1">
      <c r="H111" s="526" t="s">
        <v>18</v>
      </c>
      <c r="I111" s="526"/>
      <c r="J111" s="527"/>
      <c r="K111" s="530" t="s">
        <v>17</v>
      </c>
      <c r="L111" s="531"/>
      <c r="M111" s="531"/>
      <c r="N111" s="531"/>
      <c r="O111" s="531"/>
      <c r="P111" s="531"/>
      <c r="Q111" s="531"/>
      <c r="R111" s="531"/>
      <c r="S111" s="531"/>
      <c r="T111" s="531"/>
      <c r="U111" s="531"/>
      <c r="V111" s="534" t="s">
        <v>16</v>
      </c>
      <c r="W111" s="535"/>
      <c r="X111" s="610"/>
      <c r="Y111" s="530" t="s">
        <v>15</v>
      </c>
      <c r="Z111" s="538"/>
      <c r="AA111" s="299" t="str">
        <f>AA86</f>
        <v>FG573-JINHEc</v>
      </c>
      <c r="AB111" s="299" t="str">
        <f>AB86</f>
        <v>FG591-FASa</v>
      </c>
      <c r="AC111" s="299"/>
      <c r="AD111" s="299"/>
      <c r="AE111" s="341"/>
      <c r="AF111" s="341"/>
      <c r="AG111" s="540" t="s">
        <v>14</v>
      </c>
      <c r="AH111" s="541"/>
      <c r="AI111" s="541"/>
      <c r="AJ111" s="541"/>
      <c r="AK111" s="541"/>
      <c r="AL111" s="541"/>
      <c r="AM111" s="541"/>
      <c r="AN111" s="542"/>
      <c r="AO111" s="530" t="s">
        <v>13</v>
      </c>
      <c r="AP111" s="531"/>
      <c r="AQ111" s="531"/>
      <c r="AR111" s="531"/>
      <c r="AS111" s="531"/>
      <c r="AT111" s="531"/>
      <c r="AU111" s="546"/>
      <c r="AV111" s="340"/>
      <c r="AW111" s="340"/>
    </row>
    <row r="112" spans="8:49" ht="15.95" hidden="1" customHeight="1" thickBot="1">
      <c r="H112" s="528"/>
      <c r="I112" s="528"/>
      <c r="J112" s="529"/>
      <c r="K112" s="532"/>
      <c r="L112" s="533"/>
      <c r="M112" s="533"/>
      <c r="N112" s="533"/>
      <c r="O112" s="533"/>
      <c r="P112" s="533"/>
      <c r="Q112" s="533"/>
      <c r="R112" s="533"/>
      <c r="S112" s="533"/>
      <c r="T112" s="533"/>
      <c r="U112" s="533"/>
      <c r="V112" s="536"/>
      <c r="W112" s="537"/>
      <c r="X112" s="611"/>
      <c r="Y112" s="532"/>
      <c r="Z112" s="539"/>
      <c r="AA112" s="56" t="str">
        <f>AA87</f>
        <v>84*</v>
      </c>
      <c r="AB112" s="56" t="str">
        <f>AB87</f>
        <v>9C*</v>
      </c>
      <c r="AC112" s="56"/>
      <c r="AD112" s="56"/>
      <c r="AE112" s="55"/>
      <c r="AF112" s="55"/>
      <c r="AG112" s="543"/>
      <c r="AH112" s="544"/>
      <c r="AI112" s="544"/>
      <c r="AJ112" s="544"/>
      <c r="AK112" s="544"/>
      <c r="AL112" s="544"/>
      <c r="AM112" s="544"/>
      <c r="AN112" s="545"/>
      <c r="AO112" s="532"/>
      <c r="AP112" s="533"/>
      <c r="AQ112" s="533"/>
      <c r="AR112" s="533"/>
      <c r="AS112" s="533"/>
      <c r="AT112" s="533"/>
      <c r="AU112" s="547"/>
    </row>
    <row r="113" spans="8:47" s="332" customFormat="1" ht="15.75" hidden="1" customHeight="1" thickTop="1">
      <c r="H113" s="53" t="s">
        <v>233</v>
      </c>
      <c r="I113" s="190"/>
      <c r="J113" s="338"/>
      <c r="K113" s="650" t="s">
        <v>208</v>
      </c>
      <c r="L113" s="651"/>
      <c r="M113" s="651"/>
      <c r="N113" s="651"/>
      <c r="O113" s="651"/>
      <c r="P113" s="651"/>
      <c r="Q113" s="651"/>
      <c r="R113" s="651"/>
      <c r="S113" s="651"/>
      <c r="T113" s="651"/>
      <c r="U113" s="651"/>
      <c r="V113" s="337"/>
      <c r="W113" s="157"/>
      <c r="X113" s="336"/>
      <c r="Y113" s="157"/>
      <c r="Z113" s="157"/>
      <c r="AA113" s="157"/>
      <c r="AB113" s="157"/>
      <c r="AC113" s="1"/>
      <c r="AD113" s="1"/>
      <c r="AE113" s="1"/>
      <c r="AF113" s="1"/>
      <c r="AG113" s="339" t="s">
        <v>161</v>
      </c>
      <c r="AH113" s="157"/>
      <c r="AI113" s="157"/>
      <c r="AJ113" s="157"/>
      <c r="AK113" s="61"/>
      <c r="AL113" s="61"/>
      <c r="AM113" s="61"/>
      <c r="AN113" s="61"/>
      <c r="AO113" s="78"/>
      <c r="AP113" s="61"/>
      <c r="AQ113" s="61"/>
      <c r="AR113" s="61"/>
      <c r="AS113" s="61"/>
      <c r="AT113" s="61"/>
      <c r="AU113" s="60"/>
    </row>
    <row r="114" spans="8:47" s="332" customFormat="1" ht="15.95" hidden="1" customHeight="1" thickBot="1">
      <c r="H114" s="168"/>
      <c r="I114" s="215" t="s">
        <v>232</v>
      </c>
      <c r="J114" s="334"/>
      <c r="K114" s="607" t="s">
        <v>231</v>
      </c>
      <c r="L114" s="608"/>
      <c r="M114" s="608"/>
      <c r="N114" s="608"/>
      <c r="O114" s="608"/>
      <c r="P114" s="608"/>
      <c r="Q114" s="608"/>
      <c r="R114" s="608"/>
      <c r="S114" s="608"/>
      <c r="T114" s="608"/>
      <c r="U114" s="608"/>
      <c r="V114" s="136"/>
      <c r="W114" s="135"/>
      <c r="X114" s="333"/>
      <c r="Y114" s="589" t="s">
        <v>1</v>
      </c>
      <c r="Z114" s="590"/>
      <c r="AA114" s="165">
        <v>1</v>
      </c>
      <c r="AB114" s="165">
        <v>1</v>
      </c>
      <c r="AC114" s="165"/>
      <c r="AD114" s="165"/>
      <c r="AE114" s="165"/>
      <c r="AF114" s="165"/>
      <c r="AG114" s="22" t="s">
        <v>161</v>
      </c>
      <c r="AH114" s="24"/>
      <c r="AI114" s="24"/>
      <c r="AJ114" s="24"/>
      <c r="AK114" s="21"/>
      <c r="AL114" s="21"/>
      <c r="AM114" s="21"/>
      <c r="AN114" s="21"/>
      <c r="AO114" s="22"/>
      <c r="AP114" s="21"/>
      <c r="AQ114" s="21"/>
      <c r="AR114" s="21"/>
      <c r="AS114" s="21"/>
      <c r="AT114" s="21"/>
      <c r="AU114" s="20"/>
    </row>
    <row r="115" spans="8:47" s="332" customFormat="1" ht="15.75" hidden="1" customHeight="1">
      <c r="H115" s="53" t="s">
        <v>230</v>
      </c>
      <c r="I115" s="190"/>
      <c r="J115" s="338"/>
      <c r="K115" s="643" t="s">
        <v>229</v>
      </c>
      <c r="L115" s="644"/>
      <c r="M115" s="644"/>
      <c r="N115" s="644"/>
      <c r="O115" s="644"/>
      <c r="P115" s="644"/>
      <c r="Q115" s="644"/>
      <c r="R115" s="644"/>
      <c r="S115" s="644"/>
      <c r="T115" s="644"/>
      <c r="U115" s="644"/>
      <c r="V115" s="337"/>
      <c r="W115" s="157"/>
      <c r="X115" s="336"/>
      <c r="Y115" s="157"/>
      <c r="Z115" s="157"/>
      <c r="AA115" s="157"/>
      <c r="AB115" s="157"/>
      <c r="AC115" s="157"/>
      <c r="AD115" s="157"/>
      <c r="AE115" s="335"/>
      <c r="AF115" s="335"/>
      <c r="AG115" s="78" t="s">
        <v>161</v>
      </c>
      <c r="AH115" s="157"/>
      <c r="AI115" s="157"/>
      <c r="AJ115" s="157"/>
      <c r="AK115" s="61"/>
      <c r="AL115" s="61"/>
      <c r="AM115" s="61"/>
      <c r="AN115" s="61"/>
      <c r="AO115" s="78"/>
      <c r="AP115" s="61"/>
      <c r="AQ115" s="61"/>
      <c r="AR115" s="61"/>
      <c r="AS115" s="61"/>
      <c r="AT115" s="61"/>
      <c r="AU115" s="60"/>
    </row>
    <row r="116" spans="8:47" s="332" customFormat="1" ht="15.95" hidden="1" customHeight="1" thickBot="1">
      <c r="H116" s="168"/>
      <c r="I116" s="215" t="s">
        <v>228</v>
      </c>
      <c r="J116" s="334"/>
      <c r="K116" s="607" t="s">
        <v>227</v>
      </c>
      <c r="L116" s="608"/>
      <c r="M116" s="608"/>
      <c r="N116" s="608"/>
      <c r="O116" s="608"/>
      <c r="P116" s="608"/>
      <c r="Q116" s="608"/>
      <c r="R116" s="608"/>
      <c r="S116" s="608"/>
      <c r="T116" s="608"/>
      <c r="U116" s="608"/>
      <c r="V116" s="136"/>
      <c r="W116" s="135"/>
      <c r="X116" s="333"/>
      <c r="Y116" s="589" t="s">
        <v>1</v>
      </c>
      <c r="Z116" s="590"/>
      <c r="AA116" s="165">
        <v>1</v>
      </c>
      <c r="AB116" s="165">
        <v>1</v>
      </c>
      <c r="AC116" s="165"/>
      <c r="AD116" s="165"/>
      <c r="AE116" s="165"/>
      <c r="AF116" s="165"/>
      <c r="AG116" s="22" t="s">
        <v>161</v>
      </c>
      <c r="AH116" s="24"/>
      <c r="AI116" s="24"/>
      <c r="AJ116" s="24"/>
      <c r="AK116" s="21"/>
      <c r="AL116" s="21"/>
      <c r="AM116" s="21"/>
      <c r="AN116" s="21"/>
      <c r="AO116" s="22"/>
      <c r="AP116" s="21"/>
      <c r="AQ116" s="21"/>
      <c r="AR116" s="21"/>
      <c r="AS116" s="21"/>
      <c r="AT116" s="21"/>
      <c r="AU116" s="20"/>
    </row>
    <row r="117" spans="8:47" ht="15.95" hidden="1" customHeight="1">
      <c r="H117" s="200"/>
      <c r="I117" s="63"/>
      <c r="J117" s="199"/>
      <c r="K117" s="331"/>
      <c r="L117" s="61"/>
      <c r="M117" s="61"/>
      <c r="N117" s="61"/>
      <c r="O117" s="61"/>
      <c r="P117" s="61"/>
      <c r="Q117" s="62"/>
      <c r="R117" s="62"/>
      <c r="S117" s="62"/>
      <c r="T117" s="62"/>
      <c r="U117" s="330"/>
      <c r="V117" s="330"/>
      <c r="W117" s="330"/>
      <c r="X117" s="330"/>
      <c r="Y117" s="329"/>
      <c r="Z117" s="329"/>
      <c r="AA117" s="329"/>
      <c r="AB117" s="328"/>
      <c r="AC117" s="62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0"/>
    </row>
    <row r="118" spans="8:47" ht="15.95" customHeight="1">
      <c r="H118" s="34"/>
      <c r="I118" s="171"/>
      <c r="J118" s="171"/>
      <c r="K118" s="28"/>
      <c r="L118" s="28"/>
      <c r="M118" s="28"/>
      <c r="N118" s="28"/>
      <c r="O118" s="126"/>
      <c r="P118" s="126"/>
      <c r="Q118" s="126"/>
      <c r="R118" s="126"/>
      <c r="S118" s="126"/>
      <c r="T118" s="126"/>
      <c r="U118" s="126"/>
      <c r="V118" s="28"/>
      <c r="W118" s="126"/>
      <c r="X118" s="126"/>
      <c r="Y118" s="126"/>
      <c r="Z118" s="126"/>
      <c r="AA118" s="126"/>
      <c r="AB118" s="126"/>
      <c r="AC118" s="126"/>
      <c r="AD118" s="126"/>
      <c r="AE118" s="126"/>
      <c r="AF118" s="126"/>
      <c r="AG118" s="28"/>
      <c r="AH118" s="28"/>
      <c r="AI118" s="28"/>
      <c r="AJ118" s="28"/>
      <c r="AK118" s="28"/>
      <c r="AL118" s="28"/>
      <c r="AM118" s="28"/>
      <c r="AN118" s="87"/>
      <c r="AO118" s="87"/>
      <c r="AP118" s="87"/>
      <c r="AQ118" s="87"/>
      <c r="AR118" s="87"/>
      <c r="AS118" s="87"/>
      <c r="AT118" s="87"/>
      <c r="AU118" s="86"/>
    </row>
    <row r="119" spans="8:47" ht="15.95" customHeight="1">
      <c r="H119" s="84" t="s">
        <v>33</v>
      </c>
      <c r="I119" s="84"/>
      <c r="J119" s="84"/>
      <c r="K119" s="83"/>
      <c r="L119" s="83"/>
      <c r="M119" s="83"/>
      <c r="N119" s="83"/>
      <c r="O119" s="81" t="s">
        <v>32</v>
      </c>
      <c r="P119" s="82"/>
      <c r="Q119" s="81"/>
      <c r="R119" s="81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79"/>
      <c r="AN119" s="78"/>
      <c r="AU119" s="72"/>
    </row>
    <row r="120" spans="8:47" ht="15.95" customHeight="1">
      <c r="H120" s="76"/>
      <c r="I120" s="76"/>
      <c r="J120" s="76"/>
      <c r="K120" s="75"/>
      <c r="L120" s="75"/>
      <c r="M120" s="75"/>
      <c r="N120" s="75"/>
      <c r="O120" s="658" t="s">
        <v>31</v>
      </c>
      <c r="P120" s="658"/>
      <c r="Q120" s="658" t="s">
        <v>30</v>
      </c>
      <c r="R120" s="658"/>
      <c r="S120" s="659" t="s">
        <v>29</v>
      </c>
      <c r="T120" s="660"/>
      <c r="U120" s="74" t="s">
        <v>28</v>
      </c>
      <c r="V120" s="661" t="s">
        <v>27</v>
      </c>
      <c r="W120" s="660"/>
      <c r="X120" s="661" t="s">
        <v>26</v>
      </c>
      <c r="Y120" s="660"/>
      <c r="Z120" s="661" t="s">
        <v>25</v>
      </c>
      <c r="AA120" s="660"/>
      <c r="AB120" s="661" t="s">
        <v>24</v>
      </c>
      <c r="AC120" s="660"/>
      <c r="AD120" s="661" t="s">
        <v>23</v>
      </c>
      <c r="AE120" s="659"/>
      <c r="AF120" s="659"/>
      <c r="AG120" s="660"/>
      <c r="AH120" s="661" t="s">
        <v>22</v>
      </c>
      <c r="AI120" s="660"/>
      <c r="AJ120" s="661" t="s">
        <v>21</v>
      </c>
      <c r="AK120" s="660"/>
      <c r="AL120" s="661" t="s">
        <v>20</v>
      </c>
      <c r="AM120" s="660"/>
      <c r="AN120" s="73"/>
      <c r="AU120" s="72"/>
    </row>
    <row r="121" spans="8:47" ht="15.95" customHeight="1">
      <c r="H121" s="70"/>
      <c r="I121" s="70"/>
      <c r="J121" s="70"/>
      <c r="K121" s="69"/>
      <c r="L121" s="69"/>
      <c r="M121" s="69"/>
      <c r="N121" s="69"/>
      <c r="O121" s="652"/>
      <c r="P121" s="653"/>
      <c r="Q121" s="654"/>
      <c r="R121" s="654"/>
      <c r="S121" s="655"/>
      <c r="T121" s="656"/>
      <c r="U121" s="68"/>
      <c r="V121" s="657"/>
      <c r="W121" s="656"/>
      <c r="X121" s="657"/>
      <c r="Y121" s="656"/>
      <c r="Z121" s="657"/>
      <c r="AA121" s="656"/>
      <c r="AB121" s="657"/>
      <c r="AC121" s="656"/>
      <c r="AD121" s="657"/>
      <c r="AE121" s="655"/>
      <c r="AF121" s="655"/>
      <c r="AG121" s="656"/>
      <c r="AH121" s="657"/>
      <c r="AI121" s="656"/>
      <c r="AJ121" s="657"/>
      <c r="AK121" s="656"/>
      <c r="AL121" s="657"/>
      <c r="AM121" s="656"/>
      <c r="AN121" s="67"/>
      <c r="AO121" s="66"/>
      <c r="AP121" s="66"/>
      <c r="AQ121" s="66"/>
      <c r="AR121" s="66"/>
      <c r="AS121" s="66"/>
      <c r="AT121" s="66"/>
      <c r="AU121" s="65"/>
    </row>
    <row r="122" spans="8:47" ht="15.75" customHeight="1">
      <c r="H122" s="237"/>
      <c r="I122" s="236"/>
      <c r="J122" s="668" t="s">
        <v>105</v>
      </c>
      <c r="K122" s="668"/>
      <c r="L122" s="668"/>
      <c r="M122" s="668"/>
      <c r="N122" s="668"/>
      <c r="O122" s="669"/>
      <c r="P122" s="471" t="s">
        <v>104</v>
      </c>
      <c r="Q122" s="472"/>
      <c r="R122" s="472"/>
      <c r="S122" s="472"/>
      <c r="T122" s="472"/>
      <c r="U122" s="472"/>
      <c r="V122" s="472"/>
      <c r="W122" s="472"/>
      <c r="X122" s="472"/>
      <c r="Y122" s="472"/>
      <c r="Z122" s="472"/>
      <c r="AA122" s="472"/>
      <c r="AB122" s="472"/>
      <c r="AC122" s="472"/>
      <c r="AD122" s="472"/>
      <c r="AE122" s="472"/>
      <c r="AF122" s="472"/>
      <c r="AG122" s="472"/>
      <c r="AH122" s="472"/>
      <c r="AI122" s="472"/>
      <c r="AJ122" s="473"/>
      <c r="AK122" s="235"/>
      <c r="AL122" s="235"/>
      <c r="AM122" s="235"/>
      <c r="AN122" s="235"/>
      <c r="AO122" s="234"/>
      <c r="AP122" s="480" t="s">
        <v>103</v>
      </c>
      <c r="AQ122" s="481"/>
      <c r="AR122" s="481"/>
      <c r="AS122" s="481"/>
      <c r="AT122" s="481"/>
      <c r="AU122" s="482"/>
    </row>
    <row r="123" spans="8:47" ht="15.95" customHeight="1">
      <c r="H123" s="233"/>
      <c r="I123" s="232"/>
      <c r="J123" s="670"/>
      <c r="K123" s="670"/>
      <c r="L123" s="670"/>
      <c r="M123" s="670"/>
      <c r="N123" s="670"/>
      <c r="O123" s="671"/>
      <c r="P123" s="474"/>
      <c r="Q123" s="475"/>
      <c r="R123" s="475"/>
      <c r="S123" s="475"/>
      <c r="T123" s="475"/>
      <c r="U123" s="475"/>
      <c r="V123" s="475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475"/>
      <c r="AG123" s="475"/>
      <c r="AH123" s="475"/>
      <c r="AI123" s="475"/>
      <c r="AJ123" s="476"/>
      <c r="AK123" s="675" t="s">
        <v>102</v>
      </c>
      <c r="AL123" s="675"/>
      <c r="AM123" s="675"/>
      <c r="AN123" s="675"/>
      <c r="AO123" s="676"/>
      <c r="AP123" s="483"/>
      <c r="AQ123" s="484"/>
      <c r="AR123" s="484"/>
      <c r="AS123" s="484"/>
      <c r="AT123" s="484"/>
      <c r="AU123" s="485"/>
    </row>
    <row r="124" spans="8:47" ht="15.95" customHeight="1">
      <c r="H124" s="233"/>
      <c r="I124" s="232"/>
      <c r="J124" s="670"/>
      <c r="K124" s="670"/>
      <c r="L124" s="670"/>
      <c r="M124" s="670"/>
      <c r="N124" s="670"/>
      <c r="O124" s="671"/>
      <c r="P124" s="474"/>
      <c r="Q124" s="475"/>
      <c r="R124" s="475"/>
      <c r="S124" s="475"/>
      <c r="T124" s="475"/>
      <c r="U124" s="475"/>
      <c r="V124" s="475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475"/>
      <c r="AG124" s="475"/>
      <c r="AH124" s="475"/>
      <c r="AI124" s="475"/>
      <c r="AJ124" s="476"/>
      <c r="AK124" s="675" t="str">
        <f>+'[4]1-5'!E12</f>
        <v>APBM-17-783-10</v>
      </c>
      <c r="AL124" s="675"/>
      <c r="AM124" s="675"/>
      <c r="AN124" s="675"/>
      <c r="AO124" s="676"/>
      <c r="AP124" s="486"/>
      <c r="AQ124" s="487"/>
      <c r="AR124" s="487"/>
      <c r="AS124" s="487"/>
      <c r="AT124" s="487"/>
      <c r="AU124" s="488"/>
    </row>
    <row r="125" spans="8:47" ht="15.95" customHeight="1">
      <c r="H125" s="231" t="s">
        <v>101</v>
      </c>
      <c r="I125" s="231"/>
      <c r="J125" s="231"/>
      <c r="K125" s="230"/>
      <c r="L125" s="230"/>
      <c r="M125" s="230"/>
      <c r="N125" s="230"/>
      <c r="O125" s="230"/>
      <c r="P125" s="474"/>
      <c r="Q125" s="475"/>
      <c r="R125" s="475"/>
      <c r="S125" s="475"/>
      <c r="T125" s="475"/>
      <c r="U125" s="475"/>
      <c r="V125" s="475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475"/>
      <c r="AG125" s="475"/>
      <c r="AH125" s="475"/>
      <c r="AI125" s="475"/>
      <c r="AJ125" s="476"/>
      <c r="AK125" s="229"/>
      <c r="AL125" s="229"/>
      <c r="AM125" s="229"/>
      <c r="AN125" s="229"/>
      <c r="AO125" s="228"/>
      <c r="AP125" s="489" t="s">
        <v>100</v>
      </c>
      <c r="AQ125" s="490"/>
      <c r="AR125" s="490"/>
      <c r="AS125" s="493" t="s">
        <v>226</v>
      </c>
      <c r="AT125" s="494"/>
      <c r="AU125" s="495"/>
    </row>
    <row r="126" spans="8:47" ht="15.95" customHeight="1" thickBot="1">
      <c r="H126" s="327" t="s">
        <v>98</v>
      </c>
      <c r="I126" s="326"/>
      <c r="J126" s="325"/>
      <c r="K126" s="324"/>
      <c r="L126" s="324"/>
      <c r="M126" s="324"/>
      <c r="N126" s="324"/>
      <c r="O126" s="324"/>
      <c r="P126" s="672"/>
      <c r="Q126" s="673"/>
      <c r="R126" s="673"/>
      <c r="S126" s="673"/>
      <c r="T126" s="673"/>
      <c r="U126" s="673"/>
      <c r="V126" s="673"/>
      <c r="W126" s="673"/>
      <c r="X126" s="673"/>
      <c r="Y126" s="673"/>
      <c r="Z126" s="673"/>
      <c r="AA126" s="673"/>
      <c r="AB126" s="673"/>
      <c r="AC126" s="673"/>
      <c r="AD126" s="673"/>
      <c r="AE126" s="673"/>
      <c r="AF126" s="673"/>
      <c r="AG126" s="673"/>
      <c r="AH126" s="673"/>
      <c r="AI126" s="673"/>
      <c r="AJ126" s="674"/>
      <c r="AK126" s="323"/>
      <c r="AL126" s="323"/>
      <c r="AM126" s="323"/>
      <c r="AN126" s="323"/>
      <c r="AO126" s="322"/>
      <c r="AP126" s="491"/>
      <c r="AQ126" s="492"/>
      <c r="AR126" s="492"/>
      <c r="AS126" s="496"/>
      <c r="AT126" s="497"/>
      <c r="AU126" s="498"/>
    </row>
    <row r="127" spans="8:47" ht="15.95" customHeight="1" thickBot="1">
      <c r="H127" s="677" t="s">
        <v>225</v>
      </c>
      <c r="I127" s="677"/>
      <c r="J127" s="677"/>
      <c r="K127" s="677"/>
      <c r="L127" s="677"/>
      <c r="M127" s="677"/>
      <c r="N127" s="677"/>
      <c r="O127" s="677"/>
      <c r="P127" s="677"/>
      <c r="Q127" s="677"/>
      <c r="R127" s="677"/>
      <c r="S127" s="677"/>
      <c r="T127" s="677"/>
      <c r="U127" s="677"/>
      <c r="V127" s="677"/>
      <c r="W127" s="677"/>
      <c r="X127" s="677"/>
      <c r="Y127" s="677"/>
      <c r="Z127" s="677"/>
      <c r="AA127" s="677"/>
      <c r="AB127" s="677"/>
      <c r="AC127" s="677"/>
      <c r="AD127" s="677"/>
      <c r="AE127" s="677"/>
      <c r="AF127" s="677"/>
      <c r="AG127" s="677"/>
      <c r="AH127" s="677"/>
      <c r="AI127" s="677"/>
      <c r="AJ127" s="677"/>
      <c r="AK127" s="677"/>
      <c r="AL127" s="677"/>
      <c r="AM127" s="677"/>
      <c r="AN127" s="677"/>
      <c r="AO127" s="677"/>
      <c r="AP127" s="677"/>
      <c r="AQ127" s="677"/>
      <c r="AR127" s="677"/>
      <c r="AS127" s="677"/>
      <c r="AT127" s="677"/>
      <c r="AU127" s="678"/>
    </row>
    <row r="128" spans="8:47" ht="15.95" customHeight="1" thickBot="1">
      <c r="H128" s="526" t="s">
        <v>18</v>
      </c>
      <c r="I128" s="526"/>
      <c r="J128" s="527"/>
      <c r="K128" s="530" t="s">
        <v>17</v>
      </c>
      <c r="L128" s="531"/>
      <c r="M128" s="531"/>
      <c r="N128" s="531"/>
      <c r="O128" s="531"/>
      <c r="P128" s="531"/>
      <c r="Q128" s="531"/>
      <c r="R128" s="531"/>
      <c r="S128" s="531"/>
      <c r="T128" s="531"/>
      <c r="U128" s="531"/>
      <c r="V128" s="534" t="s">
        <v>16</v>
      </c>
      <c r="W128" s="535"/>
      <c r="X128" s="535"/>
      <c r="Y128" s="530" t="s">
        <v>15</v>
      </c>
      <c r="Z128" s="538"/>
      <c r="AA128" s="59" t="str">
        <f>AA102</f>
        <v>FG573-JINHEc</v>
      </c>
      <c r="AB128" s="59" t="str">
        <f t="shared" ref="AB128:AF129" si="5">+AB102</f>
        <v>FG591-FASa</v>
      </c>
      <c r="AC128" s="59" t="str">
        <f t="shared" si="5"/>
        <v>FG592-FASa</v>
      </c>
      <c r="AD128" s="59" t="str">
        <f t="shared" si="5"/>
        <v>FG601-FASTc</v>
      </c>
      <c r="AE128" s="59" t="str">
        <f t="shared" si="5"/>
        <v>FG623-JINHEc</v>
      </c>
      <c r="AF128" s="59" t="str">
        <f t="shared" si="5"/>
        <v>FG616-JINHEa</v>
      </c>
      <c r="AG128" s="540" t="s">
        <v>14</v>
      </c>
      <c r="AH128" s="541"/>
      <c r="AI128" s="541"/>
      <c r="AJ128" s="541"/>
      <c r="AK128" s="541"/>
      <c r="AL128" s="541"/>
      <c r="AM128" s="541"/>
      <c r="AN128" s="542"/>
      <c r="AO128" s="530" t="s">
        <v>13</v>
      </c>
      <c r="AP128" s="531"/>
      <c r="AQ128" s="531"/>
      <c r="AR128" s="531"/>
      <c r="AS128" s="531"/>
      <c r="AT128" s="531"/>
      <c r="AU128" s="546"/>
    </row>
    <row r="129" spans="8:47" ht="15.95" customHeight="1" thickBot="1">
      <c r="H129" s="528"/>
      <c r="I129" s="528"/>
      <c r="J129" s="529"/>
      <c r="K129" s="532"/>
      <c r="L129" s="533"/>
      <c r="M129" s="533"/>
      <c r="N129" s="533"/>
      <c r="O129" s="533"/>
      <c r="P129" s="533"/>
      <c r="Q129" s="533"/>
      <c r="R129" s="533"/>
      <c r="S129" s="533"/>
      <c r="T129" s="533"/>
      <c r="U129" s="533"/>
      <c r="V129" s="536"/>
      <c r="W129" s="537"/>
      <c r="X129" s="537"/>
      <c r="Y129" s="532"/>
      <c r="Z129" s="539"/>
      <c r="AA129" s="245" t="str">
        <f>AA103</f>
        <v>84*</v>
      </c>
      <c r="AB129" s="56" t="str">
        <f t="shared" si="5"/>
        <v>9C*</v>
      </c>
      <c r="AC129" s="56" t="str">
        <f t="shared" si="5"/>
        <v>9D*</v>
      </c>
      <c r="AD129" s="56" t="str">
        <f t="shared" si="5"/>
        <v>9E*</v>
      </c>
      <c r="AE129" s="56" t="str">
        <f t="shared" si="5"/>
        <v>9W*</v>
      </c>
      <c r="AF129" s="56" t="str">
        <f t="shared" si="5"/>
        <v>9S*</v>
      </c>
      <c r="AG129" s="543"/>
      <c r="AH129" s="544"/>
      <c r="AI129" s="544"/>
      <c r="AJ129" s="544"/>
      <c r="AK129" s="544"/>
      <c r="AL129" s="544"/>
      <c r="AM129" s="544"/>
      <c r="AN129" s="545"/>
      <c r="AO129" s="532"/>
      <c r="AP129" s="533"/>
      <c r="AQ129" s="533"/>
      <c r="AR129" s="533"/>
      <c r="AS129" s="533"/>
      <c r="AT129" s="533"/>
      <c r="AU129" s="547"/>
    </row>
    <row r="130" spans="8:47" ht="17.25" customHeight="1" thickTop="1">
      <c r="H130" s="679" t="s">
        <v>224</v>
      </c>
      <c r="I130" s="679"/>
      <c r="J130" s="680"/>
      <c r="K130" s="316" t="s">
        <v>223</v>
      </c>
      <c r="L130" s="31"/>
      <c r="M130" s="31"/>
      <c r="N130" s="31"/>
      <c r="O130" s="30"/>
      <c r="P130" s="30"/>
      <c r="Q130" s="30"/>
      <c r="R130" s="30"/>
      <c r="S130" s="30"/>
      <c r="T130" s="126"/>
      <c r="U130" s="120"/>
      <c r="V130" s="666" t="s">
        <v>222</v>
      </c>
      <c r="W130" s="667"/>
      <c r="X130" s="667"/>
      <c r="Y130" s="28"/>
      <c r="Z130" s="28"/>
      <c r="AA130" s="46"/>
      <c r="AB130" s="46"/>
      <c r="AC130" s="46"/>
      <c r="AD130" s="46"/>
      <c r="AE130" s="46"/>
      <c r="AF130" s="46"/>
      <c r="AG130" s="48" t="s">
        <v>204</v>
      </c>
      <c r="AH130" s="28"/>
      <c r="AI130" s="28"/>
      <c r="AJ130" s="28"/>
      <c r="AK130" s="28"/>
      <c r="AL130" s="28"/>
      <c r="AM130" s="28"/>
      <c r="AN130" s="28"/>
      <c r="AO130" s="29"/>
      <c r="AP130" s="28"/>
      <c r="AQ130" s="28"/>
      <c r="AR130" s="28"/>
      <c r="AS130" s="28"/>
      <c r="AT130" s="28"/>
      <c r="AU130" s="27"/>
    </row>
    <row r="131" spans="8:47" ht="17.25" customHeight="1">
      <c r="H131" s="315"/>
      <c r="I131" s="681" t="s">
        <v>10</v>
      </c>
      <c r="J131" s="682"/>
      <c r="K131" s="314" t="s">
        <v>9</v>
      </c>
      <c r="L131" s="44"/>
      <c r="M131" s="44"/>
      <c r="N131" s="44"/>
      <c r="O131" s="187"/>
      <c r="P131" s="187"/>
      <c r="Q131" s="187"/>
      <c r="R131" s="187"/>
      <c r="S131" s="187"/>
      <c r="T131" s="187"/>
      <c r="U131" s="210"/>
      <c r="V131" s="499"/>
      <c r="W131" s="500"/>
      <c r="X131" s="501"/>
      <c r="Y131" s="499" t="s">
        <v>1</v>
      </c>
      <c r="Z131" s="501"/>
      <c r="AA131" s="216">
        <v>0</v>
      </c>
      <c r="AB131" s="216">
        <v>1.00804</v>
      </c>
      <c r="AC131" s="216">
        <v>0</v>
      </c>
      <c r="AD131" s="216">
        <v>0</v>
      </c>
      <c r="AE131" s="216">
        <v>1.00804</v>
      </c>
      <c r="AF131" s="216">
        <v>1.00804</v>
      </c>
      <c r="AG131" s="150" t="s">
        <v>0</v>
      </c>
      <c r="AH131" s="44"/>
      <c r="AI131" s="44"/>
      <c r="AJ131" s="44"/>
      <c r="AK131" s="44"/>
      <c r="AL131" s="44"/>
      <c r="AM131" s="44"/>
      <c r="AN131" s="44"/>
      <c r="AO131" s="45"/>
      <c r="AP131" s="44"/>
      <c r="AQ131" s="44"/>
      <c r="AR131" s="44"/>
      <c r="AS131" s="44"/>
      <c r="AT131" s="44"/>
      <c r="AU131" s="43"/>
    </row>
    <row r="132" spans="8:47" ht="17.25" customHeight="1">
      <c r="H132" s="153"/>
      <c r="I132" s="683" t="s">
        <v>203</v>
      </c>
      <c r="J132" s="684"/>
      <c r="K132" s="321" t="s">
        <v>202</v>
      </c>
      <c r="L132" s="44"/>
      <c r="M132" s="44"/>
      <c r="N132" s="44"/>
      <c r="O132" s="187"/>
      <c r="P132" s="187"/>
      <c r="Q132" s="187"/>
      <c r="R132" s="187"/>
      <c r="S132" s="187"/>
      <c r="T132" s="187"/>
      <c r="U132" s="210"/>
      <c r="V132" s="499" t="s">
        <v>201</v>
      </c>
      <c r="W132" s="500"/>
      <c r="X132" s="501"/>
      <c r="Y132" s="499" t="s">
        <v>1</v>
      </c>
      <c r="Z132" s="501"/>
      <c r="AA132" s="216">
        <v>0</v>
      </c>
      <c r="AB132" s="312">
        <v>2.0159699999999998</v>
      </c>
      <c r="AC132" s="216">
        <v>0</v>
      </c>
      <c r="AD132" s="216">
        <v>0</v>
      </c>
      <c r="AE132" s="312">
        <v>2.0159699999999998</v>
      </c>
      <c r="AF132" s="312">
        <v>2.0159699999999998</v>
      </c>
      <c r="AG132" s="78" t="s">
        <v>161</v>
      </c>
      <c r="AH132" s="44"/>
      <c r="AI132" s="44"/>
      <c r="AJ132" s="44"/>
      <c r="AK132" s="44"/>
      <c r="AL132" s="44"/>
      <c r="AM132" s="44"/>
      <c r="AN132" s="44"/>
      <c r="AO132" s="45"/>
      <c r="AP132" s="44"/>
      <c r="AQ132" s="44"/>
      <c r="AR132" s="44"/>
      <c r="AS132" s="44"/>
      <c r="AT132" s="44"/>
      <c r="AU132" s="43"/>
    </row>
    <row r="133" spans="8:47" ht="17.25" customHeight="1">
      <c r="H133" s="153"/>
      <c r="I133" s="320" t="s">
        <v>221</v>
      </c>
      <c r="J133" s="319"/>
      <c r="K133" s="318" t="s">
        <v>220</v>
      </c>
      <c r="L133" s="37"/>
      <c r="M133" s="37"/>
      <c r="N133" s="37"/>
      <c r="O133" s="40"/>
      <c r="P133" s="40"/>
      <c r="Q133" s="40"/>
      <c r="R133" s="40"/>
      <c r="S133" s="40"/>
      <c r="T133" s="187"/>
      <c r="U133" s="210"/>
      <c r="V133" s="499" t="s">
        <v>219</v>
      </c>
      <c r="W133" s="500"/>
      <c r="X133" s="501"/>
      <c r="Y133" s="499" t="s">
        <v>1</v>
      </c>
      <c r="Z133" s="501"/>
      <c r="AA133" s="216">
        <v>0</v>
      </c>
      <c r="AB133" s="216">
        <v>1.00804</v>
      </c>
      <c r="AC133" s="216">
        <v>0</v>
      </c>
      <c r="AD133" s="216">
        <v>0</v>
      </c>
      <c r="AE133" s="216">
        <v>1.00804</v>
      </c>
      <c r="AF133" s="216">
        <v>1.00804</v>
      </c>
      <c r="AG133" s="45" t="s">
        <v>197</v>
      </c>
      <c r="AH133" s="44"/>
      <c r="AI133" s="44"/>
      <c r="AJ133" s="44"/>
      <c r="AK133" s="44"/>
      <c r="AL133" s="44"/>
      <c r="AM133" s="44"/>
      <c r="AN133" s="44"/>
      <c r="AO133" s="45"/>
      <c r="AP133" s="44"/>
      <c r="AQ133" s="44"/>
      <c r="AR133" s="44"/>
      <c r="AS133" s="44"/>
      <c r="AT133" s="44"/>
      <c r="AU133" s="43"/>
    </row>
    <row r="134" spans="8:47" ht="17.25" customHeight="1" thickBot="1">
      <c r="H134" s="282"/>
      <c r="I134" s="662" t="s">
        <v>174</v>
      </c>
      <c r="J134" s="663"/>
      <c r="K134" s="317" t="s">
        <v>173</v>
      </c>
      <c r="L134" s="21"/>
      <c r="M134" s="21"/>
      <c r="N134" s="21"/>
      <c r="O134" s="24"/>
      <c r="P134" s="24"/>
      <c r="Q134" s="24"/>
      <c r="R134" s="24"/>
      <c r="S134" s="24"/>
      <c r="T134" s="24"/>
      <c r="U134" s="132"/>
      <c r="V134" s="593"/>
      <c r="W134" s="594"/>
      <c r="X134" s="595"/>
      <c r="Y134" s="499" t="s">
        <v>1</v>
      </c>
      <c r="Z134" s="501"/>
      <c r="AA134" s="23">
        <v>0</v>
      </c>
      <c r="AB134" s="216">
        <v>1</v>
      </c>
      <c r="AC134" s="23">
        <v>0</v>
      </c>
      <c r="AD134" s="23">
        <v>0</v>
      </c>
      <c r="AE134" s="216">
        <v>1</v>
      </c>
      <c r="AF134" s="216">
        <v>1</v>
      </c>
      <c r="AG134" s="22" t="s">
        <v>165</v>
      </c>
      <c r="AH134" s="21"/>
      <c r="AI134" s="21"/>
      <c r="AJ134" s="21"/>
      <c r="AK134" s="21"/>
      <c r="AL134" s="21"/>
      <c r="AM134" s="21"/>
      <c r="AN134" s="21"/>
      <c r="AO134" s="22"/>
      <c r="AP134" s="21"/>
      <c r="AQ134" s="21"/>
      <c r="AR134" s="21"/>
      <c r="AS134" s="21"/>
      <c r="AT134" s="21"/>
      <c r="AU134" s="20"/>
    </row>
    <row r="135" spans="8:47" ht="15.95" customHeight="1">
      <c r="H135" s="664" t="s">
        <v>218</v>
      </c>
      <c r="I135" s="664"/>
      <c r="J135" s="665"/>
      <c r="K135" s="316" t="s">
        <v>217</v>
      </c>
      <c r="L135" s="31"/>
      <c r="M135" s="31"/>
      <c r="N135" s="31"/>
      <c r="O135" s="30"/>
      <c r="P135" s="30"/>
      <c r="Q135" s="30"/>
      <c r="R135" s="30"/>
      <c r="S135" s="30"/>
      <c r="T135" s="126"/>
      <c r="U135" s="120"/>
      <c r="V135" s="666" t="s">
        <v>216</v>
      </c>
      <c r="W135" s="667"/>
      <c r="X135" s="667"/>
      <c r="Y135" s="28"/>
      <c r="Z135" s="28"/>
      <c r="AA135" s="28"/>
      <c r="AB135" s="28"/>
      <c r="AC135" s="28"/>
      <c r="AD135" s="28"/>
      <c r="AE135" s="28"/>
      <c r="AF135" s="28"/>
      <c r="AG135" s="29" t="s">
        <v>204</v>
      </c>
      <c r="AH135" s="28"/>
      <c r="AI135" s="28"/>
      <c r="AJ135" s="28"/>
      <c r="AK135" s="28"/>
      <c r="AL135" s="28"/>
      <c r="AM135" s="28"/>
      <c r="AN135" s="28"/>
      <c r="AO135" s="29"/>
      <c r="AP135" s="28"/>
      <c r="AQ135" s="28"/>
      <c r="AR135" s="28"/>
      <c r="AS135" s="28"/>
      <c r="AT135" s="28"/>
      <c r="AU135" s="27"/>
    </row>
    <row r="136" spans="8:47" ht="15.95" customHeight="1">
      <c r="H136" s="315"/>
      <c r="I136" s="681" t="s">
        <v>4</v>
      </c>
      <c r="J136" s="682"/>
      <c r="K136" s="314" t="s">
        <v>3</v>
      </c>
      <c r="L136" s="44"/>
      <c r="M136" s="44"/>
      <c r="N136" s="44"/>
      <c r="O136" s="187"/>
      <c r="P136" s="187"/>
      <c r="Q136" s="187"/>
      <c r="R136" s="187"/>
      <c r="S136" s="187"/>
      <c r="T136" s="187"/>
      <c r="U136" s="210"/>
      <c r="V136" s="45"/>
      <c r="W136" s="187"/>
      <c r="X136" s="187"/>
      <c r="Y136" s="499" t="s">
        <v>1</v>
      </c>
      <c r="Z136" s="501"/>
      <c r="AA136" s="216">
        <v>0</v>
      </c>
      <c r="AB136" s="216">
        <v>1.00804</v>
      </c>
      <c r="AC136" s="216">
        <v>0</v>
      </c>
      <c r="AD136" s="216">
        <v>0</v>
      </c>
      <c r="AE136" s="216">
        <v>1.00804</v>
      </c>
      <c r="AF136" s="216">
        <v>1.00804</v>
      </c>
      <c r="AG136" s="150" t="s">
        <v>0</v>
      </c>
      <c r="AH136" s="44"/>
      <c r="AI136" s="44"/>
      <c r="AJ136" s="44"/>
      <c r="AK136" s="44"/>
      <c r="AL136" s="44"/>
      <c r="AM136" s="44"/>
      <c r="AN136" s="44"/>
      <c r="AO136" s="45"/>
      <c r="AP136" s="44"/>
      <c r="AQ136" s="44"/>
      <c r="AR136" s="44"/>
      <c r="AS136" s="44"/>
      <c r="AT136" s="44"/>
      <c r="AU136" s="43"/>
    </row>
    <row r="137" spans="8:47" ht="15.95" customHeight="1">
      <c r="H137" s="190"/>
      <c r="I137" s="685" t="s">
        <v>203</v>
      </c>
      <c r="J137" s="686"/>
      <c r="K137" s="313" t="s">
        <v>202</v>
      </c>
      <c r="L137" s="44"/>
      <c r="M137" s="44"/>
      <c r="N137" s="44"/>
      <c r="O137" s="187"/>
      <c r="P137" s="187"/>
      <c r="Q137" s="187"/>
      <c r="R137" s="187"/>
      <c r="S137" s="187"/>
      <c r="T137" s="187"/>
      <c r="U137" s="210"/>
      <c r="V137" s="499" t="s">
        <v>201</v>
      </c>
      <c r="W137" s="500"/>
      <c r="X137" s="501"/>
      <c r="Y137" s="499" t="s">
        <v>1</v>
      </c>
      <c r="Z137" s="501"/>
      <c r="AA137" s="216">
        <v>0</v>
      </c>
      <c r="AB137" s="312">
        <v>2.0159699999999998</v>
      </c>
      <c r="AC137" s="216">
        <v>0</v>
      </c>
      <c r="AD137" s="216">
        <v>0</v>
      </c>
      <c r="AE137" s="312">
        <v>2.0159699999999998</v>
      </c>
      <c r="AF137" s="312">
        <v>2.0159699999999998</v>
      </c>
      <c r="AG137" s="78" t="s">
        <v>161</v>
      </c>
      <c r="AH137" s="44"/>
      <c r="AI137" s="44"/>
      <c r="AJ137" s="44"/>
      <c r="AK137" s="44"/>
      <c r="AL137" s="44"/>
      <c r="AM137" s="44"/>
      <c r="AN137" s="44"/>
      <c r="AO137" s="45"/>
      <c r="AP137" s="44"/>
      <c r="AQ137" s="44"/>
      <c r="AR137" s="44"/>
      <c r="AS137" s="44"/>
      <c r="AT137" s="44"/>
      <c r="AU137" s="43"/>
    </row>
    <row r="138" spans="8:47" ht="17.25" customHeight="1">
      <c r="H138" s="190"/>
      <c r="I138" s="262" t="s">
        <v>200</v>
      </c>
      <c r="J138" s="188"/>
      <c r="K138" s="41" t="s">
        <v>199</v>
      </c>
      <c r="L138" s="44"/>
      <c r="M138" s="44"/>
      <c r="N138" s="44"/>
      <c r="O138" s="187"/>
      <c r="P138" s="187"/>
      <c r="Q138" s="40"/>
      <c r="R138" s="40"/>
      <c r="S138" s="40"/>
      <c r="T138" s="40"/>
      <c r="U138" s="210"/>
      <c r="V138" s="499" t="s">
        <v>215</v>
      </c>
      <c r="W138" s="500"/>
      <c r="X138" s="501"/>
      <c r="Y138" s="499" t="s">
        <v>1</v>
      </c>
      <c r="Z138" s="501"/>
      <c r="AA138" s="216">
        <v>0</v>
      </c>
      <c r="AB138" s="216">
        <v>1.00804</v>
      </c>
      <c r="AC138" s="216">
        <v>0</v>
      </c>
      <c r="AD138" s="216">
        <v>0</v>
      </c>
      <c r="AE138" s="216">
        <v>1.00804</v>
      </c>
      <c r="AF138" s="216">
        <v>1.00804</v>
      </c>
      <c r="AG138" s="45" t="s">
        <v>197</v>
      </c>
      <c r="AH138" s="44"/>
      <c r="AI138" s="44"/>
      <c r="AJ138" s="44"/>
      <c r="AK138" s="44"/>
      <c r="AL138" s="44"/>
      <c r="AM138" s="44"/>
      <c r="AN138" s="44"/>
      <c r="AO138" s="45"/>
      <c r="AP138" s="44"/>
      <c r="AQ138" s="44"/>
      <c r="AR138" s="44"/>
      <c r="AS138" s="44"/>
      <c r="AT138" s="44"/>
      <c r="AU138" s="43"/>
    </row>
    <row r="139" spans="8:47" ht="17.25" customHeight="1" thickBot="1">
      <c r="H139" s="168"/>
      <c r="I139" s="600" t="s">
        <v>169</v>
      </c>
      <c r="J139" s="601"/>
      <c r="K139" s="22" t="s">
        <v>168</v>
      </c>
      <c r="L139" s="21"/>
      <c r="M139" s="21"/>
      <c r="N139" s="21"/>
      <c r="O139" s="21"/>
      <c r="P139" s="21"/>
      <c r="Q139" s="21"/>
      <c r="R139" s="21"/>
      <c r="S139" s="24"/>
      <c r="T139" s="24"/>
      <c r="U139" s="132"/>
      <c r="V139" s="593"/>
      <c r="W139" s="594"/>
      <c r="X139" s="595"/>
      <c r="Y139" s="593" t="s">
        <v>1</v>
      </c>
      <c r="Z139" s="595"/>
      <c r="AA139" s="23">
        <v>0</v>
      </c>
      <c r="AB139" s="23">
        <v>1</v>
      </c>
      <c r="AC139" s="23">
        <v>0</v>
      </c>
      <c r="AD139" s="23">
        <v>0</v>
      </c>
      <c r="AE139" s="23">
        <v>1</v>
      </c>
      <c r="AF139" s="23">
        <v>1</v>
      </c>
      <c r="AG139" s="22" t="s">
        <v>165</v>
      </c>
      <c r="AH139" s="21"/>
      <c r="AI139" s="21"/>
      <c r="AJ139" s="21"/>
      <c r="AK139" s="21"/>
      <c r="AL139" s="21"/>
      <c r="AM139" s="21"/>
      <c r="AN139" s="21"/>
      <c r="AO139" s="22"/>
      <c r="AP139" s="21"/>
      <c r="AQ139" s="21"/>
      <c r="AR139" s="21"/>
      <c r="AS139" s="21"/>
      <c r="AT139" s="21"/>
      <c r="AU139" s="20"/>
    </row>
    <row r="140" spans="8:47" ht="15.95" customHeight="1">
      <c r="H140" s="664" t="s">
        <v>214</v>
      </c>
      <c r="I140" s="664"/>
      <c r="J140" s="665"/>
      <c r="K140" s="316" t="s">
        <v>213</v>
      </c>
      <c r="L140" s="31"/>
      <c r="M140" s="31"/>
      <c r="N140" s="31"/>
      <c r="O140" s="30"/>
      <c r="P140" s="30"/>
      <c r="Q140" s="30"/>
      <c r="R140" s="30"/>
      <c r="S140" s="30"/>
      <c r="T140" s="30"/>
      <c r="U140" s="30"/>
      <c r="V140" s="666" t="s">
        <v>212</v>
      </c>
      <c r="W140" s="667"/>
      <c r="X140" s="667"/>
      <c r="Y140" s="28"/>
      <c r="Z140" s="28"/>
      <c r="AA140" s="28"/>
      <c r="AB140" s="28"/>
      <c r="AC140" s="28"/>
      <c r="AD140" s="28"/>
      <c r="AE140" s="28"/>
      <c r="AF140" s="28"/>
      <c r="AG140" s="29" t="s">
        <v>204</v>
      </c>
      <c r="AH140" s="28"/>
      <c r="AI140" s="28"/>
      <c r="AJ140" s="28"/>
      <c r="AK140" s="28"/>
      <c r="AL140" s="28"/>
      <c r="AM140" s="28"/>
      <c r="AN140" s="28"/>
      <c r="AO140" s="29"/>
      <c r="AP140" s="28"/>
      <c r="AQ140" s="28"/>
      <c r="AR140" s="28"/>
      <c r="AS140" s="28"/>
      <c r="AT140" s="28"/>
      <c r="AU140" s="27"/>
    </row>
    <row r="141" spans="8:47" ht="15.95" customHeight="1">
      <c r="H141" s="315"/>
      <c r="I141" s="681" t="s">
        <v>10</v>
      </c>
      <c r="J141" s="682"/>
      <c r="K141" s="314" t="s">
        <v>9</v>
      </c>
      <c r="L141" s="44"/>
      <c r="M141" s="44"/>
      <c r="N141" s="44"/>
      <c r="O141" s="187"/>
      <c r="P141" s="187"/>
      <c r="Q141" s="187"/>
      <c r="R141" s="187"/>
      <c r="S141" s="187"/>
      <c r="T141" s="187"/>
      <c r="U141" s="187"/>
      <c r="V141" s="45"/>
      <c r="W141" s="187"/>
      <c r="X141" s="187"/>
      <c r="Y141" s="499" t="s">
        <v>1</v>
      </c>
      <c r="Z141" s="501"/>
      <c r="AA141" s="216">
        <v>1.00804</v>
      </c>
      <c r="AB141" s="216">
        <v>0</v>
      </c>
      <c r="AC141" s="216">
        <v>1.00804</v>
      </c>
      <c r="AD141" s="216">
        <v>1.00804</v>
      </c>
      <c r="AE141" s="216">
        <v>0</v>
      </c>
      <c r="AF141" s="216">
        <v>0</v>
      </c>
      <c r="AG141" s="150" t="s">
        <v>0</v>
      </c>
      <c r="AH141" s="44"/>
      <c r="AI141" s="44"/>
      <c r="AJ141" s="44"/>
      <c r="AK141" s="44"/>
      <c r="AL141" s="44"/>
      <c r="AM141" s="44"/>
      <c r="AN141" s="44"/>
      <c r="AO141" s="45"/>
      <c r="AP141" s="44"/>
      <c r="AQ141" s="44"/>
      <c r="AR141" s="44"/>
      <c r="AS141" s="44"/>
      <c r="AT141" s="44"/>
      <c r="AU141" s="43"/>
    </row>
    <row r="142" spans="8:47" ht="15.95" customHeight="1">
      <c r="H142" s="190"/>
      <c r="I142" s="685" t="s">
        <v>203</v>
      </c>
      <c r="J142" s="686"/>
      <c r="K142" s="313" t="s">
        <v>202</v>
      </c>
      <c r="L142" s="44"/>
      <c r="M142" s="44"/>
      <c r="N142" s="44"/>
      <c r="O142" s="187"/>
      <c r="P142" s="187"/>
      <c r="Q142" s="187"/>
      <c r="R142" s="187"/>
      <c r="S142" s="187"/>
      <c r="T142" s="187"/>
      <c r="U142" s="187"/>
      <c r="V142" s="499" t="s">
        <v>201</v>
      </c>
      <c r="W142" s="500"/>
      <c r="X142" s="501"/>
      <c r="Y142" s="499" t="s">
        <v>1</v>
      </c>
      <c r="Z142" s="501"/>
      <c r="AA142" s="312">
        <v>2.0159699999999998</v>
      </c>
      <c r="AB142" s="216">
        <v>0</v>
      </c>
      <c r="AC142" s="312">
        <v>2.0159699999999998</v>
      </c>
      <c r="AD142" s="312">
        <v>2.0159699999999998</v>
      </c>
      <c r="AE142" s="216">
        <v>0</v>
      </c>
      <c r="AF142" s="216">
        <v>0</v>
      </c>
      <c r="AG142" s="78" t="s">
        <v>161</v>
      </c>
      <c r="AH142" s="44"/>
      <c r="AI142" s="44"/>
      <c r="AJ142" s="44"/>
      <c r="AK142" s="44"/>
      <c r="AL142" s="44"/>
      <c r="AM142" s="44"/>
      <c r="AN142" s="44"/>
      <c r="AO142" s="45"/>
      <c r="AP142" s="44"/>
      <c r="AQ142" s="44"/>
      <c r="AR142" s="44"/>
      <c r="AS142" s="44"/>
      <c r="AT142" s="44"/>
      <c r="AU142" s="43"/>
    </row>
    <row r="143" spans="8:47" ht="17.25" customHeight="1">
      <c r="H143" s="190"/>
      <c r="I143" s="262" t="s">
        <v>211</v>
      </c>
      <c r="J143" s="188"/>
      <c r="K143" s="41" t="s">
        <v>210</v>
      </c>
      <c r="L143" s="44"/>
      <c r="M143" s="44"/>
      <c r="N143" s="44"/>
      <c r="O143" s="187"/>
      <c r="P143" s="187"/>
      <c r="Q143" s="40"/>
      <c r="R143" s="40"/>
      <c r="S143" s="40"/>
      <c r="T143" s="40"/>
      <c r="U143" s="40"/>
      <c r="V143" s="499" t="s">
        <v>209</v>
      </c>
      <c r="W143" s="500"/>
      <c r="X143" s="500"/>
      <c r="Y143" s="499" t="s">
        <v>1</v>
      </c>
      <c r="Z143" s="501"/>
      <c r="AA143" s="216">
        <v>1.00804</v>
      </c>
      <c r="AB143" s="216">
        <v>0</v>
      </c>
      <c r="AC143" s="216">
        <v>1.00804</v>
      </c>
      <c r="AD143" s="216">
        <v>1.00804</v>
      </c>
      <c r="AE143" s="216">
        <v>0</v>
      </c>
      <c r="AF143" s="216">
        <v>0</v>
      </c>
      <c r="AG143" s="45" t="s">
        <v>197</v>
      </c>
      <c r="AH143" s="44"/>
      <c r="AI143" s="44"/>
      <c r="AJ143" s="44"/>
      <c r="AK143" s="44"/>
      <c r="AL143" s="44"/>
      <c r="AM143" s="44"/>
      <c r="AN143" s="44"/>
      <c r="AO143" s="45"/>
      <c r="AP143" s="44"/>
      <c r="AQ143" s="44"/>
      <c r="AR143" s="44"/>
      <c r="AS143" s="44"/>
      <c r="AT143" s="44"/>
      <c r="AU143" s="43"/>
    </row>
    <row r="144" spans="8:47" ht="17.25" customHeight="1" thickBot="1">
      <c r="H144" s="168"/>
      <c r="I144" s="600" t="s">
        <v>172</v>
      </c>
      <c r="J144" s="601"/>
      <c r="K144" s="45" t="s">
        <v>208</v>
      </c>
      <c r="L144" s="21"/>
      <c r="M144" s="21"/>
      <c r="N144" s="21"/>
      <c r="O144" s="24"/>
      <c r="P144" s="24"/>
      <c r="Q144" s="24"/>
      <c r="R144" s="24"/>
      <c r="S144" s="24"/>
      <c r="T144" s="24"/>
      <c r="U144" s="24"/>
      <c r="V144" s="499" t="s">
        <v>170</v>
      </c>
      <c r="W144" s="500"/>
      <c r="X144" s="501"/>
      <c r="Y144" s="593" t="s">
        <v>1</v>
      </c>
      <c r="Z144" s="595"/>
      <c r="AA144" s="216">
        <v>1.00804</v>
      </c>
      <c r="AB144" s="23">
        <v>0</v>
      </c>
      <c r="AC144" s="216">
        <v>1.00804</v>
      </c>
      <c r="AD144" s="216">
        <v>1.00804</v>
      </c>
      <c r="AE144" s="23">
        <v>0</v>
      </c>
      <c r="AF144" s="23">
        <v>0</v>
      </c>
      <c r="AG144" s="22" t="s">
        <v>161</v>
      </c>
      <c r="AH144" s="21"/>
      <c r="AI144" s="21"/>
      <c r="AJ144" s="21"/>
      <c r="AK144" s="21"/>
      <c r="AL144" s="21"/>
      <c r="AM144" s="21"/>
      <c r="AN144" s="21"/>
      <c r="AO144" s="22"/>
      <c r="AP144" s="21"/>
      <c r="AQ144" s="21"/>
      <c r="AR144" s="21"/>
      <c r="AS144" s="21"/>
      <c r="AT144" s="21"/>
      <c r="AU144" s="20"/>
    </row>
    <row r="145" spans="8:47" ht="15.95" customHeight="1">
      <c r="H145" s="664" t="s">
        <v>207</v>
      </c>
      <c r="I145" s="664"/>
      <c r="J145" s="665"/>
      <c r="K145" s="316" t="s">
        <v>206</v>
      </c>
      <c r="L145" s="31"/>
      <c r="M145" s="31"/>
      <c r="N145" s="31"/>
      <c r="O145" s="30"/>
      <c r="P145" s="30"/>
      <c r="Q145" s="30"/>
      <c r="R145" s="30"/>
      <c r="S145" s="30"/>
      <c r="T145" s="126"/>
      <c r="U145" s="120"/>
      <c r="V145" s="666" t="s">
        <v>205</v>
      </c>
      <c r="W145" s="667"/>
      <c r="X145" s="667"/>
      <c r="Y145" s="28"/>
      <c r="Z145" s="28"/>
      <c r="AA145" s="28"/>
      <c r="AB145" s="28"/>
      <c r="AC145" s="28"/>
      <c r="AD145" s="28"/>
      <c r="AE145" s="28"/>
      <c r="AF145" s="28"/>
      <c r="AG145" s="29" t="s">
        <v>204</v>
      </c>
      <c r="AH145" s="28"/>
      <c r="AI145" s="28"/>
      <c r="AJ145" s="28"/>
      <c r="AK145" s="28"/>
      <c r="AL145" s="28"/>
      <c r="AM145" s="28"/>
      <c r="AN145" s="28"/>
      <c r="AO145" s="29"/>
      <c r="AP145" s="28"/>
      <c r="AQ145" s="28"/>
      <c r="AR145" s="28"/>
      <c r="AS145" s="28"/>
      <c r="AT145" s="28"/>
      <c r="AU145" s="27"/>
    </row>
    <row r="146" spans="8:47" ht="15.95" customHeight="1">
      <c r="H146" s="315"/>
      <c r="I146" s="681" t="s">
        <v>4</v>
      </c>
      <c r="J146" s="682"/>
      <c r="K146" s="314" t="s">
        <v>3</v>
      </c>
      <c r="L146" s="44"/>
      <c r="M146" s="44"/>
      <c r="N146" s="44"/>
      <c r="O146" s="187"/>
      <c r="P146" s="187"/>
      <c r="Q146" s="187"/>
      <c r="R146" s="187"/>
      <c r="S146" s="187"/>
      <c r="T146" s="187"/>
      <c r="U146" s="210"/>
      <c r="V146" s="45"/>
      <c r="W146" s="187"/>
      <c r="X146" s="187"/>
      <c r="Y146" s="499" t="s">
        <v>1</v>
      </c>
      <c r="Z146" s="501"/>
      <c r="AA146" s="216">
        <v>1.00804</v>
      </c>
      <c r="AB146" s="216">
        <v>0</v>
      </c>
      <c r="AC146" s="216">
        <v>1.00804</v>
      </c>
      <c r="AD146" s="216">
        <v>1.00804</v>
      </c>
      <c r="AE146" s="216">
        <v>0</v>
      </c>
      <c r="AF146" s="216">
        <v>0</v>
      </c>
      <c r="AG146" s="150" t="s">
        <v>0</v>
      </c>
      <c r="AH146" s="44"/>
      <c r="AI146" s="44"/>
      <c r="AJ146" s="44"/>
      <c r="AK146" s="44"/>
      <c r="AL146" s="44"/>
      <c r="AM146" s="44"/>
      <c r="AN146" s="44"/>
      <c r="AO146" s="45"/>
      <c r="AP146" s="44"/>
      <c r="AQ146" s="44"/>
      <c r="AR146" s="44"/>
      <c r="AS146" s="44"/>
      <c r="AT146" s="44"/>
      <c r="AU146" s="43"/>
    </row>
    <row r="147" spans="8:47" ht="15.95" customHeight="1">
      <c r="H147" s="190"/>
      <c r="I147" s="685" t="s">
        <v>203</v>
      </c>
      <c r="J147" s="686"/>
      <c r="K147" s="313" t="s">
        <v>202</v>
      </c>
      <c r="L147" s="44"/>
      <c r="M147" s="44"/>
      <c r="N147" s="44"/>
      <c r="O147" s="187"/>
      <c r="P147" s="187"/>
      <c r="Q147" s="187"/>
      <c r="R147" s="187"/>
      <c r="S147" s="187"/>
      <c r="T147" s="187"/>
      <c r="U147" s="210"/>
      <c r="V147" s="499" t="s">
        <v>201</v>
      </c>
      <c r="W147" s="500"/>
      <c r="X147" s="501"/>
      <c r="Y147" s="499" t="s">
        <v>1</v>
      </c>
      <c r="Z147" s="501"/>
      <c r="AA147" s="312">
        <v>2.0159699999999998</v>
      </c>
      <c r="AB147" s="216">
        <v>0</v>
      </c>
      <c r="AC147" s="312">
        <v>2.0159699999999998</v>
      </c>
      <c r="AD147" s="312">
        <v>2.0159699999999998</v>
      </c>
      <c r="AE147" s="216">
        <v>0</v>
      </c>
      <c r="AF147" s="216">
        <v>0</v>
      </c>
      <c r="AG147" s="78" t="s">
        <v>161</v>
      </c>
      <c r="AH147" s="44"/>
      <c r="AI147" s="44"/>
      <c r="AJ147" s="44"/>
      <c r="AK147" s="44"/>
      <c r="AL147" s="44"/>
      <c r="AM147" s="44"/>
      <c r="AN147" s="44"/>
      <c r="AO147" s="45"/>
      <c r="AP147" s="44"/>
      <c r="AQ147" s="44"/>
      <c r="AR147" s="44"/>
      <c r="AS147" s="44"/>
      <c r="AT147" s="44"/>
      <c r="AU147" s="43"/>
    </row>
    <row r="148" spans="8:47" ht="17.25" customHeight="1">
      <c r="H148" s="190"/>
      <c r="I148" s="262" t="s">
        <v>200</v>
      </c>
      <c r="J148" s="188"/>
      <c r="K148" s="41" t="s">
        <v>199</v>
      </c>
      <c r="L148" s="44"/>
      <c r="M148" s="44"/>
      <c r="N148" s="44"/>
      <c r="O148" s="187"/>
      <c r="P148" s="187"/>
      <c r="Q148" s="40"/>
      <c r="R148" s="40"/>
      <c r="S148" s="40"/>
      <c r="T148" s="40"/>
      <c r="U148" s="210"/>
      <c r="V148" s="499" t="s">
        <v>198</v>
      </c>
      <c r="W148" s="500"/>
      <c r="X148" s="501"/>
      <c r="Y148" s="499" t="s">
        <v>1</v>
      </c>
      <c r="Z148" s="501"/>
      <c r="AA148" s="216">
        <v>1.00804</v>
      </c>
      <c r="AB148" s="216">
        <v>0</v>
      </c>
      <c r="AC148" s="216">
        <v>1.00804</v>
      </c>
      <c r="AD148" s="216">
        <v>1.00804</v>
      </c>
      <c r="AE148" s="216">
        <v>0</v>
      </c>
      <c r="AF148" s="216">
        <v>0</v>
      </c>
      <c r="AG148" s="45" t="s">
        <v>197</v>
      </c>
      <c r="AH148" s="44"/>
      <c r="AI148" s="44"/>
      <c r="AJ148" s="44"/>
      <c r="AK148" s="44"/>
      <c r="AL148" s="44"/>
      <c r="AM148" s="44"/>
      <c r="AN148" s="44"/>
      <c r="AO148" s="45"/>
      <c r="AP148" s="44"/>
      <c r="AQ148" s="44"/>
      <c r="AR148" s="44"/>
      <c r="AS148" s="44"/>
      <c r="AT148" s="44"/>
      <c r="AU148" s="43"/>
    </row>
    <row r="149" spans="8:47" ht="15.75" customHeight="1" thickBot="1">
      <c r="H149" s="168"/>
      <c r="I149" s="600" t="s">
        <v>167</v>
      </c>
      <c r="J149" s="601"/>
      <c r="K149" s="22" t="s">
        <v>166</v>
      </c>
      <c r="L149" s="21"/>
      <c r="M149" s="21"/>
      <c r="N149" s="21"/>
      <c r="O149" s="24"/>
      <c r="P149" s="24"/>
      <c r="Q149" s="24"/>
      <c r="R149" s="24"/>
      <c r="S149" s="24"/>
      <c r="T149" s="24"/>
      <c r="U149" s="132"/>
      <c r="V149" s="593"/>
      <c r="W149" s="594"/>
      <c r="X149" s="595"/>
      <c r="Y149" s="593" t="s">
        <v>1</v>
      </c>
      <c r="Z149" s="595"/>
      <c r="AA149" s="23">
        <v>1</v>
      </c>
      <c r="AB149" s="23">
        <v>0</v>
      </c>
      <c r="AC149" s="23">
        <v>1</v>
      </c>
      <c r="AD149" s="23">
        <v>1</v>
      </c>
      <c r="AE149" s="23">
        <v>0</v>
      </c>
      <c r="AF149" s="23">
        <v>0</v>
      </c>
      <c r="AG149" s="22" t="s">
        <v>165</v>
      </c>
      <c r="AH149" s="21"/>
      <c r="AI149" s="21"/>
      <c r="AJ149" s="21"/>
      <c r="AK149" s="132"/>
      <c r="AL149" s="21"/>
      <c r="AM149" s="21"/>
      <c r="AN149" s="21"/>
      <c r="AO149" s="22"/>
      <c r="AP149" s="21"/>
      <c r="AQ149" s="21"/>
      <c r="AR149" s="21"/>
      <c r="AS149" s="21"/>
      <c r="AT149" s="21"/>
      <c r="AU149" s="20"/>
    </row>
    <row r="150" spans="8:47" ht="15.95" customHeight="1" thickBot="1">
      <c r="H150" s="677" t="s">
        <v>196</v>
      </c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77"/>
      <c r="AB150" s="677"/>
      <c r="AC150" s="677"/>
      <c r="AD150" s="677"/>
      <c r="AE150" s="677"/>
      <c r="AF150" s="677"/>
      <c r="AG150" s="677"/>
      <c r="AH150" s="677"/>
      <c r="AI150" s="677"/>
      <c r="AJ150" s="677"/>
      <c r="AK150" s="677"/>
      <c r="AL150" s="677"/>
      <c r="AM150" s="677"/>
      <c r="AN150" s="677"/>
      <c r="AO150" s="677"/>
      <c r="AP150" s="677"/>
      <c r="AQ150" s="677"/>
      <c r="AR150" s="677"/>
      <c r="AS150" s="677"/>
      <c r="AT150" s="677"/>
      <c r="AU150" s="678"/>
    </row>
    <row r="151" spans="8:47" ht="15.95" customHeight="1" thickBot="1">
      <c r="H151" s="526" t="s">
        <v>18</v>
      </c>
      <c r="I151" s="526"/>
      <c r="J151" s="527"/>
      <c r="K151" s="530" t="s">
        <v>17</v>
      </c>
      <c r="L151" s="531"/>
      <c r="M151" s="531"/>
      <c r="N151" s="531"/>
      <c r="O151" s="531"/>
      <c r="P151" s="531"/>
      <c r="Q151" s="531"/>
      <c r="R151" s="531"/>
      <c r="S151" s="531"/>
      <c r="T151" s="531"/>
      <c r="U151" s="531"/>
      <c r="V151" s="534" t="s">
        <v>16</v>
      </c>
      <c r="W151" s="535"/>
      <c r="X151" s="535"/>
      <c r="Y151" s="530" t="s">
        <v>15</v>
      </c>
      <c r="Z151" s="538"/>
      <c r="AA151" s="59" t="str">
        <f>AA288</f>
        <v>FG573-JINHEc</v>
      </c>
      <c r="AB151" s="59" t="str">
        <f t="shared" ref="AB151:AE152" si="6">+AB288</f>
        <v>FG591-FASa</v>
      </c>
      <c r="AC151" s="59" t="str">
        <f t="shared" si="6"/>
        <v>FG592-FASa</v>
      </c>
      <c r="AD151" s="59" t="str">
        <f t="shared" si="6"/>
        <v>FG601-FASTc</v>
      </c>
      <c r="AE151" s="59" t="str">
        <f t="shared" si="6"/>
        <v>FG623-JINHEc</v>
      </c>
      <c r="AF151" s="58"/>
      <c r="AG151" s="540" t="s">
        <v>14</v>
      </c>
      <c r="AH151" s="541"/>
      <c r="AI151" s="541"/>
      <c r="AJ151" s="541"/>
      <c r="AK151" s="541"/>
      <c r="AL151" s="541"/>
      <c r="AM151" s="541"/>
      <c r="AN151" s="542"/>
      <c r="AO151" s="530" t="s">
        <v>13</v>
      </c>
      <c r="AP151" s="531"/>
      <c r="AQ151" s="531"/>
      <c r="AR151" s="531"/>
      <c r="AS151" s="531"/>
      <c r="AT151" s="531"/>
      <c r="AU151" s="546"/>
    </row>
    <row r="152" spans="8:47" ht="15.75" customHeight="1" thickBot="1">
      <c r="H152" s="528"/>
      <c r="I152" s="528"/>
      <c r="J152" s="529"/>
      <c r="K152" s="532"/>
      <c r="L152" s="533"/>
      <c r="M152" s="533"/>
      <c r="N152" s="533"/>
      <c r="O152" s="533"/>
      <c r="P152" s="533"/>
      <c r="Q152" s="533"/>
      <c r="R152" s="533"/>
      <c r="S152" s="533"/>
      <c r="T152" s="533"/>
      <c r="U152" s="533"/>
      <c r="V152" s="536"/>
      <c r="W152" s="537"/>
      <c r="X152" s="537"/>
      <c r="Y152" s="532"/>
      <c r="Z152" s="539"/>
      <c r="AA152" s="299" t="str">
        <f>AA289</f>
        <v>84*</v>
      </c>
      <c r="AB152" s="56" t="str">
        <f t="shared" si="6"/>
        <v>9C*</v>
      </c>
      <c r="AC152" s="56" t="str">
        <f t="shared" si="6"/>
        <v>9D*</v>
      </c>
      <c r="AD152" s="56" t="str">
        <f t="shared" si="6"/>
        <v>9E*</v>
      </c>
      <c r="AE152" s="56" t="str">
        <f t="shared" si="6"/>
        <v>9W*</v>
      </c>
      <c r="AF152" s="55"/>
      <c r="AG152" s="543"/>
      <c r="AH152" s="544"/>
      <c r="AI152" s="544"/>
      <c r="AJ152" s="544"/>
      <c r="AK152" s="544"/>
      <c r="AL152" s="544"/>
      <c r="AM152" s="544"/>
      <c r="AN152" s="545"/>
      <c r="AO152" s="532"/>
      <c r="AP152" s="533"/>
      <c r="AQ152" s="533"/>
      <c r="AR152" s="533"/>
      <c r="AS152" s="533"/>
      <c r="AT152" s="533"/>
      <c r="AU152" s="547"/>
    </row>
    <row r="153" spans="8:47" ht="15.75" customHeight="1" thickTop="1">
      <c r="H153" s="687" t="s">
        <v>10</v>
      </c>
      <c r="I153" s="687"/>
      <c r="J153" s="688"/>
      <c r="K153" s="311" t="s">
        <v>9</v>
      </c>
      <c r="L153" s="243"/>
      <c r="M153" s="243"/>
      <c r="N153" s="243"/>
      <c r="O153" s="242"/>
      <c r="P153" s="242"/>
      <c r="Q153" s="242"/>
      <c r="R153" s="242"/>
      <c r="S153" s="242"/>
      <c r="T153" s="242"/>
      <c r="U153" s="242"/>
      <c r="V153" s="48"/>
      <c r="W153" s="310" t="s">
        <v>8</v>
      </c>
      <c r="X153" s="47"/>
      <c r="Y153" s="47"/>
      <c r="Z153" s="47"/>
      <c r="AA153" s="47"/>
      <c r="AB153" s="47"/>
      <c r="AC153" s="47"/>
      <c r="AD153" s="47"/>
      <c r="AE153" s="47"/>
      <c r="AF153" s="46"/>
      <c r="AG153" s="29" t="s">
        <v>0</v>
      </c>
      <c r="AH153" s="47"/>
      <c r="AI153" s="47"/>
      <c r="AJ153" s="47"/>
      <c r="AK153" s="47"/>
      <c r="AL153" s="47"/>
      <c r="AM153" s="47"/>
      <c r="AN153" s="47"/>
      <c r="AO153" s="48" t="s">
        <v>195</v>
      </c>
      <c r="AP153" s="47"/>
      <c r="AQ153" s="47"/>
      <c r="AR153" s="47"/>
      <c r="AS153" s="47"/>
      <c r="AT153" s="47"/>
      <c r="AU153" s="241"/>
    </row>
    <row r="154" spans="8:47" ht="15.75" customHeight="1">
      <c r="H154" s="306"/>
      <c r="I154" s="254" t="s">
        <v>186</v>
      </c>
      <c r="J154" s="188"/>
      <c r="K154" s="305" t="s">
        <v>185</v>
      </c>
      <c r="L154" s="50"/>
      <c r="M154" s="50"/>
      <c r="N154" s="50"/>
      <c r="O154" s="49"/>
      <c r="P154" s="49"/>
      <c r="Q154" s="49"/>
      <c r="R154" s="49"/>
      <c r="S154" s="49"/>
      <c r="T154" s="49"/>
      <c r="U154" s="49"/>
      <c r="V154" s="499" t="s">
        <v>184</v>
      </c>
      <c r="W154" s="500"/>
      <c r="X154" s="500"/>
      <c r="Y154" s="499" t="s">
        <v>59</v>
      </c>
      <c r="Z154" s="501"/>
      <c r="AA154" s="175">
        <v>1.5914999999999999</v>
      </c>
      <c r="AB154" s="175">
        <v>1.5914999999999999</v>
      </c>
      <c r="AC154" s="175">
        <v>1.5914999999999999</v>
      </c>
      <c r="AD154" s="175">
        <v>1.5914999999999999</v>
      </c>
      <c r="AE154" s="175">
        <v>1.5914999999999999</v>
      </c>
      <c r="AF154" s="175"/>
      <c r="AG154" s="45" t="s">
        <v>178</v>
      </c>
      <c r="AH154" s="44"/>
      <c r="AI154" s="44"/>
      <c r="AJ154" s="44"/>
      <c r="AK154" s="44"/>
      <c r="AL154" s="44"/>
      <c r="AM154" s="44"/>
      <c r="AN154" s="44"/>
      <c r="AO154" s="45"/>
      <c r="AP154" s="44"/>
      <c r="AQ154" s="44"/>
      <c r="AR154" s="44"/>
      <c r="AS154" s="44"/>
      <c r="AT154" s="44"/>
      <c r="AU154" s="43"/>
    </row>
    <row r="155" spans="8:47" ht="15.75" customHeight="1">
      <c r="H155" s="190"/>
      <c r="I155" s="254" t="s">
        <v>181</v>
      </c>
      <c r="J155" s="188"/>
      <c r="K155" s="305" t="s">
        <v>180</v>
      </c>
      <c r="L155" s="44"/>
      <c r="M155" s="44"/>
      <c r="N155" s="44"/>
      <c r="O155" s="187"/>
      <c r="P155" s="187"/>
      <c r="Q155" s="187"/>
      <c r="R155" s="187"/>
      <c r="S155" s="187"/>
      <c r="T155" s="187"/>
      <c r="U155" s="187"/>
      <c r="V155" s="499" t="s">
        <v>193</v>
      </c>
      <c r="W155" s="500"/>
      <c r="X155" s="501"/>
      <c r="Y155" s="499" t="s">
        <v>59</v>
      </c>
      <c r="Z155" s="501"/>
      <c r="AA155" s="175">
        <v>5.5702999999999996</v>
      </c>
      <c r="AB155" s="175">
        <v>5.5702999999999996</v>
      </c>
      <c r="AC155" s="175">
        <v>5.5702999999999996</v>
      </c>
      <c r="AD155" s="175">
        <v>5.5702999999999996</v>
      </c>
      <c r="AE155" s="175">
        <v>5.5702999999999996</v>
      </c>
      <c r="AF155" s="175"/>
      <c r="AG155" s="45" t="s">
        <v>178</v>
      </c>
      <c r="AH155" s="44"/>
      <c r="AI155" s="44"/>
      <c r="AJ155" s="44"/>
      <c r="AK155" s="44"/>
      <c r="AL155" s="44"/>
      <c r="AM155" s="44"/>
      <c r="AN155" s="44"/>
      <c r="AO155" s="45"/>
      <c r="AP155" s="44"/>
      <c r="AQ155" s="44"/>
      <c r="AR155" s="44"/>
      <c r="AS155" s="44"/>
      <c r="AT155" s="44"/>
      <c r="AU155" s="43"/>
    </row>
    <row r="156" spans="8:47" ht="15.95" customHeight="1">
      <c r="H156" s="190"/>
      <c r="I156" s="304" t="s">
        <v>192</v>
      </c>
      <c r="J156" s="189"/>
      <c r="K156" s="303" t="s">
        <v>191</v>
      </c>
      <c r="L156" s="44"/>
      <c r="M156" s="44"/>
      <c r="N156" s="44"/>
      <c r="O156" s="187"/>
      <c r="P156" s="187"/>
      <c r="Q156" s="187"/>
      <c r="R156" s="187"/>
      <c r="S156" s="187"/>
      <c r="T156" s="187"/>
      <c r="U156" s="187"/>
      <c r="V156" s="499" t="s">
        <v>190</v>
      </c>
      <c r="W156" s="500"/>
      <c r="X156" s="501"/>
      <c r="Y156" s="514" t="s">
        <v>59</v>
      </c>
      <c r="Z156" s="516"/>
      <c r="AA156" s="302">
        <v>0.19592999999999999</v>
      </c>
      <c r="AB156" s="302">
        <v>0.19592999999999999</v>
      </c>
      <c r="AC156" s="302">
        <v>0.19592999999999999</v>
      </c>
      <c r="AD156" s="302">
        <v>0.19592999999999999</v>
      </c>
      <c r="AE156" s="302">
        <v>0.19592999999999999</v>
      </c>
      <c r="AF156" s="302"/>
      <c r="AG156" s="45" t="s">
        <v>55</v>
      </c>
      <c r="AH156" s="44"/>
      <c r="AI156" s="44"/>
      <c r="AJ156" s="44"/>
      <c r="AK156" s="44"/>
      <c r="AL156" s="44"/>
      <c r="AM156" s="44"/>
      <c r="AN156" s="44"/>
      <c r="AO156" s="45"/>
      <c r="AP156" s="44"/>
      <c r="AQ156" s="44"/>
      <c r="AR156" s="44"/>
      <c r="AS156" s="44"/>
      <c r="AT156" s="44"/>
      <c r="AU156" s="43"/>
    </row>
    <row r="157" spans="8:47" ht="15.75" customHeight="1" thickBot="1">
      <c r="H157" s="309"/>
      <c r="I157" s="179" t="s">
        <v>189</v>
      </c>
      <c r="J157" s="253"/>
      <c r="K157" s="41" t="s">
        <v>188</v>
      </c>
      <c r="L157" s="149"/>
      <c r="M157" s="149"/>
      <c r="N157" s="149"/>
      <c r="O157" s="308"/>
      <c r="P157" s="308"/>
      <c r="Q157" s="308"/>
      <c r="R157" s="308"/>
      <c r="S157" s="308"/>
      <c r="T157" s="308"/>
      <c r="U157" s="308"/>
      <c r="V157" s="38"/>
      <c r="W157" s="37"/>
      <c r="X157" s="37"/>
      <c r="Y157" s="574" t="s">
        <v>59</v>
      </c>
      <c r="Z157" s="575"/>
      <c r="AA157" s="300">
        <v>0.39184999999999998</v>
      </c>
      <c r="AB157" s="300">
        <v>0.39184999999999998</v>
      </c>
      <c r="AC157" s="300">
        <v>0.39184999999999998</v>
      </c>
      <c r="AD157" s="300">
        <v>0.39184999999999998</v>
      </c>
      <c r="AE157" s="300">
        <v>0.39184999999999998</v>
      </c>
      <c r="AF157" s="302"/>
      <c r="AG157" s="45" t="s">
        <v>55</v>
      </c>
      <c r="AH157" s="37"/>
      <c r="AI157" s="37"/>
      <c r="AJ157" s="37"/>
      <c r="AK157" s="37"/>
      <c r="AL157" s="37"/>
      <c r="AM157" s="37"/>
      <c r="AN157" s="37"/>
      <c r="AO157" s="38"/>
      <c r="AP157" s="37"/>
      <c r="AQ157" s="37"/>
      <c r="AR157" s="37"/>
      <c r="AS157" s="37"/>
      <c r="AT157" s="37"/>
      <c r="AU157" s="36"/>
    </row>
    <row r="158" spans="8:47" ht="15.75" customHeight="1">
      <c r="H158" s="689" t="s">
        <v>4</v>
      </c>
      <c r="I158" s="689"/>
      <c r="J158" s="690"/>
      <c r="K158" s="32" t="s">
        <v>3</v>
      </c>
      <c r="L158" s="31"/>
      <c r="M158" s="31"/>
      <c r="N158" s="31"/>
      <c r="O158" s="30"/>
      <c r="P158" s="30"/>
      <c r="Q158" s="30"/>
      <c r="R158" s="30"/>
      <c r="S158" s="30"/>
      <c r="T158" s="30"/>
      <c r="U158" s="30"/>
      <c r="V158" s="29"/>
      <c r="W158" s="126" t="s">
        <v>2</v>
      </c>
      <c r="X158" s="28"/>
      <c r="Y158" s="28"/>
      <c r="Z158" s="28"/>
      <c r="AA158" s="307"/>
      <c r="AB158" s="307"/>
      <c r="AC158" s="307"/>
      <c r="AD158" s="307"/>
      <c r="AE158" s="307"/>
      <c r="AF158" s="307"/>
      <c r="AG158" s="29" t="s">
        <v>0</v>
      </c>
      <c r="AH158" s="28"/>
      <c r="AI158" s="28"/>
      <c r="AJ158" s="28"/>
      <c r="AK158" s="28"/>
      <c r="AL158" s="28"/>
      <c r="AM158" s="28"/>
      <c r="AN158" s="28"/>
      <c r="AO158" s="29" t="s">
        <v>194</v>
      </c>
      <c r="AP158" s="28"/>
      <c r="AQ158" s="28"/>
      <c r="AR158" s="28"/>
      <c r="AS158" s="28"/>
      <c r="AT158" s="28"/>
      <c r="AU158" s="27"/>
    </row>
    <row r="159" spans="8:47" ht="15.75" customHeight="1">
      <c r="H159" s="306"/>
      <c r="I159" s="254" t="s">
        <v>186</v>
      </c>
      <c r="J159" s="188"/>
      <c r="K159" s="305" t="s">
        <v>185</v>
      </c>
      <c r="L159" s="50"/>
      <c r="M159" s="50"/>
      <c r="N159" s="50"/>
      <c r="O159" s="49"/>
      <c r="P159" s="49"/>
      <c r="Q159" s="49"/>
      <c r="R159" s="49"/>
      <c r="S159" s="49"/>
      <c r="T159" s="49"/>
      <c r="U159" s="49"/>
      <c r="V159" s="499" t="s">
        <v>184</v>
      </c>
      <c r="W159" s="500"/>
      <c r="X159" s="500"/>
      <c r="Y159" s="499" t="s">
        <v>59</v>
      </c>
      <c r="Z159" s="501"/>
      <c r="AA159" s="175">
        <v>1.8463000000000001</v>
      </c>
      <c r="AB159" s="175">
        <v>1.8463000000000001</v>
      </c>
      <c r="AC159" s="175">
        <v>1.8463000000000001</v>
      </c>
      <c r="AD159" s="175">
        <v>1.8463000000000001</v>
      </c>
      <c r="AE159" s="175">
        <v>1.8463000000000001</v>
      </c>
      <c r="AF159" s="175"/>
      <c r="AG159" s="45" t="s">
        <v>178</v>
      </c>
      <c r="AH159" s="44"/>
      <c r="AI159" s="44"/>
      <c r="AJ159" s="44"/>
      <c r="AK159" s="44"/>
      <c r="AL159" s="44"/>
      <c r="AM159" s="44"/>
      <c r="AN159" s="44"/>
      <c r="AO159" s="45"/>
      <c r="AP159" s="44"/>
      <c r="AQ159" s="44"/>
      <c r="AR159" s="44"/>
      <c r="AS159" s="44"/>
      <c r="AT159" s="44"/>
      <c r="AU159" s="43"/>
    </row>
    <row r="160" spans="8:47" ht="15.75" customHeight="1">
      <c r="H160" s="190"/>
      <c r="I160" s="254" t="s">
        <v>181</v>
      </c>
      <c r="J160" s="188"/>
      <c r="K160" s="305" t="s">
        <v>180</v>
      </c>
      <c r="L160" s="44"/>
      <c r="M160" s="44"/>
      <c r="N160" s="44"/>
      <c r="O160" s="187"/>
      <c r="P160" s="187"/>
      <c r="Q160" s="187"/>
      <c r="R160" s="187"/>
      <c r="S160" s="187"/>
      <c r="T160" s="187"/>
      <c r="U160" s="187"/>
      <c r="V160" s="499" t="s">
        <v>193</v>
      </c>
      <c r="W160" s="500"/>
      <c r="X160" s="501"/>
      <c r="Y160" s="499" t="s">
        <v>59</v>
      </c>
      <c r="Z160" s="501"/>
      <c r="AA160" s="175">
        <v>6.4621000000000004</v>
      </c>
      <c r="AB160" s="175">
        <v>6.4621000000000004</v>
      </c>
      <c r="AC160" s="175">
        <v>6.4621000000000004</v>
      </c>
      <c r="AD160" s="175">
        <v>6.4621000000000004</v>
      </c>
      <c r="AE160" s="175">
        <v>6.4621000000000004</v>
      </c>
      <c r="AF160" s="175"/>
      <c r="AG160" s="45" t="s">
        <v>178</v>
      </c>
      <c r="AH160" s="44"/>
      <c r="AI160" s="44"/>
      <c r="AJ160" s="44"/>
      <c r="AK160" s="44"/>
      <c r="AL160" s="44"/>
      <c r="AM160" s="44"/>
      <c r="AN160" s="44"/>
      <c r="AO160" s="45"/>
      <c r="AP160" s="44"/>
      <c r="AQ160" s="44"/>
      <c r="AR160" s="44"/>
      <c r="AS160" s="44"/>
      <c r="AT160" s="44"/>
      <c r="AU160" s="43"/>
    </row>
    <row r="161" spans="8:47" ht="15.95" customHeight="1">
      <c r="H161" s="190"/>
      <c r="I161" s="304" t="s">
        <v>192</v>
      </c>
      <c r="J161" s="189"/>
      <c r="K161" s="303" t="s">
        <v>191</v>
      </c>
      <c r="L161" s="44"/>
      <c r="M161" s="44"/>
      <c r="N161" s="44"/>
      <c r="O161" s="187"/>
      <c r="P161" s="187"/>
      <c r="Q161" s="187"/>
      <c r="R161" s="187"/>
      <c r="S161" s="187"/>
      <c r="T161" s="187"/>
      <c r="U161" s="187"/>
      <c r="V161" s="499" t="s">
        <v>190</v>
      </c>
      <c r="W161" s="500"/>
      <c r="X161" s="501"/>
      <c r="Y161" s="514" t="s">
        <v>59</v>
      </c>
      <c r="Z161" s="516"/>
      <c r="AA161" s="302">
        <v>0.22733</v>
      </c>
      <c r="AB161" s="302">
        <v>0.22733</v>
      </c>
      <c r="AC161" s="302">
        <v>0.22733</v>
      </c>
      <c r="AD161" s="302">
        <v>0.22733</v>
      </c>
      <c r="AE161" s="302">
        <v>0.22733</v>
      </c>
      <c r="AF161" s="302"/>
      <c r="AG161" s="45" t="s">
        <v>55</v>
      </c>
      <c r="AH161" s="44"/>
      <c r="AI161" s="44"/>
      <c r="AJ161" s="44"/>
      <c r="AK161" s="44"/>
      <c r="AL161" s="44"/>
      <c r="AM161" s="44"/>
      <c r="AN161" s="44"/>
      <c r="AO161" s="45"/>
      <c r="AP161" s="44"/>
      <c r="AQ161" s="44"/>
      <c r="AR161" s="44"/>
      <c r="AS161" s="44"/>
      <c r="AT161" s="44"/>
      <c r="AU161" s="43"/>
    </row>
    <row r="162" spans="8:47" ht="15.75" customHeight="1" thickBot="1">
      <c r="H162" s="301"/>
      <c r="I162" s="215" t="s">
        <v>189</v>
      </c>
      <c r="J162" s="166"/>
      <c r="K162" s="25" t="s">
        <v>188</v>
      </c>
      <c r="L162" s="137"/>
      <c r="M162" s="137"/>
      <c r="N162" s="137"/>
      <c r="O162" s="290"/>
      <c r="P162" s="290"/>
      <c r="Q162" s="290"/>
      <c r="R162" s="290"/>
      <c r="S162" s="290"/>
      <c r="T162" s="290"/>
      <c r="U162" s="290"/>
      <c r="V162" s="22"/>
      <c r="W162" s="21"/>
      <c r="X162" s="21"/>
      <c r="Y162" s="593" t="s">
        <v>59</v>
      </c>
      <c r="Z162" s="595"/>
      <c r="AA162" s="300">
        <v>0.45465</v>
      </c>
      <c r="AB162" s="300">
        <v>0.45465</v>
      </c>
      <c r="AC162" s="300">
        <v>0.45465</v>
      </c>
      <c r="AD162" s="300">
        <v>0.45465</v>
      </c>
      <c r="AE162" s="300">
        <v>0.45465</v>
      </c>
      <c r="AF162" s="300"/>
      <c r="AG162" s="22" t="s">
        <v>55</v>
      </c>
      <c r="AH162" s="21"/>
      <c r="AI162" s="21"/>
      <c r="AJ162" s="21"/>
      <c r="AK162" s="21"/>
      <c r="AL162" s="21"/>
      <c r="AM162" s="21"/>
      <c r="AN162" s="21"/>
      <c r="AO162" s="22"/>
      <c r="AP162" s="21"/>
      <c r="AQ162" s="21"/>
      <c r="AR162" s="21"/>
      <c r="AS162" s="21"/>
      <c r="AT162" s="21"/>
      <c r="AU162" s="20"/>
    </row>
    <row r="163" spans="8:47" ht="15.95" customHeight="1" thickBot="1">
      <c r="H163" s="205"/>
      <c r="I163" s="204"/>
      <c r="J163" s="204"/>
      <c r="K163" s="93"/>
      <c r="L163" s="93"/>
      <c r="M163" s="93"/>
      <c r="N163" s="93"/>
      <c r="O163" s="100"/>
      <c r="P163" s="100"/>
      <c r="Q163" s="100"/>
      <c r="R163" s="100"/>
      <c r="S163" s="100"/>
      <c r="T163" s="100"/>
      <c r="U163" s="100"/>
      <c r="V163" s="93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  <c r="AQ163" s="93"/>
      <c r="AR163" s="93"/>
      <c r="AS163" s="93"/>
      <c r="AT163" s="93"/>
      <c r="AU163" s="202"/>
    </row>
    <row r="164" spans="8:47" ht="15.95" customHeight="1" thickBot="1">
      <c r="H164" s="677" t="s">
        <v>187</v>
      </c>
      <c r="I164" s="677"/>
      <c r="J164" s="677"/>
      <c r="K164" s="677"/>
      <c r="L164" s="677"/>
      <c r="M164" s="677"/>
      <c r="N164" s="677"/>
      <c r="O164" s="677"/>
      <c r="P164" s="677"/>
      <c r="Q164" s="677"/>
      <c r="R164" s="677"/>
      <c r="S164" s="677"/>
      <c r="T164" s="677"/>
      <c r="U164" s="677"/>
      <c r="V164" s="677"/>
      <c r="W164" s="677"/>
      <c r="X164" s="677"/>
      <c r="Y164" s="677"/>
      <c r="Z164" s="677"/>
      <c r="AA164" s="677"/>
      <c r="AB164" s="677"/>
      <c r="AC164" s="677"/>
      <c r="AD164" s="677"/>
      <c r="AE164" s="677"/>
      <c r="AF164" s="677"/>
      <c r="AG164" s="677"/>
      <c r="AH164" s="677"/>
      <c r="AI164" s="677"/>
      <c r="AJ164" s="677"/>
      <c r="AK164" s="677"/>
      <c r="AL164" s="677"/>
      <c r="AM164" s="677"/>
      <c r="AN164" s="677"/>
      <c r="AO164" s="677"/>
      <c r="AP164" s="677"/>
      <c r="AQ164" s="677"/>
      <c r="AR164" s="677"/>
      <c r="AS164" s="677"/>
      <c r="AT164" s="677"/>
      <c r="AU164" s="678"/>
    </row>
    <row r="165" spans="8:47" ht="15.95" customHeight="1" thickBot="1">
      <c r="H165" s="526" t="s">
        <v>18</v>
      </c>
      <c r="I165" s="526"/>
      <c r="J165" s="527"/>
      <c r="K165" s="530" t="s">
        <v>17</v>
      </c>
      <c r="L165" s="531"/>
      <c r="M165" s="531"/>
      <c r="N165" s="531"/>
      <c r="O165" s="531"/>
      <c r="P165" s="531"/>
      <c r="Q165" s="531"/>
      <c r="R165" s="531"/>
      <c r="S165" s="531"/>
      <c r="T165" s="531"/>
      <c r="U165" s="531"/>
      <c r="V165" s="534" t="s">
        <v>16</v>
      </c>
      <c r="W165" s="535"/>
      <c r="X165" s="535"/>
      <c r="Y165" s="530" t="s">
        <v>15</v>
      </c>
      <c r="Z165" s="538"/>
      <c r="AA165" s="59" t="str">
        <f>AA151</f>
        <v>FG573-JINHEc</v>
      </c>
      <c r="AB165" s="59" t="str">
        <f t="shared" ref="AB165:AE166" si="7">+AB151</f>
        <v>FG591-FASa</v>
      </c>
      <c r="AC165" s="59" t="str">
        <f t="shared" si="7"/>
        <v>FG592-FASa</v>
      </c>
      <c r="AD165" s="59" t="str">
        <f t="shared" si="7"/>
        <v>FG601-FASTc</v>
      </c>
      <c r="AE165" s="59" t="str">
        <f t="shared" si="7"/>
        <v>FG623-JINHEc</v>
      </c>
      <c r="AF165" s="59" t="str">
        <f>+AF128</f>
        <v>FG616-JINHEa</v>
      </c>
      <c r="AG165" s="540" t="s">
        <v>14</v>
      </c>
      <c r="AH165" s="541"/>
      <c r="AI165" s="541"/>
      <c r="AJ165" s="541"/>
      <c r="AK165" s="541"/>
      <c r="AL165" s="541"/>
      <c r="AM165" s="541"/>
      <c r="AN165" s="542"/>
      <c r="AO165" s="530" t="s">
        <v>13</v>
      </c>
      <c r="AP165" s="531"/>
      <c r="AQ165" s="531"/>
      <c r="AR165" s="531"/>
      <c r="AS165" s="531"/>
      <c r="AT165" s="531"/>
      <c r="AU165" s="546"/>
    </row>
    <row r="166" spans="8:47" ht="15.75" customHeight="1" thickBot="1">
      <c r="H166" s="691"/>
      <c r="I166" s="691"/>
      <c r="J166" s="692"/>
      <c r="K166" s="693"/>
      <c r="L166" s="694"/>
      <c r="M166" s="694"/>
      <c r="N166" s="694"/>
      <c r="O166" s="694"/>
      <c r="P166" s="694"/>
      <c r="Q166" s="694"/>
      <c r="R166" s="694"/>
      <c r="S166" s="694"/>
      <c r="T166" s="694"/>
      <c r="U166" s="694"/>
      <c r="V166" s="695"/>
      <c r="W166" s="696"/>
      <c r="X166" s="696"/>
      <c r="Y166" s="693"/>
      <c r="Z166" s="697"/>
      <c r="AA166" s="299" t="str">
        <f>AA152</f>
        <v>84*</v>
      </c>
      <c r="AB166" s="298" t="str">
        <f t="shared" si="7"/>
        <v>9C*</v>
      </c>
      <c r="AC166" s="298" t="str">
        <f t="shared" si="7"/>
        <v>9D*</v>
      </c>
      <c r="AD166" s="298" t="str">
        <f t="shared" si="7"/>
        <v>9E*</v>
      </c>
      <c r="AE166" s="298" t="str">
        <f t="shared" si="7"/>
        <v>9W*</v>
      </c>
      <c r="AF166" s="298" t="str">
        <f>+AF129</f>
        <v>9S*</v>
      </c>
      <c r="AG166" s="698"/>
      <c r="AH166" s="699"/>
      <c r="AI166" s="699"/>
      <c r="AJ166" s="699"/>
      <c r="AK166" s="699"/>
      <c r="AL166" s="699"/>
      <c r="AM166" s="699"/>
      <c r="AN166" s="700"/>
      <c r="AO166" s="693"/>
      <c r="AP166" s="694"/>
      <c r="AQ166" s="694"/>
      <c r="AR166" s="694"/>
      <c r="AS166" s="694"/>
      <c r="AT166" s="694"/>
      <c r="AU166" s="701"/>
    </row>
    <row r="167" spans="8:47" ht="15.75" customHeight="1">
      <c r="H167" s="34" t="s">
        <v>186</v>
      </c>
      <c r="I167" s="34"/>
      <c r="J167" s="297"/>
      <c r="K167" s="296" t="s">
        <v>185</v>
      </c>
      <c r="L167" s="31"/>
      <c r="M167" s="31"/>
      <c r="N167" s="31"/>
      <c r="O167" s="30"/>
      <c r="P167" s="30"/>
      <c r="Q167" s="30"/>
      <c r="R167" s="30"/>
      <c r="S167" s="30"/>
      <c r="T167" s="30"/>
      <c r="U167" s="30"/>
      <c r="V167" s="667" t="s">
        <v>184</v>
      </c>
      <c r="W167" s="667"/>
      <c r="X167" s="667"/>
      <c r="Y167" s="666"/>
      <c r="Z167" s="704"/>
      <c r="AA167" s="295"/>
      <c r="AB167" s="46"/>
      <c r="AC167" s="46"/>
      <c r="AD167" s="46"/>
      <c r="AE167" s="46"/>
      <c r="AF167" s="46"/>
      <c r="AG167" s="108" t="s">
        <v>178</v>
      </c>
      <c r="AH167" s="46"/>
      <c r="AI167" s="46"/>
      <c r="AJ167" s="46"/>
      <c r="AK167" s="46"/>
      <c r="AL167" s="46"/>
      <c r="AM167" s="46"/>
      <c r="AN167" s="46"/>
      <c r="AO167" s="29"/>
      <c r="AP167" s="28"/>
      <c r="AQ167" s="28"/>
      <c r="AR167" s="28"/>
      <c r="AS167" s="28"/>
      <c r="AT167" s="28"/>
      <c r="AU167" s="27"/>
    </row>
    <row r="168" spans="8:47" ht="15.75" customHeight="1" thickBot="1">
      <c r="H168" s="168"/>
      <c r="I168" s="215" t="s">
        <v>183</v>
      </c>
      <c r="J168" s="166"/>
      <c r="K168" s="25" t="s">
        <v>182</v>
      </c>
      <c r="L168" s="21"/>
      <c r="M168" s="21"/>
      <c r="N168" s="21"/>
      <c r="O168" s="24"/>
      <c r="P168" s="24"/>
      <c r="Q168" s="24"/>
      <c r="R168" s="24"/>
      <c r="S168" s="24"/>
      <c r="T168" s="24"/>
      <c r="U168" s="24"/>
      <c r="V168" s="22"/>
      <c r="W168" s="21"/>
      <c r="X168" s="133"/>
      <c r="Y168" s="593" t="s">
        <v>59</v>
      </c>
      <c r="Z168" s="595"/>
      <c r="AA168" s="165">
        <v>1</v>
      </c>
      <c r="AB168" s="165">
        <v>1</v>
      </c>
      <c r="AC168" s="165">
        <v>1</v>
      </c>
      <c r="AD168" s="165">
        <v>1</v>
      </c>
      <c r="AE168" s="165">
        <v>1</v>
      </c>
      <c r="AF168" s="165">
        <v>1</v>
      </c>
      <c r="AG168" s="22" t="s">
        <v>55</v>
      </c>
      <c r="AH168" s="21"/>
      <c r="AI168" s="21"/>
      <c r="AJ168" s="21"/>
      <c r="AK168" s="21"/>
      <c r="AL168" s="21"/>
      <c r="AM168" s="21"/>
      <c r="AN168" s="21"/>
      <c r="AO168" s="22"/>
      <c r="AP168" s="21"/>
      <c r="AQ168" s="21"/>
      <c r="AR168" s="21"/>
      <c r="AS168" s="21"/>
      <c r="AT168" s="21"/>
      <c r="AU168" s="20"/>
    </row>
    <row r="169" spans="8:47" ht="15.95" customHeight="1">
      <c r="H169" s="34" t="s">
        <v>181</v>
      </c>
      <c r="I169" s="34"/>
      <c r="J169" s="294"/>
      <c r="K169" s="293" t="s">
        <v>180</v>
      </c>
      <c r="L169" s="28"/>
      <c r="M169" s="28"/>
      <c r="N169" s="28"/>
      <c r="O169" s="126"/>
      <c r="P169" s="126"/>
      <c r="Q169" s="126"/>
      <c r="R169" s="126"/>
      <c r="S169" s="126"/>
      <c r="T169" s="126"/>
      <c r="U169" s="126"/>
      <c r="V169" s="667" t="s">
        <v>179</v>
      </c>
      <c r="W169" s="667"/>
      <c r="X169" s="704"/>
      <c r="Y169" s="666"/>
      <c r="Z169" s="704"/>
      <c r="AA169" s="292"/>
      <c r="AB169" s="292"/>
      <c r="AC169" s="292"/>
      <c r="AD169" s="292"/>
      <c r="AE169" s="292"/>
      <c r="AF169" s="292"/>
      <c r="AG169" s="29" t="s">
        <v>178</v>
      </c>
      <c r="AH169" s="28"/>
      <c r="AI169" s="28"/>
      <c r="AJ169" s="28"/>
      <c r="AK169" s="28"/>
      <c r="AL169" s="28"/>
      <c r="AM169" s="28"/>
      <c r="AN169" s="28"/>
      <c r="AO169" s="29"/>
      <c r="AP169" s="28"/>
      <c r="AQ169" s="28"/>
      <c r="AR169" s="28"/>
      <c r="AS169" s="28"/>
      <c r="AT169" s="28"/>
      <c r="AU169" s="27"/>
    </row>
    <row r="170" spans="8:47" ht="15.75" customHeight="1" thickBot="1">
      <c r="H170" s="168"/>
      <c r="I170" s="215" t="s">
        <v>177</v>
      </c>
      <c r="J170" s="166"/>
      <c r="K170" s="291" t="s">
        <v>176</v>
      </c>
      <c r="L170" s="21"/>
      <c r="M170" s="137"/>
      <c r="N170" s="137"/>
      <c r="O170" s="290"/>
      <c r="P170" s="290"/>
      <c r="Q170" s="290"/>
      <c r="R170" s="290"/>
      <c r="S170" s="290"/>
      <c r="T170" s="290"/>
      <c r="U170" s="290"/>
      <c r="V170" s="22"/>
      <c r="W170" s="21"/>
      <c r="X170" s="21"/>
      <c r="Y170" s="593" t="s">
        <v>59</v>
      </c>
      <c r="Z170" s="595"/>
      <c r="AA170" s="165">
        <v>1</v>
      </c>
      <c r="AB170" s="165">
        <v>1</v>
      </c>
      <c r="AC170" s="165">
        <v>1</v>
      </c>
      <c r="AD170" s="165">
        <v>1</v>
      </c>
      <c r="AE170" s="165">
        <v>1</v>
      </c>
      <c r="AF170" s="165">
        <v>1</v>
      </c>
      <c r="AG170" s="22" t="s">
        <v>55</v>
      </c>
      <c r="AH170" s="21"/>
      <c r="AI170" s="21"/>
      <c r="AJ170" s="21"/>
      <c r="AK170" s="21"/>
      <c r="AL170" s="21"/>
      <c r="AM170" s="21"/>
      <c r="AN170" s="21"/>
      <c r="AO170" s="22"/>
      <c r="AP170" s="21"/>
      <c r="AQ170" s="21"/>
      <c r="AR170" s="21"/>
      <c r="AS170" s="21"/>
      <c r="AT170" s="21"/>
      <c r="AU170" s="20"/>
    </row>
    <row r="171" spans="8:47" ht="15.75" customHeight="1" thickBot="1">
      <c r="H171" s="289"/>
      <c r="I171" s="18"/>
      <c r="J171" s="18"/>
      <c r="K171" s="13"/>
      <c r="L171" s="13"/>
      <c r="M171" s="17"/>
      <c r="N171" s="17"/>
      <c r="O171" s="16"/>
      <c r="P171" s="16"/>
      <c r="Q171" s="16"/>
      <c r="R171" s="16"/>
      <c r="S171" s="16"/>
      <c r="T171" s="16"/>
      <c r="U171" s="16"/>
      <c r="V171" s="13"/>
      <c r="W171" s="15"/>
      <c r="X171" s="13"/>
      <c r="Y171" s="15"/>
      <c r="Z171" s="15"/>
      <c r="AA171" s="14"/>
      <c r="AB171" s="14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2"/>
    </row>
    <row r="172" spans="8:47" ht="15.95" customHeight="1" thickBot="1">
      <c r="H172" s="677" t="s">
        <v>175</v>
      </c>
      <c r="I172" s="677"/>
      <c r="J172" s="677"/>
      <c r="K172" s="677"/>
      <c r="L172" s="677"/>
      <c r="M172" s="677"/>
      <c r="N172" s="677"/>
      <c r="O172" s="677"/>
      <c r="P172" s="677"/>
      <c r="Q172" s="677"/>
      <c r="R172" s="677"/>
      <c r="S172" s="677"/>
      <c r="T172" s="677"/>
      <c r="U172" s="677"/>
      <c r="V172" s="677"/>
      <c r="W172" s="677"/>
      <c r="X172" s="677"/>
      <c r="Y172" s="677"/>
      <c r="Z172" s="677"/>
      <c r="AA172" s="677"/>
      <c r="AB172" s="677"/>
      <c r="AC172" s="677"/>
      <c r="AD172" s="677"/>
      <c r="AE172" s="677"/>
      <c r="AF172" s="677"/>
      <c r="AG172" s="677"/>
      <c r="AH172" s="677"/>
      <c r="AI172" s="677"/>
      <c r="AJ172" s="677"/>
      <c r="AK172" s="677"/>
      <c r="AL172" s="677"/>
      <c r="AM172" s="677"/>
      <c r="AN172" s="677"/>
      <c r="AO172" s="677"/>
      <c r="AP172" s="677"/>
      <c r="AQ172" s="677"/>
      <c r="AR172" s="677"/>
      <c r="AS172" s="677"/>
      <c r="AT172" s="677"/>
      <c r="AU172" s="678"/>
    </row>
    <row r="173" spans="8:47" ht="15.95" customHeight="1" thickBot="1">
      <c r="H173" s="526" t="s">
        <v>18</v>
      </c>
      <c r="I173" s="526"/>
      <c r="J173" s="527"/>
      <c r="K173" s="530" t="s">
        <v>17</v>
      </c>
      <c r="L173" s="531"/>
      <c r="M173" s="531"/>
      <c r="N173" s="531"/>
      <c r="O173" s="531"/>
      <c r="P173" s="531"/>
      <c r="Q173" s="531"/>
      <c r="R173" s="531"/>
      <c r="S173" s="531"/>
      <c r="T173" s="531"/>
      <c r="U173" s="531"/>
      <c r="V173" s="530" t="s">
        <v>16</v>
      </c>
      <c r="W173" s="531"/>
      <c r="X173" s="531"/>
      <c r="Y173" s="530" t="s">
        <v>15</v>
      </c>
      <c r="Z173" s="538"/>
      <c r="AA173" s="59" t="str">
        <f>AA288</f>
        <v>FG573-JINHEc</v>
      </c>
      <c r="AB173" s="59" t="str">
        <f t="shared" ref="AB173:AF174" si="8">+AB165</f>
        <v>FG591-FASa</v>
      </c>
      <c r="AC173" s="59" t="str">
        <f t="shared" si="8"/>
        <v>FG592-FASa</v>
      </c>
      <c r="AD173" s="59" t="str">
        <f t="shared" si="8"/>
        <v>FG601-FASTc</v>
      </c>
      <c r="AE173" s="59" t="str">
        <f t="shared" si="8"/>
        <v>FG623-JINHEc</v>
      </c>
      <c r="AF173" s="59" t="str">
        <f t="shared" si="8"/>
        <v>FG616-JINHEa</v>
      </c>
      <c r="AG173" s="540" t="s">
        <v>14</v>
      </c>
      <c r="AH173" s="541"/>
      <c r="AI173" s="541"/>
      <c r="AJ173" s="541"/>
      <c r="AK173" s="541"/>
      <c r="AL173" s="541"/>
      <c r="AM173" s="541"/>
      <c r="AN173" s="542"/>
      <c r="AO173" s="530" t="s">
        <v>13</v>
      </c>
      <c r="AP173" s="531"/>
      <c r="AQ173" s="531"/>
      <c r="AR173" s="531"/>
      <c r="AS173" s="531"/>
      <c r="AT173" s="531"/>
      <c r="AU173" s="546"/>
    </row>
    <row r="174" spans="8:47" ht="15.75" customHeight="1" thickBot="1">
      <c r="H174" s="528"/>
      <c r="I174" s="528"/>
      <c r="J174" s="529"/>
      <c r="K174" s="532"/>
      <c r="L174" s="533"/>
      <c r="M174" s="533"/>
      <c r="N174" s="533"/>
      <c r="O174" s="533"/>
      <c r="P174" s="533"/>
      <c r="Q174" s="533"/>
      <c r="R174" s="533"/>
      <c r="S174" s="533"/>
      <c r="T174" s="533"/>
      <c r="U174" s="533"/>
      <c r="V174" s="532"/>
      <c r="W174" s="533"/>
      <c r="X174" s="533"/>
      <c r="Y174" s="532"/>
      <c r="Z174" s="539"/>
      <c r="AA174" s="57" t="str">
        <f>AA289</f>
        <v>84*</v>
      </c>
      <c r="AB174" s="56" t="str">
        <f t="shared" si="8"/>
        <v>9C*</v>
      </c>
      <c r="AC174" s="56" t="str">
        <f t="shared" si="8"/>
        <v>9D*</v>
      </c>
      <c r="AD174" s="56" t="str">
        <f t="shared" si="8"/>
        <v>9E*</v>
      </c>
      <c r="AE174" s="56" t="str">
        <f t="shared" si="8"/>
        <v>9W*</v>
      </c>
      <c r="AF174" s="56" t="str">
        <f t="shared" si="8"/>
        <v>9S*</v>
      </c>
      <c r="AG174" s="543"/>
      <c r="AH174" s="544"/>
      <c r="AI174" s="544"/>
      <c r="AJ174" s="544"/>
      <c r="AK174" s="544"/>
      <c r="AL174" s="544"/>
      <c r="AM174" s="544"/>
      <c r="AN174" s="545"/>
      <c r="AO174" s="532"/>
      <c r="AP174" s="533"/>
      <c r="AQ174" s="533"/>
      <c r="AR174" s="533"/>
      <c r="AS174" s="533"/>
      <c r="AT174" s="533"/>
      <c r="AU174" s="547"/>
    </row>
    <row r="175" spans="8:47" ht="15.75" customHeight="1" thickTop="1">
      <c r="H175" s="705" t="s">
        <v>174</v>
      </c>
      <c r="I175" s="705"/>
      <c r="J175" s="706"/>
      <c r="K175" s="288" t="s">
        <v>173</v>
      </c>
      <c r="L175" s="127"/>
      <c r="M175" s="31"/>
      <c r="N175" s="31"/>
      <c r="O175" s="30"/>
      <c r="P175" s="30"/>
      <c r="Q175" s="30"/>
      <c r="R175" s="30"/>
      <c r="S175" s="30"/>
      <c r="T175" s="30"/>
      <c r="U175" s="30"/>
      <c r="V175" s="550"/>
      <c r="W175" s="551"/>
      <c r="X175" s="551"/>
      <c r="Y175" s="47"/>
      <c r="Z175" s="47"/>
      <c r="AA175" s="47"/>
      <c r="AB175" s="47"/>
      <c r="AC175" s="47"/>
      <c r="AD175" s="47"/>
      <c r="AE175" s="47"/>
      <c r="AF175" s="47"/>
      <c r="AG175" s="48" t="s">
        <v>165</v>
      </c>
      <c r="AH175" s="47"/>
      <c r="AI175" s="28"/>
      <c r="AJ175" s="28"/>
      <c r="AK175" s="28"/>
      <c r="AL175" s="28"/>
      <c r="AM175" s="28"/>
      <c r="AN175" s="28"/>
      <c r="AO175" s="29"/>
      <c r="AP175" s="28"/>
      <c r="AQ175" s="28"/>
      <c r="AR175" s="28"/>
      <c r="AS175" s="28"/>
      <c r="AT175" s="28"/>
      <c r="AU175" s="27"/>
    </row>
    <row r="176" spans="8:47" ht="15.75" customHeight="1">
      <c r="H176" s="286"/>
      <c r="I176" s="702" t="s">
        <v>172</v>
      </c>
      <c r="J176" s="703"/>
      <c r="K176" s="150" t="s">
        <v>171</v>
      </c>
      <c r="L176" s="283"/>
      <c r="M176" s="44"/>
      <c r="N176" s="44"/>
      <c r="O176" s="187"/>
      <c r="P176" s="187"/>
      <c r="Q176" s="187"/>
      <c r="R176" s="187"/>
      <c r="S176" s="187"/>
      <c r="T176" s="187"/>
      <c r="U176" s="187"/>
      <c r="V176" s="499" t="s">
        <v>170</v>
      </c>
      <c r="W176" s="500"/>
      <c r="X176" s="501"/>
      <c r="Y176" s="499" t="s">
        <v>1</v>
      </c>
      <c r="Z176" s="501"/>
      <c r="AA176" s="252">
        <v>0</v>
      </c>
      <c r="AB176" s="285">
        <v>1.00684</v>
      </c>
      <c r="AC176" s="252">
        <v>0</v>
      </c>
      <c r="AD176" s="252">
        <v>0</v>
      </c>
      <c r="AE176" s="285">
        <v>1.00684</v>
      </c>
      <c r="AF176" s="285">
        <v>1.00684</v>
      </c>
      <c r="AG176" s="45" t="s">
        <v>161</v>
      </c>
      <c r="AH176" s="46"/>
      <c r="AI176" s="46"/>
      <c r="AJ176" s="46"/>
      <c r="AL176" s="44"/>
      <c r="AM176" s="44"/>
      <c r="AN176" s="44"/>
      <c r="AO176" s="45"/>
      <c r="AP176" s="44"/>
      <c r="AQ176" s="44"/>
      <c r="AR176" s="44"/>
      <c r="AS176" s="44"/>
      <c r="AT176" s="44"/>
      <c r="AU176" s="43"/>
    </row>
    <row r="177" spans="8:56" ht="15.75" customHeight="1" thickBot="1">
      <c r="H177" s="153"/>
      <c r="I177" s="702" t="s">
        <v>159</v>
      </c>
      <c r="J177" s="703"/>
      <c r="K177" s="284" t="s">
        <v>158</v>
      </c>
      <c r="L177" s="283"/>
      <c r="M177" s="44"/>
      <c r="N177" s="44"/>
      <c r="O177" s="187"/>
      <c r="P177" s="187"/>
      <c r="Q177" s="187"/>
      <c r="R177" s="187"/>
      <c r="S177" s="187"/>
      <c r="T177" s="187"/>
      <c r="U177" s="187"/>
      <c r="V177" s="499"/>
      <c r="W177" s="500"/>
      <c r="X177" s="501"/>
      <c r="Y177" s="499" t="s">
        <v>1</v>
      </c>
      <c r="Z177" s="501"/>
      <c r="AA177" s="252">
        <v>0</v>
      </c>
      <c r="AB177" s="252">
        <v>1</v>
      </c>
      <c r="AC177" s="252">
        <v>0</v>
      </c>
      <c r="AD177" s="252">
        <v>0</v>
      </c>
      <c r="AE177" s="252">
        <v>1</v>
      </c>
      <c r="AF177" s="252">
        <v>1</v>
      </c>
      <c r="AG177" s="108" t="s">
        <v>151</v>
      </c>
      <c r="AH177" s="44"/>
      <c r="AI177" s="44"/>
      <c r="AJ177" s="44"/>
      <c r="AK177" s="210"/>
      <c r="AL177" s="44"/>
      <c r="AM177" s="44"/>
      <c r="AN177" s="44"/>
      <c r="AO177" s="45"/>
      <c r="AP177" s="44"/>
      <c r="AQ177" s="44"/>
      <c r="AR177" s="44"/>
      <c r="AS177" s="44"/>
      <c r="AT177" s="44"/>
      <c r="AU177" s="43"/>
    </row>
    <row r="178" spans="8:56" ht="15.75" customHeight="1">
      <c r="H178" s="707" t="s">
        <v>169</v>
      </c>
      <c r="I178" s="707"/>
      <c r="J178" s="708"/>
      <c r="K178" s="287" t="s">
        <v>168</v>
      </c>
      <c r="L178" s="127"/>
      <c r="M178" s="31"/>
      <c r="N178" s="31"/>
      <c r="O178" s="30"/>
      <c r="P178" s="30"/>
      <c r="Q178" s="30"/>
      <c r="R178" s="30"/>
      <c r="S178" s="30"/>
      <c r="T178" s="30"/>
      <c r="U178" s="30"/>
      <c r="V178" s="666"/>
      <c r="W178" s="667"/>
      <c r="X178" s="667"/>
      <c r="Y178" s="28"/>
      <c r="Z178" s="28"/>
      <c r="AA178" s="28"/>
      <c r="AB178" s="28"/>
      <c r="AC178" s="28"/>
      <c r="AD178" s="28"/>
      <c r="AE178" s="28"/>
      <c r="AF178" s="28"/>
      <c r="AG178" s="29" t="s">
        <v>165</v>
      </c>
      <c r="AH178" s="28"/>
      <c r="AI178" s="28"/>
      <c r="AJ178" s="28"/>
      <c r="AK178" s="28"/>
      <c r="AL178" s="28"/>
      <c r="AM178" s="28"/>
      <c r="AN178" s="28"/>
      <c r="AO178" s="29"/>
      <c r="AP178" s="28"/>
      <c r="AQ178" s="28"/>
      <c r="AR178" s="28"/>
      <c r="AS178" s="28"/>
      <c r="AT178" s="28"/>
      <c r="AU178" s="27"/>
    </row>
    <row r="179" spans="8:56" ht="15.75" customHeight="1">
      <c r="H179" s="286"/>
      <c r="I179" s="681" t="s">
        <v>164</v>
      </c>
      <c r="J179" s="682"/>
      <c r="K179" s="150" t="s">
        <v>163</v>
      </c>
      <c r="L179" s="283"/>
      <c r="M179" s="44"/>
      <c r="N179" s="44"/>
      <c r="O179" s="187"/>
      <c r="P179" s="187"/>
      <c r="Q179" s="187"/>
      <c r="R179" s="187"/>
      <c r="S179" s="187"/>
      <c r="T179" s="187"/>
      <c r="U179" s="187"/>
      <c r="V179" s="499" t="s">
        <v>162</v>
      </c>
      <c r="W179" s="500"/>
      <c r="X179" s="501"/>
      <c r="Y179" s="499" t="s">
        <v>1</v>
      </c>
      <c r="Z179" s="501"/>
      <c r="AA179" s="252">
        <v>0</v>
      </c>
      <c r="AB179" s="285">
        <v>1.00684</v>
      </c>
      <c r="AC179" s="252">
        <v>0</v>
      </c>
      <c r="AD179" s="252">
        <v>0</v>
      </c>
      <c r="AE179" s="285">
        <v>1.00684</v>
      </c>
      <c r="AF179" s="285">
        <v>1.00684</v>
      </c>
      <c r="AG179" s="45" t="s">
        <v>161</v>
      </c>
      <c r="AH179" s="46"/>
      <c r="AI179" s="46"/>
      <c r="AJ179" s="46"/>
      <c r="AL179" s="44"/>
      <c r="AM179" s="44"/>
      <c r="AN179" s="44"/>
      <c r="AO179" s="45"/>
      <c r="AP179" s="44"/>
      <c r="AQ179" s="44"/>
      <c r="AR179" s="44"/>
      <c r="AS179" s="44"/>
      <c r="AT179" s="44"/>
      <c r="AU179" s="43"/>
    </row>
    <row r="180" spans="8:56" ht="15.75" customHeight="1">
      <c r="H180" s="153"/>
      <c r="I180" s="702" t="s">
        <v>157</v>
      </c>
      <c r="J180" s="703"/>
      <c r="K180" s="284" t="s">
        <v>156</v>
      </c>
      <c r="L180" s="283"/>
      <c r="M180" s="44"/>
      <c r="N180" s="44"/>
      <c r="O180" s="187"/>
      <c r="P180" s="187"/>
      <c r="Q180" s="187"/>
      <c r="R180" s="187"/>
      <c r="S180" s="187"/>
      <c r="T180" s="187"/>
      <c r="U180" s="187"/>
      <c r="V180" s="499"/>
      <c r="W180" s="500"/>
      <c r="X180" s="501"/>
      <c r="Y180" s="499" t="s">
        <v>1</v>
      </c>
      <c r="Z180" s="501"/>
      <c r="AA180" s="252">
        <v>0</v>
      </c>
      <c r="AB180" s="252">
        <v>1</v>
      </c>
      <c r="AC180" s="252">
        <v>0</v>
      </c>
      <c r="AD180" s="252">
        <v>0</v>
      </c>
      <c r="AE180" s="252">
        <v>1</v>
      </c>
      <c r="AF180" s="252">
        <v>1</v>
      </c>
      <c r="AG180" s="108" t="s">
        <v>151</v>
      </c>
      <c r="AH180" s="44"/>
      <c r="AI180" s="44"/>
      <c r="AJ180" s="44"/>
      <c r="AK180" s="210"/>
      <c r="AL180" s="44"/>
      <c r="AM180" s="44"/>
      <c r="AN180" s="44"/>
      <c r="AO180" s="45"/>
      <c r="AP180" s="44"/>
      <c r="AQ180" s="44"/>
      <c r="AR180" s="44"/>
      <c r="AS180" s="44"/>
      <c r="AT180" s="44"/>
      <c r="AU180" s="43"/>
    </row>
    <row r="181" spans="8:56" ht="15.75" customHeight="1" thickBot="1">
      <c r="H181" s="153"/>
      <c r="I181" s="702" t="s">
        <v>155</v>
      </c>
      <c r="J181" s="703"/>
      <c r="K181" s="284" t="s">
        <v>154</v>
      </c>
      <c r="L181" s="280"/>
      <c r="M181" s="44"/>
      <c r="N181" s="44"/>
      <c r="O181" s="187"/>
      <c r="P181" s="187"/>
      <c r="Q181" s="187"/>
      <c r="R181" s="187"/>
      <c r="S181" s="187"/>
      <c r="T181" s="187"/>
      <c r="U181" s="187"/>
      <c r="V181" s="499"/>
      <c r="W181" s="500"/>
      <c r="X181" s="501"/>
      <c r="Y181" s="499" t="s">
        <v>1</v>
      </c>
      <c r="Z181" s="501"/>
      <c r="AA181" s="252">
        <v>0</v>
      </c>
      <c r="AB181" s="252">
        <v>1</v>
      </c>
      <c r="AC181" s="252">
        <v>0</v>
      </c>
      <c r="AD181" s="252">
        <v>0</v>
      </c>
      <c r="AE181" s="252">
        <v>1</v>
      </c>
      <c r="AF181" s="252">
        <v>1</v>
      </c>
      <c r="AG181" s="108" t="s">
        <v>151</v>
      </c>
      <c r="AH181" s="44"/>
      <c r="AI181" s="44"/>
      <c r="AJ181" s="44"/>
      <c r="AK181" s="210"/>
      <c r="AL181" s="44"/>
      <c r="AM181" s="44"/>
      <c r="AN181" s="44"/>
      <c r="AO181" s="45"/>
      <c r="AP181" s="44"/>
      <c r="AQ181" s="44"/>
      <c r="AR181" s="44"/>
      <c r="AS181" s="44"/>
      <c r="AT181" s="44"/>
      <c r="AU181" s="43"/>
    </row>
    <row r="182" spans="8:56" ht="15.75" customHeight="1">
      <c r="H182" s="711" t="s">
        <v>167</v>
      </c>
      <c r="I182" s="711"/>
      <c r="J182" s="712"/>
      <c r="K182" s="287" t="s">
        <v>166</v>
      </c>
      <c r="L182" s="127"/>
      <c r="M182" s="31"/>
      <c r="N182" s="31"/>
      <c r="O182" s="30"/>
      <c r="P182" s="30"/>
      <c r="Q182" s="30"/>
      <c r="R182" s="30"/>
      <c r="S182" s="30"/>
      <c r="T182" s="30"/>
      <c r="U182" s="120"/>
      <c r="V182" s="666"/>
      <c r="W182" s="667"/>
      <c r="X182" s="667"/>
      <c r="Y182" s="28"/>
      <c r="Z182" s="28"/>
      <c r="AA182" s="28"/>
      <c r="AB182" s="28"/>
      <c r="AC182" s="28"/>
      <c r="AD182" s="28"/>
      <c r="AE182" s="28"/>
      <c r="AF182" s="28"/>
      <c r="AG182" s="29" t="s">
        <v>165</v>
      </c>
      <c r="AH182" s="28"/>
      <c r="AI182" s="28"/>
      <c r="AJ182" s="28"/>
      <c r="AK182" s="28"/>
      <c r="AL182" s="28"/>
      <c r="AM182" s="28"/>
      <c r="AN182" s="28"/>
      <c r="AO182" s="29"/>
      <c r="AP182" s="28"/>
      <c r="AQ182" s="28"/>
      <c r="AR182" s="28"/>
      <c r="AS182" s="28"/>
      <c r="AT182" s="28"/>
      <c r="AU182" s="27"/>
    </row>
    <row r="183" spans="8:56" ht="15.75" customHeight="1">
      <c r="H183" s="286"/>
      <c r="I183" s="702" t="s">
        <v>164</v>
      </c>
      <c r="J183" s="703"/>
      <c r="K183" s="150" t="s">
        <v>163</v>
      </c>
      <c r="L183" s="283"/>
      <c r="M183" s="44"/>
      <c r="N183" s="44"/>
      <c r="O183" s="187"/>
      <c r="P183" s="187"/>
      <c r="Q183" s="187"/>
      <c r="R183" s="187"/>
      <c r="S183" s="187"/>
      <c r="T183" s="187"/>
      <c r="U183" s="210"/>
      <c r="V183" s="499" t="s">
        <v>162</v>
      </c>
      <c r="W183" s="500"/>
      <c r="X183" s="501"/>
      <c r="Y183" s="499" t="s">
        <v>1</v>
      </c>
      <c r="Z183" s="501"/>
      <c r="AA183" s="285">
        <v>1.00684</v>
      </c>
      <c r="AB183" s="252">
        <v>0</v>
      </c>
      <c r="AC183" s="285">
        <v>1.00684</v>
      </c>
      <c r="AD183" s="285">
        <v>1.00684</v>
      </c>
      <c r="AE183" s="252">
        <v>0</v>
      </c>
      <c r="AF183" s="252">
        <v>0</v>
      </c>
      <c r="AG183" s="45" t="s">
        <v>161</v>
      </c>
      <c r="AH183" s="46"/>
      <c r="AI183" s="46"/>
      <c r="AJ183" s="46"/>
      <c r="AL183" s="44"/>
      <c r="AM183" s="44"/>
      <c r="AN183" s="44"/>
      <c r="AO183" s="45"/>
      <c r="AP183" s="44"/>
      <c r="AQ183" s="44"/>
      <c r="AR183" s="44"/>
      <c r="AS183" s="44"/>
      <c r="AT183" s="44"/>
      <c r="AU183" s="43"/>
    </row>
    <row r="184" spans="8:56" ht="15.95" customHeight="1">
      <c r="H184" s="153"/>
      <c r="I184" s="702" t="s">
        <v>153</v>
      </c>
      <c r="J184" s="703"/>
      <c r="K184" s="284" t="s">
        <v>152</v>
      </c>
      <c r="L184" s="283"/>
      <c r="M184" s="44"/>
      <c r="N184" s="44"/>
      <c r="O184" s="187"/>
      <c r="P184" s="187"/>
      <c r="Q184" s="187"/>
      <c r="R184" s="187"/>
      <c r="S184" s="187"/>
      <c r="T184" s="187"/>
      <c r="U184" s="210"/>
      <c r="V184" s="499"/>
      <c r="W184" s="500"/>
      <c r="X184" s="501"/>
      <c r="Y184" s="499" t="s">
        <v>1</v>
      </c>
      <c r="Z184" s="501"/>
      <c r="AA184" s="252">
        <v>1</v>
      </c>
      <c r="AB184" s="252">
        <v>0</v>
      </c>
      <c r="AC184" s="252">
        <v>1</v>
      </c>
      <c r="AD184" s="252">
        <v>1</v>
      </c>
      <c r="AE184" s="252">
        <v>0</v>
      </c>
      <c r="AF184" s="252">
        <v>0</v>
      </c>
      <c r="AG184" s="108" t="s">
        <v>151</v>
      </c>
      <c r="AH184" s="44"/>
      <c r="AI184" s="44"/>
      <c r="AJ184" s="44"/>
      <c r="AK184" s="44"/>
      <c r="AL184" s="44"/>
      <c r="AM184" s="44"/>
      <c r="AN184" s="44"/>
      <c r="AO184" s="45"/>
      <c r="AP184" s="44"/>
      <c r="AQ184" s="44"/>
      <c r="AR184" s="44"/>
      <c r="AS184" s="44"/>
      <c r="AT184" s="44"/>
      <c r="AU184" s="43"/>
    </row>
    <row r="185" spans="8:56" ht="15.75" customHeight="1" thickBot="1">
      <c r="H185" s="282"/>
      <c r="I185" s="662" t="s">
        <v>155</v>
      </c>
      <c r="J185" s="663"/>
      <c r="K185" s="281" t="s">
        <v>154</v>
      </c>
      <c r="L185" s="280"/>
      <c r="M185" s="21"/>
      <c r="N185" s="21"/>
      <c r="O185" s="24"/>
      <c r="P185" s="24"/>
      <c r="Q185" s="24"/>
      <c r="R185" s="24"/>
      <c r="S185" s="24"/>
      <c r="T185" s="24"/>
      <c r="U185" s="24"/>
      <c r="V185" s="593"/>
      <c r="W185" s="594"/>
      <c r="X185" s="595"/>
      <c r="Y185" s="593" t="s">
        <v>1</v>
      </c>
      <c r="Z185" s="595"/>
      <c r="AA185" s="251">
        <v>1</v>
      </c>
      <c r="AB185" s="251">
        <v>0</v>
      </c>
      <c r="AC185" s="251">
        <v>1</v>
      </c>
      <c r="AD185" s="251">
        <v>1</v>
      </c>
      <c r="AE185" s="251">
        <v>0</v>
      </c>
      <c r="AF185" s="251">
        <v>0</v>
      </c>
      <c r="AG185" s="95" t="s">
        <v>151</v>
      </c>
      <c r="AH185" s="21"/>
      <c r="AI185" s="21"/>
      <c r="AJ185" s="21"/>
      <c r="AK185" s="132"/>
      <c r="AL185" s="21"/>
      <c r="AM185" s="21"/>
      <c r="AN185" s="21"/>
      <c r="AO185" s="22"/>
      <c r="AP185" s="21"/>
      <c r="AQ185" s="21"/>
      <c r="AR185" s="21"/>
      <c r="AS185" s="21"/>
      <c r="AT185" s="21"/>
      <c r="AU185" s="20"/>
    </row>
    <row r="186" spans="8:56" ht="15.95" customHeight="1" thickBot="1">
      <c r="H186" s="200"/>
      <c r="I186" s="279"/>
      <c r="J186" s="279"/>
      <c r="K186" s="61"/>
      <c r="L186" s="61"/>
      <c r="M186" s="61"/>
      <c r="N186" s="61"/>
      <c r="O186" s="62"/>
      <c r="P186" s="62"/>
      <c r="Q186" s="62"/>
      <c r="R186" s="62"/>
      <c r="S186" s="62"/>
      <c r="T186" s="62"/>
      <c r="U186" s="62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62"/>
      <c r="AF186" s="62"/>
      <c r="AG186" s="61"/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278"/>
      <c r="AV186" s="61"/>
      <c r="BA186" s="61"/>
      <c r="BB186" s="61"/>
      <c r="BC186" s="61"/>
      <c r="BD186" s="62"/>
    </row>
    <row r="187" spans="8:56" ht="15.95" customHeight="1" thickBot="1">
      <c r="H187" s="677" t="s">
        <v>160</v>
      </c>
      <c r="I187" s="677"/>
      <c r="J187" s="677"/>
      <c r="K187" s="677"/>
      <c r="L187" s="677"/>
      <c r="M187" s="677"/>
      <c r="N187" s="677"/>
      <c r="O187" s="677"/>
      <c r="P187" s="677"/>
      <c r="Q187" s="677"/>
      <c r="R187" s="677"/>
      <c r="S187" s="677"/>
      <c r="T187" s="677"/>
      <c r="U187" s="677"/>
      <c r="V187" s="677"/>
      <c r="W187" s="677"/>
      <c r="X187" s="677"/>
      <c r="Y187" s="677"/>
      <c r="Z187" s="677"/>
      <c r="AA187" s="677"/>
      <c r="AB187" s="677"/>
      <c r="AC187" s="677"/>
      <c r="AD187" s="677"/>
      <c r="AE187" s="677"/>
      <c r="AF187" s="677"/>
      <c r="AG187" s="677"/>
      <c r="AH187" s="677"/>
      <c r="AI187" s="677"/>
      <c r="AJ187" s="677"/>
      <c r="AK187" s="677"/>
      <c r="AL187" s="677"/>
      <c r="AM187" s="677"/>
      <c r="AN187" s="677"/>
      <c r="AO187" s="677"/>
      <c r="AP187" s="677"/>
      <c r="AQ187" s="677"/>
      <c r="AR187" s="677"/>
      <c r="AS187" s="677"/>
      <c r="AT187" s="677"/>
      <c r="AU187" s="678"/>
    </row>
    <row r="188" spans="8:56" ht="15.95" customHeight="1" thickBot="1">
      <c r="H188" s="526" t="s">
        <v>18</v>
      </c>
      <c r="I188" s="526"/>
      <c r="J188" s="527"/>
      <c r="K188" s="530" t="s">
        <v>17</v>
      </c>
      <c r="L188" s="531"/>
      <c r="M188" s="531"/>
      <c r="N188" s="531"/>
      <c r="O188" s="531"/>
      <c r="P188" s="531"/>
      <c r="Q188" s="531"/>
      <c r="R188" s="531"/>
      <c r="S188" s="531"/>
      <c r="T188" s="531"/>
      <c r="U188" s="531"/>
      <c r="V188" s="534" t="s">
        <v>16</v>
      </c>
      <c r="W188" s="535"/>
      <c r="X188" s="535"/>
      <c r="Y188" s="530" t="s">
        <v>15</v>
      </c>
      <c r="Z188" s="538"/>
      <c r="AA188" s="59" t="str">
        <f>AA173</f>
        <v>FG573-JINHEc</v>
      </c>
      <c r="AB188" s="59" t="str">
        <f t="shared" ref="AB188:AF189" si="9">+AB173</f>
        <v>FG591-FASa</v>
      </c>
      <c r="AC188" s="59" t="str">
        <f t="shared" si="9"/>
        <v>FG592-FASa</v>
      </c>
      <c r="AD188" s="59" t="str">
        <f t="shared" si="9"/>
        <v>FG601-FASTc</v>
      </c>
      <c r="AE188" s="59" t="str">
        <f t="shared" si="9"/>
        <v>FG623-JINHEc</v>
      </c>
      <c r="AF188" s="59" t="str">
        <f t="shared" si="9"/>
        <v>FG616-JINHEa</v>
      </c>
      <c r="AG188" s="540" t="s">
        <v>14</v>
      </c>
      <c r="AH188" s="541"/>
      <c r="AI188" s="541"/>
      <c r="AJ188" s="541"/>
      <c r="AK188" s="541"/>
      <c r="AL188" s="541"/>
      <c r="AM188" s="541"/>
      <c r="AN188" s="542"/>
      <c r="AO188" s="530" t="s">
        <v>13</v>
      </c>
      <c r="AP188" s="531"/>
      <c r="AQ188" s="531"/>
      <c r="AR188" s="531"/>
      <c r="AS188" s="531"/>
      <c r="AT188" s="531"/>
      <c r="AU188" s="546"/>
    </row>
    <row r="189" spans="8:56" ht="15.75" customHeight="1" thickBot="1">
      <c r="H189" s="528"/>
      <c r="I189" s="528"/>
      <c r="J189" s="529"/>
      <c r="K189" s="532"/>
      <c r="L189" s="533"/>
      <c r="M189" s="533"/>
      <c r="N189" s="533"/>
      <c r="O189" s="533"/>
      <c r="P189" s="533"/>
      <c r="Q189" s="533"/>
      <c r="R189" s="533"/>
      <c r="S189" s="533"/>
      <c r="T189" s="533"/>
      <c r="U189" s="533"/>
      <c r="V189" s="536"/>
      <c r="W189" s="537"/>
      <c r="X189" s="537"/>
      <c r="Y189" s="532"/>
      <c r="Z189" s="539"/>
      <c r="AA189" s="245" t="str">
        <f>AA174</f>
        <v>84*</v>
      </c>
      <c r="AB189" s="56" t="str">
        <f t="shared" si="9"/>
        <v>9C*</v>
      </c>
      <c r="AC189" s="56" t="str">
        <f t="shared" si="9"/>
        <v>9D*</v>
      </c>
      <c r="AD189" s="56" t="str">
        <f t="shared" si="9"/>
        <v>9E*</v>
      </c>
      <c r="AE189" s="56" t="str">
        <f t="shared" si="9"/>
        <v>9W*</v>
      </c>
      <c r="AF189" s="56" t="str">
        <f t="shared" si="9"/>
        <v>9S*</v>
      </c>
      <c r="AG189" s="543"/>
      <c r="AH189" s="544"/>
      <c r="AI189" s="544"/>
      <c r="AJ189" s="544"/>
      <c r="AK189" s="544"/>
      <c r="AL189" s="544"/>
      <c r="AM189" s="544"/>
      <c r="AN189" s="545"/>
      <c r="AO189" s="532"/>
      <c r="AP189" s="533"/>
      <c r="AQ189" s="533"/>
      <c r="AR189" s="533"/>
      <c r="AS189" s="533"/>
      <c r="AT189" s="533"/>
      <c r="AU189" s="547"/>
    </row>
    <row r="190" spans="8:56" ht="15.75" customHeight="1" thickTop="1">
      <c r="H190" s="705" t="s">
        <v>159</v>
      </c>
      <c r="I190" s="705"/>
      <c r="J190" s="706"/>
      <c r="K190" s="244" t="s">
        <v>158</v>
      </c>
      <c r="L190" s="243"/>
      <c r="M190" s="243"/>
      <c r="N190" s="243"/>
      <c r="O190" s="242"/>
      <c r="P190" s="242"/>
      <c r="Q190" s="242"/>
      <c r="R190" s="242"/>
      <c r="S190" s="242"/>
      <c r="T190" s="242"/>
      <c r="U190" s="242"/>
      <c r="V190" s="550"/>
      <c r="W190" s="551"/>
      <c r="X190" s="551"/>
      <c r="Y190" s="47"/>
      <c r="Z190" s="47"/>
      <c r="AA190" s="47"/>
      <c r="AB190" s="47"/>
      <c r="AC190" s="47"/>
      <c r="AD190" s="47"/>
      <c r="AE190" s="47"/>
      <c r="AF190" s="47"/>
      <c r="AG190" s="48" t="s">
        <v>151</v>
      </c>
      <c r="AH190" s="47"/>
      <c r="AI190" s="47"/>
      <c r="AJ190" s="47"/>
      <c r="AK190" s="47"/>
      <c r="AL190" s="47"/>
      <c r="AM190" s="47"/>
      <c r="AN190" s="47"/>
      <c r="AO190" s="48"/>
      <c r="AP190" s="47"/>
      <c r="AQ190" s="47"/>
      <c r="AR190" s="47"/>
      <c r="AS190" s="47"/>
      <c r="AT190" s="47"/>
      <c r="AU190" s="241"/>
    </row>
    <row r="191" spans="8:56" ht="15.75" customHeight="1">
      <c r="H191" s="190"/>
      <c r="I191" s="709" t="s">
        <v>150</v>
      </c>
      <c r="J191" s="710"/>
      <c r="K191" s="275" t="s">
        <v>149</v>
      </c>
      <c r="L191" s="44"/>
      <c r="M191" s="44"/>
      <c r="N191" s="44"/>
      <c r="O191" s="187"/>
      <c r="P191" s="187"/>
      <c r="Q191" s="187"/>
      <c r="R191" s="187"/>
      <c r="S191" s="187"/>
      <c r="T191" s="187"/>
      <c r="U191" s="187"/>
      <c r="V191" s="499" t="s">
        <v>148</v>
      </c>
      <c r="W191" s="500"/>
      <c r="X191" s="501"/>
      <c r="Y191" s="499" t="s">
        <v>147</v>
      </c>
      <c r="Z191" s="501"/>
      <c r="AA191" s="274">
        <v>0</v>
      </c>
      <c r="AB191" s="175">
        <f>332*(1/25000)</f>
        <v>1.3280000000000002E-2</v>
      </c>
      <c r="AC191" s="274">
        <v>0</v>
      </c>
      <c r="AD191" s="274">
        <v>0</v>
      </c>
      <c r="AE191" s="175">
        <f>332*(1/25000)</f>
        <v>1.3280000000000002E-2</v>
      </c>
      <c r="AF191" s="175">
        <f>332*(1/25000)</f>
        <v>1.3280000000000002E-2</v>
      </c>
      <c r="AG191" s="38" t="s">
        <v>55</v>
      </c>
      <c r="AH191" s="44"/>
      <c r="AI191" s="44"/>
      <c r="AJ191" s="44"/>
      <c r="AK191" s="210"/>
      <c r="AL191" s="44"/>
      <c r="AM191" s="44"/>
      <c r="AN191" s="44"/>
      <c r="AO191" s="45"/>
      <c r="AP191" s="44"/>
      <c r="AQ191" s="44"/>
      <c r="AR191" s="44"/>
      <c r="AS191" s="44"/>
      <c r="AT191" s="44"/>
      <c r="AU191" s="43"/>
    </row>
    <row r="192" spans="8:56" ht="15.95" customHeight="1" thickBot="1">
      <c r="H192" s="190"/>
      <c r="I192" s="600" t="s">
        <v>145</v>
      </c>
      <c r="J192" s="601"/>
      <c r="K192" s="45" t="s">
        <v>144</v>
      </c>
      <c r="L192" s="44"/>
      <c r="M192" s="44"/>
      <c r="N192" s="44"/>
      <c r="O192" s="187"/>
      <c r="P192" s="187"/>
      <c r="Q192" s="187"/>
      <c r="R192" s="187"/>
      <c r="S192" s="187"/>
      <c r="T192" s="187"/>
      <c r="U192" s="187"/>
      <c r="V192" s="499"/>
      <c r="W192" s="500"/>
      <c r="X192" s="500"/>
      <c r="Y192" s="499" t="s">
        <v>1</v>
      </c>
      <c r="Z192" s="501"/>
      <c r="AA192" s="265">
        <v>0</v>
      </c>
      <c r="AB192" s="252">
        <v>1</v>
      </c>
      <c r="AC192" s="252">
        <v>0</v>
      </c>
      <c r="AD192" s="252">
        <v>0</v>
      </c>
      <c r="AE192" s="252">
        <v>1</v>
      </c>
      <c r="AF192" s="252">
        <v>1</v>
      </c>
      <c r="AG192" s="22" t="s">
        <v>126</v>
      </c>
      <c r="AH192" s="44"/>
      <c r="AI192" s="44"/>
      <c r="AJ192" s="44"/>
      <c r="AK192" s="44"/>
      <c r="AL192" s="44"/>
      <c r="AM192" s="44"/>
      <c r="AN192" s="44"/>
      <c r="AO192" s="45"/>
      <c r="AP192" s="44"/>
      <c r="AQ192" s="44"/>
      <c r="AR192" s="44"/>
      <c r="AS192" s="44"/>
      <c r="AT192" s="44"/>
      <c r="AU192" s="43"/>
    </row>
    <row r="193" spans="8:47" ht="15.75" customHeight="1">
      <c r="H193" s="277" t="s">
        <v>157</v>
      </c>
      <c r="I193" s="163"/>
      <c r="J193" s="162"/>
      <c r="K193" s="266" t="s">
        <v>156</v>
      </c>
      <c r="L193" s="31"/>
      <c r="M193" s="31"/>
      <c r="N193" s="31"/>
      <c r="O193" s="30"/>
      <c r="P193" s="30"/>
      <c r="Q193" s="30"/>
      <c r="R193" s="30"/>
      <c r="S193" s="30"/>
      <c r="T193" s="30"/>
      <c r="U193" s="30"/>
      <c r="V193" s="666"/>
      <c r="W193" s="667"/>
      <c r="X193" s="667"/>
      <c r="Y193" s="28"/>
      <c r="Z193" s="28"/>
      <c r="AA193" s="28"/>
      <c r="AB193" s="28"/>
      <c r="AC193" s="28"/>
      <c r="AD193" s="28"/>
      <c r="AE193" s="28"/>
      <c r="AF193" s="28"/>
      <c r="AG193" s="108" t="s">
        <v>151</v>
      </c>
      <c r="AH193" s="28"/>
      <c r="AI193" s="28"/>
      <c r="AJ193" s="28"/>
      <c r="AK193" s="28"/>
      <c r="AL193" s="28"/>
      <c r="AM193" s="28"/>
      <c r="AN193" s="28"/>
      <c r="AO193" s="29"/>
      <c r="AP193" s="28"/>
      <c r="AQ193" s="28"/>
      <c r="AR193" s="28"/>
      <c r="AS193" s="28"/>
      <c r="AT193" s="28"/>
      <c r="AU193" s="27"/>
    </row>
    <row r="194" spans="8:47" ht="15.75" customHeight="1">
      <c r="H194" s="190"/>
      <c r="I194" s="709" t="s">
        <v>150</v>
      </c>
      <c r="J194" s="710"/>
      <c r="K194" s="275" t="s">
        <v>149</v>
      </c>
      <c r="L194" s="44"/>
      <c r="M194" s="44"/>
      <c r="N194" s="44"/>
      <c r="O194" s="187"/>
      <c r="P194" s="187"/>
      <c r="Q194" s="187"/>
      <c r="R194" s="187"/>
      <c r="S194" s="187"/>
      <c r="T194" s="187"/>
      <c r="U194" s="187"/>
      <c r="V194" s="499" t="s">
        <v>148</v>
      </c>
      <c r="W194" s="500"/>
      <c r="X194" s="501"/>
      <c r="Y194" s="499" t="s">
        <v>147</v>
      </c>
      <c r="Z194" s="501"/>
      <c r="AA194" s="274">
        <v>0</v>
      </c>
      <c r="AB194" s="175">
        <f>290*(1/25000)</f>
        <v>1.1600000000000001E-2</v>
      </c>
      <c r="AC194" s="274">
        <v>0</v>
      </c>
      <c r="AD194" s="274">
        <v>0</v>
      </c>
      <c r="AE194" s="175">
        <f>290*(1/25000)</f>
        <v>1.1600000000000001E-2</v>
      </c>
      <c r="AF194" s="175">
        <f>290*(1/25000)</f>
        <v>1.1600000000000001E-2</v>
      </c>
      <c r="AG194" s="45" t="s">
        <v>55</v>
      </c>
      <c r="AH194" s="44"/>
      <c r="AI194" s="44"/>
      <c r="AJ194" s="44"/>
      <c r="AK194" s="210"/>
      <c r="AL194" s="44"/>
      <c r="AM194" s="44"/>
      <c r="AN194" s="44"/>
      <c r="AO194" s="45"/>
      <c r="AP194" s="44"/>
      <c r="AQ194" s="44"/>
      <c r="AR194" s="44"/>
      <c r="AS194" s="44"/>
      <c r="AT194" s="44"/>
      <c r="AU194" s="43"/>
    </row>
    <row r="195" spans="8:47" ht="15.95" customHeight="1" thickBot="1">
      <c r="H195" s="168"/>
      <c r="I195" s="600" t="s">
        <v>139</v>
      </c>
      <c r="J195" s="601"/>
      <c r="K195" s="22" t="s">
        <v>138</v>
      </c>
      <c r="L195" s="21"/>
      <c r="M195" s="21"/>
      <c r="N195" s="21"/>
      <c r="O195" s="24"/>
      <c r="P195" s="24"/>
      <c r="Q195" s="24"/>
      <c r="R195" s="24"/>
      <c r="S195" s="24"/>
      <c r="T195" s="24"/>
      <c r="U195" s="24"/>
      <c r="V195" s="593"/>
      <c r="W195" s="594"/>
      <c r="X195" s="594"/>
      <c r="Y195" s="593" t="s">
        <v>1</v>
      </c>
      <c r="Z195" s="595"/>
      <c r="AA195" s="207">
        <v>0</v>
      </c>
      <c r="AB195" s="251">
        <v>1</v>
      </c>
      <c r="AC195" s="251">
        <v>0</v>
      </c>
      <c r="AD195" s="251">
        <v>0</v>
      </c>
      <c r="AE195" s="251">
        <v>1</v>
      </c>
      <c r="AF195" s="251">
        <v>1</v>
      </c>
      <c r="AG195" s="22" t="s">
        <v>126</v>
      </c>
      <c r="AH195" s="21"/>
      <c r="AI195" s="21"/>
      <c r="AJ195" s="21"/>
      <c r="AK195" s="21"/>
      <c r="AL195" s="21"/>
      <c r="AM195" s="21"/>
      <c r="AN195" s="21"/>
      <c r="AO195" s="22"/>
      <c r="AP195" s="21"/>
      <c r="AQ195" s="21"/>
      <c r="AR195" s="21"/>
      <c r="AS195" s="21"/>
      <c r="AT195" s="21"/>
      <c r="AU195" s="20"/>
    </row>
    <row r="196" spans="8:47" ht="15.75" customHeight="1">
      <c r="H196" s="711" t="s">
        <v>155</v>
      </c>
      <c r="I196" s="711"/>
      <c r="J196" s="712"/>
      <c r="K196" s="266" t="s">
        <v>154</v>
      </c>
      <c r="L196" s="31"/>
      <c r="M196" s="31"/>
      <c r="N196" s="31"/>
      <c r="O196" s="30"/>
      <c r="P196" s="30"/>
      <c r="Q196" s="30"/>
      <c r="R196" s="30"/>
      <c r="S196" s="30"/>
      <c r="T196" s="30"/>
      <c r="U196" s="30"/>
      <c r="V196" s="666"/>
      <c r="W196" s="667"/>
      <c r="X196" s="667"/>
      <c r="Y196" s="28"/>
      <c r="Z196" s="28"/>
      <c r="AA196" s="28"/>
      <c r="AB196" s="28"/>
      <c r="AC196" s="28"/>
      <c r="AD196" s="28"/>
      <c r="AE196" s="28"/>
      <c r="AF196" s="28"/>
      <c r="AG196" s="108" t="s">
        <v>151</v>
      </c>
      <c r="AH196" s="28"/>
      <c r="AI196" s="28"/>
      <c r="AJ196" s="28"/>
      <c r="AK196" s="28"/>
      <c r="AL196" s="28"/>
      <c r="AM196" s="28"/>
      <c r="AN196" s="28"/>
      <c r="AO196" s="29"/>
      <c r="AP196" s="28"/>
      <c r="AQ196" s="28"/>
      <c r="AR196" s="28"/>
      <c r="AS196" s="28"/>
      <c r="AT196" s="28"/>
      <c r="AU196" s="27"/>
    </row>
    <row r="197" spans="8:47" ht="15.75" customHeight="1">
      <c r="H197" s="190"/>
      <c r="I197" s="709" t="s">
        <v>150</v>
      </c>
      <c r="J197" s="710"/>
      <c r="K197" s="275" t="s">
        <v>149</v>
      </c>
      <c r="L197" s="44"/>
      <c r="M197" s="44"/>
      <c r="N197" s="44"/>
      <c r="O197" s="187"/>
      <c r="P197" s="187"/>
      <c r="Q197" s="187"/>
      <c r="R197" s="187"/>
      <c r="S197" s="187"/>
      <c r="T197" s="187"/>
      <c r="U197" s="187"/>
      <c r="V197" s="499" t="s">
        <v>148</v>
      </c>
      <c r="W197" s="500"/>
      <c r="X197" s="501"/>
      <c r="Y197" s="499" t="s">
        <v>147</v>
      </c>
      <c r="Z197" s="501"/>
      <c r="AA197" s="175">
        <f t="shared" ref="AA197:AF197" si="10">284*(1/25000)</f>
        <v>1.136E-2</v>
      </c>
      <c r="AB197" s="175">
        <f t="shared" si="10"/>
        <v>1.136E-2</v>
      </c>
      <c r="AC197" s="175">
        <f t="shared" si="10"/>
        <v>1.136E-2</v>
      </c>
      <c r="AD197" s="175">
        <f t="shared" si="10"/>
        <v>1.136E-2</v>
      </c>
      <c r="AE197" s="175">
        <f t="shared" si="10"/>
        <v>1.136E-2</v>
      </c>
      <c r="AF197" s="175">
        <f t="shared" si="10"/>
        <v>1.136E-2</v>
      </c>
      <c r="AG197" s="45" t="s">
        <v>55</v>
      </c>
      <c r="AH197" s="44"/>
      <c r="AI197" s="44"/>
      <c r="AJ197" s="44"/>
      <c r="AK197" s="210"/>
      <c r="AL197" s="44"/>
      <c r="AM197" s="44"/>
      <c r="AN197" s="44"/>
      <c r="AO197" s="45"/>
      <c r="AP197" s="44"/>
      <c r="AQ197" s="44"/>
      <c r="AR197" s="44"/>
      <c r="AS197" s="44"/>
      <c r="AT197" s="44"/>
      <c r="AU197" s="43"/>
    </row>
    <row r="198" spans="8:47" ht="15.95" customHeight="1" thickBot="1">
      <c r="H198" s="168"/>
      <c r="I198" s="600" t="s">
        <v>65</v>
      </c>
      <c r="J198" s="601"/>
      <c r="K198" s="22" t="s">
        <v>64</v>
      </c>
      <c r="L198" s="21"/>
      <c r="M198" s="21"/>
      <c r="N198" s="21"/>
      <c r="O198" s="24"/>
      <c r="P198" s="24"/>
      <c r="Q198" s="24"/>
      <c r="R198" s="24"/>
      <c r="S198" s="24"/>
      <c r="T198" s="24"/>
      <c r="U198" s="24"/>
      <c r="V198" s="593"/>
      <c r="W198" s="594"/>
      <c r="X198" s="594"/>
      <c r="Y198" s="593" t="s">
        <v>1</v>
      </c>
      <c r="Z198" s="595"/>
      <c r="AA198" s="276">
        <v>1</v>
      </c>
      <c r="AB198" s="276">
        <v>1</v>
      </c>
      <c r="AC198" s="276">
        <v>1</v>
      </c>
      <c r="AD198" s="276">
        <v>1</v>
      </c>
      <c r="AE198" s="276">
        <v>1</v>
      </c>
      <c r="AF198" s="276">
        <v>1</v>
      </c>
      <c r="AG198" s="22" t="s">
        <v>63</v>
      </c>
      <c r="AH198" s="21"/>
      <c r="AI198" s="21"/>
      <c r="AJ198" s="21"/>
      <c r="AK198" s="21"/>
      <c r="AL198" s="21"/>
      <c r="AM198" s="21"/>
      <c r="AN198" s="21"/>
      <c r="AO198" s="22"/>
      <c r="AP198" s="21"/>
      <c r="AQ198" s="21"/>
      <c r="AR198" s="21"/>
      <c r="AS198" s="21"/>
      <c r="AT198" s="21"/>
      <c r="AU198" s="20"/>
    </row>
    <row r="199" spans="8:47" ht="15.75" customHeight="1">
      <c r="H199" s="711" t="s">
        <v>153</v>
      </c>
      <c r="I199" s="711"/>
      <c r="J199" s="712"/>
      <c r="K199" s="266" t="s">
        <v>152</v>
      </c>
      <c r="L199" s="31"/>
      <c r="M199" s="31"/>
      <c r="N199" s="31"/>
      <c r="O199" s="30"/>
      <c r="P199" s="30"/>
      <c r="Q199" s="30"/>
      <c r="R199" s="30"/>
      <c r="S199" s="30"/>
      <c r="T199" s="30"/>
      <c r="U199" s="30"/>
      <c r="V199" s="666"/>
      <c r="W199" s="667"/>
      <c r="X199" s="667"/>
      <c r="Y199" s="28"/>
      <c r="Z199" s="28"/>
      <c r="AA199" s="28"/>
      <c r="AB199" s="28"/>
      <c r="AC199" s="28"/>
      <c r="AD199" s="28"/>
      <c r="AE199" s="28"/>
      <c r="AF199" s="28"/>
      <c r="AG199" s="108" t="s">
        <v>151</v>
      </c>
      <c r="AH199" s="28"/>
      <c r="AI199" s="28"/>
      <c r="AJ199" s="28"/>
      <c r="AK199" s="28"/>
      <c r="AL199" s="28"/>
      <c r="AM199" s="28"/>
      <c r="AN199" s="28"/>
      <c r="AO199" s="29"/>
      <c r="AP199" s="28"/>
      <c r="AQ199" s="28"/>
      <c r="AR199" s="28"/>
      <c r="AS199" s="28"/>
      <c r="AT199" s="28"/>
      <c r="AU199" s="27"/>
    </row>
    <row r="200" spans="8:47" ht="15.75" customHeight="1">
      <c r="H200" s="190"/>
      <c r="I200" s="709" t="s">
        <v>150</v>
      </c>
      <c r="J200" s="710"/>
      <c r="K200" s="275" t="s">
        <v>149</v>
      </c>
      <c r="L200" s="44"/>
      <c r="M200" s="44"/>
      <c r="N200" s="44"/>
      <c r="O200" s="187"/>
      <c r="P200" s="187"/>
      <c r="Q200" s="187"/>
      <c r="R200" s="187"/>
      <c r="S200" s="187"/>
      <c r="T200" s="187"/>
      <c r="U200" s="187"/>
      <c r="V200" s="499" t="s">
        <v>148</v>
      </c>
      <c r="W200" s="500"/>
      <c r="X200" s="501"/>
      <c r="Y200" s="499" t="s">
        <v>147</v>
      </c>
      <c r="Z200" s="501"/>
      <c r="AA200" s="175">
        <f>300*(1/25000)</f>
        <v>1.2E-2</v>
      </c>
      <c r="AB200" s="274">
        <v>0</v>
      </c>
      <c r="AC200" s="175">
        <f>300*(1/25000)</f>
        <v>1.2E-2</v>
      </c>
      <c r="AD200" s="175">
        <f>300*(1/25000)</f>
        <v>1.2E-2</v>
      </c>
      <c r="AE200" s="274">
        <v>0</v>
      </c>
      <c r="AF200" s="274">
        <v>0</v>
      </c>
      <c r="AG200" s="45" t="s">
        <v>55</v>
      </c>
      <c r="AH200" s="44"/>
      <c r="AI200" s="44"/>
      <c r="AJ200" s="44"/>
      <c r="AK200" s="210"/>
      <c r="AL200" s="44"/>
      <c r="AM200" s="44"/>
      <c r="AN200" s="44"/>
      <c r="AO200" s="45"/>
      <c r="AP200" s="44"/>
      <c r="AQ200" s="44"/>
      <c r="AR200" s="44"/>
      <c r="AS200" s="44"/>
      <c r="AT200" s="44"/>
      <c r="AU200" s="43"/>
    </row>
    <row r="201" spans="8:47" ht="15.95" customHeight="1" thickBot="1">
      <c r="H201" s="168"/>
      <c r="I201" s="600" t="s">
        <v>128</v>
      </c>
      <c r="J201" s="601"/>
      <c r="K201" s="22" t="s">
        <v>127</v>
      </c>
      <c r="L201" s="21"/>
      <c r="M201" s="21"/>
      <c r="N201" s="21"/>
      <c r="O201" s="24"/>
      <c r="P201" s="24"/>
      <c r="Q201" s="24"/>
      <c r="R201" s="24"/>
      <c r="S201" s="24"/>
      <c r="T201" s="24"/>
      <c r="U201" s="24"/>
      <c r="V201" s="593"/>
      <c r="W201" s="594"/>
      <c r="X201" s="594"/>
      <c r="Y201" s="593" t="s">
        <v>1</v>
      </c>
      <c r="Z201" s="595"/>
      <c r="AA201" s="207">
        <v>1</v>
      </c>
      <c r="AB201" s="207">
        <v>0</v>
      </c>
      <c r="AC201" s="207">
        <v>1</v>
      </c>
      <c r="AD201" s="207">
        <v>1</v>
      </c>
      <c r="AE201" s="207">
        <v>0</v>
      </c>
      <c r="AF201" s="207">
        <v>0</v>
      </c>
      <c r="AG201" s="22" t="s">
        <v>126</v>
      </c>
      <c r="AH201" s="21"/>
      <c r="AI201" s="21"/>
      <c r="AJ201" s="21"/>
      <c r="AK201" s="21"/>
      <c r="AL201" s="21"/>
      <c r="AM201" s="21"/>
      <c r="AN201" s="21"/>
      <c r="AO201" s="22"/>
      <c r="AP201" s="21"/>
      <c r="AQ201" s="21"/>
      <c r="AR201" s="21"/>
      <c r="AS201" s="21"/>
      <c r="AT201" s="21"/>
      <c r="AU201" s="20"/>
    </row>
    <row r="202" spans="8:47" ht="15.95" customHeight="1" thickBot="1">
      <c r="H202" s="677" t="s">
        <v>146</v>
      </c>
      <c r="I202" s="677"/>
      <c r="J202" s="677"/>
      <c r="K202" s="677"/>
      <c r="L202" s="677"/>
      <c r="M202" s="677"/>
      <c r="N202" s="677"/>
      <c r="O202" s="677"/>
      <c r="P202" s="677"/>
      <c r="Q202" s="677"/>
      <c r="R202" s="677"/>
      <c r="S202" s="677"/>
      <c r="T202" s="677"/>
      <c r="U202" s="677"/>
      <c r="V202" s="677"/>
      <c r="W202" s="677"/>
      <c r="X202" s="677"/>
      <c r="Y202" s="677"/>
      <c r="Z202" s="677"/>
      <c r="AA202" s="677"/>
      <c r="AB202" s="677"/>
      <c r="AC202" s="677"/>
      <c r="AD202" s="677"/>
      <c r="AE202" s="677"/>
      <c r="AF202" s="677"/>
      <c r="AG202" s="677"/>
      <c r="AH202" s="677"/>
      <c r="AI202" s="677"/>
      <c r="AJ202" s="677"/>
      <c r="AK202" s="677"/>
      <c r="AL202" s="677"/>
      <c r="AM202" s="677"/>
      <c r="AN202" s="677"/>
      <c r="AO202" s="677"/>
      <c r="AP202" s="677"/>
      <c r="AQ202" s="677"/>
      <c r="AR202" s="677"/>
      <c r="AS202" s="677"/>
      <c r="AT202" s="677"/>
      <c r="AU202" s="678"/>
    </row>
    <row r="203" spans="8:47" ht="15.95" customHeight="1" thickBot="1">
      <c r="H203" s="526" t="s">
        <v>18</v>
      </c>
      <c r="I203" s="526"/>
      <c r="J203" s="527"/>
      <c r="K203" s="530" t="s">
        <v>17</v>
      </c>
      <c r="L203" s="531"/>
      <c r="M203" s="531"/>
      <c r="N203" s="531"/>
      <c r="O203" s="531"/>
      <c r="P203" s="531"/>
      <c r="Q203" s="531"/>
      <c r="R203" s="531"/>
      <c r="S203" s="531"/>
      <c r="T203" s="531"/>
      <c r="U203" s="531"/>
      <c r="V203" s="534" t="s">
        <v>16</v>
      </c>
      <c r="W203" s="535"/>
      <c r="X203" s="535"/>
      <c r="Y203" s="530" t="s">
        <v>15</v>
      </c>
      <c r="Z203" s="538"/>
      <c r="AA203" s="59" t="str">
        <f>AA188</f>
        <v>FG573-JINHEc</v>
      </c>
      <c r="AB203" s="59" t="str">
        <f t="shared" ref="AB203:AF204" si="11">+AB188</f>
        <v>FG591-FASa</v>
      </c>
      <c r="AC203" s="59" t="str">
        <f t="shared" si="11"/>
        <v>FG592-FASa</v>
      </c>
      <c r="AD203" s="59" t="str">
        <f t="shared" si="11"/>
        <v>FG601-FASTc</v>
      </c>
      <c r="AE203" s="59" t="str">
        <f t="shared" si="11"/>
        <v>FG623-JINHEc</v>
      </c>
      <c r="AF203" s="59" t="str">
        <f t="shared" si="11"/>
        <v>FG616-JINHEa</v>
      </c>
      <c r="AG203" s="540" t="s">
        <v>14</v>
      </c>
      <c r="AH203" s="541"/>
      <c r="AI203" s="541"/>
      <c r="AJ203" s="541"/>
      <c r="AK203" s="541"/>
      <c r="AL203" s="541"/>
      <c r="AM203" s="541"/>
      <c r="AN203" s="542"/>
      <c r="AO203" s="530" t="s">
        <v>13</v>
      </c>
      <c r="AP203" s="531"/>
      <c r="AQ203" s="531"/>
      <c r="AR203" s="531"/>
      <c r="AS203" s="531"/>
      <c r="AT203" s="531"/>
      <c r="AU203" s="546"/>
    </row>
    <row r="204" spans="8:47" ht="15.75" customHeight="1" thickBot="1">
      <c r="H204" s="528"/>
      <c r="I204" s="528"/>
      <c r="J204" s="529"/>
      <c r="K204" s="532"/>
      <c r="L204" s="533"/>
      <c r="M204" s="533"/>
      <c r="N204" s="533"/>
      <c r="O204" s="533"/>
      <c r="P204" s="533"/>
      <c r="Q204" s="533"/>
      <c r="R204" s="533"/>
      <c r="S204" s="533"/>
      <c r="T204" s="533"/>
      <c r="U204" s="533"/>
      <c r="V204" s="536"/>
      <c r="W204" s="537"/>
      <c r="X204" s="537"/>
      <c r="Y204" s="532"/>
      <c r="Z204" s="539"/>
      <c r="AA204" s="245" t="str">
        <f>AA189</f>
        <v>84*</v>
      </c>
      <c r="AB204" s="56" t="str">
        <f t="shared" si="11"/>
        <v>9C*</v>
      </c>
      <c r="AC204" s="56" t="str">
        <f t="shared" si="11"/>
        <v>9D*</v>
      </c>
      <c r="AD204" s="56" t="str">
        <f t="shared" si="11"/>
        <v>9E*</v>
      </c>
      <c r="AE204" s="56" t="str">
        <f t="shared" si="11"/>
        <v>9W*</v>
      </c>
      <c r="AF204" s="56" t="str">
        <f t="shared" si="11"/>
        <v>9S*</v>
      </c>
      <c r="AG204" s="543"/>
      <c r="AH204" s="544"/>
      <c r="AI204" s="544"/>
      <c r="AJ204" s="544"/>
      <c r="AK204" s="544"/>
      <c r="AL204" s="544"/>
      <c r="AM204" s="544"/>
      <c r="AN204" s="545"/>
      <c r="AO204" s="532"/>
      <c r="AP204" s="533"/>
      <c r="AQ204" s="533"/>
      <c r="AR204" s="533"/>
      <c r="AS204" s="533"/>
      <c r="AT204" s="533"/>
      <c r="AU204" s="547"/>
    </row>
    <row r="205" spans="8:47" ht="15.75" customHeight="1" thickTop="1">
      <c r="H205" s="687" t="s">
        <v>145</v>
      </c>
      <c r="I205" s="687"/>
      <c r="J205" s="688"/>
      <c r="K205" s="273" t="s">
        <v>144</v>
      </c>
      <c r="L205" s="114"/>
      <c r="M205" s="114"/>
      <c r="N205" s="114"/>
      <c r="O205" s="219"/>
      <c r="P205" s="219"/>
      <c r="Q205" s="219"/>
      <c r="R205" s="219"/>
      <c r="S205" s="219"/>
      <c r="T205" s="219"/>
      <c r="U205" s="219"/>
      <c r="V205" s="514"/>
      <c r="W205" s="515"/>
      <c r="X205" s="515"/>
      <c r="Y205" s="46"/>
      <c r="Z205" s="46"/>
      <c r="AA205" s="46"/>
      <c r="AB205" s="46"/>
      <c r="AC205" s="46"/>
      <c r="AD205" s="46"/>
      <c r="AE205" s="46"/>
      <c r="AF205" s="46"/>
      <c r="AG205" s="48" t="s">
        <v>126</v>
      </c>
      <c r="AH205" s="46"/>
      <c r="AI205" s="46"/>
      <c r="AJ205" s="46"/>
      <c r="AK205" s="46"/>
      <c r="AL205" s="46"/>
      <c r="AM205" s="46"/>
      <c r="AN205" s="46"/>
      <c r="AO205" s="108"/>
      <c r="AP205" s="46"/>
      <c r="AQ205" s="46"/>
      <c r="AR205" s="46"/>
      <c r="AS205" s="46"/>
      <c r="AT205" s="46"/>
      <c r="AU205" s="218"/>
    </row>
    <row r="206" spans="8:47" ht="15.95" customHeight="1">
      <c r="H206" s="190"/>
      <c r="I206" s="264" t="s">
        <v>96</v>
      </c>
      <c r="J206" s="263"/>
      <c r="K206" s="45" t="s">
        <v>95</v>
      </c>
      <c r="L206" s="44"/>
      <c r="M206" s="44"/>
      <c r="N206" s="44"/>
      <c r="O206" s="187"/>
      <c r="P206" s="187"/>
      <c r="Q206" s="187"/>
      <c r="R206" s="187"/>
      <c r="S206" s="187"/>
      <c r="T206" s="187"/>
      <c r="U206" s="187"/>
      <c r="V206" s="499"/>
      <c r="W206" s="500"/>
      <c r="X206" s="500"/>
      <c r="Y206" s="499" t="s">
        <v>1</v>
      </c>
      <c r="Z206" s="501"/>
      <c r="AA206" s="265">
        <v>0</v>
      </c>
      <c r="AB206" s="252">
        <v>1</v>
      </c>
      <c r="AC206" s="265">
        <v>0</v>
      </c>
      <c r="AD206" s="265">
        <v>0</v>
      </c>
      <c r="AE206" s="252">
        <v>1</v>
      </c>
      <c r="AF206" s="252">
        <v>1</v>
      </c>
      <c r="AG206" s="45" t="s">
        <v>63</v>
      </c>
      <c r="AH206" s="44"/>
      <c r="AI206" s="44"/>
      <c r="AJ206" s="44"/>
      <c r="AK206" s="44"/>
      <c r="AL206" s="44"/>
      <c r="AM206" s="44"/>
      <c r="AN206" s="44"/>
      <c r="AO206" s="45"/>
      <c r="AP206" s="44"/>
      <c r="AQ206" s="44"/>
      <c r="AR206" s="44"/>
      <c r="AS206" s="44"/>
      <c r="AT206" s="44"/>
      <c r="AU206" s="43"/>
    </row>
    <row r="207" spans="8:47" ht="15.95" customHeight="1">
      <c r="H207" s="190"/>
      <c r="I207" s="264" t="s">
        <v>91</v>
      </c>
      <c r="J207" s="263"/>
      <c r="K207" s="45" t="s">
        <v>90</v>
      </c>
      <c r="L207" s="44"/>
      <c r="M207" s="44"/>
      <c r="N207" s="44"/>
      <c r="O207" s="187"/>
      <c r="P207" s="187"/>
      <c r="Q207" s="187"/>
      <c r="R207" s="187"/>
      <c r="S207" s="187"/>
      <c r="T207" s="187"/>
      <c r="U207" s="187"/>
      <c r="V207" s="499"/>
      <c r="W207" s="500"/>
      <c r="X207" s="500"/>
      <c r="Y207" s="499" t="s">
        <v>1</v>
      </c>
      <c r="Z207" s="501"/>
      <c r="AA207" s="216">
        <v>0</v>
      </c>
      <c r="AB207" s="252">
        <v>1</v>
      </c>
      <c r="AC207" s="216">
        <v>0</v>
      </c>
      <c r="AD207" s="216">
        <v>0</v>
      </c>
      <c r="AE207" s="252">
        <v>1</v>
      </c>
      <c r="AF207" s="252">
        <v>1</v>
      </c>
      <c r="AG207" s="45" t="s">
        <v>63</v>
      </c>
      <c r="AH207" s="44"/>
      <c r="AI207" s="44"/>
      <c r="AJ207" s="44"/>
      <c r="AK207" s="44"/>
      <c r="AL207" s="44"/>
      <c r="AM207" s="44"/>
      <c r="AN207" s="44"/>
      <c r="AO207" s="45"/>
      <c r="AP207" s="44"/>
      <c r="AQ207" s="44"/>
      <c r="AR207" s="44"/>
      <c r="AS207" s="44"/>
      <c r="AT207" s="44"/>
      <c r="AU207" s="43"/>
    </row>
    <row r="208" spans="8:47" ht="15.95" customHeight="1">
      <c r="H208" s="190"/>
      <c r="I208" s="262" t="s">
        <v>123</v>
      </c>
      <c r="J208" s="188"/>
      <c r="K208" s="45" t="s">
        <v>122</v>
      </c>
      <c r="L208" s="44"/>
      <c r="M208" s="44"/>
      <c r="N208" s="44"/>
      <c r="O208" s="187"/>
      <c r="P208" s="187"/>
      <c r="Q208" s="187"/>
      <c r="R208" s="187"/>
      <c r="S208" s="187"/>
      <c r="T208" s="187"/>
      <c r="U208" s="187"/>
      <c r="V208" s="499" t="s">
        <v>121</v>
      </c>
      <c r="W208" s="500"/>
      <c r="X208" s="501"/>
      <c r="Y208" s="499" t="s">
        <v>1</v>
      </c>
      <c r="Z208" s="501"/>
      <c r="AA208" s="39">
        <v>0</v>
      </c>
      <c r="AB208" s="252">
        <v>1</v>
      </c>
      <c r="AC208" s="39">
        <v>0</v>
      </c>
      <c r="AD208" s="39">
        <v>0</v>
      </c>
      <c r="AE208" s="252">
        <v>1</v>
      </c>
      <c r="AF208" s="252">
        <v>1</v>
      </c>
      <c r="AG208" s="45" t="s">
        <v>66</v>
      </c>
      <c r="AH208" s="44"/>
      <c r="AI208" s="44"/>
      <c r="AJ208" s="44"/>
      <c r="AK208" s="44"/>
      <c r="AL208" s="44"/>
      <c r="AM208" s="44"/>
      <c r="AN208" s="44"/>
      <c r="AO208" s="45"/>
      <c r="AP208" s="44"/>
      <c r="AQ208" s="44"/>
      <c r="AR208" s="44"/>
      <c r="AS208" s="44"/>
      <c r="AT208" s="44"/>
      <c r="AU208" s="43"/>
    </row>
    <row r="209" spans="8:49" ht="15.95" customHeight="1">
      <c r="H209" s="190"/>
      <c r="I209" s="709" t="s">
        <v>143</v>
      </c>
      <c r="J209" s="710"/>
      <c r="K209" s="257" t="s">
        <v>142</v>
      </c>
      <c r="L209" s="272"/>
      <c r="M209" s="272"/>
      <c r="N209" s="272"/>
      <c r="O209" s="271"/>
      <c r="P209" s="271"/>
      <c r="Q209" s="271"/>
      <c r="R209" s="271"/>
      <c r="S209" s="271"/>
      <c r="T209" s="271"/>
      <c r="U209" s="271"/>
      <c r="V209" s="713" t="s">
        <v>141</v>
      </c>
      <c r="W209" s="714"/>
      <c r="X209" s="715"/>
      <c r="Y209" s="713" t="s">
        <v>1</v>
      </c>
      <c r="Z209" s="715"/>
      <c r="AA209" s="270">
        <v>0</v>
      </c>
      <c r="AB209" s="258">
        <v>1</v>
      </c>
      <c r="AC209" s="270">
        <v>0</v>
      </c>
      <c r="AD209" s="270">
        <v>0</v>
      </c>
      <c r="AE209" s="258">
        <v>1</v>
      </c>
      <c r="AF209" s="258">
        <v>1</v>
      </c>
      <c r="AG209" s="257" t="s">
        <v>66</v>
      </c>
      <c r="AH209" s="44"/>
      <c r="AI209" s="44"/>
      <c r="AJ209" s="44"/>
      <c r="AK209" s="44"/>
      <c r="AL209" s="44"/>
      <c r="AM209" s="44"/>
      <c r="AN209" s="44"/>
      <c r="AO209" s="45"/>
      <c r="AP209" s="44"/>
      <c r="AQ209" s="44"/>
      <c r="AR209" s="44"/>
      <c r="AS209" s="44"/>
      <c r="AT209" s="44"/>
      <c r="AU209" s="43"/>
      <c r="AW209" s="1" t="s">
        <v>140</v>
      </c>
    </row>
    <row r="210" spans="8:49" ht="15.95" customHeight="1">
      <c r="H210" s="190"/>
      <c r="I210" s="254" t="s">
        <v>117</v>
      </c>
      <c r="J210" s="253"/>
      <c r="K210" s="38" t="s">
        <v>116</v>
      </c>
      <c r="L210" s="44"/>
      <c r="M210" s="44"/>
      <c r="N210" s="44"/>
      <c r="O210" s="187"/>
      <c r="P210" s="187"/>
      <c r="Q210" s="187"/>
      <c r="R210" s="187"/>
      <c r="S210" s="187"/>
      <c r="T210" s="187"/>
      <c r="U210" s="187"/>
      <c r="V210" s="499" t="s">
        <v>115</v>
      </c>
      <c r="W210" s="500"/>
      <c r="X210" s="501"/>
      <c r="Y210" s="499" t="s">
        <v>1</v>
      </c>
      <c r="Z210" s="501"/>
      <c r="AA210" s="216">
        <v>0</v>
      </c>
      <c r="AB210" s="267">
        <v>1</v>
      </c>
      <c r="AC210" s="216">
        <v>0</v>
      </c>
      <c r="AD210" s="216">
        <v>0</v>
      </c>
      <c r="AE210" s="267">
        <v>1</v>
      </c>
      <c r="AF210" s="267">
        <v>1</v>
      </c>
      <c r="AG210" s="38" t="s">
        <v>55</v>
      </c>
      <c r="AH210" s="44"/>
      <c r="AI210" s="44"/>
      <c r="AJ210" s="44"/>
      <c r="AK210" s="44"/>
      <c r="AL210" s="44"/>
      <c r="AM210" s="44"/>
      <c r="AN210" s="44"/>
      <c r="AO210" s="45"/>
      <c r="AP210" s="44"/>
      <c r="AQ210" s="44"/>
      <c r="AR210" s="44"/>
      <c r="AS210" s="44"/>
      <c r="AT210" s="44"/>
      <c r="AU210" s="43"/>
    </row>
    <row r="211" spans="8:49" ht="15.95" customHeight="1" thickBot="1">
      <c r="H211" s="190"/>
      <c r="I211" s="215" t="s">
        <v>114</v>
      </c>
      <c r="J211" s="166"/>
      <c r="K211" s="22" t="s">
        <v>113</v>
      </c>
      <c r="L211" s="44"/>
      <c r="M211" s="44"/>
      <c r="N211" s="44"/>
      <c r="O211" s="187"/>
      <c r="P211" s="187"/>
      <c r="Q211" s="187"/>
      <c r="R211" s="187"/>
      <c r="S211" s="187"/>
      <c r="T211" s="187"/>
      <c r="U211" s="187"/>
      <c r="V211" s="593" t="s">
        <v>112</v>
      </c>
      <c r="W211" s="594"/>
      <c r="X211" s="595"/>
      <c r="Y211" s="499" t="s">
        <v>1</v>
      </c>
      <c r="Z211" s="501"/>
      <c r="AA211" s="39">
        <v>0</v>
      </c>
      <c r="AB211" s="251">
        <v>1</v>
      </c>
      <c r="AC211" s="39">
        <v>0</v>
      </c>
      <c r="AD211" s="39">
        <v>0</v>
      </c>
      <c r="AE211" s="251">
        <v>1</v>
      </c>
      <c r="AF211" s="251">
        <v>1</v>
      </c>
      <c r="AG211" s="22" t="s">
        <v>55</v>
      </c>
      <c r="AH211" s="44"/>
      <c r="AI211" s="44"/>
      <c r="AJ211" s="44"/>
      <c r="AK211" s="44"/>
      <c r="AL211" s="44"/>
      <c r="AM211" s="44"/>
      <c r="AN211" s="44"/>
      <c r="AO211" s="45"/>
      <c r="AP211" s="44"/>
      <c r="AQ211" s="44"/>
      <c r="AR211" s="44"/>
      <c r="AS211" s="44"/>
      <c r="AT211" s="44"/>
      <c r="AU211" s="43"/>
    </row>
    <row r="212" spans="8:49" ht="15.75" customHeight="1">
      <c r="H212" s="269" t="s">
        <v>139</v>
      </c>
      <c r="I212" s="34"/>
      <c r="J212" s="33"/>
      <c r="K212" s="266" t="s">
        <v>138</v>
      </c>
      <c r="L212" s="31"/>
      <c r="M212" s="31"/>
      <c r="N212" s="31"/>
      <c r="O212" s="30"/>
      <c r="P212" s="30"/>
      <c r="Q212" s="30"/>
      <c r="R212" s="30"/>
      <c r="S212" s="30"/>
      <c r="T212" s="30"/>
      <c r="U212" s="30"/>
      <c r="V212" s="666"/>
      <c r="W212" s="667"/>
      <c r="X212" s="667"/>
      <c r="Y212" s="28"/>
      <c r="Z212" s="28"/>
      <c r="AA212" s="28"/>
      <c r="AB212" s="28"/>
      <c r="AC212" s="28"/>
      <c r="AD212" s="28"/>
      <c r="AE212" s="28"/>
      <c r="AF212" s="28"/>
      <c r="AG212" s="29" t="s">
        <v>126</v>
      </c>
      <c r="AH212" s="28"/>
      <c r="AI212" s="28"/>
      <c r="AJ212" s="28"/>
      <c r="AK212" s="28"/>
      <c r="AL212" s="28"/>
      <c r="AM212" s="28"/>
      <c r="AN212" s="28"/>
      <c r="AO212" s="29"/>
      <c r="AP212" s="28"/>
      <c r="AQ212" s="28"/>
      <c r="AR212" s="28"/>
      <c r="AS212" s="28"/>
      <c r="AT212" s="28"/>
      <c r="AU212" s="27"/>
    </row>
    <row r="213" spans="8:49" ht="15.95" customHeight="1">
      <c r="H213" s="190"/>
      <c r="I213" s="264" t="s">
        <v>86</v>
      </c>
      <c r="J213" s="263"/>
      <c r="K213" s="45" t="s">
        <v>85</v>
      </c>
      <c r="L213" s="44"/>
      <c r="M213" s="44"/>
      <c r="N213" s="44"/>
      <c r="O213" s="187"/>
      <c r="P213" s="187"/>
      <c r="Q213" s="187"/>
      <c r="R213" s="187"/>
      <c r="S213" s="187"/>
      <c r="T213" s="187"/>
      <c r="U213" s="187"/>
      <c r="V213" s="499"/>
      <c r="W213" s="500"/>
      <c r="X213" s="500"/>
      <c r="Y213" s="499" t="s">
        <v>1</v>
      </c>
      <c r="Z213" s="501"/>
      <c r="AA213" s="265">
        <v>0</v>
      </c>
      <c r="AB213" s="252">
        <v>1</v>
      </c>
      <c r="AC213" s="265">
        <v>0</v>
      </c>
      <c r="AD213" s="265">
        <v>0</v>
      </c>
      <c r="AE213" s="252">
        <v>1</v>
      </c>
      <c r="AF213" s="252">
        <v>1</v>
      </c>
      <c r="AG213" s="45" t="s">
        <v>63</v>
      </c>
      <c r="AH213" s="44"/>
      <c r="AI213" s="44"/>
      <c r="AJ213" s="44"/>
      <c r="AK213" s="44"/>
      <c r="AL213" s="44"/>
      <c r="AM213" s="44"/>
      <c r="AN213" s="44"/>
      <c r="AO213" s="45"/>
      <c r="AP213" s="44"/>
      <c r="AQ213" s="44"/>
      <c r="AR213" s="44"/>
      <c r="AS213" s="44"/>
      <c r="AT213" s="44"/>
      <c r="AU213" s="43"/>
      <c r="AW213" s="45" t="s">
        <v>137</v>
      </c>
    </row>
    <row r="214" spans="8:49" ht="15.95" customHeight="1">
      <c r="H214" s="190"/>
      <c r="I214" s="264" t="s">
        <v>84</v>
      </c>
      <c r="J214" s="263"/>
      <c r="K214" s="45" t="s">
        <v>83</v>
      </c>
      <c r="L214" s="44"/>
      <c r="M214" s="44"/>
      <c r="N214" s="44"/>
      <c r="O214" s="187"/>
      <c r="P214" s="187"/>
      <c r="Q214" s="187"/>
      <c r="R214" s="187"/>
      <c r="S214" s="187"/>
      <c r="T214" s="187"/>
      <c r="U214" s="187"/>
      <c r="V214" s="499"/>
      <c r="W214" s="500"/>
      <c r="X214" s="500"/>
      <c r="Y214" s="499" t="s">
        <v>1</v>
      </c>
      <c r="Z214" s="501"/>
      <c r="AA214" s="216">
        <v>0</v>
      </c>
      <c r="AB214" s="252">
        <v>1</v>
      </c>
      <c r="AC214" s="216">
        <v>0</v>
      </c>
      <c r="AD214" s="216">
        <v>0</v>
      </c>
      <c r="AE214" s="252">
        <v>1</v>
      </c>
      <c r="AF214" s="252">
        <v>1</v>
      </c>
      <c r="AG214" s="45" t="s">
        <v>63</v>
      </c>
      <c r="AH214" s="44"/>
      <c r="AI214" s="44"/>
      <c r="AJ214" s="44"/>
      <c r="AK214" s="44"/>
      <c r="AL214" s="44"/>
      <c r="AM214" s="44"/>
      <c r="AN214" s="44"/>
      <c r="AO214" s="45"/>
      <c r="AP214" s="44"/>
      <c r="AQ214" s="44"/>
      <c r="AR214" s="44"/>
      <c r="AS214" s="44"/>
      <c r="AT214" s="44"/>
      <c r="AU214" s="43"/>
      <c r="AW214" s="45" t="s">
        <v>136</v>
      </c>
    </row>
    <row r="215" spans="8:49" ht="15.95" customHeight="1">
      <c r="H215" s="190"/>
      <c r="I215" s="262" t="s">
        <v>123</v>
      </c>
      <c r="J215" s="188"/>
      <c r="K215" s="45" t="s">
        <v>122</v>
      </c>
      <c r="L215" s="44"/>
      <c r="M215" s="44"/>
      <c r="N215" s="44"/>
      <c r="O215" s="187"/>
      <c r="P215" s="187"/>
      <c r="Q215" s="187"/>
      <c r="R215" s="187"/>
      <c r="S215" s="187"/>
      <c r="T215" s="187"/>
      <c r="U215" s="187"/>
      <c r="V215" s="499" t="s">
        <v>121</v>
      </c>
      <c r="W215" s="500"/>
      <c r="X215" s="501"/>
      <c r="Y215" s="499" t="s">
        <v>1</v>
      </c>
      <c r="Z215" s="501"/>
      <c r="AA215" s="39">
        <v>0</v>
      </c>
      <c r="AB215" s="252">
        <v>1</v>
      </c>
      <c r="AC215" s="39">
        <v>0</v>
      </c>
      <c r="AD215" s="39">
        <v>0</v>
      </c>
      <c r="AE215" s="252">
        <v>1</v>
      </c>
      <c r="AF215" s="252">
        <v>1</v>
      </c>
      <c r="AG215" s="45" t="s">
        <v>66</v>
      </c>
      <c r="AH215" s="44"/>
      <c r="AI215" s="44"/>
      <c r="AJ215" s="44"/>
      <c r="AK215" s="44"/>
      <c r="AL215" s="44"/>
      <c r="AM215" s="44"/>
      <c r="AN215" s="44"/>
      <c r="AO215" s="45"/>
      <c r="AP215" s="44"/>
      <c r="AQ215" s="44"/>
      <c r="AR215" s="44"/>
      <c r="AS215" s="44"/>
      <c r="AT215" s="44"/>
      <c r="AU215" s="43"/>
      <c r="AW215" s="38" t="s">
        <v>135</v>
      </c>
    </row>
    <row r="216" spans="8:49" ht="15.95" customHeight="1">
      <c r="H216" s="254"/>
      <c r="I216" s="254" t="s">
        <v>134</v>
      </c>
      <c r="J216" s="188"/>
      <c r="K216" s="45" t="s">
        <v>133</v>
      </c>
      <c r="L216" s="44"/>
      <c r="M216" s="44"/>
      <c r="N216" s="44"/>
      <c r="O216" s="187"/>
      <c r="P216" s="187"/>
      <c r="Q216" s="187"/>
      <c r="R216" s="187"/>
      <c r="S216" s="187"/>
      <c r="T216" s="187"/>
      <c r="U216" s="187"/>
      <c r="V216" s="499" t="s">
        <v>132</v>
      </c>
      <c r="W216" s="500"/>
      <c r="X216" s="501"/>
      <c r="Y216" s="499" t="s">
        <v>1</v>
      </c>
      <c r="Z216" s="501"/>
      <c r="AA216" s="39">
        <v>0</v>
      </c>
      <c r="AB216" s="252">
        <v>1</v>
      </c>
      <c r="AC216" s="39">
        <v>0</v>
      </c>
      <c r="AD216" s="39">
        <v>0</v>
      </c>
      <c r="AE216" s="252">
        <v>1</v>
      </c>
      <c r="AF216" s="252">
        <v>1</v>
      </c>
      <c r="AG216" s="45" t="s">
        <v>55</v>
      </c>
      <c r="AH216" s="44"/>
      <c r="AI216" s="44"/>
      <c r="AJ216" s="44"/>
      <c r="AK216" s="44"/>
      <c r="AL216" s="44"/>
      <c r="AM216" s="44"/>
      <c r="AN216" s="44"/>
      <c r="AO216" s="45"/>
      <c r="AP216" s="44"/>
      <c r="AQ216" s="44"/>
      <c r="AR216" s="44"/>
      <c r="AS216" s="44"/>
      <c r="AT216" s="44"/>
      <c r="AU216" s="43"/>
      <c r="AW216" s="268" t="s">
        <v>131</v>
      </c>
    </row>
    <row r="217" spans="8:49" ht="15.95" customHeight="1">
      <c r="H217" s="179"/>
      <c r="I217" s="254" t="s">
        <v>117</v>
      </c>
      <c r="J217" s="253"/>
      <c r="K217" s="38" t="s">
        <v>116</v>
      </c>
      <c r="L217" s="37"/>
      <c r="M217" s="37"/>
      <c r="N217" s="37"/>
      <c r="O217" s="40"/>
      <c r="P217" s="40"/>
      <c r="Q217" s="40"/>
      <c r="R217" s="40"/>
      <c r="S217" s="40"/>
      <c r="T217" s="40"/>
      <c r="U217" s="40"/>
      <c r="V217" s="499" t="s">
        <v>115</v>
      </c>
      <c r="W217" s="500"/>
      <c r="X217" s="501"/>
      <c r="Y217" s="499" t="s">
        <v>1</v>
      </c>
      <c r="Z217" s="501"/>
      <c r="AA217" s="216">
        <v>0</v>
      </c>
      <c r="AB217" s="267">
        <v>1</v>
      </c>
      <c r="AC217" s="216">
        <v>0</v>
      </c>
      <c r="AD217" s="216">
        <v>0</v>
      </c>
      <c r="AE217" s="267">
        <v>1</v>
      </c>
      <c r="AF217" s="267">
        <v>1</v>
      </c>
      <c r="AG217" s="38" t="s">
        <v>55</v>
      </c>
      <c r="AH217" s="37"/>
      <c r="AI217" s="37"/>
      <c r="AJ217" s="37"/>
      <c r="AK217" s="37"/>
      <c r="AL217" s="37"/>
      <c r="AM217" s="37"/>
      <c r="AN217" s="37"/>
      <c r="AO217" s="38"/>
      <c r="AP217" s="37"/>
      <c r="AQ217" s="37"/>
      <c r="AR217" s="37"/>
      <c r="AS217" s="37"/>
      <c r="AT217" s="37"/>
      <c r="AU217" s="36"/>
      <c r="AW217" s="45" t="s">
        <v>130</v>
      </c>
    </row>
    <row r="218" spans="8:49" ht="15.95" customHeight="1" thickBot="1">
      <c r="H218" s="255"/>
      <c r="I218" s="215" t="s">
        <v>114</v>
      </c>
      <c r="J218" s="166"/>
      <c r="K218" s="22" t="s">
        <v>113</v>
      </c>
      <c r="L218" s="37"/>
      <c r="M218" s="37"/>
      <c r="N218" s="37"/>
      <c r="O218" s="40"/>
      <c r="P218" s="40"/>
      <c r="Q218" s="40"/>
      <c r="R218" s="40"/>
      <c r="S218" s="40"/>
      <c r="T218" s="40"/>
      <c r="U218" s="40"/>
      <c r="V218" s="593" t="s">
        <v>112</v>
      </c>
      <c r="W218" s="594"/>
      <c r="X218" s="595"/>
      <c r="Y218" s="574" t="s">
        <v>1</v>
      </c>
      <c r="Z218" s="575"/>
      <c r="AA218" s="39">
        <v>0</v>
      </c>
      <c r="AB218" s="251">
        <v>1</v>
      </c>
      <c r="AC218" s="39">
        <v>0</v>
      </c>
      <c r="AD218" s="39">
        <v>0</v>
      </c>
      <c r="AE218" s="251">
        <v>1</v>
      </c>
      <c r="AF218" s="251">
        <v>1</v>
      </c>
      <c r="AG218" s="22" t="s">
        <v>55</v>
      </c>
      <c r="AH218" s="37"/>
      <c r="AI218" s="37"/>
      <c r="AJ218" s="37"/>
      <c r="AK218" s="37"/>
      <c r="AL218" s="37"/>
      <c r="AM218" s="37"/>
      <c r="AN218" s="37"/>
      <c r="AO218" s="38"/>
      <c r="AP218" s="37"/>
      <c r="AQ218" s="37"/>
      <c r="AR218" s="37"/>
      <c r="AS218" s="37"/>
      <c r="AT218" s="37"/>
      <c r="AU218" s="36"/>
      <c r="AW218" s="45" t="s">
        <v>129</v>
      </c>
    </row>
    <row r="219" spans="8:49" ht="15.75" customHeight="1">
      <c r="H219" s="689" t="s">
        <v>128</v>
      </c>
      <c r="I219" s="689"/>
      <c r="J219" s="690"/>
      <c r="K219" s="266" t="s">
        <v>127</v>
      </c>
      <c r="L219" s="31"/>
      <c r="M219" s="31"/>
      <c r="N219" s="31"/>
      <c r="O219" s="30"/>
      <c r="P219" s="30"/>
      <c r="Q219" s="30"/>
      <c r="R219" s="30"/>
      <c r="S219" s="30"/>
      <c r="T219" s="30"/>
      <c r="U219" s="120"/>
      <c r="V219" s="666"/>
      <c r="W219" s="667"/>
      <c r="X219" s="667"/>
      <c r="Y219" s="28"/>
      <c r="Z219" s="28"/>
      <c r="AA219" s="28"/>
      <c r="AB219" s="28"/>
      <c r="AC219" s="28"/>
      <c r="AD219" s="28"/>
      <c r="AE219" s="28"/>
      <c r="AF219" s="28"/>
      <c r="AG219" s="29" t="s">
        <v>126</v>
      </c>
      <c r="AH219" s="28"/>
      <c r="AI219" s="28"/>
      <c r="AJ219" s="28"/>
      <c r="AK219" s="28"/>
      <c r="AL219" s="28"/>
      <c r="AM219" s="28"/>
      <c r="AN219" s="28"/>
      <c r="AO219" s="29"/>
      <c r="AP219" s="28"/>
      <c r="AQ219" s="28"/>
      <c r="AR219" s="28"/>
      <c r="AS219" s="28"/>
      <c r="AT219" s="28"/>
      <c r="AU219" s="27"/>
    </row>
    <row r="220" spans="8:49" ht="15.95" customHeight="1">
      <c r="H220" s="190"/>
      <c r="I220" s="264" t="s">
        <v>82</v>
      </c>
      <c r="J220" s="263"/>
      <c r="K220" s="45" t="s">
        <v>81</v>
      </c>
      <c r="L220" s="44"/>
      <c r="M220" s="44"/>
      <c r="N220" s="44"/>
      <c r="O220" s="187"/>
      <c r="P220" s="187"/>
      <c r="Q220" s="187"/>
      <c r="R220" s="187"/>
      <c r="S220" s="187"/>
      <c r="T220" s="187"/>
      <c r="U220" s="210"/>
      <c r="V220" s="499" t="s">
        <v>125</v>
      </c>
      <c r="W220" s="500"/>
      <c r="X220" s="501"/>
      <c r="Y220" s="499" t="s">
        <v>1</v>
      </c>
      <c r="Z220" s="501"/>
      <c r="AA220" s="252">
        <v>1</v>
      </c>
      <c r="AB220" s="265">
        <v>0</v>
      </c>
      <c r="AC220" s="252">
        <v>1</v>
      </c>
      <c r="AD220" s="252">
        <v>1</v>
      </c>
      <c r="AE220" s="265">
        <v>0</v>
      </c>
      <c r="AF220" s="265">
        <v>0</v>
      </c>
      <c r="AG220" s="45" t="s">
        <v>63</v>
      </c>
      <c r="AH220" s="44"/>
      <c r="AI220" s="44"/>
      <c r="AJ220" s="44"/>
      <c r="AK220" s="44"/>
      <c r="AL220" s="44"/>
      <c r="AM220" s="44"/>
      <c r="AN220" s="44"/>
      <c r="AO220" s="45"/>
      <c r="AP220" s="44"/>
      <c r="AQ220" s="44"/>
      <c r="AR220" s="44"/>
      <c r="AS220" s="44"/>
      <c r="AT220" s="44"/>
      <c r="AU220" s="43"/>
    </row>
    <row r="221" spans="8:49" ht="15.75" customHeight="1">
      <c r="H221" s="190"/>
      <c r="I221" s="264" t="s">
        <v>74</v>
      </c>
      <c r="J221" s="263"/>
      <c r="K221" s="45" t="s">
        <v>73</v>
      </c>
      <c r="L221" s="44"/>
      <c r="M221" s="44"/>
      <c r="N221" s="44"/>
      <c r="O221" s="187"/>
      <c r="P221" s="187"/>
      <c r="Q221" s="187"/>
      <c r="R221" s="187"/>
      <c r="S221" s="187"/>
      <c r="T221" s="187"/>
      <c r="U221" s="210"/>
      <c r="V221" s="499" t="s">
        <v>124</v>
      </c>
      <c r="W221" s="500"/>
      <c r="X221" s="501"/>
      <c r="Y221" s="499" t="s">
        <v>1</v>
      </c>
      <c r="Z221" s="501"/>
      <c r="AA221" s="252">
        <v>1</v>
      </c>
      <c r="AB221" s="216">
        <v>0</v>
      </c>
      <c r="AC221" s="252">
        <v>1</v>
      </c>
      <c r="AD221" s="252">
        <v>1</v>
      </c>
      <c r="AE221" s="216">
        <v>0</v>
      </c>
      <c r="AF221" s="216">
        <v>0</v>
      </c>
      <c r="AG221" s="45" t="s">
        <v>63</v>
      </c>
      <c r="AH221" s="44"/>
      <c r="AI221" s="44"/>
      <c r="AJ221" s="44"/>
      <c r="AK221" s="210"/>
      <c r="AL221" s="44"/>
      <c r="AM221" s="44"/>
      <c r="AN221" s="44"/>
      <c r="AO221" s="45"/>
      <c r="AP221" s="44"/>
      <c r="AQ221" s="44"/>
      <c r="AR221" s="44"/>
      <c r="AS221" s="44"/>
      <c r="AT221" s="44"/>
      <c r="AU221" s="43"/>
    </row>
    <row r="222" spans="8:49" ht="15.95" customHeight="1">
      <c r="H222" s="190"/>
      <c r="I222" s="262" t="s">
        <v>123</v>
      </c>
      <c r="J222" s="188"/>
      <c r="K222" s="45" t="s">
        <v>122</v>
      </c>
      <c r="L222" s="44"/>
      <c r="M222" s="44"/>
      <c r="N222" s="44"/>
      <c r="O222" s="187"/>
      <c r="P222" s="187"/>
      <c r="Q222" s="187"/>
      <c r="R222" s="187"/>
      <c r="S222" s="187"/>
      <c r="T222" s="187"/>
      <c r="U222" s="210"/>
      <c r="V222" s="499" t="s">
        <v>121</v>
      </c>
      <c r="W222" s="500"/>
      <c r="X222" s="501"/>
      <c r="Y222" s="499" t="s">
        <v>1</v>
      </c>
      <c r="Z222" s="501"/>
      <c r="AA222" s="252">
        <v>1</v>
      </c>
      <c r="AB222" s="39">
        <v>0</v>
      </c>
      <c r="AC222" s="252">
        <v>1</v>
      </c>
      <c r="AD222" s="252">
        <v>1</v>
      </c>
      <c r="AE222" s="39">
        <v>0</v>
      </c>
      <c r="AF222" s="39">
        <v>0</v>
      </c>
      <c r="AG222" s="45" t="s">
        <v>66</v>
      </c>
      <c r="AH222" s="44"/>
      <c r="AI222" s="44"/>
      <c r="AJ222" s="44"/>
      <c r="AK222" s="44"/>
      <c r="AL222" s="44"/>
      <c r="AM222" s="44"/>
      <c r="AN222" s="44"/>
      <c r="AO222" s="45"/>
      <c r="AP222" s="44"/>
      <c r="AQ222" s="44"/>
      <c r="AR222" s="44"/>
      <c r="AS222" s="44"/>
      <c r="AT222" s="44"/>
      <c r="AU222" s="43"/>
    </row>
    <row r="223" spans="8:49" ht="15.95" customHeight="1">
      <c r="H223" s="255"/>
      <c r="I223" s="709" t="s">
        <v>120</v>
      </c>
      <c r="J223" s="710"/>
      <c r="K223" s="261" t="s">
        <v>119</v>
      </c>
      <c r="L223" s="256"/>
      <c r="M223" s="256"/>
      <c r="N223" s="256"/>
      <c r="O223" s="260"/>
      <c r="P223" s="260"/>
      <c r="Q223" s="260"/>
      <c r="R223" s="260"/>
      <c r="S223" s="260"/>
      <c r="T223" s="260"/>
      <c r="U223" s="259"/>
      <c r="V223" s="713" t="s">
        <v>118</v>
      </c>
      <c r="W223" s="714"/>
      <c r="X223" s="715"/>
      <c r="Y223" s="713" t="s">
        <v>1</v>
      </c>
      <c r="Z223" s="715"/>
      <c r="AA223" s="258">
        <v>1</v>
      </c>
      <c r="AB223" s="39">
        <v>0</v>
      </c>
      <c r="AC223" s="258">
        <v>1</v>
      </c>
      <c r="AD223" s="258">
        <v>1</v>
      </c>
      <c r="AE223" s="39">
        <v>0</v>
      </c>
      <c r="AF223" s="39">
        <v>0</v>
      </c>
      <c r="AG223" s="257" t="s">
        <v>66</v>
      </c>
      <c r="AH223" s="256"/>
      <c r="AI223" s="256"/>
      <c r="AJ223" s="256"/>
      <c r="AK223" s="256"/>
      <c r="AL223" s="256"/>
      <c r="AM223" s="256"/>
      <c r="AN223" s="256"/>
      <c r="AO223" s="38"/>
      <c r="AP223" s="37"/>
      <c r="AQ223" s="37"/>
      <c r="AR223" s="37"/>
      <c r="AS223" s="37"/>
      <c r="AT223" s="37"/>
      <c r="AU223" s="36"/>
    </row>
    <row r="224" spans="8:49" ht="15.95" customHeight="1">
      <c r="H224" s="255"/>
      <c r="I224" s="254" t="s">
        <v>117</v>
      </c>
      <c r="J224" s="253"/>
      <c r="K224" s="38" t="s">
        <v>116</v>
      </c>
      <c r="L224" s="37"/>
      <c r="M224" s="37"/>
      <c r="N224" s="37"/>
      <c r="O224" s="40"/>
      <c r="P224" s="40"/>
      <c r="Q224" s="40"/>
      <c r="R224" s="40"/>
      <c r="S224" s="40"/>
      <c r="T224" s="40"/>
      <c r="U224" s="143"/>
      <c r="V224" s="499" t="s">
        <v>115</v>
      </c>
      <c r="W224" s="500"/>
      <c r="X224" s="501"/>
      <c r="Y224" s="499" t="s">
        <v>1</v>
      </c>
      <c r="Z224" s="501"/>
      <c r="AA224" s="252">
        <v>1</v>
      </c>
      <c r="AB224" s="216">
        <v>0</v>
      </c>
      <c r="AC224" s="252">
        <v>1</v>
      </c>
      <c r="AD224" s="252">
        <v>1</v>
      </c>
      <c r="AE224" s="216">
        <v>0</v>
      </c>
      <c r="AF224" s="216">
        <v>0</v>
      </c>
      <c r="AG224" s="38" t="s">
        <v>55</v>
      </c>
      <c r="AH224" s="37"/>
      <c r="AI224" s="37"/>
      <c r="AJ224" s="37"/>
      <c r="AK224" s="37"/>
      <c r="AL224" s="37"/>
      <c r="AM224" s="37"/>
      <c r="AN224" s="37"/>
      <c r="AO224" s="38"/>
      <c r="AP224" s="37"/>
      <c r="AQ224" s="37"/>
      <c r="AR224" s="37"/>
      <c r="AS224" s="37"/>
      <c r="AT224" s="37"/>
      <c r="AU224" s="36"/>
    </row>
    <row r="225" spans="8:47" ht="15.95" customHeight="1" thickBot="1">
      <c r="H225" s="168"/>
      <c r="I225" s="215" t="s">
        <v>114</v>
      </c>
      <c r="J225" s="166"/>
      <c r="K225" s="22" t="s">
        <v>113</v>
      </c>
      <c r="L225" s="21"/>
      <c r="M225" s="21"/>
      <c r="N225" s="21"/>
      <c r="O225" s="24"/>
      <c r="P225" s="24"/>
      <c r="Q225" s="24"/>
      <c r="R225" s="24"/>
      <c r="S225" s="24"/>
      <c r="T225" s="24"/>
      <c r="U225" s="132"/>
      <c r="V225" s="593" t="s">
        <v>112</v>
      </c>
      <c r="W225" s="594"/>
      <c r="X225" s="595"/>
      <c r="Y225" s="593" t="s">
        <v>1</v>
      </c>
      <c r="Z225" s="595"/>
      <c r="AA225" s="251">
        <v>1</v>
      </c>
      <c r="AB225" s="250">
        <v>0</v>
      </c>
      <c r="AC225" s="251">
        <v>1</v>
      </c>
      <c r="AD225" s="251">
        <v>1</v>
      </c>
      <c r="AE225" s="250">
        <v>0</v>
      </c>
      <c r="AF225" s="250">
        <v>0</v>
      </c>
      <c r="AG225" s="22" t="s">
        <v>55</v>
      </c>
      <c r="AH225" s="21"/>
      <c r="AI225" s="21"/>
      <c r="AJ225" s="21"/>
      <c r="AK225" s="21"/>
      <c r="AL225" s="21"/>
      <c r="AM225" s="21"/>
      <c r="AN225" s="21"/>
      <c r="AO225" s="22"/>
      <c r="AP225" s="21"/>
      <c r="AQ225" s="21"/>
      <c r="AR225" s="21"/>
      <c r="AS225" s="21"/>
      <c r="AT225" s="21"/>
      <c r="AU225" s="20"/>
    </row>
    <row r="226" spans="8:47" ht="15.95" customHeight="1">
      <c r="H226" s="249"/>
      <c r="I226" s="89"/>
      <c r="J226" s="89"/>
      <c r="K226" s="87"/>
      <c r="L226" s="87"/>
      <c r="M226" s="87"/>
      <c r="N226" s="87"/>
      <c r="O226" s="88"/>
      <c r="P226" s="88"/>
      <c r="Q226" s="62"/>
      <c r="R226" s="62"/>
      <c r="S226" s="62"/>
      <c r="T226" s="62"/>
      <c r="V226" s="62"/>
      <c r="W226" s="62"/>
      <c r="X226" s="62"/>
      <c r="Y226" s="62"/>
      <c r="Z226" s="62"/>
      <c r="AA226" s="238"/>
      <c r="AB226" s="62"/>
      <c r="AC226" s="238"/>
      <c r="AD226" s="238"/>
      <c r="AE226" s="62"/>
      <c r="AF226" s="62"/>
      <c r="AG226" s="61"/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87"/>
      <c r="AS226" s="87"/>
      <c r="AT226" s="87"/>
      <c r="AU226" s="86"/>
    </row>
    <row r="227" spans="8:47" ht="15.95" customHeight="1">
      <c r="H227" s="84" t="s">
        <v>33</v>
      </c>
      <c r="I227" s="84"/>
      <c r="J227" s="84"/>
      <c r="K227" s="83"/>
      <c r="L227" s="83"/>
      <c r="M227" s="83"/>
      <c r="N227" s="83"/>
      <c r="O227" s="81" t="s">
        <v>32</v>
      </c>
      <c r="P227" s="82"/>
      <c r="Q227" s="81"/>
      <c r="R227" s="81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79"/>
      <c r="AN227" s="78"/>
      <c r="AU227" s="72"/>
    </row>
    <row r="228" spans="8:47" ht="15.95" customHeight="1">
      <c r="H228" s="76"/>
      <c r="I228" s="76"/>
      <c r="J228" s="76"/>
      <c r="K228" s="75"/>
      <c r="L228" s="75"/>
      <c r="M228" s="75"/>
      <c r="N228" s="75"/>
      <c r="O228" s="658" t="s">
        <v>31</v>
      </c>
      <c r="P228" s="658"/>
      <c r="Q228" s="658" t="s">
        <v>30</v>
      </c>
      <c r="R228" s="658"/>
      <c r="S228" s="659" t="s">
        <v>29</v>
      </c>
      <c r="T228" s="660"/>
      <c r="U228" s="74" t="s">
        <v>28</v>
      </c>
      <c r="V228" s="661" t="s">
        <v>27</v>
      </c>
      <c r="W228" s="660"/>
      <c r="X228" s="661" t="s">
        <v>26</v>
      </c>
      <c r="Y228" s="660"/>
      <c r="Z228" s="661" t="s">
        <v>25</v>
      </c>
      <c r="AA228" s="660"/>
      <c r="AB228" s="661" t="s">
        <v>24</v>
      </c>
      <c r="AC228" s="660"/>
      <c r="AD228" s="661" t="s">
        <v>23</v>
      </c>
      <c r="AE228" s="659"/>
      <c r="AF228" s="659"/>
      <c r="AG228" s="660"/>
      <c r="AH228" s="661" t="s">
        <v>22</v>
      </c>
      <c r="AI228" s="660"/>
      <c r="AJ228" s="661" t="s">
        <v>21</v>
      </c>
      <c r="AK228" s="660"/>
      <c r="AL228" s="661" t="s">
        <v>20</v>
      </c>
      <c r="AM228" s="660"/>
      <c r="AN228" s="73"/>
      <c r="AU228" s="72"/>
    </row>
    <row r="229" spans="8:47" ht="15.95" customHeight="1">
      <c r="H229" s="70"/>
      <c r="I229" s="70"/>
      <c r="J229" s="70"/>
      <c r="K229" s="69"/>
      <c r="L229" s="69"/>
      <c r="M229" s="69"/>
      <c r="N229" s="69"/>
      <c r="O229" s="658"/>
      <c r="P229" s="658"/>
      <c r="Q229" s="658"/>
      <c r="R229" s="658"/>
      <c r="S229" s="659"/>
      <c r="T229" s="660"/>
      <c r="U229" s="74"/>
      <c r="V229" s="661"/>
      <c r="W229" s="660"/>
      <c r="X229" s="661"/>
      <c r="Y229" s="660"/>
      <c r="Z229" s="661"/>
      <c r="AA229" s="660"/>
      <c r="AB229" s="661"/>
      <c r="AC229" s="660"/>
      <c r="AD229" s="661"/>
      <c r="AE229" s="659"/>
      <c r="AF229" s="659"/>
      <c r="AG229" s="660"/>
      <c r="AH229" s="661"/>
      <c r="AI229" s="660"/>
      <c r="AJ229" s="661"/>
      <c r="AK229" s="660"/>
      <c r="AL229" s="661"/>
      <c r="AM229" s="660"/>
      <c r="AN229" s="248"/>
      <c r="AO229" s="66"/>
      <c r="AP229" s="66"/>
      <c r="AQ229" s="66"/>
      <c r="AR229" s="66"/>
      <c r="AS229" s="66"/>
      <c r="AT229" s="66"/>
      <c r="AU229" s="65"/>
    </row>
    <row r="230" spans="8:47" ht="15.95" hidden="1" customHeight="1" thickBot="1">
      <c r="H230" s="70"/>
      <c r="I230" s="70"/>
      <c r="J230" s="70"/>
      <c r="K230" s="69"/>
      <c r="L230" s="69"/>
      <c r="M230" s="69"/>
      <c r="N230" s="69"/>
      <c r="O230" s="718"/>
      <c r="P230" s="719"/>
      <c r="Q230" s="720"/>
      <c r="R230" s="720"/>
      <c r="S230" s="721"/>
      <c r="T230" s="717"/>
      <c r="U230" s="247"/>
      <c r="V230" s="716"/>
      <c r="W230" s="717"/>
      <c r="X230" s="716"/>
      <c r="Y230" s="717"/>
      <c r="Z230" s="716"/>
      <c r="AA230" s="717"/>
      <c r="AB230" s="716"/>
      <c r="AC230" s="717"/>
      <c r="AD230" s="716"/>
      <c r="AE230" s="721"/>
      <c r="AF230" s="721"/>
      <c r="AG230" s="717"/>
      <c r="AH230" s="716"/>
      <c r="AI230" s="717"/>
      <c r="AJ230" s="716"/>
      <c r="AK230" s="717"/>
      <c r="AL230" s="716"/>
      <c r="AM230" s="717"/>
      <c r="AN230" s="246"/>
    </row>
    <row r="231" spans="8:47" ht="15.95" hidden="1" customHeight="1" thickBot="1">
      <c r="H231" s="526" t="s">
        <v>18</v>
      </c>
      <c r="I231" s="526"/>
      <c r="J231" s="527"/>
      <c r="K231" s="530" t="s">
        <v>17</v>
      </c>
      <c r="L231" s="531"/>
      <c r="M231" s="531"/>
      <c r="N231" s="531"/>
      <c r="O231" s="531"/>
      <c r="P231" s="531"/>
      <c r="Q231" s="531"/>
      <c r="R231" s="531"/>
      <c r="S231" s="531"/>
      <c r="T231" s="531"/>
      <c r="U231" s="531"/>
      <c r="V231" s="534" t="s">
        <v>16</v>
      </c>
      <c r="W231" s="535"/>
      <c r="X231" s="535"/>
      <c r="Y231" s="530" t="s">
        <v>15</v>
      </c>
      <c r="Z231" s="538"/>
      <c r="AA231" s="59" t="str">
        <f t="shared" ref="AA231:AE232" si="12">+AA203</f>
        <v>FG573-JINHEc</v>
      </c>
      <c r="AB231" s="59" t="str">
        <f t="shared" si="12"/>
        <v>FG591-FASa</v>
      </c>
      <c r="AC231" s="59" t="str">
        <f t="shared" si="12"/>
        <v>FG592-FASa</v>
      </c>
      <c r="AD231" s="59" t="str">
        <f t="shared" si="12"/>
        <v>FG601-FASTc</v>
      </c>
      <c r="AE231" s="59" t="str">
        <f t="shared" si="12"/>
        <v>FG623-JINHEc</v>
      </c>
      <c r="AF231" s="58"/>
      <c r="AG231" s="540" t="s">
        <v>14</v>
      </c>
      <c r="AH231" s="541"/>
      <c r="AI231" s="541"/>
      <c r="AJ231" s="541"/>
      <c r="AK231" s="541"/>
      <c r="AL231" s="541"/>
      <c r="AM231" s="541"/>
      <c r="AN231" s="542"/>
      <c r="AO231" s="530" t="s">
        <v>13</v>
      </c>
      <c r="AP231" s="531"/>
      <c r="AQ231" s="531"/>
      <c r="AR231" s="531"/>
      <c r="AS231" s="531"/>
      <c r="AT231" s="531"/>
      <c r="AU231" s="546"/>
    </row>
    <row r="232" spans="8:47" ht="15.75" hidden="1" customHeight="1" thickBot="1">
      <c r="H232" s="528"/>
      <c r="I232" s="528"/>
      <c r="J232" s="529"/>
      <c r="K232" s="532"/>
      <c r="L232" s="533"/>
      <c r="M232" s="533"/>
      <c r="N232" s="533"/>
      <c r="O232" s="533"/>
      <c r="P232" s="533"/>
      <c r="Q232" s="533"/>
      <c r="R232" s="533"/>
      <c r="S232" s="533"/>
      <c r="T232" s="533"/>
      <c r="U232" s="533"/>
      <c r="V232" s="536"/>
      <c r="W232" s="537"/>
      <c r="X232" s="537"/>
      <c r="Y232" s="532"/>
      <c r="Z232" s="539"/>
      <c r="AA232" s="245" t="str">
        <f t="shared" si="12"/>
        <v>84*</v>
      </c>
      <c r="AB232" s="245" t="str">
        <f t="shared" si="12"/>
        <v>9C*</v>
      </c>
      <c r="AC232" s="56" t="str">
        <f t="shared" si="12"/>
        <v>9D*</v>
      </c>
      <c r="AD232" s="56" t="str">
        <f t="shared" si="12"/>
        <v>9E*</v>
      </c>
      <c r="AE232" s="56" t="str">
        <f t="shared" si="12"/>
        <v>9W*</v>
      </c>
      <c r="AF232" s="55"/>
      <c r="AG232" s="543"/>
      <c r="AH232" s="544"/>
      <c r="AI232" s="544"/>
      <c r="AJ232" s="544"/>
      <c r="AK232" s="544"/>
      <c r="AL232" s="544"/>
      <c r="AM232" s="544"/>
      <c r="AN232" s="545"/>
      <c r="AO232" s="532"/>
      <c r="AP232" s="533"/>
      <c r="AQ232" s="533"/>
      <c r="AR232" s="533"/>
      <c r="AS232" s="533"/>
      <c r="AT232" s="533"/>
      <c r="AU232" s="547"/>
    </row>
    <row r="233" spans="8:47" ht="15.75" hidden="1" customHeight="1" thickTop="1">
      <c r="H233" s="687" t="s">
        <v>111</v>
      </c>
      <c r="I233" s="687"/>
      <c r="J233" s="688"/>
      <c r="K233" s="244" t="s">
        <v>110</v>
      </c>
      <c r="L233" s="243"/>
      <c r="M233" s="243"/>
      <c r="N233" s="243"/>
      <c r="O233" s="242"/>
      <c r="P233" s="242"/>
      <c r="Q233" s="242"/>
      <c r="R233" s="242"/>
      <c r="S233" s="242"/>
      <c r="T233" s="242"/>
      <c r="U233" s="242"/>
      <c r="V233" s="550"/>
      <c r="W233" s="551"/>
      <c r="X233" s="551"/>
      <c r="Y233" s="47"/>
      <c r="Z233" s="47"/>
      <c r="AA233" s="47"/>
      <c r="AB233" s="47"/>
      <c r="AC233" s="47"/>
      <c r="AD233" s="47"/>
      <c r="AE233" s="47"/>
      <c r="AF233" s="47"/>
      <c r="AG233" s="48" t="s">
        <v>109</v>
      </c>
      <c r="AH233" s="47"/>
      <c r="AI233" s="47"/>
      <c r="AJ233" s="47"/>
      <c r="AK233" s="47"/>
      <c r="AL233" s="47"/>
      <c r="AM233" s="47"/>
      <c r="AN233" s="47"/>
      <c r="AO233" s="48"/>
      <c r="AP233" s="47"/>
      <c r="AQ233" s="47"/>
      <c r="AR233" s="47"/>
      <c r="AS233" s="47"/>
      <c r="AT233" s="47"/>
      <c r="AU233" s="241"/>
    </row>
    <row r="234" spans="8:47" ht="15.95" hidden="1" customHeight="1" thickBot="1">
      <c r="H234" s="168"/>
      <c r="I234" s="240" t="s">
        <v>108</v>
      </c>
      <c r="J234" s="26"/>
      <c r="K234" s="22" t="s">
        <v>107</v>
      </c>
      <c r="L234" s="21"/>
      <c r="M234" s="21"/>
      <c r="N234" s="21"/>
      <c r="O234" s="24"/>
      <c r="P234" s="24"/>
      <c r="Q234" s="24"/>
      <c r="R234" s="24"/>
      <c r="S234" s="24"/>
      <c r="T234" s="24"/>
      <c r="U234" s="24"/>
      <c r="V234" s="593"/>
      <c r="W234" s="594"/>
      <c r="X234" s="594"/>
      <c r="Y234" s="593" t="s">
        <v>59</v>
      </c>
      <c r="Z234" s="595"/>
      <c r="AA234" s="239">
        <v>1.6459999999999999</v>
      </c>
      <c r="AB234" s="239">
        <v>1.6459999999999999</v>
      </c>
      <c r="AC234" s="239">
        <v>1.6459999999999999</v>
      </c>
      <c r="AD234" s="239">
        <v>1.6459999999999999</v>
      </c>
      <c r="AE234" s="239">
        <v>1.6459999999999999</v>
      </c>
      <c r="AF234" s="239"/>
      <c r="AG234" s="22" t="s">
        <v>106</v>
      </c>
      <c r="AH234" s="21"/>
      <c r="AI234" s="21"/>
      <c r="AJ234" s="21"/>
      <c r="AK234" s="21"/>
      <c r="AL234" s="21"/>
      <c r="AM234" s="21"/>
      <c r="AN234" s="21"/>
      <c r="AO234" s="22"/>
      <c r="AP234" s="21"/>
      <c r="AQ234" s="21"/>
      <c r="AR234" s="21"/>
      <c r="AS234" s="21"/>
      <c r="AT234" s="21"/>
      <c r="AU234" s="20"/>
    </row>
    <row r="235" spans="8:47" ht="15.95" hidden="1" customHeight="1" thickBot="1">
      <c r="H235" s="200"/>
      <c r="I235" s="63"/>
      <c r="J235" s="63"/>
      <c r="K235" s="61"/>
      <c r="L235" s="61"/>
      <c r="M235" s="61"/>
      <c r="N235" s="61"/>
      <c r="O235" s="62"/>
      <c r="P235" s="62"/>
      <c r="Q235" s="62"/>
      <c r="R235" s="62"/>
      <c r="S235" s="62"/>
      <c r="T235" s="62"/>
      <c r="V235" s="62"/>
      <c r="W235" s="62"/>
      <c r="X235" s="62"/>
      <c r="Y235" s="62"/>
      <c r="Z235" s="62"/>
      <c r="AA235" s="238"/>
      <c r="AB235" s="238"/>
      <c r="AC235" s="62"/>
      <c r="AD235" s="62"/>
      <c r="AE235" s="62"/>
      <c r="AF235" s="62"/>
      <c r="AG235" s="61"/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0"/>
    </row>
    <row r="236" spans="8:47" ht="15.75" customHeight="1">
      <c r="H236" s="237"/>
      <c r="I236" s="236"/>
      <c r="J236" s="668" t="s">
        <v>105</v>
      </c>
      <c r="K236" s="668"/>
      <c r="L236" s="668"/>
      <c r="M236" s="668"/>
      <c r="N236" s="668"/>
      <c r="O236" s="669"/>
      <c r="P236" s="471" t="s">
        <v>104</v>
      </c>
      <c r="Q236" s="472"/>
      <c r="R236" s="472"/>
      <c r="S236" s="472"/>
      <c r="T236" s="472"/>
      <c r="U236" s="472"/>
      <c r="V236" s="472"/>
      <c r="W236" s="472"/>
      <c r="X236" s="472"/>
      <c r="Y236" s="472"/>
      <c r="Z236" s="472"/>
      <c r="AA236" s="472"/>
      <c r="AB236" s="472"/>
      <c r="AC236" s="472"/>
      <c r="AD236" s="472"/>
      <c r="AE236" s="472"/>
      <c r="AF236" s="472"/>
      <c r="AG236" s="472"/>
      <c r="AH236" s="472"/>
      <c r="AI236" s="472"/>
      <c r="AJ236" s="473"/>
      <c r="AK236" s="235"/>
      <c r="AL236" s="235"/>
      <c r="AM236" s="235"/>
      <c r="AN236" s="235"/>
      <c r="AO236" s="234"/>
      <c r="AP236" s="480" t="s">
        <v>103</v>
      </c>
      <c r="AQ236" s="481"/>
      <c r="AR236" s="481"/>
      <c r="AS236" s="481"/>
      <c r="AT236" s="481"/>
      <c r="AU236" s="482"/>
    </row>
    <row r="237" spans="8:47" ht="15.95" customHeight="1">
      <c r="H237" s="233"/>
      <c r="I237" s="232"/>
      <c r="J237" s="670"/>
      <c r="K237" s="670"/>
      <c r="L237" s="670"/>
      <c r="M237" s="670"/>
      <c r="N237" s="670"/>
      <c r="O237" s="671"/>
      <c r="P237" s="474"/>
      <c r="Q237" s="475"/>
      <c r="R237" s="475"/>
      <c r="S237" s="475"/>
      <c r="T237" s="475"/>
      <c r="U237" s="475"/>
      <c r="V237" s="475"/>
      <c r="W237" s="475"/>
      <c r="X237" s="475"/>
      <c r="Y237" s="475"/>
      <c r="Z237" s="475"/>
      <c r="AA237" s="475"/>
      <c r="AB237" s="475"/>
      <c r="AC237" s="475"/>
      <c r="AD237" s="475"/>
      <c r="AE237" s="475"/>
      <c r="AF237" s="475"/>
      <c r="AG237" s="475"/>
      <c r="AH237" s="475"/>
      <c r="AI237" s="475"/>
      <c r="AJ237" s="476"/>
      <c r="AK237" s="722" t="s">
        <v>102</v>
      </c>
      <c r="AL237" s="722"/>
      <c r="AM237" s="722"/>
      <c r="AN237" s="722"/>
      <c r="AO237" s="583"/>
      <c r="AP237" s="483"/>
      <c r="AQ237" s="484"/>
      <c r="AR237" s="484"/>
      <c r="AS237" s="484"/>
      <c r="AT237" s="484"/>
      <c r="AU237" s="485"/>
    </row>
    <row r="238" spans="8:47" ht="15.95" customHeight="1">
      <c r="H238" s="233"/>
      <c r="I238" s="232"/>
      <c r="J238" s="670"/>
      <c r="K238" s="670"/>
      <c r="L238" s="670"/>
      <c r="M238" s="670"/>
      <c r="N238" s="670"/>
      <c r="O238" s="671"/>
      <c r="P238" s="474"/>
      <c r="Q238" s="475"/>
      <c r="R238" s="475"/>
      <c r="S238" s="475"/>
      <c r="T238" s="475"/>
      <c r="U238" s="475"/>
      <c r="V238" s="475"/>
      <c r="W238" s="475"/>
      <c r="X238" s="475"/>
      <c r="Y238" s="475"/>
      <c r="Z238" s="475"/>
      <c r="AA238" s="475"/>
      <c r="AB238" s="475"/>
      <c r="AC238" s="475"/>
      <c r="AD238" s="475"/>
      <c r="AE238" s="475"/>
      <c r="AF238" s="475"/>
      <c r="AG238" s="475"/>
      <c r="AH238" s="475"/>
      <c r="AI238" s="475"/>
      <c r="AJ238" s="476"/>
      <c r="AK238" s="722" t="str">
        <f>'[4]1-5'!E44</f>
        <v>RECEIVING / ISSUANCE</v>
      </c>
      <c r="AL238" s="722"/>
      <c r="AM238" s="722"/>
      <c r="AN238" s="722"/>
      <c r="AO238" s="583"/>
      <c r="AP238" s="486"/>
      <c r="AQ238" s="487"/>
      <c r="AR238" s="487"/>
      <c r="AS238" s="487"/>
      <c r="AT238" s="487"/>
      <c r="AU238" s="488"/>
    </row>
    <row r="239" spans="8:47" ht="15.95" customHeight="1">
      <c r="H239" s="231" t="s">
        <v>101</v>
      </c>
      <c r="I239" s="231"/>
      <c r="J239" s="231"/>
      <c r="K239" s="230"/>
      <c r="L239" s="230"/>
      <c r="M239" s="230"/>
      <c r="N239" s="230"/>
      <c r="O239" s="230"/>
      <c r="P239" s="474"/>
      <c r="Q239" s="475"/>
      <c r="R239" s="475"/>
      <c r="S239" s="475"/>
      <c r="T239" s="475"/>
      <c r="U239" s="475"/>
      <c r="V239" s="475"/>
      <c r="W239" s="475"/>
      <c r="X239" s="475"/>
      <c r="Y239" s="475"/>
      <c r="Z239" s="475"/>
      <c r="AA239" s="475"/>
      <c r="AB239" s="475"/>
      <c r="AC239" s="475"/>
      <c r="AD239" s="475"/>
      <c r="AE239" s="475"/>
      <c r="AF239" s="475"/>
      <c r="AG239" s="475"/>
      <c r="AH239" s="475"/>
      <c r="AI239" s="475"/>
      <c r="AJ239" s="476"/>
      <c r="AK239" s="229"/>
      <c r="AL239" s="229"/>
      <c r="AM239" s="229"/>
      <c r="AN239" s="229"/>
      <c r="AO239" s="228"/>
      <c r="AP239" s="489" t="s">
        <v>100</v>
      </c>
      <c r="AQ239" s="490"/>
      <c r="AR239" s="490"/>
      <c r="AS239" s="493" t="s">
        <v>99</v>
      </c>
      <c r="AT239" s="494"/>
      <c r="AU239" s="495"/>
    </row>
    <row r="240" spans="8:47" ht="15.95" customHeight="1" thickBot="1">
      <c r="H240" s="227" t="s">
        <v>98</v>
      </c>
      <c r="I240" s="226"/>
      <c r="J240" s="225"/>
      <c r="K240" s="224"/>
      <c r="L240" s="224"/>
      <c r="M240" s="224"/>
      <c r="N240" s="224"/>
      <c r="O240" s="224"/>
      <c r="P240" s="672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73"/>
      <c r="AB240" s="673"/>
      <c r="AC240" s="673"/>
      <c r="AD240" s="673"/>
      <c r="AE240" s="673"/>
      <c r="AF240" s="673"/>
      <c r="AG240" s="673"/>
      <c r="AH240" s="673"/>
      <c r="AI240" s="673"/>
      <c r="AJ240" s="674"/>
      <c r="AK240" s="223"/>
      <c r="AL240" s="223"/>
      <c r="AM240" s="223"/>
      <c r="AN240" s="223"/>
      <c r="AO240" s="222"/>
      <c r="AP240" s="723"/>
      <c r="AQ240" s="724"/>
      <c r="AR240" s="724"/>
      <c r="AS240" s="725"/>
      <c r="AT240" s="647"/>
      <c r="AU240" s="726"/>
    </row>
    <row r="241" spans="8:53" ht="15.95" customHeight="1" thickBot="1">
      <c r="H241" s="727" t="s">
        <v>97</v>
      </c>
      <c r="I241" s="727"/>
      <c r="J241" s="727"/>
      <c r="K241" s="727"/>
      <c r="L241" s="727"/>
      <c r="M241" s="727"/>
      <c r="N241" s="727"/>
      <c r="O241" s="727"/>
      <c r="P241" s="727"/>
      <c r="Q241" s="727"/>
      <c r="R241" s="727"/>
      <c r="S241" s="727"/>
      <c r="T241" s="727"/>
      <c r="U241" s="727"/>
      <c r="V241" s="727"/>
      <c r="W241" s="727"/>
      <c r="X241" s="727"/>
      <c r="Y241" s="727"/>
      <c r="Z241" s="727"/>
      <c r="AA241" s="727"/>
      <c r="AB241" s="727"/>
      <c r="AC241" s="727"/>
      <c r="AD241" s="727"/>
      <c r="AE241" s="727"/>
      <c r="AF241" s="727"/>
      <c r="AG241" s="727"/>
      <c r="AH241" s="727"/>
      <c r="AI241" s="727"/>
      <c r="AJ241" s="727"/>
      <c r="AK241" s="727"/>
      <c r="AL241" s="727"/>
      <c r="AM241" s="727"/>
      <c r="AN241" s="727"/>
      <c r="AO241" s="727"/>
      <c r="AP241" s="727"/>
      <c r="AQ241" s="727"/>
      <c r="AR241" s="727"/>
      <c r="AS241" s="727"/>
      <c r="AT241" s="727"/>
      <c r="AU241" s="728"/>
    </row>
    <row r="242" spans="8:53" ht="15.75" customHeight="1" thickBot="1">
      <c r="H242" s="526" t="s">
        <v>18</v>
      </c>
      <c r="I242" s="526"/>
      <c r="J242" s="527"/>
      <c r="K242" s="530" t="s">
        <v>17</v>
      </c>
      <c r="L242" s="531"/>
      <c r="M242" s="531"/>
      <c r="N242" s="531"/>
      <c r="O242" s="531"/>
      <c r="P242" s="531"/>
      <c r="Q242" s="531"/>
      <c r="R242" s="531"/>
      <c r="S242" s="531"/>
      <c r="T242" s="531"/>
      <c r="U242" s="531"/>
      <c r="V242" s="534" t="s">
        <v>16</v>
      </c>
      <c r="W242" s="535"/>
      <c r="X242" s="610"/>
      <c r="Y242" s="530" t="s">
        <v>15</v>
      </c>
      <c r="Z242" s="538"/>
      <c r="AA242" s="59" t="str">
        <f>AA173</f>
        <v>FG573-JINHEc</v>
      </c>
      <c r="AB242" s="59" t="str">
        <f t="shared" ref="AB242:AF243" si="13">+AB203</f>
        <v>FG591-FASa</v>
      </c>
      <c r="AC242" s="59" t="str">
        <f t="shared" si="13"/>
        <v>FG592-FASa</v>
      </c>
      <c r="AD242" s="59" t="str">
        <f t="shared" si="13"/>
        <v>FG601-FASTc</v>
      </c>
      <c r="AE242" s="59" t="str">
        <f t="shared" si="13"/>
        <v>FG623-JINHEc</v>
      </c>
      <c r="AF242" s="59" t="str">
        <f t="shared" si="13"/>
        <v>FG616-JINHEa</v>
      </c>
      <c r="AG242" s="540" t="s">
        <v>14</v>
      </c>
      <c r="AH242" s="541"/>
      <c r="AI242" s="541"/>
      <c r="AJ242" s="541"/>
      <c r="AK242" s="541"/>
      <c r="AL242" s="541"/>
      <c r="AM242" s="541"/>
      <c r="AN242" s="542"/>
      <c r="AO242" s="530" t="s">
        <v>13</v>
      </c>
      <c r="AP242" s="531"/>
      <c r="AQ242" s="531"/>
      <c r="AR242" s="531"/>
      <c r="AS242" s="531"/>
      <c r="AT242" s="531"/>
      <c r="AU242" s="546"/>
    </row>
    <row r="243" spans="8:53" ht="15.75" customHeight="1" thickBot="1">
      <c r="H243" s="528"/>
      <c r="I243" s="528"/>
      <c r="J243" s="529"/>
      <c r="K243" s="532"/>
      <c r="L243" s="533"/>
      <c r="M243" s="533"/>
      <c r="N243" s="533"/>
      <c r="O243" s="533"/>
      <c r="P243" s="533"/>
      <c r="Q243" s="533"/>
      <c r="R243" s="533"/>
      <c r="S243" s="533"/>
      <c r="T243" s="533"/>
      <c r="U243" s="533"/>
      <c r="V243" s="536"/>
      <c r="W243" s="537"/>
      <c r="X243" s="611"/>
      <c r="Y243" s="532"/>
      <c r="Z243" s="539"/>
      <c r="AA243" s="57" t="str">
        <f>AA174</f>
        <v>84*</v>
      </c>
      <c r="AB243" s="56" t="str">
        <f t="shared" si="13"/>
        <v>9C*</v>
      </c>
      <c r="AC243" s="56" t="str">
        <f t="shared" si="13"/>
        <v>9D*</v>
      </c>
      <c r="AD243" s="56" t="str">
        <f t="shared" si="13"/>
        <v>9E*</v>
      </c>
      <c r="AE243" s="56" t="str">
        <f t="shared" si="13"/>
        <v>9W*</v>
      </c>
      <c r="AF243" s="56" t="str">
        <f t="shared" si="13"/>
        <v>9S*</v>
      </c>
      <c r="AG243" s="543"/>
      <c r="AH243" s="544"/>
      <c r="AI243" s="544"/>
      <c r="AJ243" s="544"/>
      <c r="AK243" s="544"/>
      <c r="AL243" s="544"/>
      <c r="AM243" s="544"/>
      <c r="AN243" s="545"/>
      <c r="AO243" s="532"/>
      <c r="AP243" s="533"/>
      <c r="AQ243" s="533"/>
      <c r="AR243" s="533"/>
      <c r="AS243" s="533"/>
      <c r="AT243" s="533"/>
      <c r="AU243" s="547"/>
      <c r="AW243" s="61"/>
      <c r="AX243" s="61"/>
      <c r="AY243" s="61"/>
      <c r="AZ243" s="61"/>
      <c r="BA243" s="61"/>
    </row>
    <row r="244" spans="8:53" ht="15.95" customHeight="1" thickTop="1">
      <c r="H244" s="632" t="s">
        <v>96</v>
      </c>
      <c r="I244" s="632"/>
      <c r="J244" s="633"/>
      <c r="K244" s="221" t="s">
        <v>95</v>
      </c>
      <c r="L244" s="114"/>
      <c r="M244" s="114"/>
      <c r="N244" s="114"/>
      <c r="O244" s="219"/>
      <c r="P244" s="219"/>
      <c r="Q244" s="219"/>
      <c r="R244" s="219"/>
      <c r="S244" s="219"/>
      <c r="T244" s="219"/>
      <c r="U244" s="219"/>
      <c r="V244" s="48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5" t="s">
        <v>63</v>
      </c>
      <c r="AH244" s="46"/>
      <c r="AI244" s="44"/>
      <c r="AJ244" s="44"/>
      <c r="AK244" s="44"/>
      <c r="AL244" s="44"/>
      <c r="AM244" s="44"/>
      <c r="AN244" s="44"/>
      <c r="AO244" s="45"/>
      <c r="AP244" s="44"/>
      <c r="AQ244" s="44"/>
      <c r="AR244" s="44"/>
      <c r="AS244" s="44"/>
      <c r="AT244" s="44"/>
      <c r="AU244" s="43"/>
      <c r="AW244" s="61"/>
      <c r="AX244" s="61"/>
      <c r="AY244" s="61"/>
      <c r="AZ244" s="61"/>
      <c r="BA244" s="61"/>
    </row>
    <row r="245" spans="8:53" ht="15.95" customHeight="1">
      <c r="H245" s="190"/>
      <c r="I245" s="709" t="s">
        <v>94</v>
      </c>
      <c r="J245" s="710"/>
      <c r="K245" s="45" t="s">
        <v>93</v>
      </c>
      <c r="L245" s="44"/>
      <c r="M245" s="44"/>
      <c r="N245" s="44"/>
      <c r="O245" s="187"/>
      <c r="P245" s="187"/>
      <c r="Q245" s="187"/>
      <c r="R245" s="187"/>
      <c r="S245" s="187"/>
      <c r="T245" s="187"/>
      <c r="U245" s="187"/>
      <c r="V245" s="499" t="s">
        <v>92</v>
      </c>
      <c r="W245" s="500"/>
      <c r="X245" s="501"/>
      <c r="Y245" s="499" t="s">
        <v>59</v>
      </c>
      <c r="Z245" s="501"/>
      <c r="AA245" s="216">
        <v>0</v>
      </c>
      <c r="AB245" s="175">
        <v>0.30099999999999999</v>
      </c>
      <c r="AC245" s="216">
        <v>0</v>
      </c>
      <c r="AD245" s="216">
        <v>0</v>
      </c>
      <c r="AE245" s="209">
        <v>0.30099999999999999</v>
      </c>
      <c r="AF245" s="209">
        <v>0.30099999999999999</v>
      </c>
      <c r="AG245" s="45" t="s">
        <v>55</v>
      </c>
      <c r="AH245" s="44"/>
      <c r="AI245" s="44"/>
      <c r="AJ245" s="44"/>
      <c r="AK245" s="44"/>
      <c r="AL245" s="44"/>
      <c r="AM245" s="44"/>
      <c r="AN245" s="44"/>
      <c r="AO245" s="45"/>
      <c r="AP245" s="44"/>
      <c r="AQ245" s="44"/>
      <c r="AR245" s="44"/>
      <c r="AS245" s="44"/>
      <c r="AT245" s="44"/>
      <c r="AU245" s="43"/>
      <c r="AW245" s="61"/>
      <c r="AX245" s="61"/>
      <c r="AY245" s="61"/>
      <c r="AZ245" s="61"/>
      <c r="BA245" s="61"/>
    </row>
    <row r="246" spans="8:53" ht="15.95" customHeight="1" thickBot="1">
      <c r="H246" s="168"/>
      <c r="I246" s="215" t="s">
        <v>77</v>
      </c>
      <c r="J246" s="166"/>
      <c r="K246" s="22" t="s">
        <v>76</v>
      </c>
      <c r="L246" s="37"/>
      <c r="M246" s="37"/>
      <c r="N246" s="37"/>
      <c r="O246" s="40"/>
      <c r="P246" s="40"/>
      <c r="Q246" s="40"/>
      <c r="R246" s="40"/>
      <c r="S246" s="40"/>
      <c r="T246" s="40"/>
      <c r="U246" s="40"/>
      <c r="V246" s="593" t="s">
        <v>75</v>
      </c>
      <c r="W246" s="594"/>
      <c r="X246" s="595"/>
      <c r="Y246" s="593" t="s">
        <v>1</v>
      </c>
      <c r="Z246" s="595"/>
      <c r="AA246" s="207">
        <v>0</v>
      </c>
      <c r="AB246" s="207">
        <v>1</v>
      </c>
      <c r="AC246" s="207">
        <v>0</v>
      </c>
      <c r="AD246" s="207">
        <v>0</v>
      </c>
      <c r="AE246" s="206">
        <v>1</v>
      </c>
      <c r="AF246" s="206">
        <v>1</v>
      </c>
      <c r="AG246" s="22" t="s">
        <v>66</v>
      </c>
      <c r="AH246" s="37"/>
      <c r="AI246" s="37"/>
      <c r="AJ246" s="37"/>
      <c r="AK246" s="37"/>
      <c r="AL246" s="37"/>
      <c r="AM246" s="37"/>
      <c r="AN246" s="37"/>
      <c r="AO246" s="38"/>
      <c r="AP246" s="37"/>
      <c r="AQ246" s="37"/>
      <c r="AR246" s="37"/>
      <c r="AS246" s="37"/>
      <c r="AT246" s="37"/>
      <c r="AU246" s="36"/>
      <c r="AW246" s="61"/>
      <c r="AX246" s="61"/>
      <c r="AY246" s="61"/>
      <c r="AZ246" s="61"/>
      <c r="BA246" s="61"/>
    </row>
    <row r="247" spans="8:53" s="212" customFormat="1" ht="15.95" customHeight="1">
      <c r="H247" s="645" t="s">
        <v>91</v>
      </c>
      <c r="I247" s="645"/>
      <c r="J247" s="646"/>
      <c r="K247" s="220" t="s">
        <v>90</v>
      </c>
      <c r="L247" s="31"/>
      <c r="M247" s="31"/>
      <c r="N247" s="31"/>
      <c r="O247" s="30"/>
      <c r="P247" s="30"/>
      <c r="Q247" s="30"/>
      <c r="R247" s="30"/>
      <c r="S247" s="30"/>
      <c r="T247" s="30"/>
      <c r="U247" s="30"/>
      <c r="V247" s="29"/>
      <c r="W247" s="28"/>
      <c r="X247" s="28"/>
      <c r="Y247" s="28"/>
      <c r="Z247" s="28"/>
      <c r="AA247" s="28"/>
      <c r="AB247" s="28"/>
      <c r="AC247" s="28"/>
      <c r="AD247" s="28"/>
      <c r="AE247" s="217"/>
      <c r="AF247" s="217"/>
      <c r="AG247" s="29" t="s">
        <v>63</v>
      </c>
      <c r="AH247" s="28"/>
      <c r="AI247" s="28"/>
      <c r="AJ247" s="28"/>
      <c r="AK247" s="28"/>
      <c r="AL247" s="28"/>
      <c r="AM247" s="28"/>
      <c r="AN247" s="28"/>
      <c r="AO247" s="29"/>
      <c r="AP247" s="28"/>
      <c r="AQ247" s="28"/>
      <c r="AR247" s="28"/>
      <c r="AS247" s="28"/>
      <c r="AT247" s="28"/>
      <c r="AU247" s="27"/>
      <c r="AW247" s="213"/>
      <c r="AX247" s="213"/>
      <c r="AY247" s="213"/>
      <c r="AZ247" s="213"/>
      <c r="BA247" s="213"/>
    </row>
    <row r="248" spans="8:53" ht="15.95" customHeight="1">
      <c r="H248" s="211"/>
      <c r="I248" s="709" t="s">
        <v>89</v>
      </c>
      <c r="J248" s="710"/>
      <c r="K248" s="45" t="s">
        <v>88</v>
      </c>
      <c r="L248" s="44"/>
      <c r="M248" s="44"/>
      <c r="N248" s="44"/>
      <c r="O248" s="187"/>
      <c r="P248" s="187"/>
      <c r="Q248" s="187"/>
      <c r="R248" s="187"/>
      <c r="S248" s="187"/>
      <c r="T248" s="187"/>
      <c r="U248" s="187"/>
      <c r="V248" s="499" t="s">
        <v>87</v>
      </c>
      <c r="W248" s="500"/>
      <c r="X248" s="501"/>
      <c r="Y248" s="499" t="s">
        <v>59</v>
      </c>
      <c r="Z248" s="501"/>
      <c r="AA248" s="216">
        <v>0</v>
      </c>
      <c r="AB248" s="175">
        <v>0.30099999999999999</v>
      </c>
      <c r="AC248" s="216">
        <v>0</v>
      </c>
      <c r="AD248" s="216">
        <v>0</v>
      </c>
      <c r="AE248" s="209">
        <v>0.30099999999999999</v>
      </c>
      <c r="AF248" s="209">
        <v>0.30099999999999999</v>
      </c>
      <c r="AG248" s="45" t="s">
        <v>55</v>
      </c>
      <c r="AH248" s="44"/>
      <c r="AI248" s="44"/>
      <c r="AJ248" s="44"/>
      <c r="AK248" s="44"/>
      <c r="AL248" s="44"/>
      <c r="AM248" s="44"/>
      <c r="AN248" s="44"/>
      <c r="AO248" s="45"/>
      <c r="AP248" s="44"/>
      <c r="AQ248" s="44"/>
      <c r="AR248" s="44"/>
      <c r="AS248" s="44"/>
      <c r="AT248" s="44"/>
      <c r="AU248" s="43"/>
      <c r="AW248" s="61"/>
      <c r="AX248" s="61"/>
      <c r="AY248" s="61"/>
      <c r="AZ248" s="61"/>
      <c r="BA248" s="61"/>
    </row>
    <row r="249" spans="8:53" ht="15.95" customHeight="1" thickBot="1">
      <c r="H249" s="208"/>
      <c r="I249" s="215" t="s">
        <v>69</v>
      </c>
      <c r="J249" s="166"/>
      <c r="K249" s="22" t="s">
        <v>68</v>
      </c>
      <c r="L249" s="21"/>
      <c r="M249" s="21"/>
      <c r="N249" s="21"/>
      <c r="O249" s="24"/>
      <c r="P249" s="24"/>
      <c r="Q249" s="24"/>
      <c r="R249" s="24"/>
      <c r="S249" s="24"/>
      <c r="T249" s="24"/>
      <c r="U249" s="24"/>
      <c r="V249" s="593" t="s">
        <v>67</v>
      </c>
      <c r="W249" s="594"/>
      <c r="X249" s="595"/>
      <c r="Y249" s="593" t="s">
        <v>1</v>
      </c>
      <c r="Z249" s="595"/>
      <c r="AA249" s="207">
        <v>0</v>
      </c>
      <c r="AB249" s="207">
        <v>1</v>
      </c>
      <c r="AC249" s="207">
        <v>0</v>
      </c>
      <c r="AD249" s="207">
        <v>0</v>
      </c>
      <c r="AE249" s="206">
        <v>1</v>
      </c>
      <c r="AF249" s="206">
        <v>1</v>
      </c>
      <c r="AG249" s="22" t="s">
        <v>66</v>
      </c>
      <c r="AH249" s="21"/>
      <c r="AI249" s="21"/>
      <c r="AJ249" s="21"/>
      <c r="AK249" s="21"/>
      <c r="AL249" s="21"/>
      <c r="AM249" s="21"/>
      <c r="AN249" s="21"/>
      <c r="AO249" s="22"/>
      <c r="AP249" s="21"/>
      <c r="AQ249" s="21"/>
      <c r="AR249" s="21"/>
      <c r="AS249" s="21"/>
      <c r="AT249" s="21"/>
      <c r="AU249" s="20"/>
      <c r="AW249" s="61"/>
      <c r="AX249" s="61"/>
      <c r="AY249" s="61"/>
      <c r="AZ249" s="61"/>
      <c r="BA249" s="61"/>
    </row>
    <row r="250" spans="8:53" ht="15.95" customHeight="1">
      <c r="H250" s="729" t="s">
        <v>86</v>
      </c>
      <c r="I250" s="729"/>
      <c r="J250" s="730"/>
      <c r="K250" s="214" t="s">
        <v>85</v>
      </c>
      <c r="L250" s="114"/>
      <c r="M250" s="114"/>
      <c r="N250" s="114"/>
      <c r="O250" s="219"/>
      <c r="P250" s="219"/>
      <c r="Q250" s="219"/>
      <c r="R250" s="219"/>
      <c r="S250" s="219"/>
      <c r="T250" s="219"/>
      <c r="U250" s="219"/>
      <c r="V250" s="108"/>
      <c r="W250" s="46"/>
      <c r="X250" s="46"/>
      <c r="Y250" s="46"/>
      <c r="Z250" s="46"/>
      <c r="AA250" s="28"/>
      <c r="AB250" s="28"/>
      <c r="AC250" s="28"/>
      <c r="AD250" s="28"/>
      <c r="AE250" s="217"/>
      <c r="AF250" s="217"/>
      <c r="AG250" s="108" t="s">
        <v>63</v>
      </c>
      <c r="AH250" s="46"/>
      <c r="AI250" s="46"/>
      <c r="AJ250" s="46"/>
      <c r="AK250" s="46"/>
      <c r="AL250" s="46"/>
      <c r="AM250" s="46"/>
      <c r="AN250" s="46"/>
      <c r="AO250" s="108"/>
      <c r="AP250" s="46"/>
      <c r="AQ250" s="46"/>
      <c r="AR250" s="46"/>
      <c r="AS250" s="46"/>
      <c r="AT250" s="46"/>
      <c r="AU250" s="218"/>
      <c r="AW250" s="61"/>
      <c r="AX250" s="61"/>
      <c r="AY250" s="61"/>
      <c r="AZ250" s="61"/>
      <c r="BA250" s="61"/>
    </row>
    <row r="251" spans="8:53" ht="15.95" customHeight="1">
      <c r="H251" s="190"/>
      <c r="I251" s="709" t="s">
        <v>80</v>
      </c>
      <c r="J251" s="710"/>
      <c r="K251" s="45" t="s">
        <v>79</v>
      </c>
      <c r="L251" s="44"/>
      <c r="M251" s="44"/>
      <c r="N251" s="44"/>
      <c r="O251" s="187"/>
      <c r="P251" s="187"/>
      <c r="Q251" s="187"/>
      <c r="R251" s="187"/>
      <c r="S251" s="187"/>
      <c r="T251" s="187"/>
      <c r="U251" s="187"/>
      <c r="V251" s="499" t="s">
        <v>78</v>
      </c>
      <c r="W251" s="500"/>
      <c r="X251" s="501"/>
      <c r="Y251" s="499" t="s">
        <v>59</v>
      </c>
      <c r="Z251" s="501"/>
      <c r="AA251" s="216">
        <v>0</v>
      </c>
      <c r="AB251" s="175">
        <v>0.27600000000000002</v>
      </c>
      <c r="AC251" s="216">
        <v>0</v>
      </c>
      <c r="AD251" s="216">
        <v>0</v>
      </c>
      <c r="AE251" s="209">
        <v>0.27600000000000002</v>
      </c>
      <c r="AF251" s="209">
        <v>0.27600000000000002</v>
      </c>
      <c r="AG251" s="45" t="s">
        <v>55</v>
      </c>
      <c r="AH251" s="44"/>
      <c r="AI251" s="44"/>
      <c r="AJ251" s="44"/>
      <c r="AK251" s="44"/>
      <c r="AL251" s="44"/>
      <c r="AM251" s="44"/>
      <c r="AN251" s="44"/>
      <c r="AO251" s="45"/>
      <c r="AP251" s="44"/>
      <c r="AQ251" s="44"/>
      <c r="AR251" s="44"/>
      <c r="AS251" s="44"/>
      <c r="AT251" s="44"/>
      <c r="AU251" s="43"/>
      <c r="AW251" s="61"/>
      <c r="AX251" s="61"/>
      <c r="AY251" s="61"/>
      <c r="AZ251" s="61"/>
      <c r="BA251" s="61"/>
    </row>
    <row r="252" spans="8:53" ht="15.95" customHeight="1" thickBot="1">
      <c r="H252" s="168"/>
      <c r="I252" s="215" t="s">
        <v>77</v>
      </c>
      <c r="J252" s="166"/>
      <c r="K252" s="22" t="s">
        <v>76</v>
      </c>
      <c r="L252" s="37"/>
      <c r="M252" s="37"/>
      <c r="N252" s="37"/>
      <c r="O252" s="40"/>
      <c r="P252" s="40"/>
      <c r="Q252" s="40"/>
      <c r="R252" s="40"/>
      <c r="S252" s="40"/>
      <c r="T252" s="40"/>
      <c r="U252" s="40"/>
      <c r="V252" s="593" t="s">
        <v>75</v>
      </c>
      <c r="W252" s="594"/>
      <c r="X252" s="595"/>
      <c r="Y252" s="593" t="s">
        <v>1</v>
      </c>
      <c r="Z252" s="595"/>
      <c r="AA252" s="207">
        <v>0</v>
      </c>
      <c r="AB252" s="207">
        <v>1</v>
      </c>
      <c r="AC252" s="207">
        <v>0</v>
      </c>
      <c r="AD252" s="207">
        <v>0</v>
      </c>
      <c r="AE252" s="206">
        <v>1</v>
      </c>
      <c r="AF252" s="206">
        <v>1</v>
      </c>
      <c r="AG252" s="22" t="s">
        <v>66</v>
      </c>
      <c r="AH252" s="37"/>
      <c r="AI252" s="37"/>
      <c r="AJ252" s="37"/>
      <c r="AK252" s="37"/>
      <c r="AL252" s="37"/>
      <c r="AM252" s="37"/>
      <c r="AN252" s="37"/>
      <c r="AO252" s="38"/>
      <c r="AP252" s="37"/>
      <c r="AQ252" s="37"/>
      <c r="AR252" s="37"/>
      <c r="AS252" s="37"/>
      <c r="AT252" s="37"/>
      <c r="AU252" s="36"/>
      <c r="AW252" s="61"/>
      <c r="AX252" s="61"/>
      <c r="AY252" s="61"/>
      <c r="AZ252" s="61"/>
      <c r="BA252" s="61"/>
    </row>
    <row r="253" spans="8:53" ht="15.95" customHeight="1">
      <c r="H253" s="729" t="s">
        <v>84</v>
      </c>
      <c r="I253" s="729"/>
      <c r="J253" s="730"/>
      <c r="K253" s="214" t="s">
        <v>83</v>
      </c>
      <c r="L253" s="31"/>
      <c r="M253" s="31"/>
      <c r="N253" s="31"/>
      <c r="O253" s="30"/>
      <c r="P253" s="30"/>
      <c r="Q253" s="30"/>
      <c r="R253" s="30"/>
      <c r="S253" s="30"/>
      <c r="T253" s="30"/>
      <c r="U253" s="30"/>
      <c r="V253" s="29"/>
      <c r="W253" s="28"/>
      <c r="X253" s="28"/>
      <c r="Y253" s="28"/>
      <c r="Z253" s="28"/>
      <c r="AA253" s="28"/>
      <c r="AB253" s="28"/>
      <c r="AC253" s="28"/>
      <c r="AD253" s="28"/>
      <c r="AE253" s="217"/>
      <c r="AF253" s="217"/>
      <c r="AG253" s="108" t="s">
        <v>63</v>
      </c>
      <c r="AH253" s="28"/>
      <c r="AI253" s="28"/>
      <c r="AJ253" s="28"/>
      <c r="AK253" s="28"/>
      <c r="AL253" s="28"/>
      <c r="AM253" s="28"/>
      <c r="AN253" s="28"/>
      <c r="AO253" s="29"/>
      <c r="AP253" s="28"/>
      <c r="AQ253" s="28"/>
      <c r="AR253" s="28"/>
      <c r="AS253" s="28"/>
      <c r="AT253" s="28"/>
      <c r="AU253" s="27"/>
      <c r="AW253" s="61"/>
      <c r="AX253" s="61"/>
      <c r="AY253" s="61"/>
      <c r="AZ253" s="61"/>
      <c r="BA253" s="61"/>
    </row>
    <row r="254" spans="8:53" ht="15.95" customHeight="1">
      <c r="H254" s="211"/>
      <c r="I254" s="709" t="s">
        <v>72</v>
      </c>
      <c r="J254" s="710"/>
      <c r="K254" s="45" t="s">
        <v>71</v>
      </c>
      <c r="L254" s="44"/>
      <c r="M254" s="44"/>
      <c r="N254" s="44"/>
      <c r="O254" s="187"/>
      <c r="P254" s="187"/>
      <c r="Q254" s="187"/>
      <c r="R254" s="187"/>
      <c r="S254" s="187"/>
      <c r="T254" s="187"/>
      <c r="U254" s="187"/>
      <c r="V254" s="499" t="s">
        <v>70</v>
      </c>
      <c r="W254" s="500"/>
      <c r="X254" s="501"/>
      <c r="Y254" s="499" t="s">
        <v>59</v>
      </c>
      <c r="Z254" s="501"/>
      <c r="AA254" s="216">
        <v>0</v>
      </c>
      <c r="AB254" s="175">
        <v>0.27600000000000002</v>
      </c>
      <c r="AC254" s="216">
        <v>0</v>
      </c>
      <c r="AD254" s="216">
        <v>0</v>
      </c>
      <c r="AE254" s="209">
        <v>0.27600000000000002</v>
      </c>
      <c r="AF254" s="209">
        <v>0.27600000000000002</v>
      </c>
      <c r="AG254" s="45" t="s">
        <v>55</v>
      </c>
      <c r="AH254" s="44"/>
      <c r="AI254" s="44"/>
      <c r="AJ254" s="44"/>
      <c r="AK254" s="44"/>
      <c r="AL254" s="44"/>
      <c r="AM254" s="44"/>
      <c r="AN254" s="44"/>
      <c r="AO254" s="45"/>
      <c r="AP254" s="44"/>
      <c r="AQ254" s="44"/>
      <c r="AR254" s="44"/>
      <c r="AS254" s="44"/>
      <c r="AT254" s="44"/>
      <c r="AU254" s="43"/>
      <c r="AW254" s="61"/>
      <c r="AX254" s="61"/>
      <c r="AY254" s="61"/>
      <c r="AZ254" s="61"/>
      <c r="BA254" s="61"/>
    </row>
    <row r="255" spans="8:53" ht="15.95" customHeight="1" thickBot="1">
      <c r="H255" s="208"/>
      <c r="I255" s="215" t="s">
        <v>69</v>
      </c>
      <c r="J255" s="166"/>
      <c r="K255" s="22" t="s">
        <v>68</v>
      </c>
      <c r="L255" s="37"/>
      <c r="M255" s="37"/>
      <c r="N255" s="37"/>
      <c r="O255" s="40"/>
      <c r="P255" s="40"/>
      <c r="Q255" s="40"/>
      <c r="R255" s="40"/>
      <c r="S255" s="40"/>
      <c r="T255" s="40"/>
      <c r="U255" s="40"/>
      <c r="V255" s="593" t="s">
        <v>67</v>
      </c>
      <c r="W255" s="594"/>
      <c r="X255" s="595"/>
      <c r="Y255" s="574" t="s">
        <v>1</v>
      </c>
      <c r="Z255" s="575"/>
      <c r="AA255" s="207">
        <v>0</v>
      </c>
      <c r="AB255" s="207">
        <v>1</v>
      </c>
      <c r="AC255" s="207">
        <v>0</v>
      </c>
      <c r="AD255" s="207">
        <v>0</v>
      </c>
      <c r="AE255" s="206">
        <v>1</v>
      </c>
      <c r="AF255" s="206">
        <v>1</v>
      </c>
      <c r="AG255" s="38" t="s">
        <v>66</v>
      </c>
      <c r="AH255" s="37"/>
      <c r="AI255" s="37"/>
      <c r="AJ255" s="37"/>
      <c r="AK255" s="37"/>
      <c r="AL255" s="37"/>
      <c r="AM255" s="37"/>
      <c r="AN255" s="37"/>
      <c r="AO255" s="38"/>
      <c r="AP255" s="37"/>
      <c r="AQ255" s="37"/>
      <c r="AR255" s="37"/>
      <c r="AS255" s="37"/>
      <c r="AT255" s="37"/>
      <c r="AU255" s="36"/>
      <c r="AW255" s="61"/>
      <c r="AX255" s="61"/>
      <c r="AY255" s="61"/>
      <c r="AZ255" s="61"/>
      <c r="BA255" s="61"/>
    </row>
    <row r="256" spans="8:53" ht="15.95" customHeight="1">
      <c r="H256" s="729" t="s">
        <v>82</v>
      </c>
      <c r="I256" s="729"/>
      <c r="J256" s="730"/>
      <c r="K256" s="214" t="s">
        <v>81</v>
      </c>
      <c r="L256" s="31"/>
      <c r="M256" s="31"/>
      <c r="N256" s="31"/>
      <c r="O256" s="30"/>
      <c r="P256" s="30"/>
      <c r="Q256" s="30"/>
      <c r="R256" s="30"/>
      <c r="S256" s="30"/>
      <c r="T256" s="30"/>
      <c r="U256" s="120"/>
      <c r="V256" s="29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9" t="s">
        <v>63</v>
      </c>
      <c r="AH256" s="28"/>
      <c r="AI256" s="28"/>
      <c r="AJ256" s="28"/>
      <c r="AK256" s="28"/>
      <c r="AL256" s="28"/>
      <c r="AM256" s="28"/>
      <c r="AN256" s="28"/>
      <c r="AO256" s="29"/>
      <c r="AP256" s="28"/>
      <c r="AQ256" s="28"/>
      <c r="AR256" s="28"/>
      <c r="AS256" s="28"/>
      <c r="AT256" s="28"/>
      <c r="AU256" s="27"/>
      <c r="AV256" s="61"/>
      <c r="AW256" s="61"/>
      <c r="AX256" s="61"/>
      <c r="AY256" s="61"/>
    </row>
    <row r="257" spans="8:51" ht="15.95" customHeight="1">
      <c r="H257" s="190"/>
      <c r="I257" s="709" t="s">
        <v>80</v>
      </c>
      <c r="J257" s="710"/>
      <c r="K257" s="45" t="s">
        <v>79</v>
      </c>
      <c r="L257" s="44"/>
      <c r="M257" s="44"/>
      <c r="N257" s="44"/>
      <c r="O257" s="187"/>
      <c r="P257" s="187"/>
      <c r="Q257" s="187"/>
      <c r="R257" s="187"/>
      <c r="S257" s="187"/>
      <c r="T257" s="187"/>
      <c r="U257" s="210"/>
      <c r="V257" s="499" t="s">
        <v>78</v>
      </c>
      <c r="W257" s="500"/>
      <c r="X257" s="501"/>
      <c r="Y257" s="499" t="s">
        <v>59</v>
      </c>
      <c r="Z257" s="501"/>
      <c r="AA257" s="175">
        <f>284/1000</f>
        <v>0.28399999999999997</v>
      </c>
      <c r="AB257" s="216">
        <v>0</v>
      </c>
      <c r="AC257" s="175">
        <f>284/1000</f>
        <v>0.28399999999999997</v>
      </c>
      <c r="AD257" s="175">
        <f>284/1000</f>
        <v>0.28399999999999997</v>
      </c>
      <c r="AE257" s="216">
        <v>0</v>
      </c>
      <c r="AF257" s="216">
        <v>0</v>
      </c>
      <c r="AG257" s="45" t="s">
        <v>55</v>
      </c>
      <c r="AH257" s="44"/>
      <c r="AI257" s="44"/>
      <c r="AJ257" s="44"/>
      <c r="AK257" s="44"/>
      <c r="AL257" s="44"/>
      <c r="AM257" s="44"/>
      <c r="AN257" s="44"/>
      <c r="AO257" s="45"/>
      <c r="AP257" s="44"/>
      <c r="AQ257" s="44"/>
      <c r="AR257" s="44"/>
      <c r="AS257" s="44"/>
      <c r="AT257" s="44"/>
      <c r="AU257" s="43"/>
      <c r="AV257" s="61"/>
      <c r="AW257" s="61"/>
      <c r="AX257" s="61"/>
      <c r="AY257" s="61"/>
    </row>
    <row r="258" spans="8:51" ht="15.95" customHeight="1" thickBot="1">
      <c r="H258" s="168"/>
      <c r="I258" s="215" t="s">
        <v>77</v>
      </c>
      <c r="J258" s="166"/>
      <c r="K258" s="22" t="s">
        <v>76</v>
      </c>
      <c r="L258" s="21"/>
      <c r="M258" s="21"/>
      <c r="N258" s="21"/>
      <c r="O258" s="24"/>
      <c r="P258" s="24"/>
      <c r="Q258" s="24"/>
      <c r="R258" s="24"/>
      <c r="S258" s="24"/>
      <c r="T258" s="24"/>
      <c r="U258" s="132"/>
      <c r="V258" s="593" t="s">
        <v>75</v>
      </c>
      <c r="W258" s="594"/>
      <c r="X258" s="595"/>
      <c r="Y258" s="574" t="s">
        <v>1</v>
      </c>
      <c r="Z258" s="575"/>
      <c r="AA258" s="23">
        <v>1</v>
      </c>
      <c r="AB258" s="207">
        <v>0</v>
      </c>
      <c r="AC258" s="23">
        <v>1</v>
      </c>
      <c r="AD258" s="23">
        <v>1</v>
      </c>
      <c r="AE258" s="207">
        <v>0</v>
      </c>
      <c r="AF258" s="207">
        <v>0</v>
      </c>
      <c r="AG258" s="22" t="s">
        <v>66</v>
      </c>
      <c r="AH258" s="21"/>
      <c r="AI258" s="21"/>
      <c r="AJ258" s="21"/>
      <c r="AK258" s="21"/>
      <c r="AL258" s="21"/>
      <c r="AM258" s="21"/>
      <c r="AN258" s="21"/>
      <c r="AO258" s="22"/>
      <c r="AP258" s="21"/>
      <c r="AQ258" s="21"/>
      <c r="AR258" s="21"/>
      <c r="AS258" s="21"/>
      <c r="AT258" s="21"/>
      <c r="AU258" s="20"/>
      <c r="AV258" s="61"/>
      <c r="AW258" s="61"/>
      <c r="AX258" s="61"/>
      <c r="AY258" s="61"/>
    </row>
    <row r="259" spans="8:51" s="212" customFormat="1" ht="15.95" customHeight="1">
      <c r="H259" s="729" t="s">
        <v>74</v>
      </c>
      <c r="I259" s="729"/>
      <c r="J259" s="730"/>
      <c r="K259" s="214" t="s">
        <v>73</v>
      </c>
      <c r="L259" s="31"/>
      <c r="M259" s="31"/>
      <c r="N259" s="31"/>
      <c r="O259" s="30"/>
      <c r="P259" s="30"/>
      <c r="Q259" s="30"/>
      <c r="R259" s="30"/>
      <c r="S259" s="30"/>
      <c r="T259" s="30"/>
      <c r="U259" s="120"/>
      <c r="V259" s="29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9" t="s">
        <v>63</v>
      </c>
      <c r="AH259" s="28"/>
      <c r="AI259" s="28"/>
      <c r="AJ259" s="28"/>
      <c r="AK259" s="28"/>
      <c r="AL259" s="28"/>
      <c r="AM259" s="28"/>
      <c r="AN259" s="28"/>
      <c r="AO259" s="29"/>
      <c r="AP259" s="28"/>
      <c r="AQ259" s="28"/>
      <c r="AR259" s="28"/>
      <c r="AS259" s="28"/>
      <c r="AT259" s="28"/>
      <c r="AU259" s="27"/>
      <c r="AV259" s="213"/>
      <c r="AW259" s="213"/>
      <c r="AX259" s="213"/>
      <c r="AY259" s="213"/>
    </row>
    <row r="260" spans="8:51" ht="15.95" customHeight="1">
      <c r="H260" s="211"/>
      <c r="I260" s="709" t="s">
        <v>72</v>
      </c>
      <c r="J260" s="710"/>
      <c r="K260" s="45" t="s">
        <v>71</v>
      </c>
      <c r="L260" s="44"/>
      <c r="M260" s="44"/>
      <c r="N260" s="44"/>
      <c r="O260" s="187"/>
      <c r="P260" s="187"/>
      <c r="Q260" s="187"/>
      <c r="R260" s="187"/>
      <c r="S260" s="187"/>
      <c r="T260" s="187"/>
      <c r="U260" s="210"/>
      <c r="V260" s="499" t="s">
        <v>70</v>
      </c>
      <c r="W260" s="500"/>
      <c r="X260" s="501"/>
      <c r="Y260" s="499" t="s">
        <v>59</v>
      </c>
      <c r="Z260" s="501"/>
      <c r="AA260" s="175">
        <f>284/1000</f>
        <v>0.28399999999999997</v>
      </c>
      <c r="AB260" s="216">
        <v>0</v>
      </c>
      <c r="AC260" s="175">
        <f>284/1000</f>
        <v>0.28399999999999997</v>
      </c>
      <c r="AD260" s="175">
        <f>284/1000</f>
        <v>0.28399999999999997</v>
      </c>
      <c r="AE260" s="216">
        <v>0</v>
      </c>
      <c r="AF260" s="216">
        <v>0</v>
      </c>
      <c r="AG260" s="45" t="s">
        <v>55</v>
      </c>
      <c r="AH260" s="44"/>
      <c r="AI260" s="44"/>
      <c r="AJ260" s="44"/>
      <c r="AK260" s="44"/>
      <c r="AL260" s="44"/>
      <c r="AM260" s="44"/>
      <c r="AN260" s="44"/>
      <c r="AO260" s="45"/>
      <c r="AP260" s="44"/>
      <c r="AQ260" s="44"/>
      <c r="AR260" s="44"/>
      <c r="AS260" s="44"/>
      <c r="AT260" s="44"/>
      <c r="AU260" s="43"/>
      <c r="AV260" s="61"/>
      <c r="AW260" s="61"/>
      <c r="AX260" s="61"/>
      <c r="AY260" s="61"/>
    </row>
    <row r="261" spans="8:51" ht="15.95" customHeight="1" thickBot="1">
      <c r="H261" s="208"/>
      <c r="I261" s="215" t="s">
        <v>69</v>
      </c>
      <c r="J261" s="166"/>
      <c r="K261" s="22" t="s">
        <v>68</v>
      </c>
      <c r="L261" s="21"/>
      <c r="M261" s="21"/>
      <c r="N261" s="21"/>
      <c r="O261" s="24"/>
      <c r="P261" s="24"/>
      <c r="Q261" s="24"/>
      <c r="R261" s="24"/>
      <c r="S261" s="24"/>
      <c r="T261" s="24"/>
      <c r="U261" s="132"/>
      <c r="V261" s="593" t="s">
        <v>67</v>
      </c>
      <c r="W261" s="594"/>
      <c r="X261" s="595"/>
      <c r="Y261" s="593" t="s">
        <v>1</v>
      </c>
      <c r="Z261" s="595"/>
      <c r="AA261" s="23">
        <v>1</v>
      </c>
      <c r="AB261" s="207">
        <v>0</v>
      </c>
      <c r="AC261" s="23">
        <v>1</v>
      </c>
      <c r="AD261" s="23">
        <v>1</v>
      </c>
      <c r="AE261" s="207">
        <v>0</v>
      </c>
      <c r="AF261" s="207">
        <v>0</v>
      </c>
      <c r="AG261" s="22" t="s">
        <v>66</v>
      </c>
      <c r="AH261" s="21"/>
      <c r="AI261" s="21"/>
      <c r="AJ261" s="21"/>
      <c r="AK261" s="21"/>
      <c r="AL261" s="21"/>
      <c r="AM261" s="21"/>
      <c r="AN261" s="21"/>
      <c r="AO261" s="22"/>
      <c r="AP261" s="21"/>
      <c r="AQ261" s="21"/>
      <c r="AR261" s="21"/>
      <c r="AS261" s="21"/>
      <c r="AT261" s="21"/>
      <c r="AU261" s="20"/>
      <c r="AV261" s="61"/>
      <c r="AW261" s="61"/>
      <c r="AX261" s="61"/>
      <c r="AY261" s="61"/>
    </row>
    <row r="262" spans="8:51" s="212" customFormat="1" ht="15.95" customHeight="1">
      <c r="H262" s="729" t="s">
        <v>65</v>
      </c>
      <c r="I262" s="729"/>
      <c r="J262" s="730"/>
      <c r="K262" s="214" t="s">
        <v>64</v>
      </c>
      <c r="L262" s="31"/>
      <c r="M262" s="31"/>
      <c r="N262" s="31"/>
      <c r="O262" s="30"/>
      <c r="P262" s="30"/>
      <c r="Q262" s="30"/>
      <c r="R262" s="30"/>
      <c r="S262" s="30"/>
      <c r="T262" s="30"/>
      <c r="U262" s="120"/>
      <c r="V262" s="29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9" t="s">
        <v>63</v>
      </c>
      <c r="AH262" s="28"/>
      <c r="AI262" s="28"/>
      <c r="AJ262" s="28"/>
      <c r="AK262" s="28"/>
      <c r="AL262" s="28"/>
      <c r="AM262" s="28"/>
      <c r="AN262" s="28"/>
      <c r="AO262" s="29"/>
      <c r="AP262" s="28"/>
      <c r="AQ262" s="28"/>
      <c r="AR262" s="28"/>
      <c r="AS262" s="28"/>
      <c r="AT262" s="28"/>
      <c r="AU262" s="27"/>
      <c r="AV262" s="213"/>
      <c r="AW262" s="213"/>
      <c r="AX262" s="213"/>
      <c r="AY262" s="213"/>
    </row>
    <row r="263" spans="8:51" ht="15.95" customHeight="1">
      <c r="H263" s="211"/>
      <c r="I263" s="709" t="s">
        <v>62</v>
      </c>
      <c r="J263" s="710"/>
      <c r="K263" s="45" t="s">
        <v>61</v>
      </c>
      <c r="L263" s="44"/>
      <c r="M263" s="44"/>
      <c r="N263" s="44"/>
      <c r="O263" s="187"/>
      <c r="P263" s="187"/>
      <c r="Q263" s="187"/>
      <c r="R263" s="187"/>
      <c r="S263" s="187"/>
      <c r="T263" s="187"/>
      <c r="U263" s="210"/>
      <c r="V263" s="499" t="s">
        <v>60</v>
      </c>
      <c r="W263" s="500"/>
      <c r="X263" s="501"/>
      <c r="Y263" s="499" t="s">
        <v>59</v>
      </c>
      <c r="Z263" s="501"/>
      <c r="AA263" s="175">
        <v>0.26600000000000001</v>
      </c>
      <c r="AB263" s="175">
        <v>0.26600000000000001</v>
      </c>
      <c r="AC263" s="175">
        <f>262/1000</f>
        <v>0.26200000000000001</v>
      </c>
      <c r="AD263" s="175">
        <f>262/1000</f>
        <v>0.26200000000000001</v>
      </c>
      <c r="AE263" s="209">
        <v>0.26600000000000001</v>
      </c>
      <c r="AF263" s="209">
        <v>0.26600000000000001</v>
      </c>
      <c r="AG263" s="45" t="s">
        <v>55</v>
      </c>
      <c r="AH263" s="44"/>
      <c r="AI263" s="44"/>
      <c r="AJ263" s="44"/>
      <c r="AK263" s="44"/>
      <c r="AL263" s="44"/>
      <c r="AM263" s="44"/>
      <c r="AN263" s="44"/>
      <c r="AO263" s="45"/>
      <c r="AP263" s="44"/>
      <c r="AQ263" s="44"/>
      <c r="AR263" s="44"/>
      <c r="AS263" s="44"/>
      <c r="AT263" s="44"/>
      <c r="AU263" s="43"/>
      <c r="AV263" s="61"/>
      <c r="AW263" s="61"/>
      <c r="AX263" s="61"/>
      <c r="AY263" s="61"/>
    </row>
    <row r="264" spans="8:51" ht="15.95" customHeight="1" thickBot="1">
      <c r="H264" s="208"/>
      <c r="I264" s="600" t="s">
        <v>58</v>
      </c>
      <c r="J264" s="601"/>
      <c r="K264" s="22" t="s">
        <v>57</v>
      </c>
      <c r="L264" s="21"/>
      <c r="M264" s="21"/>
      <c r="N264" s="21"/>
      <c r="O264" s="24"/>
      <c r="P264" s="24"/>
      <c r="Q264" s="24"/>
      <c r="R264" s="24"/>
      <c r="S264" s="24"/>
      <c r="T264" s="24"/>
      <c r="U264" s="132"/>
      <c r="V264" s="593" t="s">
        <v>56</v>
      </c>
      <c r="W264" s="594"/>
      <c r="X264" s="595"/>
      <c r="Y264" s="593" t="s">
        <v>1</v>
      </c>
      <c r="Z264" s="595"/>
      <c r="AA264" s="23">
        <v>1</v>
      </c>
      <c r="AB264" s="207">
        <v>1</v>
      </c>
      <c r="AC264" s="23">
        <v>1</v>
      </c>
      <c r="AD264" s="23">
        <v>1</v>
      </c>
      <c r="AE264" s="206">
        <v>1</v>
      </c>
      <c r="AF264" s="206">
        <v>1</v>
      </c>
      <c r="AG264" s="22" t="s">
        <v>55</v>
      </c>
      <c r="AH264" s="21"/>
      <c r="AI264" s="21"/>
      <c r="AJ264" s="21"/>
      <c r="AK264" s="21"/>
      <c r="AL264" s="21"/>
      <c r="AM264" s="21"/>
      <c r="AN264" s="21"/>
      <c r="AO264" s="22"/>
      <c r="AP264" s="21"/>
      <c r="AQ264" s="21"/>
      <c r="AR264" s="21"/>
      <c r="AS264" s="21"/>
      <c r="AT264" s="21"/>
      <c r="AU264" s="20"/>
      <c r="AV264" s="61"/>
      <c r="AW264" s="61"/>
      <c r="AX264" s="61"/>
      <c r="AY264" s="61"/>
    </row>
    <row r="265" spans="8:51" ht="15.95" customHeight="1" thickBot="1">
      <c r="H265" s="205"/>
      <c r="I265" s="204"/>
      <c r="J265" s="204"/>
      <c r="K265" s="9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647"/>
      <c r="W265" s="647"/>
      <c r="X265" s="647"/>
      <c r="Y265" s="564"/>
      <c r="Z265" s="564"/>
      <c r="AA265" s="100"/>
      <c r="AB265" s="100"/>
      <c r="AC265" s="100"/>
      <c r="AD265" s="100"/>
      <c r="AE265" s="100"/>
      <c r="AF265" s="100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3"/>
      <c r="AR265" s="93"/>
      <c r="AS265" s="93"/>
      <c r="AT265" s="93"/>
      <c r="AU265" s="202"/>
    </row>
    <row r="266" spans="8:51" ht="15.95" customHeight="1" thickBot="1">
      <c r="H266" s="596" t="s">
        <v>54</v>
      </c>
      <c r="I266" s="596"/>
      <c r="J266" s="596"/>
      <c r="K266" s="596"/>
      <c r="L266" s="596"/>
      <c r="M266" s="596"/>
      <c r="N266" s="596"/>
      <c r="O266" s="596"/>
      <c r="P266" s="596"/>
      <c r="Q266" s="596"/>
      <c r="R266" s="596"/>
      <c r="S266" s="596"/>
      <c r="T266" s="596"/>
      <c r="U266" s="596"/>
      <c r="V266" s="596"/>
      <c r="W266" s="596"/>
      <c r="X266" s="596"/>
      <c r="Y266" s="596"/>
      <c r="Z266" s="596"/>
      <c r="AA266" s="596"/>
      <c r="AB266" s="596"/>
      <c r="AC266" s="596"/>
      <c r="AD266" s="596"/>
      <c r="AE266" s="596"/>
      <c r="AF266" s="596"/>
      <c r="AG266" s="596"/>
      <c r="AH266" s="596"/>
      <c r="AI266" s="596"/>
      <c r="AJ266" s="596"/>
      <c r="AK266" s="596"/>
      <c r="AL266" s="596"/>
      <c r="AM266" s="596"/>
      <c r="AN266" s="596"/>
      <c r="AO266" s="596"/>
      <c r="AP266" s="596"/>
      <c r="AQ266" s="596"/>
      <c r="AR266" s="596"/>
      <c r="AS266" s="596"/>
      <c r="AT266" s="596"/>
      <c r="AU266" s="597"/>
    </row>
    <row r="267" spans="8:51" ht="15.95" customHeight="1" thickBot="1">
      <c r="H267" s="526" t="s">
        <v>18</v>
      </c>
      <c r="I267" s="526"/>
      <c r="J267" s="527"/>
      <c r="K267" s="530" t="s">
        <v>17</v>
      </c>
      <c r="L267" s="531"/>
      <c r="M267" s="531"/>
      <c r="N267" s="531"/>
      <c r="O267" s="531"/>
      <c r="P267" s="531"/>
      <c r="Q267" s="531"/>
      <c r="R267" s="531"/>
      <c r="S267" s="531"/>
      <c r="T267" s="531"/>
      <c r="U267" s="531"/>
      <c r="V267" s="534" t="s">
        <v>16</v>
      </c>
      <c r="W267" s="535"/>
      <c r="X267" s="535"/>
      <c r="Y267" s="530" t="s">
        <v>15</v>
      </c>
      <c r="Z267" s="538"/>
      <c r="AA267" s="59" t="str">
        <f t="shared" ref="AA267:AF268" si="14">+AA242</f>
        <v>FG573-JINHEc</v>
      </c>
      <c r="AB267" s="59" t="str">
        <f t="shared" si="14"/>
        <v>FG591-FASa</v>
      </c>
      <c r="AC267" s="59" t="str">
        <f t="shared" si="14"/>
        <v>FG592-FASa</v>
      </c>
      <c r="AD267" s="59" t="str">
        <f t="shared" si="14"/>
        <v>FG601-FASTc</v>
      </c>
      <c r="AE267" s="59" t="str">
        <f t="shared" si="14"/>
        <v>FG623-JINHEc</v>
      </c>
      <c r="AF267" s="59" t="str">
        <f t="shared" si="14"/>
        <v>FG616-JINHEa</v>
      </c>
      <c r="AG267" s="540" t="s">
        <v>14</v>
      </c>
      <c r="AH267" s="541"/>
      <c r="AI267" s="541"/>
      <c r="AJ267" s="541"/>
      <c r="AK267" s="541"/>
      <c r="AL267" s="541"/>
      <c r="AM267" s="541"/>
      <c r="AN267" s="542"/>
      <c r="AO267" s="530" t="s">
        <v>13</v>
      </c>
      <c r="AP267" s="531"/>
      <c r="AQ267" s="531"/>
      <c r="AR267" s="531"/>
      <c r="AS267" s="531"/>
      <c r="AT267" s="531"/>
      <c r="AU267" s="546"/>
    </row>
    <row r="268" spans="8:51" ht="15.95" customHeight="1" thickBot="1">
      <c r="H268" s="528"/>
      <c r="I268" s="528"/>
      <c r="J268" s="529"/>
      <c r="K268" s="532"/>
      <c r="L268" s="533"/>
      <c r="M268" s="533"/>
      <c r="N268" s="533"/>
      <c r="O268" s="533"/>
      <c r="P268" s="533"/>
      <c r="Q268" s="533"/>
      <c r="R268" s="533"/>
      <c r="S268" s="533"/>
      <c r="T268" s="533"/>
      <c r="U268" s="533"/>
      <c r="V268" s="536"/>
      <c r="W268" s="537"/>
      <c r="X268" s="537"/>
      <c r="Y268" s="532"/>
      <c r="Z268" s="539"/>
      <c r="AA268" s="201" t="str">
        <f t="shared" si="14"/>
        <v>84*</v>
      </c>
      <c r="AB268" s="56" t="str">
        <f t="shared" si="14"/>
        <v>9C*</v>
      </c>
      <c r="AC268" s="56" t="str">
        <f t="shared" si="14"/>
        <v>9D*</v>
      </c>
      <c r="AD268" s="56" t="str">
        <f t="shared" si="14"/>
        <v>9E*</v>
      </c>
      <c r="AE268" s="56" t="str">
        <f t="shared" si="14"/>
        <v>9W*</v>
      </c>
      <c r="AF268" s="56" t="str">
        <f t="shared" si="14"/>
        <v>9S*</v>
      </c>
      <c r="AG268" s="543"/>
      <c r="AH268" s="544"/>
      <c r="AI268" s="544"/>
      <c r="AJ268" s="544"/>
      <c r="AK268" s="544"/>
      <c r="AL268" s="544"/>
      <c r="AM268" s="544"/>
      <c r="AN268" s="545"/>
      <c r="AO268" s="532"/>
      <c r="AP268" s="533"/>
      <c r="AQ268" s="533"/>
      <c r="AR268" s="533"/>
      <c r="AS268" s="533"/>
      <c r="AT268" s="533"/>
      <c r="AU268" s="547"/>
    </row>
    <row r="269" spans="8:51" ht="15.95" customHeight="1" thickTop="1">
      <c r="H269" s="200" t="s">
        <v>53</v>
      </c>
      <c r="I269" s="199"/>
      <c r="J269" s="198"/>
      <c r="K269" s="197" t="s">
        <v>52</v>
      </c>
      <c r="L269" s="161"/>
      <c r="M269" s="161"/>
      <c r="N269" s="161"/>
      <c r="O269" s="160"/>
      <c r="P269" s="160"/>
      <c r="Q269" s="160"/>
      <c r="R269" s="160"/>
      <c r="S269" s="160"/>
      <c r="T269" s="160"/>
      <c r="U269" s="160"/>
      <c r="V269" s="196"/>
      <c r="W269" s="195"/>
      <c r="X269" s="195"/>
      <c r="Y269" s="195"/>
      <c r="Z269" s="195"/>
      <c r="AA269" s="194"/>
      <c r="AB269" s="194"/>
      <c r="AC269" s="194"/>
      <c r="AD269" s="194"/>
      <c r="AE269" s="194"/>
      <c r="AF269" s="194"/>
      <c r="AG269" s="29" t="s">
        <v>40</v>
      </c>
      <c r="AH269" s="192"/>
      <c r="AK269" s="192"/>
      <c r="AL269" s="192"/>
      <c r="AM269" s="192"/>
      <c r="AN269" s="192"/>
      <c r="AO269" s="193"/>
      <c r="AP269" s="192"/>
      <c r="AQ269" s="192"/>
      <c r="AR269" s="192"/>
      <c r="AS269" s="192"/>
      <c r="AT269" s="192"/>
      <c r="AU269" s="191"/>
    </row>
    <row r="270" spans="8:51" ht="15.95" customHeight="1">
      <c r="H270" s="190"/>
      <c r="I270" s="189" t="s">
        <v>47</v>
      </c>
      <c r="J270" s="188"/>
      <c r="K270" s="45" t="s">
        <v>51</v>
      </c>
      <c r="L270" s="50"/>
      <c r="M270" s="44"/>
      <c r="N270" s="44"/>
      <c r="O270" s="187"/>
      <c r="P270" s="187"/>
      <c r="Q270" s="187"/>
      <c r="R270" s="187"/>
      <c r="S270" s="187"/>
      <c r="T270" s="187"/>
      <c r="U270" s="187"/>
      <c r="V270" s="186"/>
      <c r="W270" s="185"/>
      <c r="X270" s="185"/>
      <c r="Y270" s="623" t="s">
        <v>35</v>
      </c>
      <c r="Z270" s="624"/>
      <c r="AA270" s="175">
        <v>0.2</v>
      </c>
      <c r="AB270" s="175">
        <v>0.2</v>
      </c>
      <c r="AC270" s="175">
        <v>0.2</v>
      </c>
      <c r="AD270" s="175">
        <v>0.2</v>
      </c>
      <c r="AE270" s="175">
        <v>0.2</v>
      </c>
      <c r="AF270" s="175">
        <v>0.2</v>
      </c>
      <c r="AG270" s="45" t="s">
        <v>43</v>
      </c>
      <c r="AH270" s="183"/>
      <c r="AI270" s="183"/>
      <c r="AJ270" s="183"/>
      <c r="AK270" s="183"/>
      <c r="AL270" s="183"/>
      <c r="AM270" s="183"/>
      <c r="AN270" s="183"/>
      <c r="AO270" s="184"/>
      <c r="AP270" s="183"/>
      <c r="AQ270" s="183"/>
      <c r="AR270" s="183"/>
      <c r="AS270" s="183"/>
      <c r="AT270" s="183"/>
      <c r="AU270" s="182"/>
    </row>
    <row r="271" spans="8:51" ht="15.95" customHeight="1" thickBot="1">
      <c r="H271" s="181"/>
      <c r="I271" s="180" t="s">
        <v>50</v>
      </c>
      <c r="J271" s="179"/>
      <c r="K271" s="38" t="s">
        <v>49</v>
      </c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7"/>
      <c r="W271" s="176"/>
      <c r="X271" s="176"/>
      <c r="Y271" s="623" t="s">
        <v>35</v>
      </c>
      <c r="Z271" s="624"/>
      <c r="AA271" s="175">
        <v>0.8</v>
      </c>
      <c r="AB271" s="175">
        <v>0.8</v>
      </c>
      <c r="AC271" s="175">
        <v>0.8</v>
      </c>
      <c r="AD271" s="175">
        <v>0.8</v>
      </c>
      <c r="AE271" s="175">
        <v>0.8</v>
      </c>
      <c r="AF271" s="175">
        <v>0.8</v>
      </c>
      <c r="AG271" s="38" t="s">
        <v>48</v>
      </c>
      <c r="AH271" s="173"/>
      <c r="AI271" s="173"/>
      <c r="AJ271" s="173"/>
      <c r="AK271" s="173"/>
      <c r="AL271" s="173"/>
      <c r="AM271" s="173"/>
      <c r="AN271" s="173"/>
      <c r="AO271" s="174"/>
      <c r="AP271" s="173"/>
      <c r="AQ271" s="173"/>
      <c r="AR271" s="173"/>
      <c r="AS271" s="173"/>
      <c r="AT271" s="173"/>
      <c r="AU271" s="172"/>
    </row>
    <row r="272" spans="8:51" ht="15.75" customHeight="1">
      <c r="H272" s="34" t="s">
        <v>47</v>
      </c>
      <c r="I272" s="171"/>
      <c r="J272" s="170"/>
      <c r="K272" s="169" t="str">
        <f>K271</f>
        <v>Ultradur B4520 Q120 (B) PBT Resin (Malaysia)</v>
      </c>
      <c r="L272" s="161"/>
      <c r="M272" s="161"/>
      <c r="N272" s="161"/>
      <c r="O272" s="160"/>
      <c r="P272" s="160"/>
      <c r="Q272" s="160"/>
      <c r="R272" s="160"/>
      <c r="S272" s="160"/>
      <c r="T272" s="160"/>
      <c r="U272" s="160"/>
      <c r="V272" s="159"/>
      <c r="W272" s="158"/>
      <c r="X272" s="158"/>
      <c r="Y272" s="158"/>
      <c r="Z272" s="158"/>
      <c r="AA272" s="157"/>
      <c r="AB272" s="157"/>
      <c r="AC272" s="157"/>
      <c r="AD272" s="157"/>
      <c r="AE272" s="157"/>
      <c r="AF272" s="157"/>
      <c r="AG272" s="29" t="s">
        <v>40</v>
      </c>
      <c r="AH272" s="28"/>
      <c r="AI272" s="157"/>
      <c r="AJ272" s="28"/>
      <c r="AK272" s="28"/>
      <c r="AL272" s="28"/>
      <c r="AM272" s="28"/>
      <c r="AN272" s="121"/>
      <c r="AO272" s="156"/>
      <c r="AP272" s="87"/>
      <c r="AQ272" s="155"/>
      <c r="AR272" s="155"/>
      <c r="AS272" s="155"/>
      <c r="AT272" s="155"/>
      <c r="AU272" s="154"/>
    </row>
    <row r="273" spans="8:47" ht="15.95" customHeight="1" thickBot="1">
      <c r="H273" s="168"/>
      <c r="I273" s="167" t="s">
        <v>46</v>
      </c>
      <c r="J273" s="166"/>
      <c r="K273" s="22" t="s">
        <v>45</v>
      </c>
      <c r="L273" s="137"/>
      <c r="M273" s="21"/>
      <c r="N273" s="21"/>
      <c r="O273" s="24"/>
      <c r="P273" s="24"/>
      <c r="Q273" s="24"/>
      <c r="R273" s="24"/>
      <c r="S273" s="24"/>
      <c r="T273" s="24"/>
      <c r="U273" s="24"/>
      <c r="V273" s="136"/>
      <c r="W273" s="135"/>
      <c r="X273" s="135"/>
      <c r="Y273" s="589" t="s">
        <v>35</v>
      </c>
      <c r="Z273" s="590"/>
      <c r="AA273" s="165">
        <v>1</v>
      </c>
      <c r="AB273" s="165">
        <v>1</v>
      </c>
      <c r="AC273" s="165">
        <v>1</v>
      </c>
      <c r="AD273" s="165">
        <v>1</v>
      </c>
      <c r="AE273" s="165">
        <v>1</v>
      </c>
      <c r="AF273" s="165">
        <v>1</v>
      </c>
      <c r="AG273" s="22" t="s">
        <v>43</v>
      </c>
      <c r="AH273" s="21"/>
      <c r="AI273" s="21"/>
      <c r="AJ273" s="21"/>
      <c r="AK273" s="21"/>
      <c r="AL273" s="21"/>
      <c r="AM273" s="21"/>
      <c r="AN273" s="133"/>
      <c r="AO273" s="22"/>
      <c r="AP273" s="21"/>
      <c r="AQ273" s="132"/>
      <c r="AR273" s="132"/>
      <c r="AS273" s="132"/>
      <c r="AT273" s="132"/>
      <c r="AU273" s="131"/>
    </row>
    <row r="274" spans="8:47" ht="15.75" hidden="1" customHeight="1">
      <c r="H274" s="164" t="s">
        <v>44</v>
      </c>
      <c r="I274" s="163"/>
      <c r="J274" s="162"/>
      <c r="K274" s="127" t="s">
        <v>41</v>
      </c>
      <c r="L274" s="161"/>
      <c r="M274" s="161"/>
      <c r="N274" s="161"/>
      <c r="O274" s="160"/>
      <c r="P274" s="160"/>
      <c r="Q274" s="160"/>
      <c r="R274" s="160"/>
      <c r="S274" s="160"/>
      <c r="T274" s="160"/>
      <c r="U274" s="160"/>
      <c r="V274" s="159"/>
      <c r="W274" s="158"/>
      <c r="X274" s="158"/>
      <c r="Y274" s="158"/>
      <c r="Z274" s="158"/>
      <c r="AA274" s="157"/>
      <c r="AB274" s="157"/>
      <c r="AC274" s="157"/>
      <c r="AD274" s="157"/>
      <c r="AE274" s="157"/>
      <c r="AF274" s="157"/>
      <c r="AG274" s="29" t="s">
        <v>40</v>
      </c>
      <c r="AH274" s="28"/>
      <c r="AI274" s="157"/>
      <c r="AJ274" s="28"/>
      <c r="AK274" s="28"/>
      <c r="AL274" s="28"/>
      <c r="AM274" s="28"/>
      <c r="AN274" s="121"/>
      <c r="AO274" s="156"/>
      <c r="AP274" s="87"/>
      <c r="AQ274" s="155"/>
      <c r="AR274" s="155"/>
      <c r="AS274" s="155"/>
      <c r="AT274" s="155"/>
      <c r="AU274" s="154"/>
    </row>
    <row r="275" spans="8:47" ht="15.95" hidden="1" customHeight="1">
      <c r="H275" s="153"/>
      <c r="I275" s="152" t="s">
        <v>39</v>
      </c>
      <c r="J275" s="151"/>
      <c r="K275" s="150" t="s">
        <v>38</v>
      </c>
      <c r="L275" s="149"/>
      <c r="M275" s="37"/>
      <c r="N275" s="37"/>
      <c r="O275" s="40"/>
      <c r="P275" s="40"/>
      <c r="Q275" s="40"/>
      <c r="R275" s="40"/>
      <c r="S275" s="40"/>
      <c r="T275" s="40"/>
      <c r="U275" s="40"/>
      <c r="V275" s="148"/>
      <c r="W275" s="147"/>
      <c r="X275" s="147"/>
      <c r="Y275" s="621" t="s">
        <v>35</v>
      </c>
      <c r="Z275" s="622"/>
      <c r="AA275" s="145">
        <v>0.95238095238095233</v>
      </c>
      <c r="AB275" s="145">
        <v>0.95238095238095233</v>
      </c>
      <c r="AC275" s="145">
        <v>0.95238095238095233</v>
      </c>
      <c r="AD275" s="146">
        <v>0.95238095238095233</v>
      </c>
      <c r="AE275" s="145"/>
      <c r="AF275" s="145"/>
      <c r="AG275" s="38" t="s">
        <v>43</v>
      </c>
      <c r="AH275" s="37"/>
      <c r="AI275" s="37"/>
      <c r="AJ275" s="37"/>
      <c r="AK275" s="37"/>
      <c r="AL275" s="37"/>
      <c r="AM275" s="37"/>
      <c r="AN275" s="144"/>
      <c r="AO275" s="38"/>
      <c r="AP275" s="37"/>
      <c r="AQ275" s="143"/>
      <c r="AR275" s="143"/>
      <c r="AS275" s="143"/>
      <c r="AT275" s="143"/>
      <c r="AU275" s="142"/>
    </row>
    <row r="276" spans="8:47" ht="15.95" hidden="1" customHeight="1" thickBot="1">
      <c r="H276" s="141"/>
      <c r="I276" s="140" t="s">
        <v>37</v>
      </c>
      <c r="J276" s="139"/>
      <c r="K276" s="138" t="s">
        <v>36</v>
      </c>
      <c r="L276" s="137"/>
      <c r="M276" s="21"/>
      <c r="N276" s="21"/>
      <c r="O276" s="24"/>
      <c r="P276" s="24"/>
      <c r="Q276" s="24"/>
      <c r="R276" s="24"/>
      <c r="S276" s="24"/>
      <c r="T276" s="24"/>
      <c r="U276" s="24"/>
      <c r="V276" s="136"/>
      <c r="W276" s="135"/>
      <c r="X276" s="135"/>
      <c r="Y276" s="589" t="s">
        <v>35</v>
      </c>
      <c r="Z276" s="590"/>
      <c r="AA276" s="134">
        <v>4.7619047619047616E-2</v>
      </c>
      <c r="AB276" s="134">
        <v>4.7619047619047616E-2</v>
      </c>
      <c r="AC276" s="134">
        <v>4.7619047619047616E-2</v>
      </c>
      <c r="AD276" s="134">
        <v>4.7619047619047616E-2</v>
      </c>
      <c r="AE276" s="134"/>
      <c r="AF276" s="134"/>
      <c r="AG276" s="22" t="s">
        <v>43</v>
      </c>
      <c r="AH276" s="21"/>
      <c r="AI276" s="21"/>
      <c r="AJ276" s="21"/>
      <c r="AK276" s="21"/>
      <c r="AL276" s="21"/>
      <c r="AM276" s="21"/>
      <c r="AN276" s="133"/>
      <c r="AO276" s="22"/>
      <c r="AP276" s="21"/>
      <c r="AQ276" s="132"/>
      <c r="AR276" s="132"/>
      <c r="AS276" s="132"/>
      <c r="AT276" s="132"/>
      <c r="AU276" s="131"/>
    </row>
    <row r="277" spans="8:47" ht="15.95" customHeight="1">
      <c r="H277" s="130" t="s">
        <v>42</v>
      </c>
      <c r="I277" s="129"/>
      <c r="J277" s="128"/>
      <c r="K277" s="127" t="s">
        <v>41</v>
      </c>
      <c r="L277" s="31"/>
      <c r="M277" s="28"/>
      <c r="N277" s="28"/>
      <c r="O277" s="126"/>
      <c r="P277" s="126"/>
      <c r="Q277" s="126"/>
      <c r="R277" s="126"/>
      <c r="S277" s="126"/>
      <c r="T277" s="126"/>
      <c r="U277" s="125"/>
      <c r="V277" s="123"/>
      <c r="W277" s="123"/>
      <c r="X277" s="124"/>
      <c r="Y277" s="123"/>
      <c r="Z277" s="123"/>
      <c r="AA277" s="122"/>
      <c r="AB277" s="122"/>
      <c r="AC277" s="122"/>
      <c r="AD277" s="122"/>
      <c r="AE277" s="122"/>
      <c r="AF277" s="122"/>
      <c r="AG277" s="29" t="s">
        <v>40</v>
      </c>
      <c r="AH277" s="28"/>
      <c r="AI277" s="28"/>
      <c r="AJ277" s="28"/>
      <c r="AK277" s="28"/>
      <c r="AL277" s="28"/>
      <c r="AM277" s="28"/>
      <c r="AN277" s="121"/>
      <c r="AO277" s="28"/>
      <c r="AP277" s="28"/>
      <c r="AQ277" s="120"/>
      <c r="AR277" s="120"/>
      <c r="AS277" s="120"/>
      <c r="AT277" s="120"/>
      <c r="AU277" s="119"/>
    </row>
    <row r="278" spans="8:47" ht="15.95" customHeight="1">
      <c r="H278" s="118"/>
      <c r="I278" s="117" t="s">
        <v>39</v>
      </c>
      <c r="J278" s="116"/>
      <c r="K278" s="115" t="s">
        <v>38</v>
      </c>
      <c r="L278" s="114"/>
      <c r="M278" s="46"/>
      <c r="N278" s="46"/>
      <c r="O278" s="113"/>
      <c r="P278" s="113"/>
      <c r="Q278" s="113"/>
      <c r="R278" s="113"/>
      <c r="S278" s="113"/>
      <c r="T278" s="113"/>
      <c r="U278" s="112"/>
      <c r="V278" s="111"/>
      <c r="W278" s="111"/>
      <c r="X278" s="110"/>
      <c r="Y278" s="623" t="s">
        <v>35</v>
      </c>
      <c r="Z278" s="624"/>
      <c r="AA278" s="109">
        <f t="shared" ref="AA278:AF278" si="15">25/(25+1.25)</f>
        <v>0.95238095238095233</v>
      </c>
      <c r="AB278" s="109">
        <f t="shared" si="15"/>
        <v>0.95238095238095233</v>
      </c>
      <c r="AC278" s="109">
        <f t="shared" si="15"/>
        <v>0.95238095238095233</v>
      </c>
      <c r="AD278" s="109">
        <f t="shared" si="15"/>
        <v>0.95238095238095233</v>
      </c>
      <c r="AE278" s="109">
        <f t="shared" si="15"/>
        <v>0.95238095238095233</v>
      </c>
      <c r="AF278" s="109">
        <f t="shared" si="15"/>
        <v>0.95238095238095233</v>
      </c>
      <c r="AG278" s="108" t="s">
        <v>34</v>
      </c>
      <c r="AH278" s="46"/>
      <c r="AI278" s="46"/>
      <c r="AJ278" s="46"/>
      <c r="AK278" s="46"/>
      <c r="AL278" s="46"/>
      <c r="AM278" s="46"/>
      <c r="AN278" s="107"/>
      <c r="AO278" s="46"/>
      <c r="AP278" s="46"/>
      <c r="AQ278" s="66"/>
      <c r="AR278" s="66"/>
      <c r="AS278" s="66"/>
      <c r="AT278" s="66"/>
      <c r="AU278" s="106"/>
    </row>
    <row r="279" spans="8:47" ht="15.95" customHeight="1" thickBot="1">
      <c r="H279" s="105"/>
      <c r="I279" s="104" t="s">
        <v>37</v>
      </c>
      <c r="J279" s="103"/>
      <c r="K279" s="102" t="s">
        <v>36</v>
      </c>
      <c r="L279" s="101"/>
      <c r="M279" s="93"/>
      <c r="N279" s="93"/>
      <c r="O279" s="100"/>
      <c r="P279" s="100"/>
      <c r="Q279" s="100"/>
      <c r="R279" s="100"/>
      <c r="S279" s="100"/>
      <c r="T279" s="100"/>
      <c r="U279" s="99"/>
      <c r="V279" s="98"/>
      <c r="W279" s="98"/>
      <c r="X279" s="97"/>
      <c r="Y279" s="589" t="s">
        <v>35</v>
      </c>
      <c r="Z279" s="590"/>
      <c r="AA279" s="96">
        <f t="shared" ref="AA279:AF279" si="16">1.25/(25+1.25)</f>
        <v>4.7619047619047616E-2</v>
      </c>
      <c r="AB279" s="96">
        <f t="shared" si="16"/>
        <v>4.7619047619047616E-2</v>
      </c>
      <c r="AC279" s="96">
        <f t="shared" si="16"/>
        <v>4.7619047619047616E-2</v>
      </c>
      <c r="AD279" s="96">
        <f t="shared" si="16"/>
        <v>4.7619047619047616E-2</v>
      </c>
      <c r="AE279" s="96">
        <f t="shared" si="16"/>
        <v>4.7619047619047616E-2</v>
      </c>
      <c r="AF279" s="96">
        <f t="shared" si="16"/>
        <v>4.7619047619047616E-2</v>
      </c>
      <c r="AG279" s="95" t="s">
        <v>34</v>
      </c>
      <c r="AH279" s="93"/>
      <c r="AI279" s="93"/>
      <c r="AJ279" s="93"/>
      <c r="AK279" s="93"/>
      <c r="AL279" s="93"/>
      <c r="AM279" s="93"/>
      <c r="AN279" s="94"/>
      <c r="AO279" s="93"/>
      <c r="AP279" s="93"/>
      <c r="AQ279" s="92"/>
      <c r="AR279" s="92"/>
      <c r="AS279" s="92"/>
      <c r="AT279" s="92"/>
      <c r="AU279" s="91"/>
    </row>
    <row r="280" spans="8:47" ht="15.95" customHeight="1">
      <c r="H280" s="90"/>
      <c r="I280" s="89"/>
      <c r="J280" s="89"/>
      <c r="K280" s="87"/>
      <c r="L280" s="87"/>
      <c r="M280" s="87"/>
      <c r="N280" s="87"/>
      <c r="O280" s="88"/>
      <c r="P280" s="88"/>
      <c r="Q280" s="88"/>
      <c r="R280" s="88"/>
      <c r="S280" s="88"/>
      <c r="T280" s="88"/>
      <c r="U280" s="88"/>
      <c r="V280" s="87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6"/>
    </row>
    <row r="281" spans="8:47" ht="15.95" customHeight="1">
      <c r="H281" s="85" t="s">
        <v>33</v>
      </c>
      <c r="I281" s="84"/>
      <c r="J281" s="84"/>
      <c r="K281" s="83"/>
      <c r="L281" s="83"/>
      <c r="M281" s="83"/>
      <c r="N281" s="83"/>
      <c r="O281" s="81" t="s">
        <v>32</v>
      </c>
      <c r="P281" s="82"/>
      <c r="Q281" s="81"/>
      <c r="R281" s="81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79"/>
      <c r="AN281" s="78"/>
      <c r="AU281" s="72"/>
    </row>
    <row r="282" spans="8:47" ht="15.95" customHeight="1">
      <c r="H282" s="77"/>
      <c r="I282" s="76"/>
      <c r="J282" s="76"/>
      <c r="K282" s="75"/>
      <c r="L282" s="75"/>
      <c r="M282" s="75"/>
      <c r="N282" s="75"/>
      <c r="O282" s="658" t="s">
        <v>31</v>
      </c>
      <c r="P282" s="658"/>
      <c r="Q282" s="658" t="s">
        <v>30</v>
      </c>
      <c r="R282" s="658"/>
      <c r="S282" s="659" t="s">
        <v>29</v>
      </c>
      <c r="T282" s="660"/>
      <c r="U282" s="74" t="s">
        <v>28</v>
      </c>
      <c r="V282" s="661" t="s">
        <v>27</v>
      </c>
      <c r="W282" s="660"/>
      <c r="X282" s="661" t="s">
        <v>26</v>
      </c>
      <c r="Y282" s="660"/>
      <c r="Z282" s="661" t="s">
        <v>25</v>
      </c>
      <c r="AA282" s="660"/>
      <c r="AB282" s="661" t="s">
        <v>24</v>
      </c>
      <c r="AC282" s="660"/>
      <c r="AD282" s="661" t="s">
        <v>23</v>
      </c>
      <c r="AE282" s="659"/>
      <c r="AF282" s="659"/>
      <c r="AG282" s="660"/>
      <c r="AH282" s="661" t="s">
        <v>22</v>
      </c>
      <c r="AI282" s="660"/>
      <c r="AJ282" s="661" t="s">
        <v>21</v>
      </c>
      <c r="AK282" s="660"/>
      <c r="AL282" s="661" t="s">
        <v>20</v>
      </c>
      <c r="AM282" s="660"/>
      <c r="AN282" s="73"/>
      <c r="AU282" s="72"/>
    </row>
    <row r="283" spans="8:47" ht="15.95" customHeight="1">
      <c r="H283" s="71"/>
      <c r="I283" s="70"/>
      <c r="J283" s="70"/>
      <c r="K283" s="69"/>
      <c r="L283" s="69"/>
      <c r="M283" s="69"/>
      <c r="N283" s="69"/>
      <c r="O283" s="652"/>
      <c r="P283" s="653"/>
      <c r="Q283" s="654"/>
      <c r="R283" s="654"/>
      <c r="S283" s="655"/>
      <c r="T283" s="656"/>
      <c r="U283" s="68"/>
      <c r="V283" s="657"/>
      <c r="W283" s="656"/>
      <c r="X283" s="657"/>
      <c r="Y283" s="656"/>
      <c r="Z283" s="657"/>
      <c r="AA283" s="656"/>
      <c r="AB283" s="657"/>
      <c r="AC283" s="656"/>
      <c r="AD283" s="657"/>
      <c r="AE283" s="655"/>
      <c r="AF283" s="655"/>
      <c r="AG283" s="656"/>
      <c r="AH283" s="657"/>
      <c r="AI283" s="656"/>
      <c r="AJ283" s="657"/>
      <c r="AK283" s="656"/>
      <c r="AL283" s="657"/>
      <c r="AM283" s="656"/>
      <c r="AN283" s="67"/>
      <c r="AO283" s="66"/>
      <c r="AP283" s="66"/>
      <c r="AQ283" s="66"/>
      <c r="AR283" s="66"/>
      <c r="AS283" s="66"/>
      <c r="AT283" s="66"/>
      <c r="AU283" s="65"/>
    </row>
    <row r="284" spans="8:47" ht="15.75" customHeight="1"/>
    <row r="286" spans="8:47" ht="15.95" customHeight="1" thickBot="1">
      <c r="H286" s="64"/>
      <c r="I286" s="63"/>
      <c r="J286" s="63"/>
      <c r="K286" s="61"/>
      <c r="L286" s="61"/>
      <c r="M286" s="61"/>
      <c r="N286" s="61"/>
      <c r="O286" s="62"/>
      <c r="P286" s="62"/>
      <c r="Q286" s="62"/>
      <c r="R286" s="62"/>
      <c r="S286" s="62"/>
      <c r="T286" s="62"/>
      <c r="U286" s="62"/>
      <c r="V286" s="61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1"/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0"/>
    </row>
    <row r="287" spans="8:47" ht="15.95" customHeight="1" thickBot="1">
      <c r="H287" s="731" t="s">
        <v>19</v>
      </c>
      <c r="I287" s="648"/>
      <c r="J287" s="648"/>
      <c r="K287" s="648"/>
      <c r="L287" s="648"/>
      <c r="M287" s="648"/>
      <c r="N287" s="648"/>
      <c r="O287" s="648"/>
      <c r="P287" s="648"/>
      <c r="Q287" s="648"/>
      <c r="R287" s="648"/>
      <c r="S287" s="648"/>
      <c r="T287" s="648"/>
      <c r="U287" s="648"/>
      <c r="V287" s="648"/>
      <c r="W287" s="648"/>
      <c r="X287" s="648"/>
      <c r="Y287" s="648"/>
      <c r="Z287" s="648"/>
      <c r="AA287" s="648"/>
      <c r="AB287" s="648"/>
      <c r="AC287" s="648"/>
      <c r="AD287" s="648"/>
      <c r="AE287" s="648"/>
      <c r="AF287" s="648"/>
      <c r="AG287" s="648"/>
      <c r="AH287" s="648"/>
      <c r="AI287" s="648"/>
      <c r="AJ287" s="648"/>
      <c r="AK287" s="648"/>
      <c r="AL287" s="648"/>
      <c r="AM287" s="648"/>
      <c r="AN287" s="648"/>
      <c r="AO287" s="648"/>
      <c r="AP287" s="648"/>
      <c r="AQ287" s="648"/>
      <c r="AR287" s="648"/>
      <c r="AS287" s="648"/>
      <c r="AT287" s="648"/>
      <c r="AU287" s="649"/>
    </row>
    <row r="288" spans="8:47" ht="15.95" customHeight="1" thickBot="1">
      <c r="H288" s="732" t="s">
        <v>18</v>
      </c>
      <c r="I288" s="526"/>
      <c r="J288" s="527"/>
      <c r="K288" s="530" t="s">
        <v>17</v>
      </c>
      <c r="L288" s="531"/>
      <c r="M288" s="531"/>
      <c r="N288" s="531"/>
      <c r="O288" s="531"/>
      <c r="P288" s="531"/>
      <c r="Q288" s="531"/>
      <c r="R288" s="531"/>
      <c r="S288" s="531"/>
      <c r="T288" s="531"/>
      <c r="U288" s="531"/>
      <c r="V288" s="534" t="s">
        <v>16</v>
      </c>
      <c r="W288" s="535"/>
      <c r="X288" s="535"/>
      <c r="Y288" s="530" t="s">
        <v>15</v>
      </c>
      <c r="Z288" s="538"/>
      <c r="AA288" s="59" t="str">
        <f>AA128</f>
        <v>FG573-JINHEc</v>
      </c>
      <c r="AB288" s="59" t="str">
        <f t="shared" ref="AB288:AE289" si="17">+AB128</f>
        <v>FG591-FASa</v>
      </c>
      <c r="AC288" s="59" t="str">
        <f t="shared" si="17"/>
        <v>FG592-FASa</v>
      </c>
      <c r="AD288" s="59" t="str">
        <f t="shared" si="17"/>
        <v>FG601-FASTc</v>
      </c>
      <c r="AE288" s="59" t="str">
        <f t="shared" si="17"/>
        <v>FG623-JINHEc</v>
      </c>
      <c r="AF288" s="58"/>
      <c r="AG288" s="540" t="s">
        <v>14</v>
      </c>
      <c r="AH288" s="541"/>
      <c r="AI288" s="541"/>
      <c r="AJ288" s="541"/>
      <c r="AK288" s="541"/>
      <c r="AL288" s="541"/>
      <c r="AM288" s="541"/>
      <c r="AN288" s="542"/>
      <c r="AO288" s="530" t="s">
        <v>13</v>
      </c>
      <c r="AP288" s="531"/>
      <c r="AQ288" s="531"/>
      <c r="AR288" s="531"/>
      <c r="AS288" s="531"/>
      <c r="AT288" s="531"/>
      <c r="AU288" s="546"/>
    </row>
    <row r="289" spans="8:47" ht="15.75" customHeight="1" thickBot="1">
      <c r="H289" s="733"/>
      <c r="I289" s="528"/>
      <c r="J289" s="529"/>
      <c r="K289" s="532"/>
      <c r="L289" s="533"/>
      <c r="M289" s="533"/>
      <c r="N289" s="533"/>
      <c r="O289" s="533"/>
      <c r="P289" s="533"/>
      <c r="Q289" s="533"/>
      <c r="R289" s="533"/>
      <c r="S289" s="533"/>
      <c r="T289" s="533"/>
      <c r="U289" s="533"/>
      <c r="V289" s="536"/>
      <c r="W289" s="537"/>
      <c r="X289" s="537"/>
      <c r="Y289" s="532"/>
      <c r="Z289" s="539"/>
      <c r="AA289" s="57" t="str">
        <f>AA23</f>
        <v>84*</v>
      </c>
      <c r="AB289" s="56" t="str">
        <f t="shared" si="17"/>
        <v>9C*</v>
      </c>
      <c r="AC289" s="56" t="str">
        <f t="shared" si="17"/>
        <v>9D*</v>
      </c>
      <c r="AD289" s="56" t="str">
        <f t="shared" si="17"/>
        <v>9E*</v>
      </c>
      <c r="AE289" s="56" t="str">
        <f t="shared" si="17"/>
        <v>9W*</v>
      </c>
      <c r="AF289" s="55"/>
      <c r="AG289" s="543"/>
      <c r="AH289" s="544"/>
      <c r="AI289" s="544"/>
      <c r="AJ289" s="544"/>
      <c r="AK289" s="544"/>
      <c r="AL289" s="544"/>
      <c r="AM289" s="544"/>
      <c r="AN289" s="545"/>
      <c r="AO289" s="532"/>
      <c r="AP289" s="533"/>
      <c r="AQ289" s="533"/>
      <c r="AR289" s="533"/>
      <c r="AS289" s="533"/>
      <c r="AT289" s="533"/>
      <c r="AU289" s="547"/>
    </row>
    <row r="290" spans="8:47" ht="15.75" customHeight="1" thickTop="1">
      <c r="H290" s="54" t="s">
        <v>12</v>
      </c>
      <c r="I290" s="53"/>
      <c r="J290" s="52"/>
      <c r="K290" s="51" t="s">
        <v>11</v>
      </c>
      <c r="L290" s="50"/>
      <c r="M290" s="50"/>
      <c r="N290" s="50"/>
      <c r="O290" s="49"/>
      <c r="P290" s="49"/>
      <c r="Q290" s="49"/>
      <c r="R290" s="49"/>
      <c r="S290" s="49"/>
      <c r="T290" s="49"/>
      <c r="U290" s="49"/>
      <c r="V290" s="48"/>
      <c r="W290" s="47"/>
      <c r="X290" s="47"/>
      <c r="Y290" s="47"/>
      <c r="Z290" s="47"/>
      <c r="AA290" s="47"/>
      <c r="AB290" s="47"/>
      <c r="AC290" s="47"/>
      <c r="AD290" s="47"/>
      <c r="AE290" s="47"/>
      <c r="AF290" s="46"/>
      <c r="AG290" s="45" t="s">
        <v>5</v>
      </c>
      <c r="AH290" s="44"/>
      <c r="AI290" s="44"/>
      <c r="AJ290" s="44"/>
      <c r="AK290" s="44"/>
      <c r="AL290" s="44"/>
      <c r="AM290" s="44"/>
      <c r="AN290" s="44"/>
      <c r="AO290" s="45"/>
      <c r="AP290" s="44"/>
      <c r="AQ290" s="44"/>
      <c r="AR290" s="44"/>
      <c r="AS290" s="44"/>
      <c r="AT290" s="44"/>
      <c r="AU290" s="43"/>
    </row>
    <row r="291" spans="8:47" ht="15.75" customHeight="1" thickBot="1">
      <c r="H291" s="42"/>
      <c r="I291" s="600" t="s">
        <v>10</v>
      </c>
      <c r="J291" s="601"/>
      <c r="K291" s="41" t="s">
        <v>9</v>
      </c>
      <c r="L291" s="37"/>
      <c r="M291" s="37"/>
      <c r="N291" s="37"/>
      <c r="O291" s="40"/>
      <c r="P291" s="40"/>
      <c r="Q291" s="40"/>
      <c r="R291" s="40"/>
      <c r="S291" s="40"/>
      <c r="T291" s="40"/>
      <c r="U291" s="40"/>
      <c r="V291" s="593" t="s">
        <v>8</v>
      </c>
      <c r="W291" s="594"/>
      <c r="X291" s="595"/>
      <c r="Y291" s="574" t="s">
        <v>1</v>
      </c>
      <c r="Z291" s="575"/>
      <c r="AA291" s="39">
        <v>1</v>
      </c>
      <c r="AB291" s="39">
        <v>1</v>
      </c>
      <c r="AC291" s="39">
        <v>1</v>
      </c>
      <c r="AD291" s="39">
        <v>1</v>
      </c>
      <c r="AE291" s="39">
        <v>1</v>
      </c>
      <c r="AF291" s="39"/>
      <c r="AG291" s="38" t="s">
        <v>0</v>
      </c>
      <c r="AH291" s="37"/>
      <c r="AI291" s="37"/>
      <c r="AJ291" s="37"/>
      <c r="AK291" s="37"/>
      <c r="AL291" s="37"/>
      <c r="AM291" s="37"/>
      <c r="AN291" s="37"/>
      <c r="AO291" s="38"/>
      <c r="AP291" s="37"/>
      <c r="AQ291" s="37"/>
      <c r="AR291" s="37"/>
      <c r="AS291" s="37"/>
      <c r="AT291" s="37"/>
      <c r="AU291" s="36"/>
    </row>
    <row r="292" spans="8:47" ht="15.75" customHeight="1">
      <c r="H292" s="35" t="s">
        <v>7</v>
      </c>
      <c r="I292" s="34"/>
      <c r="J292" s="33"/>
      <c r="K292" s="32" t="s">
        <v>6</v>
      </c>
      <c r="L292" s="31"/>
      <c r="M292" s="31"/>
      <c r="N292" s="31"/>
      <c r="O292" s="30"/>
      <c r="P292" s="30"/>
      <c r="Q292" s="30"/>
      <c r="R292" s="30"/>
      <c r="S292" s="30"/>
      <c r="T292" s="30"/>
      <c r="U292" s="30"/>
      <c r="V292" s="29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9" t="s">
        <v>5</v>
      </c>
      <c r="AH292" s="28"/>
      <c r="AI292" s="28"/>
      <c r="AJ292" s="28"/>
      <c r="AK292" s="28"/>
      <c r="AL292" s="28"/>
      <c r="AM292" s="28"/>
      <c r="AN292" s="28"/>
      <c r="AO292" s="29"/>
      <c r="AP292" s="28"/>
      <c r="AQ292" s="28"/>
      <c r="AR292" s="28"/>
      <c r="AS292" s="28"/>
      <c r="AT292" s="28"/>
      <c r="AU292" s="27"/>
    </row>
    <row r="293" spans="8:47" ht="15.95" customHeight="1" thickBot="1">
      <c r="H293" s="26"/>
      <c r="I293" s="600" t="s">
        <v>4</v>
      </c>
      <c r="J293" s="601"/>
      <c r="K293" s="25" t="s">
        <v>3</v>
      </c>
      <c r="L293" s="21"/>
      <c r="M293" s="21"/>
      <c r="N293" s="21"/>
      <c r="O293" s="24"/>
      <c r="P293" s="24"/>
      <c r="Q293" s="24"/>
      <c r="R293" s="24"/>
      <c r="S293" s="24"/>
      <c r="T293" s="24"/>
      <c r="U293" s="24"/>
      <c r="V293" s="593" t="s">
        <v>2</v>
      </c>
      <c r="W293" s="594"/>
      <c r="X293" s="595"/>
      <c r="Y293" s="593" t="s">
        <v>1</v>
      </c>
      <c r="Z293" s="595"/>
      <c r="AA293" s="23">
        <v>1</v>
      </c>
      <c r="AB293" s="23">
        <v>1</v>
      </c>
      <c r="AC293" s="23">
        <v>1</v>
      </c>
      <c r="AD293" s="23">
        <v>1</v>
      </c>
      <c r="AE293" s="23">
        <v>1</v>
      </c>
      <c r="AF293" s="23"/>
      <c r="AG293" s="22" t="s">
        <v>0</v>
      </c>
      <c r="AH293" s="21"/>
      <c r="AI293" s="21"/>
      <c r="AJ293" s="21"/>
      <c r="AK293" s="21"/>
      <c r="AL293" s="21"/>
      <c r="AM293" s="21"/>
      <c r="AN293" s="21"/>
      <c r="AO293" s="22"/>
      <c r="AP293" s="21"/>
      <c r="AQ293" s="21"/>
      <c r="AR293" s="21"/>
      <c r="AS293" s="21"/>
      <c r="AT293" s="21"/>
      <c r="AU293" s="20"/>
    </row>
    <row r="294" spans="8:47" ht="15.75" customHeight="1" thickBot="1">
      <c r="H294" s="19"/>
      <c r="I294" s="18"/>
      <c r="J294" s="18"/>
      <c r="K294" s="13"/>
      <c r="L294" s="13"/>
      <c r="M294" s="17"/>
      <c r="N294" s="17"/>
      <c r="O294" s="16"/>
      <c r="P294" s="16"/>
      <c r="Q294" s="16"/>
      <c r="R294" s="16"/>
      <c r="S294" s="16"/>
      <c r="T294" s="16"/>
      <c r="U294" s="16"/>
      <c r="V294" s="13"/>
      <c r="W294" s="15"/>
      <c r="X294" s="13"/>
      <c r="Y294" s="15"/>
      <c r="Z294" s="15"/>
      <c r="AA294" s="14"/>
      <c r="AB294" s="14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2"/>
    </row>
    <row r="295" spans="8:47" ht="15.95" customHeight="1">
      <c r="H295" s="11"/>
      <c r="I295" s="10"/>
      <c r="J295" s="9"/>
      <c r="K295" s="8"/>
      <c r="L295" s="8"/>
      <c r="M295" s="8"/>
      <c r="N295" s="8"/>
      <c r="O295" s="8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6"/>
      <c r="AQ295" s="6"/>
      <c r="AR295" s="6"/>
      <c r="AS295" s="5"/>
      <c r="AT295" s="5"/>
      <c r="AU295" s="5"/>
    </row>
    <row r="296" spans="8:47" ht="15.75" customHeight="1"/>
    <row r="297" spans="8:47" ht="15.75" customHeight="1"/>
    <row r="299" spans="8:47" ht="15" customHeight="1"/>
    <row r="301" spans="8:47" ht="15.75" customHeight="1"/>
    <row r="309" ht="15.75" customHeight="1"/>
    <row r="310" ht="18.75" customHeight="1"/>
    <row r="311" ht="15.75" customHeight="1"/>
    <row r="312" ht="15.75" customHeight="1"/>
    <row r="316" ht="18.75" customHeight="1"/>
    <row r="317" ht="15.75" customHeight="1"/>
    <row r="318" ht="15.75" customHeight="1"/>
    <row r="327" ht="15.75" customHeight="1"/>
  </sheetData>
  <mergeCells count="633">
    <mergeCell ref="V288:X289"/>
    <mergeCell ref="Y288:Z289"/>
    <mergeCell ref="AG288:AN289"/>
    <mergeCell ref="AO288:AU289"/>
    <mergeCell ref="I291:J291"/>
    <mergeCell ref="V291:X291"/>
    <mergeCell ref="Y291:Z291"/>
    <mergeCell ref="I293:J293"/>
    <mergeCell ref="V293:X293"/>
    <mergeCell ref="Y293:Z293"/>
    <mergeCell ref="AJ283:AK283"/>
    <mergeCell ref="AL283:AM283"/>
    <mergeCell ref="AB282:AC282"/>
    <mergeCell ref="AD282:AG282"/>
    <mergeCell ref="AH282:AI282"/>
    <mergeCell ref="AJ282:AK282"/>
    <mergeCell ref="AL282:AM282"/>
    <mergeCell ref="X282:Y282"/>
    <mergeCell ref="Z282:AA282"/>
    <mergeCell ref="Z283:AA283"/>
    <mergeCell ref="AB283:AC283"/>
    <mergeCell ref="AD283:AG283"/>
    <mergeCell ref="AH283:AI283"/>
    <mergeCell ref="O283:P283"/>
    <mergeCell ref="Q283:R283"/>
    <mergeCell ref="S283:T283"/>
    <mergeCell ref="V283:W283"/>
    <mergeCell ref="X283:Y283"/>
    <mergeCell ref="H287:AU287"/>
    <mergeCell ref="H288:J289"/>
    <mergeCell ref="K288:U289"/>
    <mergeCell ref="H262:J262"/>
    <mergeCell ref="I263:J263"/>
    <mergeCell ref="V263:X263"/>
    <mergeCell ref="Y263:Z263"/>
    <mergeCell ref="Y279:Z279"/>
    <mergeCell ref="O282:P282"/>
    <mergeCell ref="Q282:R282"/>
    <mergeCell ref="S282:T282"/>
    <mergeCell ref="V282:W282"/>
    <mergeCell ref="V265:X265"/>
    <mergeCell ref="Y265:Z265"/>
    <mergeCell ref="H266:AU266"/>
    <mergeCell ref="H267:J268"/>
    <mergeCell ref="K267:U268"/>
    <mergeCell ref="V267:X268"/>
    <mergeCell ref="Y267:Z268"/>
    <mergeCell ref="AG267:AN268"/>
    <mergeCell ref="AO267:AU268"/>
    <mergeCell ref="Y270:Z270"/>
    <mergeCell ref="Y271:Z271"/>
    <mergeCell ref="Y273:Z273"/>
    <mergeCell ref="Y275:Z275"/>
    <mergeCell ref="Y276:Z276"/>
    <mergeCell ref="Y278:Z278"/>
    <mergeCell ref="I251:J251"/>
    <mergeCell ref="V251:X251"/>
    <mergeCell ref="Y251:Z251"/>
    <mergeCell ref="I264:J264"/>
    <mergeCell ref="V264:X264"/>
    <mergeCell ref="Y264:Z264"/>
    <mergeCell ref="H253:J253"/>
    <mergeCell ref="I254:J254"/>
    <mergeCell ref="V254:X254"/>
    <mergeCell ref="Y254:Z254"/>
    <mergeCell ref="V255:X255"/>
    <mergeCell ref="Y255:Z255"/>
    <mergeCell ref="H256:J256"/>
    <mergeCell ref="I257:J257"/>
    <mergeCell ref="V257:X257"/>
    <mergeCell ref="Y257:Z257"/>
    <mergeCell ref="V258:X258"/>
    <mergeCell ref="Y258:Z258"/>
    <mergeCell ref="H259:J259"/>
    <mergeCell ref="I260:J260"/>
    <mergeCell ref="V260:X260"/>
    <mergeCell ref="Y260:Z260"/>
    <mergeCell ref="V261:X261"/>
    <mergeCell ref="Y261:Z261"/>
    <mergeCell ref="V252:X252"/>
    <mergeCell ref="Y252:Z252"/>
    <mergeCell ref="AP239:AR240"/>
    <mergeCell ref="AS239:AU240"/>
    <mergeCell ref="H241:AU241"/>
    <mergeCell ref="H242:J243"/>
    <mergeCell ref="K242:U243"/>
    <mergeCell ref="V242:X243"/>
    <mergeCell ref="Y242:Z243"/>
    <mergeCell ref="AG242:AN243"/>
    <mergeCell ref="AO242:AU243"/>
    <mergeCell ref="H244:J244"/>
    <mergeCell ref="I245:J245"/>
    <mergeCell ref="V245:X245"/>
    <mergeCell ref="Y245:Z245"/>
    <mergeCell ref="V246:X246"/>
    <mergeCell ref="Y246:Z246"/>
    <mergeCell ref="H247:J247"/>
    <mergeCell ref="I248:J248"/>
    <mergeCell ref="V248:X248"/>
    <mergeCell ref="Y248:Z248"/>
    <mergeCell ref="V249:X249"/>
    <mergeCell ref="Y249:Z249"/>
    <mergeCell ref="H250:J250"/>
    <mergeCell ref="AB230:AC230"/>
    <mergeCell ref="AD230:AG230"/>
    <mergeCell ref="AH230:AI230"/>
    <mergeCell ref="AO231:AU232"/>
    <mergeCell ref="H233:J233"/>
    <mergeCell ref="V233:X233"/>
    <mergeCell ref="V234:X234"/>
    <mergeCell ref="Y234:Z234"/>
    <mergeCell ref="J236:O238"/>
    <mergeCell ref="P236:AJ240"/>
    <mergeCell ref="AP236:AU238"/>
    <mergeCell ref="AK237:AO237"/>
    <mergeCell ref="AK238:AO238"/>
    <mergeCell ref="AJ230:AK230"/>
    <mergeCell ref="AL230:AM230"/>
    <mergeCell ref="H231:J232"/>
    <mergeCell ref="K231:U232"/>
    <mergeCell ref="V231:X232"/>
    <mergeCell ref="Y231:Z232"/>
    <mergeCell ref="AG231:AN232"/>
    <mergeCell ref="AB229:AC229"/>
    <mergeCell ref="AD229:AG229"/>
    <mergeCell ref="AH229:AI229"/>
    <mergeCell ref="AJ229:AK229"/>
    <mergeCell ref="AL229:AM229"/>
    <mergeCell ref="Z229:AA229"/>
    <mergeCell ref="O229:P229"/>
    <mergeCell ref="Q229:R229"/>
    <mergeCell ref="S229:T229"/>
    <mergeCell ref="V229:W229"/>
    <mergeCell ref="X229:Y229"/>
    <mergeCell ref="O230:P230"/>
    <mergeCell ref="Q230:R230"/>
    <mergeCell ref="S230:T230"/>
    <mergeCell ref="V230:W230"/>
    <mergeCell ref="X230:Y230"/>
    <mergeCell ref="Z230:AA230"/>
    <mergeCell ref="AB228:AC228"/>
    <mergeCell ref="AD228:AG228"/>
    <mergeCell ref="AH228:AI228"/>
    <mergeCell ref="AJ228:AK228"/>
    <mergeCell ref="AL228:AM228"/>
    <mergeCell ref="Q228:R228"/>
    <mergeCell ref="S228:T228"/>
    <mergeCell ref="V228:W228"/>
    <mergeCell ref="X228:Y228"/>
    <mergeCell ref="Z228:AA228"/>
    <mergeCell ref="H219:J219"/>
    <mergeCell ref="V219:X219"/>
    <mergeCell ref="V220:X220"/>
    <mergeCell ref="Y220:Z220"/>
    <mergeCell ref="V221:X221"/>
    <mergeCell ref="Y221:Z221"/>
    <mergeCell ref="V222:X222"/>
    <mergeCell ref="Y222:Z222"/>
    <mergeCell ref="I223:J223"/>
    <mergeCell ref="V223:X223"/>
    <mergeCell ref="Y223:Z223"/>
    <mergeCell ref="Y214:Z214"/>
    <mergeCell ref="V215:X215"/>
    <mergeCell ref="Y215:Z215"/>
    <mergeCell ref="V224:X224"/>
    <mergeCell ref="Y224:Z224"/>
    <mergeCell ref="V225:X225"/>
    <mergeCell ref="Y225:Z225"/>
    <mergeCell ref="O228:P228"/>
    <mergeCell ref="V218:X218"/>
    <mergeCell ref="Y218:Z218"/>
    <mergeCell ref="H202:AU202"/>
    <mergeCell ref="V216:X216"/>
    <mergeCell ref="Y216:Z216"/>
    <mergeCell ref="V217:X217"/>
    <mergeCell ref="Y217:Z217"/>
    <mergeCell ref="H205:J205"/>
    <mergeCell ref="V205:X205"/>
    <mergeCell ref="V206:X206"/>
    <mergeCell ref="Y206:Z206"/>
    <mergeCell ref="V207:X207"/>
    <mergeCell ref="Y207:Z207"/>
    <mergeCell ref="V208:X208"/>
    <mergeCell ref="Y208:Z208"/>
    <mergeCell ref="I209:J209"/>
    <mergeCell ref="V209:X209"/>
    <mergeCell ref="Y209:Z209"/>
    <mergeCell ref="V210:X210"/>
    <mergeCell ref="Y210:Z210"/>
    <mergeCell ref="V211:X211"/>
    <mergeCell ref="Y211:Z211"/>
    <mergeCell ref="V212:X212"/>
    <mergeCell ref="V213:X213"/>
    <mergeCell ref="Y213:Z213"/>
    <mergeCell ref="V214:X214"/>
    <mergeCell ref="V198:X198"/>
    <mergeCell ref="Y198:Z198"/>
    <mergeCell ref="H199:J199"/>
    <mergeCell ref="V199:X199"/>
    <mergeCell ref="I200:J200"/>
    <mergeCell ref="V200:X200"/>
    <mergeCell ref="Y200:Z200"/>
    <mergeCell ref="I201:J201"/>
    <mergeCell ref="V201:X201"/>
    <mergeCell ref="Y201:Z201"/>
    <mergeCell ref="Y188:Z189"/>
    <mergeCell ref="AG188:AN189"/>
    <mergeCell ref="AO188:AU189"/>
    <mergeCell ref="H190:J190"/>
    <mergeCell ref="V190:X190"/>
    <mergeCell ref="H203:J204"/>
    <mergeCell ref="K203:U204"/>
    <mergeCell ref="V203:X204"/>
    <mergeCell ref="Y203:Z204"/>
    <mergeCell ref="AG203:AN204"/>
    <mergeCell ref="AO203:AU204"/>
    <mergeCell ref="V193:X193"/>
    <mergeCell ref="I194:J194"/>
    <mergeCell ref="V194:X194"/>
    <mergeCell ref="Y194:Z194"/>
    <mergeCell ref="I195:J195"/>
    <mergeCell ref="V195:X195"/>
    <mergeCell ref="Y195:Z195"/>
    <mergeCell ref="H196:J196"/>
    <mergeCell ref="V196:X196"/>
    <mergeCell ref="I197:J197"/>
    <mergeCell ref="V197:X197"/>
    <mergeCell ref="Y197:Z197"/>
    <mergeCell ref="I198:J198"/>
    <mergeCell ref="I191:J191"/>
    <mergeCell ref="V191:X191"/>
    <mergeCell ref="Y191:Z191"/>
    <mergeCell ref="I192:J192"/>
    <mergeCell ref="V192:X192"/>
    <mergeCell ref="Y192:Z192"/>
    <mergeCell ref="I181:J181"/>
    <mergeCell ref="V181:X181"/>
    <mergeCell ref="Y181:Z181"/>
    <mergeCell ref="H182:J182"/>
    <mergeCell ref="V182:X182"/>
    <mergeCell ref="I183:J183"/>
    <mergeCell ref="V183:X183"/>
    <mergeCell ref="Y183:Z183"/>
    <mergeCell ref="I184:J184"/>
    <mergeCell ref="V184:X184"/>
    <mergeCell ref="Y184:Z184"/>
    <mergeCell ref="I185:J185"/>
    <mergeCell ref="V185:X185"/>
    <mergeCell ref="Y185:Z185"/>
    <mergeCell ref="H187:AU187"/>
    <mergeCell ref="H188:J189"/>
    <mergeCell ref="K188:U189"/>
    <mergeCell ref="V188:X189"/>
    <mergeCell ref="I180:J180"/>
    <mergeCell ref="V180:X180"/>
    <mergeCell ref="Y180:Z180"/>
    <mergeCell ref="V167:X167"/>
    <mergeCell ref="Y167:Z167"/>
    <mergeCell ref="Y168:Z168"/>
    <mergeCell ref="V169:X169"/>
    <mergeCell ref="Y169:Z169"/>
    <mergeCell ref="Y170:Z170"/>
    <mergeCell ref="H172:AU172"/>
    <mergeCell ref="H173:J174"/>
    <mergeCell ref="K173:U174"/>
    <mergeCell ref="V173:X174"/>
    <mergeCell ref="Y173:Z174"/>
    <mergeCell ref="AG173:AN174"/>
    <mergeCell ref="AO173:AU174"/>
    <mergeCell ref="H175:J175"/>
    <mergeCell ref="V175:X175"/>
    <mergeCell ref="I176:J176"/>
    <mergeCell ref="V176:X176"/>
    <mergeCell ref="Y176:Z176"/>
    <mergeCell ref="I177:J177"/>
    <mergeCell ref="V177:X177"/>
    <mergeCell ref="Y177:Z177"/>
    <mergeCell ref="H164:AU164"/>
    <mergeCell ref="H165:J166"/>
    <mergeCell ref="K165:U166"/>
    <mergeCell ref="V165:X166"/>
    <mergeCell ref="Y165:Z166"/>
    <mergeCell ref="AG165:AN166"/>
    <mergeCell ref="AO165:AU166"/>
    <mergeCell ref="I179:J179"/>
    <mergeCell ref="V179:X179"/>
    <mergeCell ref="Y179:Z179"/>
    <mergeCell ref="H178:J178"/>
    <mergeCell ref="V178:X178"/>
    <mergeCell ref="V155:X155"/>
    <mergeCell ref="Y155:Z155"/>
    <mergeCell ref="V156:X156"/>
    <mergeCell ref="Y156:Z156"/>
    <mergeCell ref="Y157:Z157"/>
    <mergeCell ref="H158:J158"/>
    <mergeCell ref="V161:X161"/>
    <mergeCell ref="Y161:Z161"/>
    <mergeCell ref="Y162:Z162"/>
    <mergeCell ref="I144:J144"/>
    <mergeCell ref="V144:X144"/>
    <mergeCell ref="Y144:Z144"/>
    <mergeCell ref="H145:J145"/>
    <mergeCell ref="V145:X145"/>
    <mergeCell ref="V159:X159"/>
    <mergeCell ref="Y159:Z159"/>
    <mergeCell ref="V160:X160"/>
    <mergeCell ref="Y160:Z160"/>
    <mergeCell ref="V148:X148"/>
    <mergeCell ref="Y148:Z148"/>
    <mergeCell ref="I149:J149"/>
    <mergeCell ref="V149:X149"/>
    <mergeCell ref="Y149:Z149"/>
    <mergeCell ref="H150:AU150"/>
    <mergeCell ref="H151:J152"/>
    <mergeCell ref="K151:U152"/>
    <mergeCell ref="V151:X152"/>
    <mergeCell ref="Y151:Z152"/>
    <mergeCell ref="AG151:AN152"/>
    <mergeCell ref="AO151:AU152"/>
    <mergeCell ref="H153:J153"/>
    <mergeCell ref="V154:X154"/>
    <mergeCell ref="Y154:Z154"/>
    <mergeCell ref="I146:J146"/>
    <mergeCell ref="Y146:Z146"/>
    <mergeCell ref="I147:J147"/>
    <mergeCell ref="V147:X147"/>
    <mergeCell ref="Y147:Z147"/>
    <mergeCell ref="I136:J136"/>
    <mergeCell ref="Y136:Z136"/>
    <mergeCell ref="I137:J137"/>
    <mergeCell ref="V137:X137"/>
    <mergeCell ref="Y137:Z137"/>
    <mergeCell ref="V138:X138"/>
    <mergeCell ref="Y138:Z138"/>
    <mergeCell ref="I139:J139"/>
    <mergeCell ref="V139:X139"/>
    <mergeCell ref="Y139:Z139"/>
    <mergeCell ref="H140:J140"/>
    <mergeCell ref="V140:X140"/>
    <mergeCell ref="I141:J141"/>
    <mergeCell ref="Y141:Z141"/>
    <mergeCell ref="I142:J142"/>
    <mergeCell ref="V142:X142"/>
    <mergeCell ref="Y142:Z142"/>
    <mergeCell ref="V143:X143"/>
    <mergeCell ref="Y143:Z143"/>
    <mergeCell ref="AP122:AU124"/>
    <mergeCell ref="AK123:AO123"/>
    <mergeCell ref="AK124:AO124"/>
    <mergeCell ref="AP125:AR126"/>
    <mergeCell ref="AS125:AU126"/>
    <mergeCell ref="H127:AU127"/>
    <mergeCell ref="H128:J129"/>
    <mergeCell ref="K128:U129"/>
    <mergeCell ref="V128:X129"/>
    <mergeCell ref="Y128:Z129"/>
    <mergeCell ref="AG128:AN129"/>
    <mergeCell ref="AO128:AU129"/>
    <mergeCell ref="AJ121:AK121"/>
    <mergeCell ref="AL121:AM121"/>
    <mergeCell ref="I134:J134"/>
    <mergeCell ref="V134:X134"/>
    <mergeCell ref="Y134:Z134"/>
    <mergeCell ref="H135:J135"/>
    <mergeCell ref="V135:X135"/>
    <mergeCell ref="J122:O124"/>
    <mergeCell ref="P122:AJ126"/>
    <mergeCell ref="H130:J130"/>
    <mergeCell ref="V130:X130"/>
    <mergeCell ref="I131:J131"/>
    <mergeCell ref="V131:X131"/>
    <mergeCell ref="Y131:Z131"/>
    <mergeCell ref="I132:J132"/>
    <mergeCell ref="V132:X132"/>
    <mergeCell ref="Y132:Z132"/>
    <mergeCell ref="V133:X133"/>
    <mergeCell ref="Y133:Z133"/>
    <mergeCell ref="AO111:AU112"/>
    <mergeCell ref="K113:U113"/>
    <mergeCell ref="K114:U114"/>
    <mergeCell ref="Y114:Z114"/>
    <mergeCell ref="O121:P121"/>
    <mergeCell ref="Q121:R121"/>
    <mergeCell ref="S121:T121"/>
    <mergeCell ref="V121:W121"/>
    <mergeCell ref="X121:Y121"/>
    <mergeCell ref="O120:P120"/>
    <mergeCell ref="Q120:R120"/>
    <mergeCell ref="S120:T120"/>
    <mergeCell ref="V120:W120"/>
    <mergeCell ref="X120:Y120"/>
    <mergeCell ref="AB120:AC120"/>
    <mergeCell ref="AD120:AG120"/>
    <mergeCell ref="AH120:AI120"/>
    <mergeCell ref="AJ120:AK120"/>
    <mergeCell ref="AL120:AM120"/>
    <mergeCell ref="Z120:AA120"/>
    <mergeCell ref="Z121:AA121"/>
    <mergeCell ref="AB121:AC121"/>
    <mergeCell ref="AD121:AG121"/>
    <mergeCell ref="AH121:AI121"/>
    <mergeCell ref="AG102:AN103"/>
    <mergeCell ref="AO102:AU103"/>
    <mergeCell ref="K115:U115"/>
    <mergeCell ref="K116:U116"/>
    <mergeCell ref="Y116:Z116"/>
    <mergeCell ref="I106:J106"/>
    <mergeCell ref="K106:T106"/>
    <mergeCell ref="V106:X106"/>
    <mergeCell ref="Y106:Z106"/>
    <mergeCell ref="H107:J107"/>
    <mergeCell ref="K107:T107"/>
    <mergeCell ref="I108:J108"/>
    <mergeCell ref="V108:X108"/>
    <mergeCell ref="Y108:Z108"/>
    <mergeCell ref="I109:J109"/>
    <mergeCell ref="K109:T109"/>
    <mergeCell ref="V109:X109"/>
    <mergeCell ref="Y109:Z109"/>
    <mergeCell ref="H110:AU110"/>
    <mergeCell ref="H111:J112"/>
    <mergeCell ref="K111:U112"/>
    <mergeCell ref="V111:X112"/>
    <mergeCell ref="Y111:Z112"/>
    <mergeCell ref="AG111:AN112"/>
    <mergeCell ref="H104:J104"/>
    <mergeCell ref="K104:T104"/>
    <mergeCell ref="I105:J105"/>
    <mergeCell ref="V105:X105"/>
    <mergeCell ref="Y105:Z105"/>
    <mergeCell ref="I91:J91"/>
    <mergeCell ref="K91:U91"/>
    <mergeCell ref="Y91:Z91"/>
    <mergeCell ref="H93:AU93"/>
    <mergeCell ref="H94:J95"/>
    <mergeCell ref="K94:U95"/>
    <mergeCell ref="V94:X95"/>
    <mergeCell ref="Y94:Z95"/>
    <mergeCell ref="AG94:AN95"/>
    <mergeCell ref="AO94:AU95"/>
    <mergeCell ref="I97:J97"/>
    <mergeCell ref="Y97:Z97"/>
    <mergeCell ref="I99:J99"/>
    <mergeCell ref="Y99:Z99"/>
    <mergeCell ref="H101:AU101"/>
    <mergeCell ref="H102:J103"/>
    <mergeCell ref="K102:U103"/>
    <mergeCell ref="V102:X103"/>
    <mergeCell ref="Y102:Z103"/>
    <mergeCell ref="H90:J90"/>
    <mergeCell ref="K90:U90"/>
    <mergeCell ref="H76:J76"/>
    <mergeCell ref="V76:X76"/>
    <mergeCell ref="I77:J77"/>
    <mergeCell ref="Y77:Z77"/>
    <mergeCell ref="I78:J78"/>
    <mergeCell ref="Y78:Z78"/>
    <mergeCell ref="I79:J79"/>
    <mergeCell ref="Y79:Z79"/>
    <mergeCell ref="H80:J80"/>
    <mergeCell ref="V80:X80"/>
    <mergeCell ref="I81:J81"/>
    <mergeCell ref="Y81:Z81"/>
    <mergeCell ref="I82:J82"/>
    <mergeCell ref="Y82:Z82"/>
    <mergeCell ref="I83:J83"/>
    <mergeCell ref="Y83:Z83"/>
    <mergeCell ref="H85:AU85"/>
    <mergeCell ref="H86:J87"/>
    <mergeCell ref="K86:U87"/>
    <mergeCell ref="V86:X87"/>
    <mergeCell ref="Y86:Z87"/>
    <mergeCell ref="AG86:AN87"/>
    <mergeCell ref="H74:J75"/>
    <mergeCell ref="K74:U75"/>
    <mergeCell ref="V74:X75"/>
    <mergeCell ref="Y74:Z75"/>
    <mergeCell ref="AG74:AN75"/>
    <mergeCell ref="AO74:AU75"/>
    <mergeCell ref="H88:J88"/>
    <mergeCell ref="K88:U88"/>
    <mergeCell ref="I89:J89"/>
    <mergeCell ref="Y89:Z89"/>
    <mergeCell ref="AO86:AU87"/>
    <mergeCell ref="Y63:Z63"/>
    <mergeCell ref="Y67:Z67"/>
    <mergeCell ref="V68:X68"/>
    <mergeCell ref="V69:X69"/>
    <mergeCell ref="Y69:Z69"/>
    <mergeCell ref="V70:X70"/>
    <mergeCell ref="Y71:Z71"/>
    <mergeCell ref="AG71:AN71"/>
    <mergeCell ref="H73:AU73"/>
    <mergeCell ref="V49:X49"/>
    <mergeCell ref="Y49:Z49"/>
    <mergeCell ref="V64:X64"/>
    <mergeCell ref="Y65:Z65"/>
    <mergeCell ref="V66:X66"/>
    <mergeCell ref="H51:J51"/>
    <mergeCell ref="V51:X51"/>
    <mergeCell ref="Y51:Z51"/>
    <mergeCell ref="H53:AU53"/>
    <mergeCell ref="H54:J55"/>
    <mergeCell ref="K54:U55"/>
    <mergeCell ref="V54:X55"/>
    <mergeCell ref="Y54:Z55"/>
    <mergeCell ref="AG54:AN55"/>
    <mergeCell ref="AO54:AU55"/>
    <mergeCell ref="V56:X56"/>
    <mergeCell ref="Y57:Z57"/>
    <mergeCell ref="V58:X58"/>
    <mergeCell ref="Y59:Z59"/>
    <mergeCell ref="V60:X60"/>
    <mergeCell ref="I61:J61"/>
    <mergeCell ref="Y61:Z61"/>
    <mergeCell ref="V62:X62"/>
    <mergeCell ref="I63:J63"/>
    <mergeCell ref="H50:J50"/>
    <mergeCell ref="V50:X50"/>
    <mergeCell ref="Y50:Z50"/>
    <mergeCell ref="H40:J40"/>
    <mergeCell ref="V40:X40"/>
    <mergeCell ref="Y40:Z40"/>
    <mergeCell ref="V41:X41"/>
    <mergeCell ref="Y41:Z41"/>
    <mergeCell ref="V42:X42"/>
    <mergeCell ref="Y42:Z42"/>
    <mergeCell ref="V43:X43"/>
    <mergeCell ref="Y43:Z43"/>
    <mergeCell ref="V44:X44"/>
    <mergeCell ref="Y44:Z44"/>
    <mergeCell ref="V45:X45"/>
    <mergeCell ref="Y45:Z45"/>
    <mergeCell ref="V46:X46"/>
    <mergeCell ref="Y46:Z46"/>
    <mergeCell ref="V47:X47"/>
    <mergeCell ref="Y47:Z47"/>
    <mergeCell ref="H48:J48"/>
    <mergeCell ref="V48:X48"/>
    <mergeCell ref="Y48:Z48"/>
    <mergeCell ref="H49:J49"/>
    <mergeCell ref="AO35:AU35"/>
    <mergeCell ref="Y36:Z36"/>
    <mergeCell ref="AO36:AU36"/>
    <mergeCell ref="H37:J37"/>
    <mergeCell ref="V37:X37"/>
    <mergeCell ref="Y37:Z37"/>
    <mergeCell ref="H38:J38"/>
    <mergeCell ref="V38:X38"/>
    <mergeCell ref="Y38:Z38"/>
    <mergeCell ref="H39:J39"/>
    <mergeCell ref="V39:X39"/>
    <mergeCell ref="Y39:Z39"/>
    <mergeCell ref="V30:X30"/>
    <mergeCell ref="Y30:Z30"/>
    <mergeCell ref="V31:X31"/>
    <mergeCell ref="Y31:Z31"/>
    <mergeCell ref="V32:X32"/>
    <mergeCell ref="Y32:Z32"/>
    <mergeCell ref="V35:X35"/>
    <mergeCell ref="Y35:Z35"/>
    <mergeCell ref="V34:X34"/>
    <mergeCell ref="Y34:Z34"/>
    <mergeCell ref="AO34:AU34"/>
    <mergeCell ref="K24:P24"/>
    <mergeCell ref="V24:X24"/>
    <mergeCell ref="Y24:Z24"/>
    <mergeCell ref="V25:X25"/>
    <mergeCell ref="Y25:Z25"/>
    <mergeCell ref="V26:X26"/>
    <mergeCell ref="Y26:Z26"/>
    <mergeCell ref="V27:X27"/>
    <mergeCell ref="Y27:Z27"/>
    <mergeCell ref="V28:X28"/>
    <mergeCell ref="Y28:Z28"/>
    <mergeCell ref="V29:X29"/>
    <mergeCell ref="Y29:Z29"/>
    <mergeCell ref="AA18:AB18"/>
    <mergeCell ref="AC18:AH18"/>
    <mergeCell ref="H19:J19"/>
    <mergeCell ref="V19:Z19"/>
    <mergeCell ref="AA19:AB19"/>
    <mergeCell ref="AC19:AH19"/>
    <mergeCell ref="H21:AU21"/>
    <mergeCell ref="AO32:AU32"/>
    <mergeCell ref="Y33:Z33"/>
    <mergeCell ref="AO33:AU33"/>
    <mergeCell ref="H22:J23"/>
    <mergeCell ref="K22:U23"/>
    <mergeCell ref="V22:X23"/>
    <mergeCell ref="Y22:Z23"/>
    <mergeCell ref="AG22:AN23"/>
    <mergeCell ref="AO22:AU23"/>
    <mergeCell ref="H14:J14"/>
    <mergeCell ref="V14:Z14"/>
    <mergeCell ref="AA14:AB14"/>
    <mergeCell ref="AC14:AH14"/>
    <mergeCell ref="H15:J15"/>
    <mergeCell ref="V15:Z15"/>
    <mergeCell ref="AA15:AB15"/>
    <mergeCell ref="AC15:AH15"/>
    <mergeCell ref="H16:J16"/>
    <mergeCell ref="V16:Z16"/>
    <mergeCell ref="AA16:AB16"/>
    <mergeCell ref="AC16:AH16"/>
    <mergeCell ref="H17:J17"/>
    <mergeCell ref="V17:Z17"/>
    <mergeCell ref="AA17:AB17"/>
    <mergeCell ref="AC17:AH17"/>
    <mergeCell ref="H18:J18"/>
    <mergeCell ref="V18:Z18"/>
    <mergeCell ref="H10:Y11"/>
    <mergeCell ref="AC10:AF10"/>
    <mergeCell ref="AC11:AF11"/>
    <mergeCell ref="AG11:AK11"/>
    <mergeCell ref="AL11:AP11"/>
    <mergeCell ref="AQ11:AU11"/>
    <mergeCell ref="H13:J13"/>
    <mergeCell ref="V13:Z13"/>
    <mergeCell ref="AA13:AB13"/>
    <mergeCell ref="AC13:AH13"/>
    <mergeCell ref="AI13:AU13"/>
    <mergeCell ref="J2:O4"/>
    <mergeCell ref="P2:AO6"/>
    <mergeCell ref="AP2:AU4"/>
    <mergeCell ref="AP5:AR6"/>
    <mergeCell ref="AS5:AU6"/>
    <mergeCell ref="P8:Y8"/>
    <mergeCell ref="AC8:AF8"/>
    <mergeCell ref="AG8:AK9"/>
    <mergeCell ref="AL8:AP9"/>
    <mergeCell ref="AQ8:AU9"/>
    <mergeCell ref="AC9:AF9"/>
  </mergeCells>
  <printOptions horizontalCentered="1"/>
  <pageMargins left="0.70866141732283505" right="0.70866141732283505" top="0.74803149606299202" bottom="0.74803149606299202" header="0.31496062992126" footer="0.31496062992126"/>
  <pageSetup paperSize="8" scale="63" orientation="portrait" r:id="rId1"/>
  <headerFooter alignWithMargins="0">
    <oddFooter>&amp;RAPPR-CO-K-50093 FORM 1-5</oddFooter>
  </headerFooter>
  <rowBreaks count="2" manualBreakCount="2">
    <brk id="121" min="7" max="46" man="1"/>
    <brk id="229" min="7" max="46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1-4</vt:lpstr>
      <vt:lpstr>'Form 1-4'!Print_Area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2019-08-19T04:03:45Z</dcterms:created>
  <dcterms:modified xsi:type="dcterms:W3CDTF">2019-08-27T23:22:40Z</dcterms:modified>
</cp:coreProperties>
</file>