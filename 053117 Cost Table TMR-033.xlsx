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"/>
    </mc:Choice>
  </mc:AlternateContent>
  <xr:revisionPtr revIDLastSave="0" documentId="13_ncr:1_{84B8596C-8F05-43F4-8749-01D9191308BB}" xr6:coauthVersionLast="43" xr6:coauthVersionMax="43" xr10:uidLastSave="{00000000-0000-0000-0000-000000000000}"/>
  <bookViews>
    <workbookView xWindow="-120" yWindow="-120" windowWidth="21840" windowHeight="13140" xr2:uid="{00000000-000D-0000-FFFF-FFFF00000000}"/>
  </bookViews>
  <sheets>
    <sheet name="TMR033 22ch JP" sheetId="1" r:id="rId1"/>
    <sheet name="TMR033 20ch JP B" sheetId="2" r:id="rId2"/>
  </sheets>
  <externalReferences>
    <externalReference r:id="rId3"/>
    <externalReference r:id="rId4"/>
    <externalReference r:id="rId5"/>
  </externalReferences>
  <definedNames>
    <definedName name="__123Graph_A" hidden="1">[1]回収計算!$AB$102:$AF$102</definedName>
    <definedName name="__123Graph_A\B118" localSheetId="1" hidden="1">#REF!</definedName>
    <definedName name="__123Graph_A\B118" hidden="1">#REF!</definedName>
    <definedName name="__123Graph_AROI" localSheetId="1" hidden="1">#REF!</definedName>
    <definedName name="__123Graph_AROI" hidden="1">#REF!</definedName>
    <definedName name="__123Graph_B" localSheetId="1" hidden="1">[2]投資利益率計算!#REF!</definedName>
    <definedName name="__123Graph_B" localSheetId="0" hidden="1">[2]投資利益率計算!#REF!</definedName>
    <definedName name="__123Graph_B" hidden="1">[2]投資利益率計算!#REF!</definedName>
    <definedName name="__123Graph_B\B11" localSheetId="1" hidden="1">#REF!</definedName>
    <definedName name="__123Graph_B\B11" hidden="1">#REF!</definedName>
    <definedName name="__123Graph_B\B118" localSheetId="1" hidden="1">#REF!</definedName>
    <definedName name="__123Graph_B\B118" hidden="1">#REF!</definedName>
    <definedName name="__123Graph_C" localSheetId="1" hidden="1">[2]投資利益率計算!#REF!</definedName>
    <definedName name="__123Graph_C" localSheetId="0" hidden="1">[2]投資利益率計算!#REF!</definedName>
    <definedName name="__123Graph_C" hidden="1">[2]投資利益率計算!#REF!</definedName>
    <definedName name="__123Graph_C\B118" localSheetId="1" hidden="1">#REF!</definedName>
    <definedName name="__123Graph_C\B118" hidden="1">#REF!</definedName>
    <definedName name="__123Graph_D" localSheetId="1" hidden="1">[2]投資利益率計算!#REF!</definedName>
    <definedName name="__123Graph_D" localSheetId="0" hidden="1">[2]投資利益率計算!#REF!</definedName>
    <definedName name="__123Graph_D" hidden="1">[2]投資利益率計算!#REF!</definedName>
    <definedName name="__123Graph_X" localSheetId="1" hidden="1">[2]投資利益率計算!#REF!</definedName>
    <definedName name="__123Graph_X" localSheetId="0" hidden="1">[2]投資利益率計算!#REF!</definedName>
    <definedName name="__123Graph_X" hidden="1">[2]投資利益率計算!#REF!</definedName>
    <definedName name="__123Graph_X\B11" localSheetId="1" hidden="1">#REF!</definedName>
    <definedName name="__123Graph_X\B11" hidden="1">#REF!</definedName>
    <definedName name="__123Graph_XROI" localSheetId="1" hidden="1">#REF!</definedName>
    <definedName name="__123Graph_XROI" hidden="1">#REF!</definedName>
    <definedName name="_1__123Graph_AF_S" localSheetId="1" hidden="1">#REF!</definedName>
    <definedName name="_1__123Graph_AF_S" hidden="1">#REF!</definedName>
    <definedName name="_10__123Graph_Aｸﾞﾗﾌ_13" localSheetId="1" hidden="1">[3]Sheet1!#REF!</definedName>
    <definedName name="_10__123Graph_Aｸﾞﾗﾌ_13" localSheetId="0" hidden="1">[3]Sheet1!#REF!</definedName>
    <definedName name="_100__123Graph_Dｸﾞﾗﾌ_1" hidden="1">[3]Sheet1!$D$39:$D$93</definedName>
    <definedName name="_101__123Graph_Dｸﾞﾗﾌ_10" localSheetId="1" hidden="1">[3]Sheet1!#REF!</definedName>
    <definedName name="_101__123Graph_Dｸﾞﾗﾌ_10" localSheetId="0" hidden="1">[3]Sheet1!#REF!</definedName>
    <definedName name="_102__123Graph_Dｸﾞﾗﾌ_10" localSheetId="1" hidden="1">[3]Sheet1!#REF!</definedName>
    <definedName name="_102__123Graph_Dｸﾞﾗﾌ_10" hidden="1">[3]Sheet1!#REF!</definedName>
    <definedName name="_103__123Graph_Dｸﾞﾗﾌ_15" localSheetId="1" hidden="1">#REF!</definedName>
    <definedName name="_103__123Graph_Dｸﾞﾗﾌ_15" localSheetId="0" hidden="1">#REF!</definedName>
    <definedName name="_104__123Graph_Dｸﾞﾗﾌ_15" localSheetId="1" hidden="1">#REF!</definedName>
    <definedName name="_104__123Graph_Dｸﾞﾗﾌ_15" hidden="1">#REF!</definedName>
    <definedName name="_105__123Graph_Dｸﾞﾗﾌ_16" localSheetId="1" hidden="1">#REF!</definedName>
    <definedName name="_105__123Graph_Dｸﾞﾗﾌ_16" localSheetId="0" hidden="1">#REF!</definedName>
    <definedName name="_106__123Graph_Dｸﾞﾗﾌ_16" localSheetId="1" hidden="1">#REF!</definedName>
    <definedName name="_106__123Graph_Dｸﾞﾗﾌ_16" hidden="1">#REF!</definedName>
    <definedName name="_107__123Graph_Dｸﾞﾗﾌ_17" localSheetId="1" hidden="1">#REF!</definedName>
    <definedName name="_107__123Graph_Dｸﾞﾗﾌ_17" localSheetId="0" hidden="1">#REF!</definedName>
    <definedName name="_108__123Graph_Dｸﾞﾗﾌ_17" localSheetId="1" hidden="1">#REF!</definedName>
    <definedName name="_108__123Graph_Dｸﾞﾗﾌ_17" hidden="1">#REF!</definedName>
    <definedName name="_109__123Graph_Dｸﾞﾗﾌ_18" localSheetId="1" hidden="1">#REF!</definedName>
    <definedName name="_109__123Graph_Dｸﾞﾗﾌ_18" localSheetId="0" hidden="1">#REF!</definedName>
    <definedName name="_11__123Graph_Aｸﾞﾗﾌ_13" localSheetId="1" hidden="1">[3]Sheet1!#REF!</definedName>
    <definedName name="_11__123Graph_Aｸﾞﾗﾌ_13" hidden="1">[3]Sheet1!#REF!</definedName>
    <definedName name="_110__123Graph_Dｸﾞﾗﾌ_18" localSheetId="1" hidden="1">#REF!</definedName>
    <definedName name="_110__123Graph_Dｸﾞﾗﾌ_18" hidden="1">#REF!</definedName>
    <definedName name="_111__123Graph_Dｸﾞﾗﾌ_2" localSheetId="1" hidden="1">[3]Sheet1!#REF!</definedName>
    <definedName name="_111__123Graph_Dｸﾞﾗﾌ_2" localSheetId="0" hidden="1">[3]Sheet1!#REF!</definedName>
    <definedName name="_112__123Graph_Dｸﾞﾗﾌ_2" localSheetId="1" hidden="1">[3]Sheet1!#REF!</definedName>
    <definedName name="_112__123Graph_Dｸﾞﾗﾌ_2" hidden="1">[3]Sheet1!#REF!</definedName>
    <definedName name="_113__123Graph_Dｸﾞﾗﾌ_3" localSheetId="1" hidden="1">[3]Sheet1!#REF!</definedName>
    <definedName name="_113__123Graph_Dｸﾞﾗﾌ_3" localSheetId="0" hidden="1">[3]Sheet1!#REF!</definedName>
    <definedName name="_114__123Graph_Dｸﾞﾗﾌ_3" localSheetId="1" hidden="1">[3]Sheet1!#REF!</definedName>
    <definedName name="_114__123Graph_Dｸﾞﾗﾌ_3" hidden="1">[3]Sheet1!#REF!</definedName>
    <definedName name="_115__123Graph_Dｸﾞﾗﾌ_4" localSheetId="1" hidden="1">[3]Sheet1!#REF!</definedName>
    <definedName name="_115__123Graph_Dｸﾞﾗﾌ_4" localSheetId="0" hidden="1">[3]Sheet1!#REF!</definedName>
    <definedName name="_116__123Graph_Dｸﾞﾗﾌ_4" localSheetId="1" hidden="1">[3]Sheet1!#REF!</definedName>
    <definedName name="_116__123Graph_Dｸﾞﾗﾌ_4" hidden="1">[3]Sheet1!#REF!</definedName>
    <definedName name="_117__123Graph_Dｸﾞﾗﾌ_5" localSheetId="1" hidden="1">[3]Sheet1!#REF!</definedName>
    <definedName name="_117__123Graph_Dｸﾞﾗﾌ_5" localSheetId="0" hidden="1">[3]Sheet1!#REF!</definedName>
    <definedName name="_118__123Graph_Dｸﾞﾗﾌ_5" localSheetId="1" hidden="1">[3]Sheet1!#REF!</definedName>
    <definedName name="_118__123Graph_Dｸﾞﾗﾌ_5" hidden="1">[3]Sheet1!#REF!</definedName>
    <definedName name="_119__123Graph_Dｸﾞﾗﾌ_6" localSheetId="1" hidden="1">[3]Sheet1!#REF!</definedName>
    <definedName name="_119__123Graph_Dｸﾞﾗﾌ_6" localSheetId="0" hidden="1">[3]Sheet1!#REF!</definedName>
    <definedName name="_12__123Graph_Aｸﾞﾗﾌ_14" localSheetId="1" hidden="1">[3]Sheet1!#REF!</definedName>
    <definedName name="_12__123Graph_Aｸﾞﾗﾌ_14" localSheetId="0" hidden="1">[3]Sheet1!#REF!</definedName>
    <definedName name="_120__123Graph_Dｸﾞﾗﾌ_6" localSheetId="1" hidden="1">[3]Sheet1!#REF!</definedName>
    <definedName name="_120__123Graph_Dｸﾞﾗﾌ_6" hidden="1">[3]Sheet1!#REF!</definedName>
    <definedName name="_121__123Graph_Dｸﾞﾗﾌ_7" localSheetId="1" hidden="1">[3]Sheet1!#REF!</definedName>
    <definedName name="_121__123Graph_Dｸﾞﾗﾌ_7" localSheetId="0" hidden="1">[3]Sheet1!#REF!</definedName>
    <definedName name="_122__123Graph_Dｸﾞﾗﾌ_7" localSheetId="1" hidden="1">[3]Sheet1!#REF!</definedName>
    <definedName name="_122__123Graph_Dｸﾞﾗﾌ_7" hidden="1">[3]Sheet1!#REF!</definedName>
    <definedName name="_123__123Graph_Dｸﾞﾗﾌ_8" localSheetId="1" hidden="1">[3]Sheet1!#REF!</definedName>
    <definedName name="_123__123Graph_Dｸﾞﾗﾌ_8" localSheetId="0" hidden="1">[3]Sheet1!#REF!</definedName>
    <definedName name="_124__123Graph_Dｸﾞﾗﾌ_8" localSheetId="1" hidden="1">[3]Sheet1!#REF!</definedName>
    <definedName name="_124__123Graph_Dｸﾞﾗﾌ_8" hidden="1">[3]Sheet1!#REF!</definedName>
    <definedName name="_125__123Graph_Dｸﾞﾗﾌ_9" localSheetId="1" hidden="1">[3]Sheet1!#REF!</definedName>
    <definedName name="_125__123Graph_Dｸﾞﾗﾌ_9" localSheetId="0" hidden="1">[3]Sheet1!#REF!</definedName>
    <definedName name="_126__123Graph_Dｸﾞﾗﾌ_9" localSheetId="1" hidden="1">[3]Sheet1!#REF!</definedName>
    <definedName name="_126__123Graph_Dｸﾞﾗﾌ_9" hidden="1">[3]Sheet1!#REF!</definedName>
    <definedName name="_127__123Graph_Eｸﾞﾗﾌ_1" localSheetId="1" hidden="1">#REF!</definedName>
    <definedName name="_127__123Graph_Eｸﾞﾗﾌ_1" localSheetId="0" hidden="1">#REF!</definedName>
    <definedName name="_128__123Graph_Eｸﾞﾗﾌ_1" localSheetId="1" hidden="1">#REF!</definedName>
    <definedName name="_128__123Graph_Eｸﾞﾗﾌ_1" hidden="1">#REF!</definedName>
    <definedName name="_129__123Graph_Eｸﾞﾗﾌ_10" localSheetId="1" hidden="1">[3]Sheet1!#REF!</definedName>
    <definedName name="_129__123Graph_Eｸﾞﾗﾌ_10" localSheetId="0" hidden="1">[3]Sheet1!#REF!</definedName>
    <definedName name="_13__123Graph_Aｸﾞﾗﾌ_14" localSheetId="1" hidden="1">[3]Sheet1!#REF!</definedName>
    <definedName name="_13__123Graph_Aｸﾞﾗﾌ_14" hidden="1">[3]Sheet1!#REF!</definedName>
    <definedName name="_130__123Graph_Eｸﾞﾗﾌ_10" localSheetId="1" hidden="1">[3]Sheet1!#REF!</definedName>
    <definedName name="_130__123Graph_Eｸﾞﾗﾌ_10" hidden="1">[3]Sheet1!#REF!</definedName>
    <definedName name="_131__123Graph_Eｸﾞﾗﾌ_17" localSheetId="1" hidden="1">#REF!</definedName>
    <definedName name="_131__123Graph_Eｸﾞﾗﾌ_17" localSheetId="0" hidden="1">#REF!</definedName>
    <definedName name="_132__123Graph_Eｸﾞﾗﾌ_17" localSheetId="1" hidden="1">#REF!</definedName>
    <definedName name="_132__123Graph_Eｸﾞﾗﾌ_17" hidden="1">#REF!</definedName>
    <definedName name="_133__123Graph_Eｸﾞﾗﾌ_18" localSheetId="1" hidden="1">#REF!</definedName>
    <definedName name="_133__123Graph_Eｸﾞﾗﾌ_18" localSheetId="0" hidden="1">#REF!</definedName>
    <definedName name="_134__123Graph_Eｸﾞﾗﾌ_18" localSheetId="1" hidden="1">#REF!</definedName>
    <definedName name="_134__123Graph_Eｸﾞﾗﾌ_18" hidden="1">#REF!</definedName>
    <definedName name="_135__123Graph_Eｸﾞﾗﾌ_2" localSheetId="1" hidden="1">#REF!</definedName>
    <definedName name="_135__123Graph_Eｸﾞﾗﾌ_2" localSheetId="0" hidden="1">#REF!</definedName>
    <definedName name="_136__123Graph_Eｸﾞﾗﾌ_2" localSheetId="1" hidden="1">#REF!</definedName>
    <definedName name="_136__123Graph_Eｸﾞﾗﾌ_2" hidden="1">#REF!</definedName>
    <definedName name="_137__123Graph_Eｸﾞﾗﾌ_3" localSheetId="1" hidden="1">[3]Sheet1!#REF!</definedName>
    <definedName name="_137__123Graph_Eｸﾞﾗﾌ_3" localSheetId="0" hidden="1">[3]Sheet1!#REF!</definedName>
    <definedName name="_138__123Graph_Eｸﾞﾗﾌ_3" localSheetId="1" hidden="1">[3]Sheet1!#REF!</definedName>
    <definedName name="_138__123Graph_Eｸﾞﾗﾌ_3" hidden="1">[3]Sheet1!#REF!</definedName>
    <definedName name="_139__123Graph_Eｸﾞﾗﾌ_4" localSheetId="1" hidden="1">[3]Sheet1!#REF!</definedName>
    <definedName name="_139__123Graph_Eｸﾞﾗﾌ_4" localSheetId="0" hidden="1">[3]Sheet1!#REF!</definedName>
    <definedName name="_14__123Graph_Aｸﾞﾗﾌ_15" localSheetId="1" hidden="1">[3]Sheet1!#REF!</definedName>
    <definedName name="_14__123Graph_Aｸﾞﾗﾌ_15" localSheetId="0" hidden="1">[3]Sheet1!#REF!</definedName>
    <definedName name="_140__123Graph_Eｸﾞﾗﾌ_4" localSheetId="1" hidden="1">[3]Sheet1!#REF!</definedName>
    <definedName name="_140__123Graph_Eｸﾞﾗﾌ_4" hidden="1">[3]Sheet1!#REF!</definedName>
    <definedName name="_141__123Graph_Eｸﾞﾗﾌ_9" localSheetId="1" hidden="1">[3]Sheet1!#REF!</definedName>
    <definedName name="_141__123Graph_Eｸﾞﾗﾌ_9" localSheetId="0" hidden="1">[3]Sheet1!#REF!</definedName>
    <definedName name="_142__123Graph_Eｸﾞﾗﾌ_9" localSheetId="1" hidden="1">[3]Sheet1!#REF!</definedName>
    <definedName name="_142__123Graph_Eｸﾞﾗﾌ_9" hidden="1">[3]Sheet1!#REF!</definedName>
    <definedName name="_143__123Graph_Fｸﾞﾗﾌ_1" localSheetId="1" hidden="1">#REF!</definedName>
    <definedName name="_143__123Graph_Fｸﾞﾗﾌ_1" localSheetId="0" hidden="1">#REF!</definedName>
    <definedName name="_144__123Graph_Fｸﾞﾗﾌ_1" localSheetId="1" hidden="1">#REF!</definedName>
    <definedName name="_144__123Graph_Fｸﾞﾗﾌ_1" hidden="1">#REF!</definedName>
    <definedName name="_145__123Graph_Fｸﾞﾗﾌ_2" localSheetId="1" hidden="1">#REF!</definedName>
    <definedName name="_145__123Graph_Fｸﾞﾗﾌ_2" localSheetId="0" hidden="1">#REF!</definedName>
    <definedName name="_146__123Graph_Fｸﾞﾗﾌ_2" localSheetId="1" hidden="1">#REF!</definedName>
    <definedName name="_146__123Graph_Fｸﾞﾗﾌ_2" hidden="1">#REF!</definedName>
    <definedName name="_147__123Graph_LBL_Aｸﾞﾗﾌ_1" localSheetId="1" hidden="1">[3]Sheet1!#REF!</definedName>
    <definedName name="_147__123Graph_LBL_Aｸﾞﾗﾌ_1" localSheetId="0" hidden="1">[3]Sheet1!#REF!</definedName>
    <definedName name="_148__123Graph_LBL_Aｸﾞﾗﾌ_1" localSheetId="1" hidden="1">[3]Sheet1!#REF!</definedName>
    <definedName name="_148__123Graph_LBL_Aｸﾞﾗﾌ_1" hidden="1">[3]Sheet1!#REF!</definedName>
    <definedName name="_149__123Graph_LBL_Aｸﾞﾗﾌ_10" localSheetId="1" hidden="1">[3]Sheet1!#REF!</definedName>
    <definedName name="_149__123Graph_LBL_Aｸﾞﾗﾌ_10" localSheetId="0" hidden="1">[3]Sheet1!#REF!</definedName>
    <definedName name="_15__123Graph_Aｸﾞﾗﾌ_15" localSheetId="1" hidden="1">[3]Sheet1!#REF!</definedName>
    <definedName name="_15__123Graph_Aｸﾞﾗﾌ_15" hidden="1">[3]Sheet1!#REF!</definedName>
    <definedName name="_150__123Graph_LBL_Aｸﾞﾗﾌ_10" localSheetId="1" hidden="1">[3]Sheet1!#REF!</definedName>
    <definedName name="_150__123Graph_LBL_Aｸﾞﾗﾌ_10" hidden="1">[3]Sheet1!#REF!</definedName>
    <definedName name="_151__123Graph_LBL_Aｸﾞﾗﾌ_11" localSheetId="1" hidden="1">[3]Sheet1!#REF!</definedName>
    <definedName name="_151__123Graph_LBL_Aｸﾞﾗﾌ_11" localSheetId="0" hidden="1">[3]Sheet1!#REF!</definedName>
    <definedName name="_152__123Graph_LBL_Aｸﾞﾗﾌ_11" localSheetId="1" hidden="1">[3]Sheet1!#REF!</definedName>
    <definedName name="_152__123Graph_LBL_Aｸﾞﾗﾌ_11" hidden="1">[3]Sheet1!#REF!</definedName>
    <definedName name="_153__123Graph_LBL_Aｸﾞﾗﾌ_12" localSheetId="1" hidden="1">[3]Sheet1!#REF!</definedName>
    <definedName name="_153__123Graph_LBL_Aｸﾞﾗﾌ_12" localSheetId="0" hidden="1">[3]Sheet1!#REF!</definedName>
    <definedName name="_154__123Graph_LBL_Aｸﾞﾗﾌ_12" localSheetId="1" hidden="1">[3]Sheet1!#REF!</definedName>
    <definedName name="_154__123Graph_LBL_Aｸﾞﾗﾌ_12" hidden="1">[3]Sheet1!#REF!</definedName>
    <definedName name="_155__123Graph_LBL_Aｸﾞﾗﾌ_13" localSheetId="1" hidden="1">[3]Sheet1!#REF!</definedName>
    <definedName name="_155__123Graph_LBL_Aｸﾞﾗﾌ_13" localSheetId="0" hidden="1">[3]Sheet1!#REF!</definedName>
    <definedName name="_156__123Graph_LBL_Aｸﾞﾗﾌ_13" localSheetId="1" hidden="1">[3]Sheet1!#REF!</definedName>
    <definedName name="_156__123Graph_LBL_Aｸﾞﾗﾌ_13" hidden="1">[3]Sheet1!#REF!</definedName>
    <definedName name="_157__123Graph_LBL_Aｸﾞﾗﾌ_14" localSheetId="1" hidden="1">[3]Sheet1!#REF!</definedName>
    <definedName name="_157__123Graph_LBL_Aｸﾞﾗﾌ_14" localSheetId="0" hidden="1">[3]Sheet1!#REF!</definedName>
    <definedName name="_158__123Graph_LBL_Aｸﾞﾗﾌ_14" localSheetId="1" hidden="1">[3]Sheet1!#REF!</definedName>
    <definedName name="_158__123Graph_LBL_Aｸﾞﾗﾌ_14" hidden="1">[3]Sheet1!#REF!</definedName>
    <definedName name="_159__123Graph_LBL_Aｸﾞﾗﾌ_15" localSheetId="1" hidden="1">[3]Sheet1!#REF!</definedName>
    <definedName name="_159__123Graph_LBL_Aｸﾞﾗﾌ_15" localSheetId="0" hidden="1">[3]Sheet1!#REF!</definedName>
    <definedName name="_16__123Graph_Aｸﾞﾗﾌ_16" localSheetId="1" hidden="1">[3]Sheet1!#REF!</definedName>
    <definedName name="_16__123Graph_Aｸﾞﾗﾌ_16" localSheetId="0" hidden="1">[3]Sheet1!#REF!</definedName>
    <definedName name="_160__123Graph_LBL_Aｸﾞﾗﾌ_15" localSheetId="1" hidden="1">[3]Sheet1!#REF!</definedName>
    <definedName name="_160__123Graph_LBL_Aｸﾞﾗﾌ_15" hidden="1">[3]Sheet1!#REF!</definedName>
    <definedName name="_161__123Graph_LBL_Aｸﾞﾗﾌ_16" localSheetId="1" hidden="1">[3]Sheet1!#REF!</definedName>
    <definedName name="_161__123Graph_LBL_Aｸﾞﾗﾌ_16" localSheetId="0" hidden="1">[3]Sheet1!#REF!</definedName>
    <definedName name="_162__123Graph_LBL_Aｸﾞﾗﾌ_16" localSheetId="1" hidden="1">[3]Sheet1!#REF!</definedName>
    <definedName name="_162__123Graph_LBL_Aｸﾞﾗﾌ_16" hidden="1">[3]Sheet1!#REF!</definedName>
    <definedName name="_163__123Graph_LBL_Aｸﾞﾗﾌ_17" localSheetId="1" hidden="1">#REF!</definedName>
    <definedName name="_163__123Graph_LBL_Aｸﾞﾗﾌ_17" localSheetId="0" hidden="1">#REF!</definedName>
    <definedName name="_164__123Graph_LBL_Aｸﾞﾗﾌ_17" localSheetId="1" hidden="1">#REF!</definedName>
    <definedName name="_164__123Graph_LBL_Aｸﾞﾗﾌ_17" hidden="1">#REF!</definedName>
    <definedName name="_165__123Graph_LBL_Aｸﾞﾗﾌ_18" localSheetId="1" hidden="1">#REF!</definedName>
    <definedName name="_165__123Graph_LBL_Aｸﾞﾗﾌ_18" localSheetId="0" hidden="1">#REF!</definedName>
    <definedName name="_166__123Graph_LBL_Aｸﾞﾗﾌ_18" localSheetId="1" hidden="1">#REF!</definedName>
    <definedName name="_166__123Graph_LBL_Aｸﾞﾗﾌ_18" hidden="1">#REF!</definedName>
    <definedName name="_167__123Graph_LBL_Aｸﾞﾗﾌ_2" localSheetId="1" hidden="1">[3]Sheet1!#REF!</definedName>
    <definedName name="_167__123Graph_LBL_Aｸﾞﾗﾌ_2" localSheetId="0" hidden="1">[3]Sheet1!#REF!</definedName>
    <definedName name="_168__123Graph_LBL_Aｸﾞﾗﾌ_2" localSheetId="1" hidden="1">[3]Sheet1!#REF!</definedName>
    <definedName name="_168__123Graph_LBL_Aｸﾞﾗﾌ_2" hidden="1">[3]Sheet1!#REF!</definedName>
    <definedName name="_169__123Graph_LBL_Aｸﾞﾗﾌ_3" localSheetId="1" hidden="1">[3]Sheet1!#REF!</definedName>
    <definedName name="_169__123Graph_LBL_Aｸﾞﾗﾌ_3" localSheetId="0" hidden="1">[3]Sheet1!#REF!</definedName>
    <definedName name="_17__123Graph_Aｸﾞﾗﾌ_16" localSheetId="1" hidden="1">[3]Sheet1!#REF!</definedName>
    <definedName name="_17__123Graph_Aｸﾞﾗﾌ_16" hidden="1">[3]Sheet1!#REF!</definedName>
    <definedName name="_170__123Graph_LBL_Aｸﾞﾗﾌ_3" localSheetId="1" hidden="1">[3]Sheet1!#REF!</definedName>
    <definedName name="_170__123Graph_LBL_Aｸﾞﾗﾌ_3" hidden="1">[3]Sheet1!#REF!</definedName>
    <definedName name="_171__123Graph_LBL_Aｸﾞﾗﾌ_4" localSheetId="1" hidden="1">[3]Sheet1!#REF!</definedName>
    <definedName name="_171__123Graph_LBL_Aｸﾞﾗﾌ_4" localSheetId="0" hidden="1">[3]Sheet1!#REF!</definedName>
    <definedName name="_172__123Graph_LBL_Aｸﾞﾗﾌ_4" localSheetId="1" hidden="1">[3]Sheet1!#REF!</definedName>
    <definedName name="_172__123Graph_LBL_Aｸﾞﾗﾌ_4" hidden="1">[3]Sheet1!#REF!</definedName>
    <definedName name="_173__123Graph_LBL_Aｸﾞﾗﾌ_5" localSheetId="1" hidden="1">[3]Sheet1!#REF!</definedName>
    <definedName name="_173__123Graph_LBL_Aｸﾞﾗﾌ_5" localSheetId="0" hidden="1">[3]Sheet1!#REF!</definedName>
    <definedName name="_174__123Graph_LBL_Aｸﾞﾗﾌ_5" localSheetId="1" hidden="1">[3]Sheet1!#REF!</definedName>
    <definedName name="_174__123Graph_LBL_Aｸﾞﾗﾌ_5" hidden="1">[3]Sheet1!#REF!</definedName>
    <definedName name="_175__123Graph_LBL_Aｸﾞﾗﾌ_6" localSheetId="1" hidden="1">[3]Sheet1!#REF!</definedName>
    <definedName name="_175__123Graph_LBL_Aｸﾞﾗﾌ_6" localSheetId="0" hidden="1">[3]Sheet1!#REF!</definedName>
    <definedName name="_176__123Graph_LBL_Aｸﾞﾗﾌ_6" localSheetId="1" hidden="1">[3]Sheet1!#REF!</definedName>
    <definedName name="_176__123Graph_LBL_Aｸﾞﾗﾌ_6" hidden="1">[3]Sheet1!#REF!</definedName>
    <definedName name="_177__123Graph_LBL_Aｸﾞﾗﾌ_7" localSheetId="1" hidden="1">[3]Sheet1!#REF!</definedName>
    <definedName name="_177__123Graph_LBL_Aｸﾞﾗﾌ_7" localSheetId="0" hidden="1">[3]Sheet1!#REF!</definedName>
    <definedName name="_178__123Graph_LBL_Aｸﾞﾗﾌ_7" localSheetId="1" hidden="1">[3]Sheet1!#REF!</definedName>
    <definedName name="_178__123Graph_LBL_Aｸﾞﾗﾌ_7" hidden="1">[3]Sheet1!#REF!</definedName>
    <definedName name="_179__123Graph_LBL_Aｸﾞﾗﾌ_8" localSheetId="1" hidden="1">[3]Sheet1!#REF!</definedName>
    <definedName name="_179__123Graph_LBL_Aｸﾞﾗﾌ_8" localSheetId="0" hidden="1">[3]Sheet1!#REF!</definedName>
    <definedName name="_18__123Graph_Aｸﾞﾗﾌ_17" localSheetId="1" hidden="1">#REF!</definedName>
    <definedName name="_18__123Graph_Aｸﾞﾗﾌ_17" localSheetId="0" hidden="1">#REF!</definedName>
    <definedName name="_180__123Graph_LBL_Aｸﾞﾗﾌ_8" localSheetId="1" hidden="1">[3]Sheet1!#REF!</definedName>
    <definedName name="_180__123Graph_LBL_Aｸﾞﾗﾌ_8" hidden="1">[3]Sheet1!#REF!</definedName>
    <definedName name="_181__123Graph_LBL_Aｸﾞﾗﾌ_9" localSheetId="1" hidden="1">[3]Sheet1!#REF!</definedName>
    <definedName name="_181__123Graph_LBL_Aｸﾞﾗﾌ_9" localSheetId="0" hidden="1">[3]Sheet1!#REF!</definedName>
    <definedName name="_182__123Graph_LBL_Aｸﾞﾗﾌ_9" localSheetId="1" hidden="1">[3]Sheet1!#REF!</definedName>
    <definedName name="_182__123Graph_LBL_Aｸﾞﾗﾌ_9" hidden="1">[3]Sheet1!#REF!</definedName>
    <definedName name="_183__123Graph_XF_S" localSheetId="1" hidden="1">#REF!</definedName>
    <definedName name="_183__123Graph_XF_S" hidden="1">#REF!</definedName>
    <definedName name="_184__123Graph_Xｸﾞﾗﾌ_1" hidden="1">[3]Sheet1!$C$39:$C$111</definedName>
    <definedName name="_185__123Graph_Xｸﾞﾗﾌ_10" hidden="1">[3]Sheet1!$C$39:$C$111</definedName>
    <definedName name="_186__123Graph_Xｸﾞﾗﾌ_11" hidden="1">[3]Sheet1!$C$39:$C$111</definedName>
    <definedName name="_187__123Graph_Xｸﾞﾗﾌ_12" hidden="1">[3]Sheet1!$C$39:$C$111</definedName>
    <definedName name="_188__123Graph_Xｸﾞﾗﾌ_13" hidden="1">[3]Sheet1!$C$39:$C$111</definedName>
    <definedName name="_189__123Graph_Xｸﾞﾗﾌ_14" hidden="1">[3]Sheet1!$C$39:$C$111</definedName>
    <definedName name="_19__123Graph_Aｸﾞﾗﾌ_17" localSheetId="1" hidden="1">#REF!</definedName>
    <definedName name="_19__123Graph_Aｸﾞﾗﾌ_17" hidden="1">#REF!</definedName>
    <definedName name="_190__123Graph_Xｸﾞﾗﾌ_15" hidden="1">[3]Sheet1!$C$39:$C$111</definedName>
    <definedName name="_191__123Graph_Xｸﾞﾗﾌ_16" hidden="1">[3]Sheet1!$C$39:$C$111</definedName>
    <definedName name="_192__123Graph_Xｸﾞﾗﾌ_17" localSheetId="1" hidden="1">#REF!</definedName>
    <definedName name="_192__123Graph_Xｸﾞﾗﾌ_17" hidden="1">#REF!</definedName>
    <definedName name="_193__123Graph_Xｸﾞﾗﾌ_18" localSheetId="1" hidden="1">#REF!</definedName>
    <definedName name="_193__123Graph_Xｸﾞﾗﾌ_18" hidden="1">#REF!</definedName>
    <definedName name="_194__123Graph_Xｸﾞﾗﾌ_2" hidden="1">[3]Sheet1!$C$39:$C$111</definedName>
    <definedName name="_195__123Graph_Xｸﾞﾗﾌ_3" hidden="1">[3]Sheet1!$C$39:$C$111</definedName>
    <definedName name="_196__123Graph_Xｸﾞﾗﾌ_4" hidden="1">[3]Sheet1!$C$39:$C$111</definedName>
    <definedName name="_197__123Graph_Xｸﾞﾗﾌ_5" hidden="1">[3]Sheet1!$C$39:$C$111</definedName>
    <definedName name="_198__123Graph_Xｸﾞﾗﾌ_6" hidden="1">[3]Sheet1!$C$39:$C$111</definedName>
    <definedName name="_199__123Graph_Xｸﾞﾗﾌ_7" hidden="1">[3]Sheet1!$C$39:$C$111</definedName>
    <definedName name="_2__123Graph_Aｸﾞﾗﾌ_1" localSheetId="1" hidden="1">[3]Sheet1!#REF!</definedName>
    <definedName name="_2__123Graph_Aｸﾞﾗﾌ_1" localSheetId="0" hidden="1">[3]Sheet1!#REF!</definedName>
    <definedName name="_20__123Graph_Aｸﾞﾗﾌ_18" localSheetId="1" hidden="1">#REF!</definedName>
    <definedName name="_20__123Graph_Aｸﾞﾗﾌ_18" localSheetId="0" hidden="1">#REF!</definedName>
    <definedName name="_200__123Graph_Xｸﾞﾗﾌ_8" hidden="1">[3]Sheet1!$C$39:$C$111</definedName>
    <definedName name="_201__123Graph_Xｸﾞﾗﾌ_9" hidden="1">[3]Sheet1!$C$39:$C$111</definedName>
    <definedName name="_21__123Graph_Aｸﾞﾗﾌ_18" localSheetId="1" hidden="1">#REF!</definedName>
    <definedName name="_21__123Graph_Aｸﾞﾗﾌ_18" hidden="1">#REF!</definedName>
    <definedName name="_22__123Graph_Aｸﾞﾗﾌ_2" hidden="1">[3]Sheet1!$E$39:$E$93</definedName>
    <definedName name="_23__123Graph_Aｸﾞﾗﾌ_3" localSheetId="1" hidden="1">[3]Sheet1!#REF!</definedName>
    <definedName name="_23__123Graph_Aｸﾞﾗﾌ_3" localSheetId="0" hidden="1">[3]Sheet1!#REF!</definedName>
    <definedName name="_24__123Graph_Aｸﾞﾗﾌ_3" localSheetId="1" hidden="1">[3]Sheet1!#REF!</definedName>
    <definedName name="_24__123Graph_Aｸﾞﾗﾌ_3" hidden="1">[3]Sheet1!#REF!</definedName>
    <definedName name="_25__123Graph_Aｸﾞﾗﾌ_4" localSheetId="1" hidden="1">[3]Sheet1!#REF!</definedName>
    <definedName name="_25__123Graph_Aｸﾞﾗﾌ_4" localSheetId="0" hidden="1">[3]Sheet1!#REF!</definedName>
    <definedName name="_26__123Graph_Aｸﾞﾗﾌ_4" localSheetId="1" hidden="1">[3]Sheet1!#REF!</definedName>
    <definedName name="_26__123Graph_Aｸﾞﾗﾌ_4" hidden="1">[3]Sheet1!#REF!</definedName>
    <definedName name="_27__123Graph_Aｸﾞﾗﾌ_5" localSheetId="1" hidden="1">[3]Sheet1!#REF!</definedName>
    <definedName name="_27__123Graph_Aｸﾞﾗﾌ_5" localSheetId="0" hidden="1">[3]Sheet1!#REF!</definedName>
    <definedName name="_28__123Graph_Aｸﾞﾗﾌ_5" localSheetId="1" hidden="1">[3]Sheet1!#REF!</definedName>
    <definedName name="_28__123Graph_Aｸﾞﾗﾌ_5" hidden="1">[3]Sheet1!#REF!</definedName>
    <definedName name="_29__123Graph_Aｸﾞﾗﾌ_6" localSheetId="1" hidden="1">[3]Sheet1!#REF!</definedName>
    <definedName name="_29__123Graph_Aｸﾞﾗﾌ_6" localSheetId="0" hidden="1">[3]Sheet1!#REF!</definedName>
    <definedName name="_3__123Graph_Aｸﾞﾗﾌ_1" localSheetId="1" hidden="1">[3]Sheet1!#REF!</definedName>
    <definedName name="_3__123Graph_Aｸﾞﾗﾌ_1" hidden="1">[3]Sheet1!#REF!</definedName>
    <definedName name="_30__123Graph_Aｸﾞﾗﾌ_6" localSheetId="1" hidden="1">[3]Sheet1!#REF!</definedName>
    <definedName name="_30__123Graph_Aｸﾞﾗﾌ_6" hidden="1">[3]Sheet1!#REF!</definedName>
    <definedName name="_31__123Graph_Aｸﾞﾗﾌ_7" localSheetId="1" hidden="1">[3]Sheet1!#REF!</definedName>
    <definedName name="_31__123Graph_Aｸﾞﾗﾌ_7" localSheetId="0" hidden="1">[3]Sheet1!#REF!</definedName>
    <definedName name="_32__123Graph_Aｸﾞﾗﾌ_7" localSheetId="1" hidden="1">[3]Sheet1!#REF!</definedName>
    <definedName name="_32__123Graph_Aｸﾞﾗﾌ_7" hidden="1">[3]Sheet1!#REF!</definedName>
    <definedName name="_33__123Graph_Aｸﾞﾗﾌ_8" localSheetId="1" hidden="1">[3]Sheet1!#REF!</definedName>
    <definedName name="_33__123Graph_Aｸﾞﾗﾌ_8" localSheetId="0" hidden="1">[3]Sheet1!#REF!</definedName>
    <definedName name="_34__123Graph_Aｸﾞﾗﾌ_8" localSheetId="1" hidden="1">[3]Sheet1!#REF!</definedName>
    <definedName name="_34__123Graph_Aｸﾞﾗﾌ_8" hidden="1">[3]Sheet1!#REF!</definedName>
    <definedName name="_35__123Graph_Aｸﾞﾗﾌ_9" localSheetId="1" hidden="1">[3]Sheet1!#REF!</definedName>
    <definedName name="_35__123Graph_Aｸﾞﾗﾌ_9" localSheetId="0" hidden="1">[3]Sheet1!#REF!</definedName>
    <definedName name="_36__123Graph_Aｸﾞﾗﾌ_9" localSheetId="1" hidden="1">[3]Sheet1!#REF!</definedName>
    <definedName name="_36__123Graph_Aｸﾞﾗﾌ_9" hidden="1">[3]Sheet1!#REF!</definedName>
    <definedName name="_37__123Graph_BF_S" localSheetId="1" hidden="1">#REF!</definedName>
    <definedName name="_37__123Graph_BF_S" hidden="1">#REF!</definedName>
    <definedName name="_38__123Graph_Bｸﾞﾗﾌ_1" localSheetId="1" hidden="1">[3]Sheet1!#REF!</definedName>
    <definedName name="_38__123Graph_Bｸﾞﾗﾌ_1" localSheetId="0" hidden="1">[3]Sheet1!#REF!</definedName>
    <definedName name="_39__123Graph_Bｸﾞﾗﾌ_1" localSheetId="1" hidden="1">[3]Sheet1!#REF!</definedName>
    <definedName name="_39__123Graph_Bｸﾞﾗﾌ_1" hidden="1">[3]Sheet1!#REF!</definedName>
    <definedName name="_4__123Graph_Aｸﾞﾗﾌ_10" localSheetId="1" hidden="1">[3]Sheet1!#REF!</definedName>
    <definedName name="_4__123Graph_Aｸﾞﾗﾌ_10" localSheetId="0" hidden="1">[3]Sheet1!#REF!</definedName>
    <definedName name="_40__123Graph_Bｸﾞﾗﾌ_10" localSheetId="1" hidden="1">[3]Sheet1!#REF!</definedName>
    <definedName name="_40__123Graph_Bｸﾞﾗﾌ_10" localSheetId="0" hidden="1">[3]Sheet1!#REF!</definedName>
    <definedName name="_41__123Graph_Bｸﾞﾗﾌ_10" localSheetId="1" hidden="1">[3]Sheet1!#REF!</definedName>
    <definedName name="_41__123Graph_Bｸﾞﾗﾌ_10" hidden="1">[3]Sheet1!#REF!</definedName>
    <definedName name="_42__123Graph_Bｸﾞﾗﾌ_11" localSheetId="1" hidden="1">[3]Sheet1!#REF!</definedName>
    <definedName name="_42__123Graph_Bｸﾞﾗﾌ_11" localSheetId="0" hidden="1">[3]Sheet1!#REF!</definedName>
    <definedName name="_43__123Graph_Bｸﾞﾗﾌ_11" localSheetId="1" hidden="1">[3]Sheet1!#REF!</definedName>
    <definedName name="_43__123Graph_Bｸﾞﾗﾌ_11" hidden="1">[3]Sheet1!#REF!</definedName>
    <definedName name="_44__123Graph_Bｸﾞﾗﾌ_12" localSheetId="1" hidden="1">[3]Sheet1!#REF!</definedName>
    <definedName name="_44__123Graph_Bｸﾞﾗﾌ_12" localSheetId="0" hidden="1">[3]Sheet1!#REF!</definedName>
    <definedName name="_45__123Graph_Bｸﾞﾗﾌ_12" localSheetId="1" hidden="1">[3]Sheet1!#REF!</definedName>
    <definedName name="_45__123Graph_Bｸﾞﾗﾌ_12" hidden="1">[3]Sheet1!#REF!</definedName>
    <definedName name="_46__123Graph_Bｸﾞﾗﾌ_13" localSheetId="1" hidden="1">[3]Sheet1!#REF!</definedName>
    <definedName name="_46__123Graph_Bｸﾞﾗﾌ_13" localSheetId="0" hidden="1">[3]Sheet1!#REF!</definedName>
    <definedName name="_47__123Graph_Bｸﾞﾗﾌ_13" localSheetId="1" hidden="1">[3]Sheet1!#REF!</definedName>
    <definedName name="_47__123Graph_Bｸﾞﾗﾌ_13" hidden="1">[3]Sheet1!#REF!</definedName>
    <definedName name="_48__123Graph_Bｸﾞﾗﾌ_14" localSheetId="1" hidden="1">[3]Sheet1!#REF!</definedName>
    <definedName name="_48__123Graph_Bｸﾞﾗﾌ_14" localSheetId="0" hidden="1">[3]Sheet1!#REF!</definedName>
    <definedName name="_49__123Graph_Bｸﾞﾗﾌ_14" localSheetId="1" hidden="1">[3]Sheet1!#REF!</definedName>
    <definedName name="_49__123Graph_Bｸﾞﾗﾌ_14" hidden="1">[3]Sheet1!#REF!</definedName>
    <definedName name="_5__123Graph_Aｸﾞﾗﾌ_10" localSheetId="1" hidden="1">[3]Sheet1!#REF!</definedName>
    <definedName name="_5__123Graph_Aｸﾞﾗﾌ_10" hidden="1">[3]Sheet1!#REF!</definedName>
    <definedName name="_50__123Graph_Bｸﾞﾗﾌ_15" localSheetId="1" hidden="1">[3]Sheet1!#REF!</definedName>
    <definedName name="_50__123Graph_Bｸﾞﾗﾌ_15" localSheetId="0" hidden="1">[3]Sheet1!#REF!</definedName>
    <definedName name="_51__123Graph_Bｸﾞﾗﾌ_15" localSheetId="1" hidden="1">[3]Sheet1!#REF!</definedName>
    <definedName name="_51__123Graph_Bｸﾞﾗﾌ_15" hidden="1">[3]Sheet1!#REF!</definedName>
    <definedName name="_52__123Graph_Bｸﾞﾗﾌ_16" localSheetId="1" hidden="1">[3]Sheet1!#REF!</definedName>
    <definedName name="_52__123Graph_Bｸﾞﾗﾌ_16" localSheetId="0" hidden="1">[3]Sheet1!#REF!</definedName>
    <definedName name="_53__123Graph_Bｸﾞﾗﾌ_16" localSheetId="1" hidden="1">[3]Sheet1!#REF!</definedName>
    <definedName name="_53__123Graph_Bｸﾞﾗﾌ_16" hidden="1">[3]Sheet1!#REF!</definedName>
    <definedName name="_54__123Graph_Bｸﾞﾗﾌ_17" localSheetId="1" hidden="1">#REF!</definedName>
    <definedName name="_54__123Graph_Bｸﾞﾗﾌ_17" localSheetId="0" hidden="1">#REF!</definedName>
    <definedName name="_55__123Graph_Bｸﾞﾗﾌ_17" localSheetId="1" hidden="1">#REF!</definedName>
    <definedName name="_55__123Graph_Bｸﾞﾗﾌ_17" hidden="1">#REF!</definedName>
    <definedName name="_56__123Graph_Bｸﾞﾗﾌ_18" localSheetId="1" hidden="1">#REF!</definedName>
    <definedName name="_56__123Graph_Bｸﾞﾗﾌ_18" localSheetId="0" hidden="1">#REF!</definedName>
    <definedName name="_57__123Graph_Bｸﾞﾗﾌ_18" localSheetId="1" hidden="1">#REF!</definedName>
    <definedName name="_57__123Graph_Bｸﾞﾗﾌ_18" hidden="1">#REF!</definedName>
    <definedName name="_58__123Graph_Bｸﾞﾗﾌ_2" hidden="1">[3]Sheet1!$F$39:$F$93</definedName>
    <definedName name="_59__123Graph_Bｸﾞﾗﾌ_3" localSheetId="1" hidden="1">[3]Sheet1!#REF!</definedName>
    <definedName name="_59__123Graph_Bｸﾞﾗﾌ_3" localSheetId="0" hidden="1">[3]Sheet1!#REF!</definedName>
    <definedName name="_6__123Graph_Aｸﾞﾗﾌ_11" localSheetId="1" hidden="1">[3]Sheet1!#REF!</definedName>
    <definedName name="_6__123Graph_Aｸﾞﾗﾌ_11" localSheetId="0" hidden="1">[3]Sheet1!#REF!</definedName>
    <definedName name="_60__123Graph_Bｸﾞﾗﾌ_3" localSheetId="1" hidden="1">[3]Sheet1!#REF!</definedName>
    <definedName name="_60__123Graph_Bｸﾞﾗﾌ_3" hidden="1">[3]Sheet1!#REF!</definedName>
    <definedName name="_61__123Graph_Bｸﾞﾗﾌ_4" localSheetId="1" hidden="1">[3]Sheet1!#REF!</definedName>
    <definedName name="_61__123Graph_Bｸﾞﾗﾌ_4" localSheetId="0" hidden="1">[3]Sheet1!#REF!</definedName>
    <definedName name="_62__123Graph_Bｸﾞﾗﾌ_4" localSheetId="1" hidden="1">[3]Sheet1!#REF!</definedName>
    <definedName name="_62__123Graph_Bｸﾞﾗﾌ_4" hidden="1">[3]Sheet1!#REF!</definedName>
    <definedName name="_63__123Graph_Bｸﾞﾗﾌ_5" localSheetId="1" hidden="1">[3]Sheet1!#REF!</definedName>
    <definedName name="_63__123Graph_Bｸﾞﾗﾌ_5" localSheetId="0" hidden="1">[3]Sheet1!#REF!</definedName>
    <definedName name="_64__123Graph_Bｸﾞﾗﾌ_5" localSheetId="1" hidden="1">[3]Sheet1!#REF!</definedName>
    <definedName name="_64__123Graph_Bｸﾞﾗﾌ_5" hidden="1">[3]Sheet1!#REF!</definedName>
    <definedName name="_65__123Graph_Bｸﾞﾗﾌ_6" localSheetId="1" hidden="1">[3]Sheet1!#REF!</definedName>
    <definedName name="_65__123Graph_Bｸﾞﾗﾌ_6" localSheetId="0" hidden="1">[3]Sheet1!#REF!</definedName>
    <definedName name="_66__123Graph_Bｸﾞﾗﾌ_6" localSheetId="1" hidden="1">[3]Sheet1!#REF!</definedName>
    <definedName name="_66__123Graph_Bｸﾞﾗﾌ_6" hidden="1">[3]Sheet1!#REF!</definedName>
    <definedName name="_67__123Graph_Bｸﾞﾗﾌ_7" localSheetId="1" hidden="1">[3]Sheet1!#REF!</definedName>
    <definedName name="_67__123Graph_Bｸﾞﾗﾌ_7" localSheetId="0" hidden="1">[3]Sheet1!#REF!</definedName>
    <definedName name="_68__123Graph_Bｸﾞﾗﾌ_7" localSheetId="1" hidden="1">[3]Sheet1!#REF!</definedName>
    <definedName name="_68__123Graph_Bｸﾞﾗﾌ_7" hidden="1">[3]Sheet1!#REF!</definedName>
    <definedName name="_69__123Graph_Bｸﾞﾗﾌ_8" localSheetId="1" hidden="1">[3]Sheet1!#REF!</definedName>
    <definedName name="_69__123Graph_Bｸﾞﾗﾌ_8" localSheetId="0" hidden="1">[3]Sheet1!#REF!</definedName>
    <definedName name="_7__123Graph_Aｸﾞﾗﾌ_11" localSheetId="1" hidden="1">[3]Sheet1!#REF!</definedName>
    <definedName name="_7__123Graph_Aｸﾞﾗﾌ_11" hidden="1">[3]Sheet1!#REF!</definedName>
    <definedName name="_70__123Graph_Bｸﾞﾗﾌ_8" localSheetId="1" hidden="1">[3]Sheet1!#REF!</definedName>
    <definedName name="_70__123Graph_Bｸﾞﾗﾌ_8" hidden="1">[3]Sheet1!#REF!</definedName>
    <definedName name="_71__123Graph_Bｸﾞﾗﾌ_9" localSheetId="1" hidden="1">[3]Sheet1!#REF!</definedName>
    <definedName name="_71__123Graph_Bｸﾞﾗﾌ_9" localSheetId="0" hidden="1">[3]Sheet1!#REF!</definedName>
    <definedName name="_72__123Graph_Bｸﾞﾗﾌ_9" localSheetId="1" hidden="1">[3]Sheet1!#REF!</definedName>
    <definedName name="_72__123Graph_Bｸﾞﾗﾌ_9" hidden="1">[3]Sheet1!#REF!</definedName>
    <definedName name="_73__123Graph_Cｸﾞﾗﾌ_1" localSheetId="1" hidden="1">[3]Sheet1!#REF!</definedName>
    <definedName name="_73__123Graph_Cｸﾞﾗﾌ_1" localSheetId="0" hidden="1">[3]Sheet1!#REF!</definedName>
    <definedName name="_74__123Graph_Cｸﾞﾗﾌ_1" localSheetId="1" hidden="1">[3]Sheet1!#REF!</definedName>
    <definedName name="_74__123Graph_Cｸﾞﾗﾌ_1" hidden="1">[3]Sheet1!#REF!</definedName>
    <definedName name="_75__123Graph_Cｸﾞﾗﾌ_10" localSheetId="1" hidden="1">[3]Sheet1!#REF!</definedName>
    <definedName name="_75__123Graph_Cｸﾞﾗﾌ_10" localSheetId="0" hidden="1">[3]Sheet1!#REF!</definedName>
    <definedName name="_76__123Graph_Cｸﾞﾗﾌ_10" localSheetId="1" hidden="1">[3]Sheet1!#REF!</definedName>
    <definedName name="_76__123Graph_Cｸﾞﾗﾌ_10" hidden="1">[3]Sheet1!#REF!</definedName>
    <definedName name="_77__123Graph_Cｸﾞﾗﾌ_15" localSheetId="1" hidden="1">#REF!</definedName>
    <definedName name="_77__123Graph_Cｸﾞﾗﾌ_15" localSheetId="0" hidden="1">#REF!</definedName>
    <definedName name="_78__123Graph_Cｸﾞﾗﾌ_15" localSheetId="1" hidden="1">#REF!</definedName>
    <definedName name="_78__123Graph_Cｸﾞﾗﾌ_15" hidden="1">#REF!</definedName>
    <definedName name="_79__123Graph_Cｸﾞﾗﾌ_16" localSheetId="1" hidden="1">#REF!</definedName>
    <definedName name="_79__123Graph_Cｸﾞﾗﾌ_16" localSheetId="0" hidden="1">#REF!</definedName>
    <definedName name="_8__123Graph_Aｸﾞﾗﾌ_12" localSheetId="1" hidden="1">[3]Sheet1!#REF!</definedName>
    <definedName name="_8__123Graph_Aｸﾞﾗﾌ_12" localSheetId="0" hidden="1">[3]Sheet1!#REF!</definedName>
    <definedName name="_80__123Graph_Cｸﾞﾗﾌ_16" localSheetId="1" hidden="1">#REF!</definedName>
    <definedName name="_80__123Graph_Cｸﾞﾗﾌ_16" hidden="1">#REF!</definedName>
    <definedName name="_81__123Graph_Cｸﾞﾗﾌ_17" localSheetId="1" hidden="1">#REF!</definedName>
    <definedName name="_81__123Graph_Cｸﾞﾗﾌ_17" localSheetId="0" hidden="1">#REF!</definedName>
    <definedName name="_82__123Graph_Cｸﾞﾗﾌ_17" localSheetId="1" hidden="1">#REF!</definedName>
    <definedName name="_82__123Graph_Cｸﾞﾗﾌ_17" hidden="1">#REF!</definedName>
    <definedName name="_83__123Graph_Cｸﾞﾗﾌ_18" localSheetId="1" hidden="1">#REF!</definedName>
    <definedName name="_83__123Graph_Cｸﾞﾗﾌ_18" localSheetId="0" hidden="1">#REF!</definedName>
    <definedName name="_84__123Graph_Cｸﾞﾗﾌ_18" localSheetId="1" hidden="1">#REF!</definedName>
    <definedName name="_84__123Graph_Cｸﾞﾗﾌ_18" hidden="1">#REF!</definedName>
    <definedName name="_85__123Graph_Cｸﾞﾗﾌ_2" hidden="1">[3]Sheet1!$G$39:$G$93</definedName>
    <definedName name="_86__123Graph_Cｸﾞﾗﾌ_3" localSheetId="1" hidden="1">[3]Sheet1!#REF!</definedName>
    <definedName name="_86__123Graph_Cｸﾞﾗﾌ_3" localSheetId="0" hidden="1">[3]Sheet1!#REF!</definedName>
    <definedName name="_87__123Graph_Cｸﾞﾗﾌ_3" localSheetId="1" hidden="1">[3]Sheet1!#REF!</definedName>
    <definedName name="_87__123Graph_Cｸﾞﾗﾌ_3" hidden="1">[3]Sheet1!#REF!</definedName>
    <definedName name="_88__123Graph_Cｸﾞﾗﾌ_4" localSheetId="1" hidden="1">[3]Sheet1!#REF!</definedName>
    <definedName name="_88__123Graph_Cｸﾞﾗﾌ_4" localSheetId="0" hidden="1">[3]Sheet1!#REF!</definedName>
    <definedName name="_89__123Graph_Cｸﾞﾗﾌ_4" localSheetId="1" hidden="1">[3]Sheet1!#REF!</definedName>
    <definedName name="_89__123Graph_Cｸﾞﾗﾌ_4" hidden="1">[3]Sheet1!#REF!</definedName>
    <definedName name="_9__123Graph_Aｸﾞﾗﾌ_12" localSheetId="1" hidden="1">[3]Sheet1!#REF!</definedName>
    <definedName name="_9__123Graph_Aｸﾞﾗﾌ_12" hidden="1">[3]Sheet1!#REF!</definedName>
    <definedName name="_90__123Graph_Cｸﾞﾗﾌ_5" localSheetId="1" hidden="1">[3]Sheet1!#REF!</definedName>
    <definedName name="_90__123Graph_Cｸﾞﾗﾌ_5" localSheetId="0" hidden="1">[3]Sheet1!#REF!</definedName>
    <definedName name="_91__123Graph_Cｸﾞﾗﾌ_5" localSheetId="1" hidden="1">[3]Sheet1!#REF!</definedName>
    <definedName name="_91__123Graph_Cｸﾞﾗﾌ_5" hidden="1">[3]Sheet1!#REF!</definedName>
    <definedName name="_92__123Graph_Cｸﾞﾗﾌ_6" localSheetId="1" hidden="1">[3]Sheet1!#REF!</definedName>
    <definedName name="_92__123Graph_Cｸﾞﾗﾌ_6" localSheetId="0" hidden="1">[3]Sheet1!#REF!</definedName>
    <definedName name="_93__123Graph_Cｸﾞﾗﾌ_6" localSheetId="1" hidden="1">[3]Sheet1!#REF!</definedName>
    <definedName name="_93__123Graph_Cｸﾞﾗﾌ_6" hidden="1">[3]Sheet1!#REF!</definedName>
    <definedName name="_94__123Graph_Cｸﾞﾗﾌ_7" localSheetId="1" hidden="1">[3]Sheet1!#REF!</definedName>
    <definedName name="_94__123Graph_Cｸﾞﾗﾌ_7" localSheetId="0" hidden="1">[3]Sheet1!#REF!</definedName>
    <definedName name="_95__123Graph_Cｸﾞﾗﾌ_7" localSheetId="1" hidden="1">[3]Sheet1!#REF!</definedName>
    <definedName name="_95__123Graph_Cｸﾞﾗﾌ_7" hidden="1">[3]Sheet1!#REF!</definedName>
    <definedName name="_96__123Graph_Cｸﾞﾗﾌ_8" localSheetId="1" hidden="1">[3]Sheet1!#REF!</definedName>
    <definedName name="_96__123Graph_Cｸﾞﾗﾌ_8" localSheetId="0" hidden="1">[3]Sheet1!#REF!</definedName>
    <definedName name="_97__123Graph_Cｸﾞﾗﾌ_8" localSheetId="1" hidden="1">[3]Sheet1!#REF!</definedName>
    <definedName name="_97__123Graph_Cｸﾞﾗﾌ_8" hidden="1">[3]Sheet1!#REF!</definedName>
    <definedName name="_98__123Graph_Cｸﾞﾗﾌ_9" localSheetId="1" hidden="1">[3]Sheet1!#REF!</definedName>
    <definedName name="_98__123Graph_Cｸﾞﾗﾌ_9" localSheetId="0" hidden="1">[3]Sheet1!#REF!</definedName>
    <definedName name="_99__123Graph_Cｸﾞﾗﾌ_9" localSheetId="1" hidden="1">[3]Sheet1!#REF!</definedName>
    <definedName name="_99__123Graph_Cｸﾞﾗﾌ_9" hidden="1">[3]Sheet1!#REF!</definedName>
    <definedName name="_Fill" localSheetId="1" hidden="1">#REF!</definedName>
    <definedName name="_Fill" hidden="1">#REF!</definedName>
    <definedName name="_Key1" localSheetId="1" hidden="1">#REF!</definedName>
    <definedName name="_Key1" hidden="1">#REF!</definedName>
    <definedName name="_Order1" hidden="1">255</definedName>
    <definedName name="a" localSheetId="1" hidden="1">[3]Sheet1!#REF!</definedName>
    <definedName name="a" localSheetId="0" hidden="1">[3]Sheet1!#REF!</definedName>
    <definedName name="a" hidden="1">[3]Sheet1!#REF!</definedName>
    <definedName name="aaaaa" localSheetId="1" hidden="1">[2]投資利益率計算!#REF!</definedName>
    <definedName name="aaaaa" localSheetId="0" hidden="1">[2]投資利益率計算!#REF!</definedName>
    <definedName name="aaaaa" hidden="1">[2]投資利益率計算!#REF!</definedName>
    <definedName name="AS2DocOpenMode" hidden="1">"AS2DocumentBrowse"</definedName>
    <definedName name="AS2NamedRange" hidden="1">5</definedName>
    <definedName name="example" localSheetId="1" hidden="1">#REF!</definedName>
    <definedName name="example" hidden="1">#REF!</definedName>
    <definedName name="_xlnm.Print_Area" localSheetId="1">'TMR033 20ch JP B'!$A$1:$AA$115</definedName>
    <definedName name="_xlnm.Print_Area" localSheetId="0">'TMR033 22ch JP'!$A$1:$AA$115</definedName>
    <definedName name="wrn.ＳＲＣ連結２印刷." hidden="1">{"ＳＲＣ連結１",#N/A,FALSE,"三重製品別損益グラフ";"ＳＲＣ連結２",#N/A,FALSE,"三重製品別損益グラフ"}</definedName>
    <definedName name="wrn.三重製品別２." hidden="1">{"三重製品別１",#N/A,FALSE,"三重製品別損益グラフ";"三重製品別２",#N/A,FALSE,"三重製品別損益グラフ"}</definedName>
    <definedName name="あ" localSheetId="1" hidden="1">[2]投資利益率計算!#REF!</definedName>
    <definedName name="あ" localSheetId="0" hidden="1">[2]投資利益率計算!#REF!</definedName>
    <definedName name="あ" hidden="1">[2]投資利益率計算!#REF!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8" i="1" l="1"/>
  <c r="T60" i="2"/>
  <c r="U60" i="2" s="1"/>
  <c r="X60" i="2" s="1"/>
  <c r="V60" i="2"/>
  <c r="W60" i="2"/>
  <c r="T59" i="2"/>
  <c r="U59" i="2" s="1"/>
  <c r="X59" i="2" s="1"/>
  <c r="V59" i="2"/>
  <c r="W59" i="2" s="1"/>
  <c r="T58" i="2"/>
  <c r="U58" i="2"/>
  <c r="V58" i="2"/>
  <c r="W58" i="2" s="1"/>
  <c r="T57" i="2"/>
  <c r="U57" i="2" s="1"/>
  <c r="X57" i="2" s="1"/>
  <c r="V57" i="2"/>
  <c r="W57" i="2" s="1"/>
  <c r="T60" i="1"/>
  <c r="U60" i="1" s="1"/>
  <c r="X60" i="1" s="1"/>
  <c r="V60" i="1"/>
  <c r="W60" i="1"/>
  <c r="T59" i="1"/>
  <c r="U59" i="1" s="1"/>
  <c r="V59" i="1"/>
  <c r="W59" i="1" s="1"/>
  <c r="T58" i="1"/>
  <c r="U58" i="1"/>
  <c r="V58" i="1"/>
  <c r="W58" i="1"/>
  <c r="X58" i="1" s="1"/>
  <c r="T57" i="1"/>
  <c r="U57" i="1" s="1"/>
  <c r="X57" i="1" s="1"/>
  <c r="V57" i="1"/>
  <c r="W57" i="1"/>
  <c r="T61" i="1"/>
  <c r="U61" i="1"/>
  <c r="X61" i="1" s="1"/>
  <c r="V61" i="1"/>
  <c r="W61" i="1"/>
  <c r="G14" i="2"/>
  <c r="G13" i="2"/>
  <c r="G12" i="2"/>
  <c r="G11" i="2"/>
  <c r="G10" i="2"/>
  <c r="G9" i="2"/>
  <c r="G8" i="2"/>
  <c r="G14" i="1"/>
  <c r="G13" i="1"/>
  <c r="G12" i="1"/>
  <c r="G11" i="1"/>
  <c r="G10" i="1"/>
  <c r="G9" i="1"/>
  <c r="G8" i="1"/>
  <c r="K4" i="2"/>
  <c r="J99" i="2" s="1"/>
  <c r="K99" i="2" s="1"/>
  <c r="K104" i="2"/>
  <c r="J103" i="2"/>
  <c r="K103" i="2" s="1"/>
  <c r="K102" i="2"/>
  <c r="G101" i="2"/>
  <c r="J100" i="2"/>
  <c r="K100" i="2" s="1"/>
  <c r="K98" i="2"/>
  <c r="J97" i="2"/>
  <c r="K97" i="2"/>
  <c r="K96" i="2"/>
  <c r="R97" i="2"/>
  <c r="U14" i="2" s="1"/>
  <c r="V14" i="2" s="1"/>
  <c r="C93" i="2"/>
  <c r="C92" i="2"/>
  <c r="C91" i="2"/>
  <c r="C90" i="2"/>
  <c r="T93" i="2"/>
  <c r="C89" i="2"/>
  <c r="C88" i="2"/>
  <c r="X91" i="2"/>
  <c r="X93" i="2"/>
  <c r="W91" i="2"/>
  <c r="W93" i="2"/>
  <c r="V91" i="2"/>
  <c r="V93" i="2" s="1"/>
  <c r="U91" i="2"/>
  <c r="U93" i="2"/>
  <c r="S91" i="2"/>
  <c r="S93" i="2"/>
  <c r="C87" i="2"/>
  <c r="K81" i="2"/>
  <c r="K80" i="2"/>
  <c r="K79" i="2"/>
  <c r="K78" i="2"/>
  <c r="K77" i="2"/>
  <c r="K76" i="2"/>
  <c r="K75" i="2"/>
  <c r="G74" i="2"/>
  <c r="K74" i="2"/>
  <c r="G73" i="2"/>
  <c r="K73" i="2" s="1"/>
  <c r="G72" i="2"/>
  <c r="K72" i="2"/>
  <c r="G71" i="2"/>
  <c r="K71" i="2"/>
  <c r="K70" i="2"/>
  <c r="K69" i="2"/>
  <c r="T72" i="2"/>
  <c r="K68" i="2"/>
  <c r="T71" i="2"/>
  <c r="S71" i="2"/>
  <c r="S72" i="2" s="1"/>
  <c r="U72" i="2" s="1"/>
  <c r="K67" i="2"/>
  <c r="V70" i="2"/>
  <c r="W70" i="2"/>
  <c r="T70" i="2"/>
  <c r="U70" i="2" s="1"/>
  <c r="K66" i="2"/>
  <c r="K65" i="2"/>
  <c r="K64" i="2"/>
  <c r="K63" i="2"/>
  <c r="K62" i="2"/>
  <c r="W65" i="2"/>
  <c r="T65" i="2"/>
  <c r="U65" i="2"/>
  <c r="K61" i="2"/>
  <c r="V64" i="2"/>
  <c r="W64" i="2"/>
  <c r="T64" i="2"/>
  <c r="U64" i="2"/>
  <c r="K60" i="2"/>
  <c r="T63" i="2"/>
  <c r="U63" i="2"/>
  <c r="V63" i="2"/>
  <c r="W63" i="2"/>
  <c r="V62" i="2"/>
  <c r="W62" i="2" s="1"/>
  <c r="X62" i="2" s="1"/>
  <c r="T62" i="2"/>
  <c r="U62" i="2"/>
  <c r="V61" i="2"/>
  <c r="W61" i="2"/>
  <c r="T61" i="2"/>
  <c r="U61" i="2"/>
  <c r="W56" i="2"/>
  <c r="X56" i="2"/>
  <c r="T56" i="2"/>
  <c r="AC38" i="2"/>
  <c r="AC53" i="2" s="1"/>
  <c r="J49" i="2"/>
  <c r="K49" i="2" s="1"/>
  <c r="K48" i="2"/>
  <c r="K47" i="2"/>
  <c r="K46" i="2"/>
  <c r="K44" i="2"/>
  <c r="K45" i="2"/>
  <c r="AD45" i="2"/>
  <c r="W45" i="2"/>
  <c r="T45" i="2"/>
  <c r="U45" i="2"/>
  <c r="X45" i="2"/>
  <c r="AD44" i="2"/>
  <c r="AC44" i="2"/>
  <c r="W44" i="2"/>
  <c r="T44" i="2"/>
  <c r="U44" i="2" s="1"/>
  <c r="X44" i="2" s="1"/>
  <c r="V43" i="2"/>
  <c r="W43" i="2"/>
  <c r="T43" i="2"/>
  <c r="U43" i="2"/>
  <c r="V42" i="2"/>
  <c r="W42" i="2"/>
  <c r="T42" i="2"/>
  <c r="U42" i="2" s="1"/>
  <c r="X42" i="2" s="1"/>
  <c r="W41" i="2"/>
  <c r="T41" i="2"/>
  <c r="U41" i="2"/>
  <c r="X41" i="2"/>
  <c r="K41" i="2"/>
  <c r="W40" i="2"/>
  <c r="T40" i="2"/>
  <c r="U40" i="2"/>
  <c r="X40" i="2" s="1"/>
  <c r="K40" i="2"/>
  <c r="W39" i="2"/>
  <c r="T39" i="2"/>
  <c r="U39" i="2"/>
  <c r="X39" i="2" s="1"/>
  <c r="K39" i="2"/>
  <c r="T38" i="2"/>
  <c r="U38" i="2"/>
  <c r="X38" i="2" s="1"/>
  <c r="W38" i="2"/>
  <c r="K38" i="2"/>
  <c r="AD37" i="2"/>
  <c r="AD47" i="2"/>
  <c r="AB37" i="2"/>
  <c r="W37" i="2"/>
  <c r="T37" i="2"/>
  <c r="U37" i="2"/>
  <c r="X37" i="2" s="1"/>
  <c r="K37" i="2"/>
  <c r="W36" i="2"/>
  <c r="T36" i="2"/>
  <c r="U36" i="2" s="1"/>
  <c r="K36" i="2"/>
  <c r="AC35" i="2"/>
  <c r="V35" i="2"/>
  <c r="W35" i="2"/>
  <c r="T35" i="2"/>
  <c r="U35" i="2"/>
  <c r="X35" i="2" s="1"/>
  <c r="K35" i="2"/>
  <c r="Z34" i="2"/>
  <c r="V34" i="2"/>
  <c r="W34" i="2" s="1"/>
  <c r="T34" i="2"/>
  <c r="U34" i="2" s="1"/>
  <c r="X34" i="2" s="1"/>
  <c r="K34" i="2"/>
  <c r="AA33" i="2"/>
  <c r="Z33" i="2"/>
  <c r="X30" i="2"/>
  <c r="W30" i="2"/>
  <c r="Q30" i="2"/>
  <c r="U23" i="2"/>
  <c r="V23" i="2" s="1"/>
  <c r="W23" i="2" s="1"/>
  <c r="S23" i="2"/>
  <c r="S24" i="2"/>
  <c r="T24" i="2"/>
  <c r="M24" i="2"/>
  <c r="P24" i="2" s="1"/>
  <c r="J24" i="2"/>
  <c r="L24" i="2" s="1"/>
  <c r="M23" i="2"/>
  <c r="P23" i="2"/>
  <c r="J23" i="2"/>
  <c r="L23" i="2"/>
  <c r="Q23" i="2"/>
  <c r="X23" i="2" s="1"/>
  <c r="U22" i="2"/>
  <c r="V22" i="2" s="1"/>
  <c r="W22" i="2" s="1"/>
  <c r="S22" i="2"/>
  <c r="T22" i="2"/>
  <c r="M22" i="2"/>
  <c r="P22" i="2"/>
  <c r="J22" i="2"/>
  <c r="L22" i="2"/>
  <c r="Q22" i="2" s="1"/>
  <c r="X22" i="2" s="1"/>
  <c r="U21" i="2"/>
  <c r="V21" i="2"/>
  <c r="S21" i="2"/>
  <c r="T21" i="2"/>
  <c r="W21" i="2" s="1"/>
  <c r="M21" i="2"/>
  <c r="P21" i="2" s="1"/>
  <c r="J21" i="2"/>
  <c r="L21" i="2" s="1"/>
  <c r="U20" i="2"/>
  <c r="V20" i="2" s="1"/>
  <c r="S20" i="2"/>
  <c r="T20" i="2" s="1"/>
  <c r="W20" i="2" s="1"/>
  <c r="M20" i="2"/>
  <c r="P20" i="2" s="1"/>
  <c r="Q20" i="2" s="1"/>
  <c r="J20" i="2"/>
  <c r="L20" i="2"/>
  <c r="U19" i="2"/>
  <c r="V19" i="2" s="1"/>
  <c r="S19" i="2"/>
  <c r="T19" i="2"/>
  <c r="W19" i="2"/>
  <c r="J19" i="2"/>
  <c r="L19" i="2" s="1"/>
  <c r="Q19" i="2" s="1"/>
  <c r="X19" i="2" s="1"/>
  <c r="M19" i="2"/>
  <c r="P19" i="2"/>
  <c r="S18" i="2"/>
  <c r="T18" i="2"/>
  <c r="U18" i="2"/>
  <c r="V18" i="2" s="1"/>
  <c r="M18" i="2"/>
  <c r="P18" i="2" s="1"/>
  <c r="J18" i="2"/>
  <c r="L18" i="2" s="1"/>
  <c r="Q18" i="2" s="1"/>
  <c r="U17" i="2"/>
  <c r="V17" i="2"/>
  <c r="S17" i="2"/>
  <c r="T17" i="2" s="1"/>
  <c r="W17" i="2" s="1"/>
  <c r="M17" i="2"/>
  <c r="P17" i="2"/>
  <c r="J17" i="2"/>
  <c r="L17" i="2" s="1"/>
  <c r="W16" i="2"/>
  <c r="X16" i="2"/>
  <c r="S14" i="2"/>
  <c r="T14" i="2" s="1"/>
  <c r="W14" i="2" s="1"/>
  <c r="M14" i="2"/>
  <c r="P14" i="2" s="1"/>
  <c r="K14" i="2"/>
  <c r="J14" i="2"/>
  <c r="L14" i="2" s="1"/>
  <c r="Q14" i="2" s="1"/>
  <c r="X14" i="2" s="1"/>
  <c r="J93" i="2" s="1"/>
  <c r="K93" i="2" s="1"/>
  <c r="S13" i="2"/>
  <c r="T13" i="2" s="1"/>
  <c r="W13" i="2" s="1"/>
  <c r="M13" i="2"/>
  <c r="P13" i="2"/>
  <c r="J13" i="2"/>
  <c r="S12" i="2"/>
  <c r="T12" i="2" s="1"/>
  <c r="M12" i="2"/>
  <c r="P12" i="2"/>
  <c r="K12" i="2"/>
  <c r="J12" i="2"/>
  <c r="L12" i="2"/>
  <c r="Q12" i="2"/>
  <c r="X12" i="2" s="1"/>
  <c r="S11" i="2"/>
  <c r="T11" i="2" s="1"/>
  <c r="M11" i="2"/>
  <c r="P11" i="2"/>
  <c r="J11" i="2"/>
  <c r="K11" i="2"/>
  <c r="L11" i="2"/>
  <c r="Q11" i="2"/>
  <c r="S10" i="2"/>
  <c r="T10" i="2" s="1"/>
  <c r="W10" i="2" s="1"/>
  <c r="M10" i="2"/>
  <c r="P10" i="2"/>
  <c r="J10" i="2"/>
  <c r="S9" i="2"/>
  <c r="T9" i="2" s="1"/>
  <c r="W9" i="2" s="1"/>
  <c r="M9" i="2"/>
  <c r="P9" i="2"/>
  <c r="J9" i="2"/>
  <c r="S8" i="2"/>
  <c r="T8" i="2" s="1"/>
  <c r="M8" i="2"/>
  <c r="P8" i="2"/>
  <c r="K8" i="2"/>
  <c r="J8" i="2"/>
  <c r="L8" i="2"/>
  <c r="Q8" i="2" s="1"/>
  <c r="J105" i="2"/>
  <c r="K105" i="2" s="1"/>
  <c r="U8" i="2"/>
  <c r="V8" i="2" s="1"/>
  <c r="T23" i="2"/>
  <c r="X43" i="2"/>
  <c r="K83" i="2"/>
  <c r="AC45" i="2"/>
  <c r="U9" i="2"/>
  <c r="V9" i="2"/>
  <c r="U10" i="2"/>
  <c r="V10" i="2"/>
  <c r="U11" i="2"/>
  <c r="V11" i="2" s="1"/>
  <c r="U12" i="2"/>
  <c r="V12" i="2"/>
  <c r="W12" i="2"/>
  <c r="U13" i="2"/>
  <c r="V13" i="2"/>
  <c r="W71" i="2"/>
  <c r="J101" i="2"/>
  <c r="K101" i="2"/>
  <c r="J106" i="2"/>
  <c r="K106" i="2" s="1"/>
  <c r="K109" i="2"/>
  <c r="AD38" i="2"/>
  <c r="AD53" i="2"/>
  <c r="U71" i="2"/>
  <c r="X71" i="2" s="1"/>
  <c r="K96" i="1"/>
  <c r="J97" i="1"/>
  <c r="K97" i="1" s="1"/>
  <c r="K98" i="1"/>
  <c r="K4" i="1"/>
  <c r="J99" i="1"/>
  <c r="K99" i="1" s="1"/>
  <c r="J100" i="1"/>
  <c r="K100" i="1"/>
  <c r="G101" i="1"/>
  <c r="K102" i="1"/>
  <c r="J103" i="1"/>
  <c r="K103" i="1" s="1"/>
  <c r="K104" i="1"/>
  <c r="J13" i="1"/>
  <c r="V91" i="1"/>
  <c r="V93" i="1" s="1"/>
  <c r="M13" i="1"/>
  <c r="P13" i="1"/>
  <c r="S13" i="1"/>
  <c r="T13" i="1" s="1"/>
  <c r="W13" i="1" s="1"/>
  <c r="R97" i="1"/>
  <c r="U13" i="1"/>
  <c r="V13" i="1"/>
  <c r="J22" i="1"/>
  <c r="L22" i="1"/>
  <c r="Q22" i="1" s="1"/>
  <c r="M22" i="1"/>
  <c r="P22" i="1" s="1"/>
  <c r="S22" i="1"/>
  <c r="T22" i="1" s="1"/>
  <c r="U22" i="1"/>
  <c r="V22" i="1"/>
  <c r="W22" i="1"/>
  <c r="S12" i="1"/>
  <c r="T12" i="1"/>
  <c r="U12" i="1"/>
  <c r="V12" i="1"/>
  <c r="W12" i="1" s="1"/>
  <c r="J12" i="1"/>
  <c r="L12" i="1" s="1"/>
  <c r="K12" i="1"/>
  <c r="M12" i="1"/>
  <c r="P12" i="1" s="1"/>
  <c r="J21" i="1"/>
  <c r="L21" i="1"/>
  <c r="Q21" i="1" s="1"/>
  <c r="M21" i="1"/>
  <c r="P21" i="1" s="1"/>
  <c r="S21" i="1"/>
  <c r="T21" i="1" s="1"/>
  <c r="U21" i="1"/>
  <c r="V21" i="1"/>
  <c r="W21" i="1"/>
  <c r="J14" i="1"/>
  <c r="K14" i="1"/>
  <c r="L14" i="1"/>
  <c r="Q14" i="1" s="1"/>
  <c r="M14" i="1"/>
  <c r="P14" i="1" s="1"/>
  <c r="S14" i="1"/>
  <c r="T14" i="1"/>
  <c r="U14" i="1"/>
  <c r="V14" i="1"/>
  <c r="W14" i="1" s="1"/>
  <c r="J23" i="1"/>
  <c r="L23" i="1" s="1"/>
  <c r="Q23" i="1" s="1"/>
  <c r="M23" i="1"/>
  <c r="P23" i="1" s="1"/>
  <c r="S23" i="1"/>
  <c r="T23" i="1"/>
  <c r="U23" i="1"/>
  <c r="C93" i="1"/>
  <c r="C91" i="1"/>
  <c r="C92" i="1"/>
  <c r="T93" i="1"/>
  <c r="K8" i="1" s="1"/>
  <c r="AC37" i="2"/>
  <c r="G74" i="1"/>
  <c r="G73" i="1"/>
  <c r="G71" i="1"/>
  <c r="K71" i="1" s="1"/>
  <c r="G72" i="1"/>
  <c r="K72" i="1" s="1"/>
  <c r="K78" i="1"/>
  <c r="K61" i="1"/>
  <c r="K62" i="1"/>
  <c r="K63" i="1"/>
  <c r="K64" i="1"/>
  <c r="K65" i="1"/>
  <c r="K66" i="1"/>
  <c r="K67" i="1"/>
  <c r="K83" i="1" s="1"/>
  <c r="K68" i="1"/>
  <c r="K69" i="1"/>
  <c r="K70" i="1"/>
  <c r="K73" i="1"/>
  <c r="K74" i="1"/>
  <c r="K75" i="1"/>
  <c r="K76" i="1"/>
  <c r="K77" i="1"/>
  <c r="K79" i="1"/>
  <c r="K80" i="1"/>
  <c r="K81" i="1"/>
  <c r="K48" i="1"/>
  <c r="W16" i="1"/>
  <c r="X16" i="1" s="1"/>
  <c r="V43" i="1"/>
  <c r="V34" i="1"/>
  <c r="C90" i="1"/>
  <c r="C89" i="1"/>
  <c r="C88" i="1"/>
  <c r="X91" i="1"/>
  <c r="X93" i="1" s="1"/>
  <c r="W91" i="1"/>
  <c r="W93" i="1" s="1"/>
  <c r="U91" i="1"/>
  <c r="U93" i="1"/>
  <c r="S91" i="1"/>
  <c r="S93" i="1"/>
  <c r="C87" i="1"/>
  <c r="T72" i="1"/>
  <c r="T71" i="1"/>
  <c r="S71" i="1"/>
  <c r="W71" i="1" s="1"/>
  <c r="V70" i="1"/>
  <c r="W70" i="1" s="1"/>
  <c r="T70" i="1"/>
  <c r="U70" i="1" s="1"/>
  <c r="W65" i="1"/>
  <c r="T65" i="1"/>
  <c r="U65" i="1" s="1"/>
  <c r="V64" i="1"/>
  <c r="W64" i="1"/>
  <c r="T64" i="1"/>
  <c r="U64" i="1" s="1"/>
  <c r="X64" i="1" s="1"/>
  <c r="K60" i="1"/>
  <c r="AD37" i="1" s="1"/>
  <c r="AD47" i="1" s="1"/>
  <c r="V63" i="1"/>
  <c r="W63" i="1" s="1"/>
  <c r="T63" i="1"/>
  <c r="U63" i="1" s="1"/>
  <c r="X63" i="1" s="1"/>
  <c r="V62" i="1"/>
  <c r="W62" i="1"/>
  <c r="T62" i="1"/>
  <c r="U62" i="1" s="1"/>
  <c r="W56" i="1"/>
  <c r="X56" i="1"/>
  <c r="T56" i="1"/>
  <c r="K47" i="1"/>
  <c r="K46" i="1"/>
  <c r="AD45" i="1"/>
  <c r="W45" i="1"/>
  <c r="T45" i="1"/>
  <c r="U45" i="1"/>
  <c r="X45" i="1" s="1"/>
  <c r="K45" i="1"/>
  <c r="AD44" i="1"/>
  <c r="AC44" i="1"/>
  <c r="W44" i="1"/>
  <c r="T44" i="1"/>
  <c r="U44" i="1" s="1"/>
  <c r="K44" i="1"/>
  <c r="W43" i="1"/>
  <c r="T43" i="1"/>
  <c r="U43" i="1"/>
  <c r="X43" i="1" s="1"/>
  <c r="V42" i="1"/>
  <c r="W42" i="1" s="1"/>
  <c r="T42" i="1"/>
  <c r="U42" i="1" s="1"/>
  <c r="W41" i="1"/>
  <c r="T41" i="1"/>
  <c r="U41" i="1" s="1"/>
  <c r="X41" i="1" s="1"/>
  <c r="K41" i="1"/>
  <c r="W40" i="1"/>
  <c r="T40" i="1"/>
  <c r="U40" i="1"/>
  <c r="K40" i="1"/>
  <c r="W39" i="1"/>
  <c r="T39" i="1"/>
  <c r="U39" i="1" s="1"/>
  <c r="X39" i="1" s="1"/>
  <c r="K39" i="1"/>
  <c r="AC38" i="1"/>
  <c r="AC53" i="1" s="1"/>
  <c r="W38" i="1"/>
  <c r="T38" i="1"/>
  <c r="U38" i="1" s="1"/>
  <c r="X38" i="1" s="1"/>
  <c r="K38" i="1"/>
  <c r="W37" i="1"/>
  <c r="T37" i="1"/>
  <c r="U37" i="1" s="1"/>
  <c r="X37" i="1" s="1"/>
  <c r="K37" i="1"/>
  <c r="W36" i="1"/>
  <c r="T36" i="1"/>
  <c r="U36" i="1" s="1"/>
  <c r="X36" i="1" s="1"/>
  <c r="K36" i="1"/>
  <c r="AC35" i="1"/>
  <c r="V35" i="1"/>
  <c r="W35" i="1" s="1"/>
  <c r="X35" i="1" s="1"/>
  <c r="T35" i="1"/>
  <c r="U35" i="1"/>
  <c r="K35" i="1"/>
  <c r="Z34" i="1"/>
  <c r="W34" i="1"/>
  <c r="T34" i="1"/>
  <c r="U34" i="1"/>
  <c r="X34" i="1" s="1"/>
  <c r="K34" i="1"/>
  <c r="K43" i="1" s="1"/>
  <c r="AD36" i="1" s="1"/>
  <c r="AD46" i="1" s="1"/>
  <c r="AA33" i="1"/>
  <c r="Z33" i="1"/>
  <c r="X30" i="1"/>
  <c r="W30" i="1"/>
  <c r="Q30" i="1"/>
  <c r="M24" i="1"/>
  <c r="P24" i="1"/>
  <c r="J24" i="1"/>
  <c r="L24" i="1" s="1"/>
  <c r="U20" i="1"/>
  <c r="V20" i="1"/>
  <c r="S20" i="1"/>
  <c r="T20" i="1"/>
  <c r="W20" i="1" s="1"/>
  <c r="M20" i="1"/>
  <c r="P20" i="1" s="1"/>
  <c r="J20" i="1"/>
  <c r="L20" i="1" s="1"/>
  <c r="U19" i="1"/>
  <c r="V19" i="1"/>
  <c r="S19" i="1"/>
  <c r="T19" i="1"/>
  <c r="M19" i="1"/>
  <c r="P19" i="1" s="1"/>
  <c r="J19" i="1"/>
  <c r="L19" i="1" s="1"/>
  <c r="Q19" i="1" s="1"/>
  <c r="X19" i="1" s="1"/>
  <c r="U18" i="1"/>
  <c r="V18" i="1"/>
  <c r="S18" i="1"/>
  <c r="T18" i="1" s="1"/>
  <c r="W18" i="1" s="1"/>
  <c r="M18" i="1"/>
  <c r="P18" i="1" s="1"/>
  <c r="J18" i="1"/>
  <c r="L18" i="1" s="1"/>
  <c r="U17" i="1"/>
  <c r="V17" i="1"/>
  <c r="S17" i="1"/>
  <c r="T17" i="1" s="1"/>
  <c r="W17" i="1" s="1"/>
  <c r="M17" i="1"/>
  <c r="P17" i="1" s="1"/>
  <c r="J17" i="1"/>
  <c r="L17" i="1" s="1"/>
  <c r="Q17" i="1" s="1"/>
  <c r="S11" i="1"/>
  <c r="T11" i="1"/>
  <c r="M11" i="1"/>
  <c r="P11" i="1"/>
  <c r="J11" i="1"/>
  <c r="S10" i="1"/>
  <c r="T10" i="1" s="1"/>
  <c r="M10" i="1"/>
  <c r="P10" i="1"/>
  <c r="J10" i="1"/>
  <c r="S9" i="1"/>
  <c r="T9" i="1"/>
  <c r="W9" i="1" s="1"/>
  <c r="M9" i="1"/>
  <c r="P9" i="1"/>
  <c r="J9" i="1"/>
  <c r="T8" i="1"/>
  <c r="W8" i="1" s="1"/>
  <c r="M8" i="1"/>
  <c r="P8" i="1"/>
  <c r="J8" i="1"/>
  <c r="S24" i="1"/>
  <c r="T24" i="1" s="1"/>
  <c r="X40" i="1"/>
  <c r="X62" i="1"/>
  <c r="X42" i="1"/>
  <c r="Q24" i="1"/>
  <c r="W19" i="1"/>
  <c r="Q18" i="1"/>
  <c r="X44" i="1"/>
  <c r="U11" i="1"/>
  <c r="V11" i="1"/>
  <c r="U10" i="1"/>
  <c r="V10" i="1" s="1"/>
  <c r="W10" i="1" s="1"/>
  <c r="U9" i="1"/>
  <c r="V9" i="1" s="1"/>
  <c r="U8" i="1"/>
  <c r="V8" i="1" s="1"/>
  <c r="L8" i="1"/>
  <c r="Q8" i="1"/>
  <c r="U71" i="1"/>
  <c r="X71" i="1" s="1"/>
  <c r="AC45" i="1"/>
  <c r="X47" i="1" l="1"/>
  <c r="X17" i="1"/>
  <c r="AC37" i="1"/>
  <c r="AC47" i="1" s="1"/>
  <c r="AA37" i="1"/>
  <c r="X18" i="1"/>
  <c r="X14" i="1"/>
  <c r="X66" i="1"/>
  <c r="X79" i="1" s="1"/>
  <c r="X80" i="1" s="1"/>
  <c r="AA42" i="1" s="1"/>
  <c r="V23" i="1"/>
  <c r="U24" i="1"/>
  <c r="V24" i="1" s="1"/>
  <c r="K112" i="2"/>
  <c r="K55" i="2"/>
  <c r="AC36" i="2" s="1"/>
  <c r="K13" i="2"/>
  <c r="L13" i="2" s="1"/>
  <c r="Q13" i="2" s="1"/>
  <c r="X13" i="2" s="1"/>
  <c r="J92" i="2" s="1"/>
  <c r="K92" i="2" s="1"/>
  <c r="K10" i="2"/>
  <c r="L10" i="2" s="1"/>
  <c r="Q10" i="2" s="1"/>
  <c r="X10" i="2" s="1"/>
  <c r="J89" i="2" s="1"/>
  <c r="K89" i="2" s="1"/>
  <c r="K9" i="2"/>
  <c r="L9" i="2" s="1"/>
  <c r="Q9" i="2" s="1"/>
  <c r="X9" i="2" s="1"/>
  <c r="X58" i="2"/>
  <c r="W11" i="1"/>
  <c r="W25" i="1" s="1"/>
  <c r="AA40" i="1" s="1"/>
  <c r="W23" i="1"/>
  <c r="X23" i="1" s="1"/>
  <c r="Q12" i="1"/>
  <c r="X12" i="1" s="1"/>
  <c r="W18" i="2"/>
  <c r="X18" i="2" s="1"/>
  <c r="Q21" i="2"/>
  <c r="X21" i="2" s="1"/>
  <c r="J91" i="2" s="1"/>
  <c r="K91" i="2" s="1"/>
  <c r="K43" i="2"/>
  <c r="X59" i="1"/>
  <c r="X24" i="1"/>
  <c r="X8" i="1"/>
  <c r="L10" i="1"/>
  <c r="Q10" i="1" s="1"/>
  <c r="X10" i="1" s="1"/>
  <c r="J89" i="1" s="1"/>
  <c r="K89" i="1" s="1"/>
  <c r="J105" i="1"/>
  <c r="K105" i="1" s="1"/>
  <c r="J49" i="1"/>
  <c r="K49" i="1" s="1"/>
  <c r="J101" i="1"/>
  <c r="K101" i="1" s="1"/>
  <c r="J106" i="1"/>
  <c r="K106" i="1" s="1"/>
  <c r="W72" i="2"/>
  <c r="X72" i="2" s="1"/>
  <c r="U24" i="2"/>
  <c r="V24" i="2" s="1"/>
  <c r="W24" i="2" s="1"/>
  <c r="X61" i="2"/>
  <c r="X66" i="2" s="1"/>
  <c r="X79" i="2" s="1"/>
  <c r="X80" i="2" s="1"/>
  <c r="AA42" i="2" s="1"/>
  <c r="W8" i="2"/>
  <c r="X63" i="2"/>
  <c r="X70" i="2"/>
  <c r="AE37" i="2"/>
  <c r="AC47" i="2"/>
  <c r="X21" i="1"/>
  <c r="X22" i="1"/>
  <c r="AA37" i="2"/>
  <c r="Q24" i="2"/>
  <c r="Q20" i="1"/>
  <c r="X20" i="1" s="1"/>
  <c r="X70" i="1"/>
  <c r="X20" i="2"/>
  <c r="X36" i="2"/>
  <c r="X47" i="2" s="1"/>
  <c r="K112" i="1"/>
  <c r="K55" i="1"/>
  <c r="W24" i="1"/>
  <c r="K13" i="1"/>
  <c r="L13" i="1" s="1"/>
  <c r="Q13" i="1" s="1"/>
  <c r="X13" i="1" s="1"/>
  <c r="J92" i="1" s="1"/>
  <c r="K92" i="1" s="1"/>
  <c r="K10" i="1"/>
  <c r="K9" i="1"/>
  <c r="L9" i="1" s="1"/>
  <c r="Q9" i="1" s="1"/>
  <c r="W11" i="2"/>
  <c r="X11" i="2" s="1"/>
  <c r="J90" i="2" s="1"/>
  <c r="K90" i="2" s="1"/>
  <c r="Q17" i="2"/>
  <c r="X17" i="2" s="1"/>
  <c r="X64" i="2"/>
  <c r="S72" i="1"/>
  <c r="K11" i="1"/>
  <c r="L11" i="1" s="1"/>
  <c r="Q11" i="1" s="1"/>
  <c r="X11" i="1" s="1"/>
  <c r="J90" i="1" s="1"/>
  <c r="K90" i="1" s="1"/>
  <c r="AB37" i="1"/>
  <c r="AB40" i="1" l="1"/>
  <c r="AB42" i="2"/>
  <c r="K115" i="2"/>
  <c r="AB42" i="1"/>
  <c r="AE42" i="1" s="1"/>
  <c r="AF42" i="1"/>
  <c r="X9" i="1"/>
  <c r="J88" i="1" s="1"/>
  <c r="K88" i="1" s="1"/>
  <c r="Q25" i="1"/>
  <c r="W25" i="2"/>
  <c r="AA40" i="2" s="1"/>
  <c r="AA47" i="2"/>
  <c r="AF37" i="2"/>
  <c r="X25" i="1"/>
  <c r="J87" i="1"/>
  <c r="K87" i="1" s="1"/>
  <c r="J91" i="1"/>
  <c r="K91" i="1" s="1"/>
  <c r="AC39" i="2"/>
  <c r="AC46" i="2"/>
  <c r="AC54" i="2" s="1"/>
  <c r="J93" i="1"/>
  <c r="K93" i="1" s="1"/>
  <c r="AE37" i="1"/>
  <c r="AB47" i="1"/>
  <c r="AE47" i="1" s="1"/>
  <c r="W72" i="1"/>
  <c r="U72" i="1"/>
  <c r="AC36" i="1"/>
  <c r="X77" i="1"/>
  <c r="X78" i="1" s="1"/>
  <c r="AA36" i="1"/>
  <c r="K109" i="1"/>
  <c r="AD38" i="1" s="1"/>
  <c r="X8" i="2"/>
  <c r="X24" i="2"/>
  <c r="X75" i="2"/>
  <c r="AA36" i="2"/>
  <c r="AD36" i="2"/>
  <c r="X77" i="2"/>
  <c r="X78" i="2" s="1"/>
  <c r="AA41" i="2" s="1"/>
  <c r="J88" i="2"/>
  <c r="K88" i="2" s="1"/>
  <c r="AA47" i="1"/>
  <c r="AF47" i="1" s="1"/>
  <c r="AF37" i="1"/>
  <c r="Q25" i="2"/>
  <c r="X25" i="2" l="1"/>
  <c r="J87" i="2"/>
  <c r="K87" i="2" s="1"/>
  <c r="K95" i="2" s="1"/>
  <c r="AD53" i="1"/>
  <c r="AD54" i="1" s="1"/>
  <c r="AD39" i="1"/>
  <c r="AA46" i="1"/>
  <c r="AF36" i="1"/>
  <c r="AB41" i="2"/>
  <c r="K95" i="1"/>
  <c r="AD46" i="2"/>
  <c r="AD54" i="2" s="1"/>
  <c r="AD39" i="2"/>
  <c r="AA41" i="1"/>
  <c r="AB47" i="2"/>
  <c r="AE47" i="2" s="1"/>
  <c r="AF47" i="2" s="1"/>
  <c r="AE42" i="2"/>
  <c r="AF42" i="2" s="1"/>
  <c r="AF36" i="2"/>
  <c r="AA46" i="2"/>
  <c r="AC46" i="1"/>
  <c r="AC54" i="1" s="1"/>
  <c r="AE36" i="1"/>
  <c r="AC39" i="1"/>
  <c r="AB40" i="2"/>
  <c r="AB35" i="2"/>
  <c r="AA35" i="2"/>
  <c r="X72" i="1"/>
  <c r="X75" i="1" s="1"/>
  <c r="K115" i="1" s="1"/>
  <c r="AE36" i="2"/>
  <c r="AA35" i="1"/>
  <c r="AB35" i="1"/>
  <c r="AE40" i="1"/>
  <c r="AF40" i="1" s="1"/>
  <c r="AB45" i="2" l="1"/>
  <c r="AE35" i="2"/>
  <c r="AE40" i="2"/>
  <c r="AF40" i="2" s="1"/>
  <c r="AA45" i="1"/>
  <c r="X81" i="2"/>
  <c r="X82" i="2" s="1"/>
  <c r="AA38" i="2"/>
  <c r="K111" i="2"/>
  <c r="K113" i="2" s="1"/>
  <c r="AB46" i="2"/>
  <c r="AE46" i="2" s="1"/>
  <c r="AE41" i="2"/>
  <c r="AF41" i="2" s="1"/>
  <c r="AE35" i="1"/>
  <c r="AF35" i="1" s="1"/>
  <c r="AB45" i="1"/>
  <c r="AB41" i="1"/>
  <c r="AA45" i="2"/>
  <c r="AF35" i="2"/>
  <c r="AA39" i="2"/>
  <c r="AF46" i="2"/>
  <c r="X81" i="1"/>
  <c r="X82" i="1" s="1"/>
  <c r="AA38" i="1"/>
  <c r="AA39" i="1" s="1"/>
  <c r="K111" i="1"/>
  <c r="K113" i="1" s="1"/>
  <c r="X83" i="1" l="1"/>
  <c r="AA43" i="1"/>
  <c r="AA53" i="1" s="1"/>
  <c r="AA54" i="1" s="1"/>
  <c r="AE45" i="2"/>
  <c r="AF45" i="2" s="1"/>
  <c r="AA43" i="2"/>
  <c r="AA53" i="2" s="1"/>
  <c r="X83" i="2"/>
  <c r="AE45" i="1"/>
  <c r="AF45" i="1" s="1"/>
  <c r="AB38" i="1"/>
  <c r="AE41" i="1"/>
  <c r="AF41" i="1" s="1"/>
  <c r="AB46" i="1"/>
  <c r="AE46" i="1" s="1"/>
  <c r="AF46" i="1" s="1"/>
  <c r="AB38" i="2"/>
  <c r="AA54" i="2" l="1"/>
  <c r="AE38" i="1"/>
  <c r="AF38" i="1" s="1"/>
  <c r="AB39" i="1"/>
  <c r="AE39" i="1" s="1"/>
  <c r="AF39" i="1" s="1"/>
  <c r="AB43" i="1"/>
  <c r="AA44" i="1"/>
  <c r="AE38" i="2"/>
  <c r="AF38" i="2" s="1"/>
  <c r="AB39" i="2"/>
  <c r="AE39" i="2" s="1"/>
  <c r="AF39" i="2" s="1"/>
  <c r="AB43" i="2"/>
  <c r="AA44" i="2"/>
  <c r="AE43" i="1" l="1"/>
  <c r="AF43" i="1" s="1"/>
  <c r="AB44" i="1"/>
  <c r="AE44" i="1" s="1"/>
  <c r="AF44" i="1" s="1"/>
  <c r="AE43" i="2"/>
  <c r="AF43" i="2" s="1"/>
  <c r="AB44" i="2"/>
  <c r="AE44" i="2" s="1"/>
  <c r="AF44" i="2"/>
  <c r="AB53" i="2"/>
  <c r="AB53" i="1"/>
  <c r="AE53" i="1" l="1"/>
  <c r="AF53" i="1" s="1"/>
  <c r="AB54" i="1"/>
  <c r="AE54" i="1" s="1"/>
  <c r="AF54" i="1" s="1"/>
  <c r="AE53" i="2"/>
  <c r="AF53" i="2" s="1"/>
  <c r="AB54" i="2"/>
  <c r="AE54" i="2" s="1"/>
  <c r="AF5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shunji.shimoda</author>
    <author>Hirotake Beppu</author>
    <author>.</author>
  </authors>
  <commentList>
    <comment ref="W10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cost(1.38JPY)</t>
        </r>
      </text>
    </comment>
    <comment ref="W11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W12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W13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W14" authorId="0" shapeId="0" xr:uid="{00000000-0006-0000-00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AB38" authorId="1" shapeId="0" xr:uid="{00000000-0006-0000-0000-000006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S91" authorId="2" shapeId="0" xr:uid="{00000000-0006-0000-00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91" authorId="2" shapeId="0" xr:uid="{00000000-0006-0000-00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91" authorId="2" shapeId="0" xr:uid="{00000000-0006-0000-00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91" authorId="2" shapeId="0" xr:uid="{00000000-0006-0000-00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91" authorId="2" shapeId="0" xr:uid="{00000000-0006-0000-00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91" authorId="2" shapeId="0" xr:uid="{00000000-0006-0000-00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Q97" authorId="2" shapeId="0" xr:uid="{00000000-0006-0000-00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97" authorId="2" shapeId="0" xr:uid="{00000000-0006-0000-0000-00000E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98" authorId="2" shapeId="0" xr:uid="{00000000-0006-0000-00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98" authorId="2" shapeId="0" xr:uid="{00000000-0006-0000-00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shunji.shimoda</author>
    <author>Hirotake Beppu</author>
    <author>.</author>
  </authors>
  <commentList>
    <comment ref="W10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cost(1.38JPY)</t>
        </r>
      </text>
    </comment>
    <comment ref="W11" authorId="0" shapeId="0" xr:uid="{00000000-0006-0000-01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W12" authorId="0" shapeId="0" xr:uid="{00000000-0006-0000-01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W13" authorId="0" shapeId="0" xr:uid="{00000000-0006-0000-01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W14" authorId="0" shapeId="0" xr:uid="{00000000-0006-0000-01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Include water absorbtion anealing cost(0.18JPY)</t>
        </r>
      </text>
    </comment>
    <comment ref="AB38" authorId="1" shapeId="0" xr:uid="{00000000-0006-0000-0100-000006000000}">
      <text>
        <r>
          <rPr>
            <sz val="11"/>
            <color indexed="81"/>
            <rFont val="Arial"/>
            <family val="2"/>
          </rPr>
          <t>Molding parts'LOSS  in SRC-Assy process</t>
        </r>
      </text>
    </comment>
    <comment ref="S91" authorId="2" shapeId="0" xr:uid="{00000000-0006-0000-0100-000007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T91" authorId="2" shapeId="0" xr:uid="{00000000-0006-0000-0100-000008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Cherryさんに確認）、円建て</t>
        </r>
      </text>
    </comment>
    <comment ref="U91" authorId="2" shapeId="0" xr:uid="{00000000-0006-0000-0100-000009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V91" authorId="2" shapeId="0" xr:uid="{00000000-0006-0000-0100-00000A000000}">
      <text>
        <r>
          <rPr>
            <b/>
            <sz val="9"/>
            <color indexed="81"/>
            <rFont val="ＭＳ Ｐゴシック"/>
            <family val="3"/>
            <charset val="128"/>
          </rPr>
          <t>FEAP調達価格
（2014/10/20 Cherryさんに確認）</t>
        </r>
      </text>
    </comment>
    <comment ref="W91" authorId="2" shapeId="0" xr:uid="{00000000-0006-0000-0100-00000B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FAS調達価格（2014/9/4、桑名BC　内田さんに確認）、管理費+10%とした</t>
        </r>
      </text>
    </comment>
    <comment ref="X91" authorId="2" shapeId="0" xr:uid="{00000000-0006-0000-0100-00000C000000}">
      <text>
        <r>
          <rPr>
            <b/>
            <sz val="9"/>
            <color indexed="81"/>
            <rFont val="ＭＳ Ｐゴシック"/>
            <family val="3"/>
            <charset val="128"/>
          </rPr>
          <t>FAS調達価格（2014/10/16、矢野さんに確認）、管理費+10%とした</t>
        </r>
      </text>
    </comment>
    <comment ref="Q97" authorId="2" shapeId="0" xr:uid="{00000000-0006-0000-0100-00000D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97" authorId="2" shapeId="0" xr:uid="{00000000-0006-0000-0100-00000E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2014/8 FEAP吉村さんヒアリング結果、廉価版金型の管理設備導入によるMT UP=50円/時間
</t>
        </r>
      </text>
    </comment>
    <comment ref="Q98" authorId="2" shapeId="0" xr:uid="{00000000-0006-0000-0100-00000F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  <comment ref="R98" authorId="2" shapeId="0" xr:uid="{00000000-0006-0000-0100-000010000000}">
      <text>
        <r>
          <rPr>
            <b/>
            <sz val="9"/>
            <color indexed="81"/>
            <rFont val="ＭＳ Ｐゴシック"/>
            <family val="3"/>
            <charset val="128"/>
          </rPr>
          <t>2014/8 FEAP吉村さんヒアリング結果</t>
        </r>
      </text>
    </comment>
  </commentList>
</comments>
</file>

<file path=xl/sharedStrings.xml><?xml version="1.0" encoding="utf-8"?>
<sst xmlns="http://schemas.openxmlformats.org/spreadsheetml/2006/main" count="924" uniqueCount="273">
  <si>
    <t>Year :</t>
  </si>
  <si>
    <t>2017/05 Update</t>
  </si>
  <si>
    <t>PART NAME / MODEL</t>
  </si>
  <si>
    <t xml:space="preserve">(Q'ty : </t>
    <phoneticPr fontId="6"/>
  </si>
  <si>
    <t>pcs./Month)</t>
    <phoneticPr fontId="6"/>
  </si>
  <si>
    <r>
      <rPr>
        <sz val="11"/>
        <rFont val="ＭＳ Ｐゴシック"/>
        <family val="3"/>
        <charset val="128"/>
      </rPr>
      <t>：</t>
    </r>
    <r>
      <rPr>
        <sz val="11"/>
        <rFont val="Arial"/>
        <family val="2"/>
      </rPr>
      <t>T51 22ch</t>
    </r>
    <r>
      <rPr>
        <sz val="11"/>
        <rFont val="ＭＳ Ｐゴシック"/>
        <family val="3"/>
        <charset val="128"/>
      </rPr>
      <t>（ホーンハーネス）からの変更点</t>
    </r>
  </si>
  <si>
    <t>Part Number</t>
  </si>
  <si>
    <t>$ -&gt; Yen</t>
    <phoneticPr fontId="6"/>
  </si>
  <si>
    <t>※青文字部：入力セル</t>
    <rPh sb="1" eb="2">
      <t>アオ</t>
    </rPh>
    <rPh sb="2" eb="4">
      <t>モジ</t>
    </rPh>
    <rPh sb="4" eb="5">
      <t>ブ</t>
    </rPh>
    <rPh sb="6" eb="8">
      <t>ニュウリョク</t>
    </rPh>
    <phoneticPr fontId="0"/>
  </si>
  <si>
    <t>Customer</t>
  </si>
  <si>
    <t>TRJ</t>
    <phoneticPr fontId="0"/>
  </si>
  <si>
    <t>Yen -&gt; $</t>
    <phoneticPr fontId="6"/>
  </si>
  <si>
    <t>　 黒文字部：入力不要</t>
    <rPh sb="2" eb="3">
      <t>クロ</t>
    </rPh>
    <rPh sb="3" eb="5">
      <t>モジ</t>
    </rPh>
    <rPh sb="5" eb="6">
      <t>ブ</t>
    </rPh>
    <rPh sb="7" eb="9">
      <t>ニュウリョク</t>
    </rPh>
    <rPh sb="9" eb="11">
      <t>フヨウ</t>
    </rPh>
    <phoneticPr fontId="0"/>
  </si>
  <si>
    <t>Php -&gt; Yen</t>
  </si>
  <si>
    <t>Budget 2017</t>
  </si>
  <si>
    <t>(Injection Molding Process)</t>
    <phoneticPr fontId="0"/>
  </si>
  <si>
    <t>Part Name</t>
    <phoneticPr fontId="0"/>
  </si>
  <si>
    <t>Description</t>
  </si>
  <si>
    <t>Code</t>
  </si>
  <si>
    <t>Cav.</t>
  </si>
  <si>
    <t>Part Weight</t>
  </si>
  <si>
    <t>Runner Weight</t>
  </si>
  <si>
    <t>Loss</t>
  </si>
  <si>
    <t>Total Weight</t>
  </si>
  <si>
    <t>Unit Price (*1)</t>
  </si>
  <si>
    <t>Piece Price</t>
  </si>
  <si>
    <t>Scrap Weight</t>
  </si>
  <si>
    <t>Collection</t>
  </si>
  <si>
    <t>Scrap Unit Price</t>
  </si>
  <si>
    <t>Scrap Price</t>
  </si>
  <si>
    <t>Material Cost</t>
  </si>
  <si>
    <t>Cycle Time</t>
  </si>
  <si>
    <t>MH(/hr)*</t>
    <phoneticPr fontId="0"/>
  </si>
  <si>
    <t>MH Cost</t>
  </si>
  <si>
    <t>MT(/hr)</t>
  </si>
  <si>
    <t>MT Cost</t>
  </si>
  <si>
    <t>Processing Cost</t>
  </si>
  <si>
    <t>Direct Cost</t>
  </si>
  <si>
    <t>-</t>
    <phoneticPr fontId="0"/>
  </si>
  <si>
    <t>Recycled PBT, B4520 Q120</t>
  </si>
  <si>
    <t>-</t>
  </si>
  <si>
    <t>actual condition</t>
  </si>
  <si>
    <t>Anneal</t>
  </si>
  <si>
    <t xml:space="preserve"> </t>
  </si>
  <si>
    <r>
      <t>〔</t>
    </r>
    <r>
      <rPr>
        <sz val="11"/>
        <rFont val="Arial"/>
        <family val="2"/>
      </rPr>
      <t>Annealing Q'ty</t>
    </r>
    <r>
      <rPr>
        <sz val="11"/>
        <rFont val="ＭＳ Ｐゴシック"/>
        <family val="3"/>
        <charset val="128"/>
      </rPr>
      <t>〕</t>
    </r>
  </si>
  <si>
    <r>
      <t>〔</t>
    </r>
    <r>
      <rPr>
        <sz val="11"/>
        <rFont val="Arial"/>
        <family val="2"/>
      </rPr>
      <t>A. Cost</t>
    </r>
    <r>
      <rPr>
        <sz val="11"/>
        <rFont val="ＭＳ Ｐゴシック"/>
        <family val="3"/>
        <charset val="128"/>
      </rPr>
      <t>〕</t>
    </r>
  </si>
  <si>
    <r>
      <t>【</t>
    </r>
    <r>
      <rPr>
        <sz val="11"/>
        <rFont val="Arial"/>
        <family val="2"/>
      </rPr>
      <t>Total</t>
    </r>
    <r>
      <rPr>
        <sz val="11"/>
        <rFont val="ＭＳ Ｐゴシック"/>
        <family val="3"/>
        <charset val="128"/>
      </rPr>
      <t>】</t>
    </r>
  </si>
  <si>
    <r>
      <t>【</t>
    </r>
    <r>
      <rPr>
        <sz val="11"/>
        <rFont val="Arial"/>
        <family val="2"/>
      </rPr>
      <t>Subtotal</t>
    </r>
    <r>
      <rPr>
        <sz val="11"/>
        <rFont val="ＭＳ Ｐゴシック"/>
        <family val="3"/>
        <charset val="128"/>
      </rPr>
      <t>】</t>
    </r>
  </si>
  <si>
    <t>* MH/(hr) : Based on 1 operator / 3 Injection Machine</t>
  </si>
  <si>
    <r>
      <t>(</t>
    </r>
    <r>
      <rPr>
        <sz val="11"/>
        <rFont val="Arial"/>
        <family val="2"/>
      </rPr>
      <t>Stamping Process)</t>
    </r>
  </si>
  <si>
    <t>Unit Price</t>
  </si>
  <si>
    <t>MH(/hr)</t>
  </si>
  <si>
    <r>
      <t>(</t>
    </r>
    <r>
      <rPr>
        <sz val="11"/>
        <rFont val="Arial"/>
        <family val="2"/>
      </rPr>
      <t>Material for FFC Assembly)</t>
    </r>
  </si>
  <si>
    <r>
      <t>（</t>
    </r>
    <r>
      <rPr>
        <sz val="11"/>
        <rFont val="Arial"/>
        <family val="2"/>
      </rPr>
      <t>Processing fee for FFC Assembly Process</t>
    </r>
    <r>
      <rPr>
        <sz val="11"/>
        <rFont val="ＭＳ Ｐゴシック"/>
        <family val="3"/>
        <charset val="128"/>
      </rPr>
      <t>）</t>
    </r>
  </si>
  <si>
    <t>Part Name</t>
  </si>
  <si>
    <t>@Jpn</t>
  </si>
  <si>
    <t>Qty.</t>
  </si>
  <si>
    <t>Unit</t>
    <phoneticPr fontId="0"/>
  </si>
  <si>
    <t>Price</t>
  </si>
  <si>
    <t>Trade term</t>
  </si>
  <si>
    <t>Process Name</t>
  </si>
  <si>
    <t>Operator</t>
  </si>
  <si>
    <t>Operation Ability</t>
  </si>
  <si>
    <t>MH/(hr)</t>
  </si>
  <si>
    <t xml:space="preserve">MT/(hr) </t>
  </si>
  <si>
    <t>Processing</t>
  </si>
  <si>
    <t>In house</t>
  </si>
  <si>
    <t>pc</t>
    <phoneticPr fontId="0"/>
  </si>
  <si>
    <t>FFC1 Cutting</t>
    <phoneticPr fontId="0"/>
  </si>
  <si>
    <t>Overall</t>
  </si>
  <si>
    <t>FEAP</t>
  </si>
  <si>
    <t>Local</t>
  </si>
  <si>
    <t>Japan</t>
  </si>
  <si>
    <t>check</t>
  </si>
  <si>
    <t>FFC2 Cutting</t>
    <phoneticPr fontId="0"/>
  </si>
  <si>
    <t>Injection</t>
  </si>
  <si>
    <t>pc</t>
  </si>
  <si>
    <t>FFC3 Cutting</t>
    <phoneticPr fontId="0"/>
  </si>
  <si>
    <t>FFC Assy</t>
  </si>
  <si>
    <t>FFC4 Cutting</t>
    <phoneticPr fontId="0"/>
  </si>
  <si>
    <t>Pigtail</t>
  </si>
  <si>
    <t>FFC1 Pigtail welding</t>
    <phoneticPr fontId="0"/>
  </si>
  <si>
    <t>SRC Assy</t>
  </si>
  <si>
    <t>FFC2 Pigtail welding</t>
    <phoneticPr fontId="0"/>
  </si>
  <si>
    <t>Material</t>
  </si>
  <si>
    <t>FFC3 Pigtail welding</t>
  </si>
  <si>
    <t>FFC4 Pigtail welding</t>
  </si>
  <si>
    <t>FFC1 FFC welding</t>
  </si>
  <si>
    <t>(a.)</t>
  </si>
  <si>
    <t>FFC2 FFC welding</t>
  </si>
  <si>
    <t>Out side</t>
    <phoneticPr fontId="0"/>
  </si>
  <si>
    <t>FFC3 FFC welding</t>
  </si>
  <si>
    <t>FFC4 FFC welding</t>
  </si>
  <si>
    <t>EPMI</t>
  </si>
  <si>
    <t>(g.)</t>
  </si>
  <si>
    <t>RM905</t>
  </si>
  <si>
    <t>JIMC</t>
  </si>
  <si>
    <r>
      <t>（</t>
    </r>
    <r>
      <rPr>
        <sz val="11"/>
        <rFont val="Arial"/>
        <family val="2"/>
      </rPr>
      <t>Processing fee for Pigtail Assembly Process</t>
    </r>
    <r>
      <rPr>
        <sz val="11"/>
        <rFont val="ＭＳ Ｐゴシック"/>
        <family val="3"/>
        <charset val="128"/>
      </rPr>
      <t>）</t>
    </r>
  </si>
  <si>
    <t>(b.)</t>
  </si>
  <si>
    <t>Process Name</t>
    <phoneticPr fontId="0"/>
  </si>
  <si>
    <t>Tesa Tape Wrapping</t>
    <phoneticPr fontId="0"/>
  </si>
  <si>
    <r>
      <t>(</t>
    </r>
    <r>
      <rPr>
        <sz val="11"/>
        <rFont val="Arial"/>
        <family val="2"/>
      </rPr>
      <t>Material for Pigtail Harness Assembly Process)</t>
    </r>
  </si>
  <si>
    <t>Terminal Crimping</t>
  </si>
  <si>
    <t>　</t>
  </si>
  <si>
    <t>(c.)</t>
  </si>
  <si>
    <t>Out side</t>
  </si>
  <si>
    <t>Pigtail Assembly</t>
    <phoneticPr fontId="0"/>
  </si>
  <si>
    <t>(h.)</t>
  </si>
  <si>
    <r>
      <t>（</t>
    </r>
    <r>
      <rPr>
        <sz val="11"/>
        <rFont val="Arial"/>
        <family val="2"/>
      </rPr>
      <t>Processing fee for SRC Assembly Process</t>
    </r>
    <r>
      <rPr>
        <sz val="11"/>
        <rFont val="ＭＳ Ｐゴシック"/>
        <family val="3"/>
        <charset val="128"/>
      </rPr>
      <t>）</t>
    </r>
  </si>
  <si>
    <t>SRC Assembly</t>
  </si>
  <si>
    <t>RM302</t>
  </si>
  <si>
    <t>Line Leader</t>
  </si>
  <si>
    <t>FAS</t>
  </si>
  <si>
    <t>m</t>
  </si>
  <si>
    <t>QA Inspector</t>
  </si>
  <si>
    <t>(i.)</t>
  </si>
  <si>
    <t>FEAP FFC ASSY</t>
  </si>
  <si>
    <t>(a.)+(b.)+(g.) = A</t>
  </si>
  <si>
    <t>FEAP FFC ASSY Direct Cost   (1)</t>
  </si>
  <si>
    <t>(A x loss</t>
  </si>
  <si>
    <t>）</t>
  </si>
  <si>
    <t>FEAP Pigtail ASSY</t>
  </si>
  <si>
    <t>(c.)+(d.)+(h.) = B</t>
  </si>
  <si>
    <t>FEAP FFC ASSY Direct Cost   (2)</t>
  </si>
  <si>
    <t xml:space="preserve">FEAP SRC ASSY </t>
  </si>
  <si>
    <t>(e.)+(f.)+(i.) = C</t>
  </si>
  <si>
    <t>FEAP SRC ASSY Direct Cost   (3)</t>
  </si>
  <si>
    <t>(C x loss</t>
  </si>
  <si>
    <t>FEAP Direct Cost   (1)+(2)+(3)=(4)</t>
  </si>
  <si>
    <t>Selling Price  to FAS</t>
    <phoneticPr fontId="0"/>
  </si>
  <si>
    <t>(d.)</t>
  </si>
  <si>
    <t>(*1)  Unit Price of Resin : including material recycling</t>
    <phoneticPr fontId="0"/>
  </si>
  <si>
    <t>POM</t>
    <phoneticPr fontId="0"/>
  </si>
  <si>
    <t>PBT</t>
    <phoneticPr fontId="0"/>
  </si>
  <si>
    <t>PPE+PA</t>
    <phoneticPr fontId="0"/>
  </si>
  <si>
    <r>
      <t>(</t>
    </r>
    <r>
      <rPr>
        <sz val="11"/>
        <rFont val="Arial"/>
        <family val="2"/>
      </rPr>
      <t>Material for SRC Assembly Process)</t>
    </r>
  </si>
  <si>
    <t>F30-03</t>
    <phoneticPr fontId="0"/>
  </si>
  <si>
    <t>FX-11J</t>
    <phoneticPr fontId="0"/>
  </si>
  <si>
    <t>B4520 Q120</t>
    <phoneticPr fontId="0"/>
  </si>
  <si>
    <t>C82HL</t>
    <phoneticPr fontId="0"/>
  </si>
  <si>
    <t>GTX918WR</t>
    <phoneticPr fontId="0"/>
  </si>
  <si>
    <t>Processing Cost for Recycling (JPY/kg)   (j)</t>
    <phoneticPr fontId="0"/>
  </si>
  <si>
    <t>Virgin Material Cost (JPY/kg)   (k)</t>
    <phoneticPr fontId="0"/>
  </si>
  <si>
    <t>Mixing Ratio   (m)</t>
    <phoneticPr fontId="0"/>
  </si>
  <si>
    <t>Recycled Material Cost (JPY/kg)   (j)*(m)+(k)*(1-(m))</t>
    <phoneticPr fontId="0"/>
  </si>
  <si>
    <t>RM039</t>
  </si>
  <si>
    <t>RM1528</t>
  </si>
  <si>
    <t>RM1130</t>
  </si>
  <si>
    <t>RM723</t>
  </si>
  <si>
    <t>RM1586</t>
  </si>
  <si>
    <t>(*2)  Unit price of MT / MH</t>
    <phoneticPr fontId="0"/>
  </si>
  <si>
    <t>MH</t>
    <phoneticPr fontId="0"/>
  </si>
  <si>
    <t>MT</t>
    <phoneticPr fontId="0"/>
  </si>
  <si>
    <t>Injection Molding Process</t>
    <phoneticPr fontId="0"/>
  </si>
  <si>
    <t>Annealing Process</t>
    <phoneticPr fontId="0"/>
  </si>
  <si>
    <t>(e.)</t>
  </si>
  <si>
    <t>forex adjusted value</t>
  </si>
  <si>
    <t>FFC Assembly Process</t>
    <phoneticPr fontId="0"/>
  </si>
  <si>
    <t>MOQ280k</t>
  </si>
  <si>
    <t>Pigtail Assembly Process</t>
    <phoneticPr fontId="0"/>
  </si>
  <si>
    <t>SRC Assembly Process</t>
    <phoneticPr fontId="0"/>
  </si>
  <si>
    <t>Unit: JPY</t>
    <phoneticPr fontId="0"/>
  </si>
  <si>
    <t>JPN</t>
  </si>
  <si>
    <t>FAS quotaiton</t>
  </si>
  <si>
    <r>
      <t>(*3)  FAS</t>
    </r>
    <r>
      <rPr>
        <sz val="11"/>
        <rFont val="ＭＳ Ｐゴシック"/>
        <family val="3"/>
        <charset val="128"/>
      </rPr>
      <t>管理費・輸送費</t>
    </r>
  </si>
  <si>
    <t>%</t>
    <phoneticPr fontId="0"/>
  </si>
  <si>
    <t>RM927</t>
  </si>
  <si>
    <t>g</t>
  </si>
  <si>
    <t>RM002</t>
  </si>
  <si>
    <r>
      <t>T35</t>
    </r>
    <r>
      <rPr>
        <sz val="11"/>
        <rFont val="ＭＳ Ｐゴシック"/>
        <family val="3"/>
        <charset val="128"/>
      </rPr>
      <t>ステータハウジング</t>
    </r>
    <r>
      <rPr>
        <sz val="11"/>
        <rFont val="Arial"/>
        <family val="2"/>
      </rPr>
      <t>2</t>
    </r>
    <r>
      <rPr>
        <sz val="11"/>
        <rFont val="ＭＳ Ｐゴシック"/>
        <family val="3"/>
        <charset val="128"/>
      </rPr>
      <t>と同一とした</t>
    </r>
  </si>
  <si>
    <t>(f.)</t>
  </si>
  <si>
    <t>Total material</t>
    <phoneticPr fontId="0"/>
  </si>
  <si>
    <t>Supply from FAS</t>
    <phoneticPr fontId="0"/>
  </si>
  <si>
    <t>Local purchase</t>
    <phoneticPr fontId="0"/>
  </si>
  <si>
    <t>Processing</t>
    <phoneticPr fontId="0"/>
  </si>
  <si>
    <t>F30-73R1</t>
  </si>
  <si>
    <t>POM, F30-73R1</t>
  </si>
  <si>
    <t>TMR-033 1ST MOLDING S1</t>
  </si>
  <si>
    <t>SQSC-02H-1A-Y</t>
  </si>
  <si>
    <t>SQSF-02-1</t>
  </si>
  <si>
    <t>SQSR-02H-1A-K (B)</t>
  </si>
  <si>
    <t>RM301</t>
  </si>
  <si>
    <t>RM1258</t>
  </si>
  <si>
    <t>SQSR-02H-1C-D (Or)</t>
  </si>
  <si>
    <t>RM1257</t>
  </si>
  <si>
    <t>SQS-A03GF-P-C</t>
  </si>
  <si>
    <t>RM300</t>
  </si>
  <si>
    <t>T11/T15 SHORT CIRCUIT SPRING</t>
  </si>
  <si>
    <t>GREASE MULTEMP SC-EF</t>
  </si>
  <si>
    <t>CARBON RIBBON</t>
  </si>
  <si>
    <t>BARCODE LABEL L6 W45 PAPER (SMALL TYPE)</t>
  </si>
  <si>
    <t>Acetate Tape No 5 (BLACK)(T0.23 W19)</t>
  </si>
  <si>
    <t>SMART PACK</t>
  </si>
  <si>
    <t>NITTODENKO</t>
  </si>
  <si>
    <t>RM023</t>
  </si>
  <si>
    <t>RM1560</t>
  </si>
  <si>
    <t>WP2191h</t>
  </si>
  <si>
    <t>BIG</t>
  </si>
  <si>
    <t>YM tech</t>
  </si>
  <si>
    <t>TMR-027 NEUTRAL WINDOW 1</t>
  </si>
  <si>
    <t>RM777</t>
  </si>
  <si>
    <t>roll</t>
  </si>
  <si>
    <t>INSULATION TUBE 5X6 (B) (0.035m)</t>
  </si>
  <si>
    <t>RM1025</t>
  </si>
  <si>
    <t>TMR-027 1ST MOLDING S4 SIDE (new plating)</t>
  </si>
  <si>
    <t>TMR-027 1ST MOLDING S3 SIDE (new plating)</t>
  </si>
  <si>
    <t>TMR-032 1ST MOLDING KEY 1 (L)</t>
  </si>
  <si>
    <t>PBT, B4520 Q120</t>
  </si>
  <si>
    <t xml:space="preserve">TMR-033 SRC 22CH JP </t>
  </si>
  <si>
    <t>77C543-0000</t>
  </si>
  <si>
    <t>TMR-033 Rotator</t>
  </si>
  <si>
    <t>TMR-033 Stator</t>
  </si>
  <si>
    <t>TMR-027 Substator</t>
  </si>
  <si>
    <t>TMR-027 Sleeve</t>
  </si>
  <si>
    <t>TMR-033 MOLD HOLDER 1</t>
  </si>
  <si>
    <t>TMR-027 MOLD HOLDER 2</t>
  </si>
  <si>
    <t>TMR-033 STATOR HOUSING 1</t>
  </si>
  <si>
    <t>TMR-021 LOCKING PIN GREEN</t>
  </si>
  <si>
    <t>TOMS</t>
  </si>
  <si>
    <t>RM818</t>
  </si>
  <si>
    <t>TMR-027 SLIP SHEET 1</t>
  </si>
  <si>
    <t>RM776</t>
  </si>
  <si>
    <t>FFC 93 L650.0</t>
  </si>
  <si>
    <t>FFC 94 L771.0</t>
  </si>
  <si>
    <t>RM1535</t>
  </si>
  <si>
    <t>RM1536</t>
  </si>
  <si>
    <t>AVSS0.5F (Y) LEAD WIRE</t>
  </si>
  <si>
    <t>AVSS0.5F (L) LEAD WIRE</t>
  </si>
  <si>
    <t>RM399</t>
  </si>
  <si>
    <t>RM398</t>
  </si>
  <si>
    <t>AVSS0.5F (B) LEAD WIRE</t>
  </si>
  <si>
    <t>RM420</t>
  </si>
  <si>
    <t>AVSS0.5F ( R) LEAD WIRE</t>
  </si>
  <si>
    <t>RM421</t>
  </si>
  <si>
    <t>AVSS0.5 (GR) LEAD WIRE</t>
  </si>
  <si>
    <t>RM316</t>
  </si>
  <si>
    <t xml:space="preserve">AVSS0.5 (BR) LEAD WIRE </t>
  </si>
  <si>
    <t>RM294</t>
  </si>
  <si>
    <t>AVSS0.5 (O) LEAD WIRE</t>
  </si>
  <si>
    <t xml:space="preserve">AVSS0.5 (SB) LEAD WIRE </t>
  </si>
  <si>
    <t>RM813</t>
  </si>
  <si>
    <t>RM297</t>
  </si>
  <si>
    <t>7116-4020 TERMINAL</t>
  </si>
  <si>
    <t>RM1325</t>
  </si>
  <si>
    <t>7189-0995 CONNECTOR</t>
  </si>
  <si>
    <t>RM1247</t>
  </si>
  <si>
    <t>GREASE MULTEMP L</t>
  </si>
  <si>
    <t>RM642</t>
  </si>
  <si>
    <t>TMR-033 STATOR HOUSING HS</t>
  </si>
  <si>
    <t xml:space="preserve">TMR-033 1ST MOLDING S2 </t>
  </si>
  <si>
    <t>TMR-033 1ST MOLDING C2</t>
  </si>
  <si>
    <t>TMR-033 1ST MOLDING C1</t>
  </si>
  <si>
    <t>RM900</t>
  </si>
  <si>
    <t>RM1097</t>
  </si>
  <si>
    <t>RM1098</t>
  </si>
  <si>
    <t>TMR-027 1ST MOLDING C3 (REFLOW)</t>
  </si>
  <si>
    <t>TMR-027 1ST MOLDING C4 (REFLOW)</t>
  </si>
  <si>
    <t>WP2032i</t>
  </si>
  <si>
    <t>WP2033i</t>
  </si>
  <si>
    <t>WP1462f</t>
  </si>
  <si>
    <t>WP1463g</t>
  </si>
  <si>
    <t>WP1544e</t>
  </si>
  <si>
    <t>WP1545e</t>
  </si>
  <si>
    <t xml:space="preserve">FFC4 FFC90 L780.0 </t>
  </si>
  <si>
    <t>FFC3 FFC90 L875.5</t>
  </si>
  <si>
    <t>RM1230</t>
  </si>
  <si>
    <t>INSULATION TUBE 5x6 (Y) (0.106m)</t>
  </si>
  <si>
    <t>RM1024</t>
  </si>
  <si>
    <t>77B959-0000</t>
  </si>
  <si>
    <t>TMR-021 LOCKING PIN L</t>
  </si>
  <si>
    <t>RM661</t>
  </si>
  <si>
    <t>TMR-033 SRC 20CH JP B</t>
  </si>
  <si>
    <t>MH(/hr)*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</si>
</sst>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(* #,##0.00_);_(* \(#,##0.00\);_(* &quot;-&quot;??_);_(@_)"/>
    <numFmt numFmtId="164" formatCode="&quot;Php&quot;#,##0_);[Red]\(&quot;Php&quot;#,##0\)"/>
    <numFmt numFmtId="165" formatCode="#,##0.000;[Red]\-#,##0.000"/>
    <numFmt numFmtId="166" formatCode="#,##0.0000_);[Red]\(#,##0.0000\)"/>
    <numFmt numFmtId="167" formatCode="0.0%"/>
    <numFmt numFmtId="168" formatCode="0.000_ "/>
    <numFmt numFmtId="169" formatCode="0_ ;[Red]\-0\ "/>
    <numFmt numFmtId="170" formatCode="#,##0.00_ ;[Red]\-#,##0.00\ "/>
    <numFmt numFmtId="171" formatCode="&quot;¥&quot;#,##0;[Red]&quot;¥&quot;\-#,##0"/>
    <numFmt numFmtId="172" formatCode="\$#,##0.00000;[Red]\-\$#,##0.00000"/>
    <numFmt numFmtId="173" formatCode="0.0000"/>
    <numFmt numFmtId="174" formatCode="#,##0.0000;[Red]\-#,##0.0000"/>
    <numFmt numFmtId="175" formatCode="0.00_ "/>
    <numFmt numFmtId="176" formatCode="#,##0.00000;[Red]\-#,##0.00000"/>
    <numFmt numFmtId="177" formatCode="[$$-409]#,##0.00000_);[Red]\([$$-409]#,##0.00000\)"/>
    <numFmt numFmtId="178" formatCode="[$$-409]#,##0.0000"/>
    <numFmt numFmtId="179" formatCode="[$$-409]#,##0.00000"/>
  </numFmts>
  <fonts count="1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b/>
      <i/>
      <sz val="14"/>
      <name val="Arial"/>
      <family val="2"/>
    </font>
    <font>
      <sz val="11"/>
      <color indexed="10"/>
      <name val="Arial"/>
      <family val="2"/>
    </font>
    <font>
      <sz val="14"/>
      <name val="Arial"/>
      <family val="2"/>
    </font>
    <font>
      <sz val="14"/>
      <name val="ＭＳ Ｐゴシック"/>
      <family val="3"/>
      <charset val="128"/>
    </font>
    <font>
      <sz val="10"/>
      <name val="Arial"/>
      <family val="2"/>
    </font>
    <font>
      <b/>
      <sz val="11"/>
      <name val="ＭＳ Ｐゴシック"/>
      <family val="3"/>
      <charset val="128"/>
    </font>
    <font>
      <strike/>
      <sz val="11"/>
      <name val="Arial"/>
      <family val="2"/>
    </font>
    <font>
      <b/>
      <sz val="11"/>
      <name val="Arial"/>
      <family val="2"/>
    </font>
    <font>
      <u/>
      <sz val="11"/>
      <name val="Arial"/>
      <family val="2"/>
    </font>
    <font>
      <sz val="9"/>
      <name val="Arial"/>
      <family val="2"/>
    </font>
    <font>
      <i/>
      <sz val="11"/>
      <name val="Arial"/>
      <family val="2"/>
    </font>
    <font>
      <b/>
      <sz val="9"/>
      <color indexed="81"/>
      <name val="ＭＳ Ｐゴシック"/>
      <family val="3"/>
      <charset val="128"/>
    </font>
    <font>
      <sz val="11"/>
      <color indexed="81"/>
      <name val="Arial"/>
      <family val="2"/>
    </font>
    <font>
      <sz val="8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20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1" fontId="1" fillId="0" borderId="0" applyFont="0" applyFill="0" applyBorder="0" applyAlignment="0" applyProtection="0">
      <alignment vertical="center"/>
    </xf>
    <xf numFmtId="0" fontId="7" fillId="0" borderId="0"/>
    <xf numFmtId="0" fontId="7" fillId="0" borderId="0"/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1" fillId="0" borderId="0"/>
    <xf numFmtId="0" fontId="17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 applyFont="0" applyFill="0" applyBorder="0" applyAlignment="0" applyProtection="0">
      <alignment vertical="center"/>
    </xf>
  </cellStyleXfs>
  <cellXfs count="357">
    <xf numFmtId="0" fontId="0" fillId="0" borderId="0" xfId="0">
      <alignment vertical="center"/>
    </xf>
    <xf numFmtId="0" fontId="2" fillId="0" borderId="0" xfId="15" applyFont="1" applyFill="1"/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2" fillId="0" borderId="0" xfId="13" applyFont="1" applyFill="1"/>
    <xf numFmtId="40" fontId="2" fillId="0" borderId="0" xfId="1" applyNumberFormat="1" applyFont="1" applyFill="1" applyAlignment="1"/>
    <xf numFmtId="38" fontId="2" fillId="0" borderId="0" xfId="1" applyFont="1" applyFill="1" applyAlignment="1">
      <alignment vertical="center"/>
    </xf>
    <xf numFmtId="14" fontId="2" fillId="0" borderId="0" xfId="1" applyNumberFormat="1" applyFont="1" applyFill="1" applyAlignment="1">
      <alignment horizontal="right"/>
    </xf>
    <xf numFmtId="0" fontId="4" fillId="0" borderId="0" xfId="15" applyFont="1" applyFill="1" applyAlignment="1">
      <alignment horizontal="right"/>
    </xf>
    <xf numFmtId="40" fontId="2" fillId="0" borderId="0" xfId="8" applyNumberFormat="1" applyFont="1" applyFill="1" applyAlignment="1">
      <alignment vertical="center"/>
    </xf>
    <xf numFmtId="38" fontId="2" fillId="0" borderId="0" xfId="8" applyFont="1" applyFill="1" applyAlignment="1">
      <alignment vertical="center"/>
    </xf>
    <xf numFmtId="0" fontId="2" fillId="0" borderId="0" xfId="13" quotePrefix="1" applyFont="1" applyFill="1" applyAlignment="1"/>
    <xf numFmtId="0" fontId="2" fillId="0" borderId="0" xfId="13" quotePrefix="1" applyFont="1" applyFill="1" applyAlignment="1">
      <alignment horizontal="right"/>
    </xf>
    <xf numFmtId="40" fontId="2" fillId="0" borderId="0" xfId="8" applyNumberFormat="1" applyFont="1" applyFill="1" applyAlignment="1">
      <alignment horizontal="right" vertical="center"/>
    </xf>
    <xf numFmtId="165" fontId="2" fillId="0" borderId="0" xfId="8" applyNumberFormat="1" applyFont="1" applyFill="1" applyAlignment="1">
      <alignment vertical="center"/>
    </xf>
    <xf numFmtId="0" fontId="7" fillId="0" borderId="0" xfId="10" applyFont="1" applyFill="1" applyAlignment="1">
      <alignment vertical="center"/>
    </xf>
    <xf numFmtId="0" fontId="8" fillId="0" borderId="0" xfId="15" applyFont="1" applyFill="1"/>
    <xf numFmtId="40" fontId="7" fillId="0" borderId="0" xfId="8" applyNumberFormat="1" applyFont="1" applyFill="1" applyAlignment="1">
      <alignment vertical="center"/>
    </xf>
    <xf numFmtId="166" fontId="2" fillId="0" borderId="0" xfId="1" applyNumberFormat="1" applyFont="1" applyFill="1" applyAlignment="1"/>
    <xf numFmtId="40" fontId="2" fillId="0" borderId="0" xfId="1" applyNumberFormat="1" applyFont="1" applyFill="1" applyAlignment="1">
      <alignment horizontal="right"/>
    </xf>
    <xf numFmtId="0" fontId="2" fillId="0" borderId="0" xfId="13" applyFont="1" applyFill="1" applyAlignment="1"/>
    <xf numFmtId="40" fontId="2" fillId="0" borderId="1" xfId="1" applyNumberFormat="1" applyFont="1" applyFill="1" applyBorder="1" applyAlignment="1">
      <alignment horizontal="center" wrapText="1"/>
    </xf>
    <xf numFmtId="40" fontId="2" fillId="0" borderId="2" xfId="1" applyNumberFormat="1" applyFont="1" applyFill="1" applyBorder="1" applyAlignment="1">
      <alignment horizontal="center" wrapText="1"/>
    </xf>
    <xf numFmtId="0" fontId="2" fillId="0" borderId="0" xfId="18" applyFont="1" applyFill="1"/>
    <xf numFmtId="40" fontId="2" fillId="0" borderId="3" xfId="1" applyNumberFormat="1" applyFont="1" applyFill="1" applyBorder="1" applyAlignment="1">
      <alignment horizontal="left"/>
    </xf>
    <xf numFmtId="40" fontId="2" fillId="0" borderId="4" xfId="1" applyNumberFormat="1" applyFont="1" applyFill="1" applyBorder="1" applyAlignment="1">
      <alignment horizontal="left"/>
    </xf>
    <xf numFmtId="0" fontId="2" fillId="0" borderId="5" xfId="1" applyNumberFormat="1" applyFont="1" applyFill="1" applyBorder="1" applyAlignment="1">
      <alignment shrinkToFit="1"/>
    </xf>
    <xf numFmtId="40" fontId="2" fillId="0" borderId="5" xfId="1" applyNumberFormat="1" applyFont="1" applyFill="1" applyBorder="1" applyAlignment="1">
      <alignment horizontal="center"/>
    </xf>
    <xf numFmtId="40" fontId="2" fillId="2" borderId="5" xfId="1" applyNumberFormat="1" applyFont="1" applyFill="1" applyBorder="1" applyAlignment="1"/>
    <xf numFmtId="165" fontId="2" fillId="2" borderId="5" xfId="1" applyNumberFormat="1" applyFont="1" applyFill="1" applyBorder="1" applyAlignment="1"/>
    <xf numFmtId="167" fontId="2" fillId="0" borderId="5" xfId="1" applyNumberFormat="1" applyFont="1" applyFill="1" applyBorder="1" applyAlignment="1"/>
    <xf numFmtId="168" fontId="2" fillId="0" borderId="5" xfId="1" applyNumberFormat="1" applyFont="1" applyFill="1" applyBorder="1" applyAlignment="1"/>
    <xf numFmtId="40" fontId="2" fillId="0" borderId="5" xfId="1" applyNumberFormat="1" applyFont="1" applyFill="1" applyBorder="1" applyAlignment="1"/>
    <xf numFmtId="40" fontId="2" fillId="0" borderId="6" xfId="1" applyNumberFormat="1" applyFont="1" applyFill="1" applyBorder="1" applyAlignment="1"/>
    <xf numFmtId="4" fontId="2" fillId="0" borderId="5" xfId="1" applyNumberFormat="1" applyFont="1" applyFill="1" applyBorder="1" applyAlignment="1"/>
    <xf numFmtId="0" fontId="2" fillId="0" borderId="7" xfId="1" applyNumberFormat="1" applyFont="1" applyFill="1" applyBorder="1" applyAlignment="1">
      <alignment shrinkToFit="1"/>
    </xf>
    <xf numFmtId="40" fontId="9" fillId="0" borderId="4" xfId="1" applyNumberFormat="1" applyFont="1" applyFill="1" applyBorder="1" applyAlignment="1">
      <alignment horizontal="left"/>
    </xf>
    <xf numFmtId="40" fontId="2" fillId="0" borderId="8" xfId="1" applyNumberFormat="1" applyFont="1" applyFill="1" applyBorder="1" applyAlignment="1">
      <alignment horizontal="left"/>
    </xf>
    <xf numFmtId="40" fontId="2" fillId="0" borderId="8" xfId="1" applyNumberFormat="1" applyFont="1" applyFill="1" applyBorder="1" applyAlignment="1">
      <alignment horizontal="center"/>
    </xf>
    <xf numFmtId="40" fontId="2" fillId="2" borderId="8" xfId="1" applyNumberFormat="1" applyFont="1" applyFill="1" applyBorder="1" applyAlignment="1"/>
    <xf numFmtId="165" fontId="2" fillId="2" borderId="8" xfId="1" applyNumberFormat="1" applyFont="1" applyFill="1" applyBorder="1" applyAlignment="1"/>
    <xf numFmtId="167" fontId="2" fillId="0" borderId="8" xfId="1" applyNumberFormat="1" applyFont="1" applyFill="1" applyBorder="1" applyAlignment="1"/>
    <xf numFmtId="40" fontId="2" fillId="0" borderId="8" xfId="1" applyNumberFormat="1" applyFont="1" applyFill="1" applyBorder="1" applyAlignment="1"/>
    <xf numFmtId="40" fontId="2" fillId="2" borderId="9" xfId="1" applyNumberFormat="1" applyFont="1" applyFill="1" applyBorder="1" applyAlignment="1"/>
    <xf numFmtId="40" fontId="2" fillId="0" borderId="7" xfId="1" applyNumberFormat="1" applyFont="1" applyFill="1" applyBorder="1" applyAlignment="1">
      <alignment horizontal="center"/>
    </xf>
    <xf numFmtId="40" fontId="2" fillId="0" borderId="7" xfId="1" applyNumberFormat="1" applyFont="1" applyFill="1" applyBorder="1" applyAlignment="1"/>
    <xf numFmtId="165" fontId="2" fillId="0" borderId="7" xfId="1" applyNumberFormat="1" applyFont="1" applyFill="1" applyBorder="1" applyAlignment="1"/>
    <xf numFmtId="167" fontId="2" fillId="0" borderId="7" xfId="1" applyNumberFormat="1" applyFont="1" applyFill="1" applyBorder="1" applyAlignment="1"/>
    <xf numFmtId="40" fontId="2" fillId="0" borderId="10" xfId="1" applyNumberFormat="1" applyFont="1" applyFill="1" applyBorder="1" applyAlignment="1"/>
    <xf numFmtId="40" fontId="2" fillId="0" borderId="11" xfId="1" applyNumberFormat="1" applyFont="1" applyFill="1" applyBorder="1" applyAlignment="1"/>
    <xf numFmtId="4" fontId="2" fillId="0" borderId="10" xfId="1" applyNumberFormat="1" applyFont="1" applyFill="1" applyBorder="1" applyAlignment="1"/>
    <xf numFmtId="40" fontId="2" fillId="0" borderId="12" xfId="1" applyNumberFormat="1" applyFont="1" applyFill="1" applyBorder="1" applyAlignment="1">
      <alignment horizontal="left"/>
    </xf>
    <xf numFmtId="40" fontId="9" fillId="0" borderId="13" xfId="1" applyNumberFormat="1" applyFont="1" applyFill="1" applyBorder="1" applyAlignment="1">
      <alignment horizontal="left"/>
    </xf>
    <xf numFmtId="40" fontId="2" fillId="0" borderId="14" xfId="1" applyNumberFormat="1" applyFont="1" applyFill="1" applyBorder="1" applyAlignment="1">
      <alignment horizontal="center"/>
    </xf>
    <xf numFmtId="167" fontId="2" fillId="0" borderId="14" xfId="1" applyNumberFormat="1" applyFont="1" applyFill="1" applyBorder="1" applyAlignment="1"/>
    <xf numFmtId="168" fontId="2" fillId="0" borderId="14" xfId="1" applyNumberFormat="1" applyFont="1" applyFill="1" applyBorder="1" applyAlignment="1"/>
    <xf numFmtId="40" fontId="2" fillId="0" borderId="14" xfId="1" applyNumberFormat="1" applyFont="1" applyFill="1" applyBorder="1" applyAlignment="1"/>
    <xf numFmtId="40" fontId="2" fillId="0" borderId="13" xfId="1" applyNumberFormat="1" applyFont="1" applyFill="1" applyBorder="1" applyAlignment="1"/>
    <xf numFmtId="40" fontId="2" fillId="0" borderId="15" xfId="1" applyNumberFormat="1" applyFont="1" applyFill="1" applyBorder="1" applyAlignment="1"/>
    <xf numFmtId="4" fontId="2" fillId="0" borderId="14" xfId="1" applyNumberFormat="1" applyFont="1" applyFill="1" applyBorder="1" applyAlignment="1"/>
    <xf numFmtId="40" fontId="2" fillId="0" borderId="16" xfId="1" applyNumberFormat="1" applyFont="1" applyFill="1" applyBorder="1" applyAlignment="1"/>
    <xf numFmtId="40" fontId="2" fillId="0" borderId="17" xfId="1" applyNumberFormat="1" applyFont="1" applyFill="1" applyBorder="1" applyAlignment="1"/>
    <xf numFmtId="40" fontId="2" fillId="0" borderId="17" xfId="1" applyNumberFormat="1" applyFont="1" applyFill="1" applyBorder="1" applyAlignment="1">
      <alignment horizontal="center"/>
    </xf>
    <xf numFmtId="40" fontId="2" fillId="0" borderId="18" xfId="1" applyNumberFormat="1" applyFont="1" applyFill="1" applyBorder="1" applyAlignment="1"/>
    <xf numFmtId="168" fontId="2" fillId="0" borderId="17" xfId="1" applyNumberFormat="1" applyFont="1" applyFill="1" applyBorder="1" applyAlignment="1"/>
    <xf numFmtId="40" fontId="2" fillId="0" borderId="19" xfId="1" applyNumberFormat="1" applyFont="1" applyFill="1" applyBorder="1" applyAlignment="1"/>
    <xf numFmtId="40" fontId="2" fillId="0" borderId="20" xfId="1" applyNumberFormat="1" applyFont="1" applyFill="1" applyBorder="1" applyAlignment="1"/>
    <xf numFmtId="0" fontId="2" fillId="0" borderId="21" xfId="18" applyFont="1" applyFill="1" applyBorder="1"/>
    <xf numFmtId="40" fontId="1" fillId="0" borderId="17" xfId="1" applyNumberFormat="1" applyFont="1" applyFill="1" applyBorder="1" applyAlignment="1">
      <alignment horizontal="right"/>
    </xf>
    <xf numFmtId="40" fontId="2" fillId="0" borderId="22" xfId="1" applyNumberFormat="1" applyFont="1" applyFill="1" applyBorder="1" applyAlignment="1"/>
    <xf numFmtId="165" fontId="2" fillId="0" borderId="5" xfId="1" applyNumberFormat="1" applyFont="1" applyFill="1" applyBorder="1" applyAlignment="1"/>
    <xf numFmtId="167" fontId="2" fillId="0" borderId="22" xfId="1" applyNumberFormat="1" applyFont="1" applyFill="1" applyBorder="1" applyAlignment="1"/>
    <xf numFmtId="40" fontId="2" fillId="0" borderId="23" xfId="1" applyNumberFormat="1" applyFont="1" applyFill="1" applyBorder="1" applyAlignment="1"/>
    <xf numFmtId="4" fontId="2" fillId="0" borderId="22" xfId="1" applyNumberFormat="1" applyFont="1" applyFill="1" applyBorder="1" applyAlignment="1"/>
    <xf numFmtId="0" fontId="2" fillId="0" borderId="0" xfId="17" applyFont="1" applyFill="1"/>
    <xf numFmtId="40" fontId="9" fillId="0" borderId="9" xfId="1" applyNumberFormat="1" applyFont="1" applyFill="1" applyBorder="1" applyAlignment="1">
      <alignment horizontal="left"/>
    </xf>
    <xf numFmtId="0" fontId="2" fillId="0" borderId="8" xfId="1" applyNumberFormat="1" applyFont="1" applyFill="1" applyBorder="1" applyAlignment="1">
      <alignment shrinkToFit="1"/>
    </xf>
    <xf numFmtId="165" fontId="2" fillId="0" borderId="8" xfId="1" applyNumberFormat="1" applyFont="1" applyFill="1" applyBorder="1" applyAlignment="1"/>
    <xf numFmtId="168" fontId="2" fillId="0" borderId="8" xfId="1" applyNumberFormat="1" applyFont="1" applyFill="1" applyBorder="1" applyAlignment="1"/>
    <xf numFmtId="40" fontId="2" fillId="0" borderId="24" xfId="1" applyNumberFormat="1" applyFont="1" applyFill="1" applyBorder="1" applyAlignment="1"/>
    <xf numFmtId="40" fontId="2" fillId="0" borderId="25" xfId="1" applyNumberFormat="1" applyFont="1" applyFill="1" applyBorder="1" applyAlignment="1"/>
    <xf numFmtId="40" fontId="2" fillId="0" borderId="26" xfId="1" applyNumberFormat="1" applyFont="1" applyFill="1" applyBorder="1" applyAlignment="1"/>
    <xf numFmtId="168" fontId="2" fillId="0" borderId="7" xfId="1" applyNumberFormat="1" applyFont="1" applyFill="1" applyBorder="1" applyAlignment="1"/>
    <xf numFmtId="40" fontId="2" fillId="0" borderId="27" xfId="1" applyNumberFormat="1" applyFont="1" applyFill="1" applyBorder="1" applyAlignment="1"/>
    <xf numFmtId="40" fontId="2" fillId="0" borderId="28" xfId="1" applyNumberFormat="1" applyFont="1" applyFill="1" applyBorder="1" applyAlignment="1"/>
    <xf numFmtId="40" fontId="2" fillId="0" borderId="29" xfId="1" applyNumberFormat="1" applyFont="1" applyFill="1" applyBorder="1" applyAlignment="1"/>
    <xf numFmtId="0" fontId="2" fillId="0" borderId="14" xfId="1" applyNumberFormat="1" applyFont="1" applyFill="1" applyBorder="1" applyAlignment="1">
      <alignment shrinkToFit="1"/>
    </xf>
    <xf numFmtId="165" fontId="2" fillId="0" borderId="14" xfId="1" applyNumberFormat="1" applyFont="1" applyFill="1" applyBorder="1" applyAlignment="1"/>
    <xf numFmtId="40" fontId="2" fillId="0" borderId="30" xfId="1" applyNumberFormat="1" applyFont="1" applyFill="1" applyBorder="1" applyAlignment="1"/>
    <xf numFmtId="40" fontId="1" fillId="0" borderId="16" xfId="1" applyNumberFormat="1" applyFont="1" applyFill="1" applyBorder="1" applyAlignment="1"/>
    <xf numFmtId="40" fontId="2" fillId="0" borderId="31" xfId="1" applyNumberFormat="1" applyFont="1" applyFill="1" applyBorder="1" applyAlignment="1"/>
    <xf numFmtId="40" fontId="2" fillId="0" borderId="32" xfId="1" applyNumberFormat="1" applyFont="1" applyFill="1" applyBorder="1" applyAlignment="1"/>
    <xf numFmtId="40" fontId="1" fillId="0" borderId="17" xfId="1" applyNumberFormat="1" applyFont="1" applyFill="1" applyBorder="1" applyAlignment="1">
      <alignment horizontal="left"/>
    </xf>
    <xf numFmtId="40" fontId="10" fillId="0" borderId="32" xfId="1" applyNumberFormat="1" applyFont="1" applyFill="1" applyBorder="1" applyAlignment="1"/>
    <xf numFmtId="40" fontId="2" fillId="0" borderId="0" xfId="1" applyNumberFormat="1" applyFont="1" applyFill="1" applyBorder="1" applyAlignment="1"/>
    <xf numFmtId="40" fontId="2" fillId="0" borderId="0" xfId="1" applyNumberFormat="1" applyFont="1" applyFill="1" applyBorder="1" applyAlignment="1">
      <alignment horizontal="center"/>
    </xf>
    <xf numFmtId="40" fontId="11" fillId="0" borderId="0" xfId="1" applyNumberFormat="1" applyFont="1" applyFill="1" applyBorder="1" applyAlignment="1">
      <alignment horizontal="left"/>
    </xf>
    <xf numFmtId="40" fontId="1" fillId="0" borderId="0" xfId="1" applyNumberFormat="1" applyFont="1" applyFill="1" applyAlignment="1"/>
    <xf numFmtId="40" fontId="2" fillId="0" borderId="3" xfId="1" applyNumberFormat="1" applyFont="1" applyFill="1" applyBorder="1" applyAlignment="1"/>
    <xf numFmtId="40" fontId="2" fillId="0" borderId="4" xfId="1" applyNumberFormat="1" applyFont="1" applyFill="1" applyBorder="1" applyAlignment="1"/>
    <xf numFmtId="10" fontId="2" fillId="0" borderId="5" xfId="1" applyNumberFormat="1" applyFont="1" applyFill="1" applyBorder="1" applyAlignment="1"/>
    <xf numFmtId="38" fontId="2" fillId="0" borderId="5" xfId="1" applyNumberFormat="1" applyFont="1" applyFill="1" applyBorder="1" applyAlignment="1"/>
    <xf numFmtId="40" fontId="2" fillId="0" borderId="0" xfId="1" applyNumberFormat="1" applyFont="1" applyFill="1" applyAlignment="1">
      <alignment horizontal="center"/>
    </xf>
    <xf numFmtId="40" fontId="2" fillId="0" borderId="33" xfId="1" applyNumberFormat="1" applyFont="1" applyFill="1" applyBorder="1" applyAlignment="1">
      <alignment horizontal="centerContinuous"/>
    </xf>
    <xf numFmtId="40" fontId="2" fillId="0" borderId="34" xfId="1" applyNumberFormat="1" applyFont="1" applyFill="1" applyBorder="1" applyAlignment="1">
      <alignment horizontal="centerContinuous"/>
    </xf>
    <xf numFmtId="40" fontId="2" fillId="0" borderId="1" xfId="1" applyNumberFormat="1" applyFont="1" applyFill="1" applyBorder="1" applyAlignment="1">
      <alignment horizontal="center"/>
    </xf>
    <xf numFmtId="40" fontId="2" fillId="0" borderId="1" xfId="1" quotePrefix="1" applyNumberFormat="1" applyFont="1" applyFill="1" applyBorder="1" applyAlignment="1">
      <alignment horizontal="center"/>
    </xf>
    <xf numFmtId="40" fontId="2" fillId="0" borderId="2" xfId="1" applyNumberFormat="1" applyFont="1" applyFill="1" applyBorder="1" applyAlignment="1">
      <alignment horizontal="center"/>
    </xf>
    <xf numFmtId="40" fontId="2" fillId="0" borderId="33" xfId="1" applyNumberFormat="1" applyFont="1" applyFill="1" applyBorder="1" applyAlignment="1">
      <alignment horizontal="centerContinuous" wrapText="1"/>
    </xf>
    <xf numFmtId="40" fontId="2" fillId="0" borderId="35" xfId="1" applyNumberFormat="1" applyFont="1" applyFill="1" applyBorder="1" applyAlignment="1">
      <alignment horizontal="centerContinuous" wrapText="1"/>
    </xf>
    <xf numFmtId="40" fontId="2" fillId="0" borderId="33" xfId="1" applyNumberFormat="1" applyFont="1" applyFill="1" applyBorder="1" applyAlignment="1">
      <alignment horizontal="center" wrapText="1"/>
    </xf>
    <xf numFmtId="169" fontId="2" fillId="0" borderId="36" xfId="13" applyNumberFormat="1" applyFont="1" applyFill="1" applyBorder="1"/>
    <xf numFmtId="40" fontId="2" fillId="0" borderId="37" xfId="1" applyNumberFormat="1" applyFont="1" applyFill="1" applyBorder="1" applyAlignment="1">
      <alignment horizontal="center" shrinkToFit="1"/>
    </xf>
    <xf numFmtId="40" fontId="2" fillId="0" borderId="22" xfId="8" applyNumberFormat="1" applyFont="1" applyFill="1" applyBorder="1" applyAlignment="1">
      <alignment horizontal="left" vertical="center"/>
    </xf>
    <xf numFmtId="40" fontId="2" fillId="0" borderId="38" xfId="1" applyNumberFormat="1" applyFont="1" applyFill="1" applyBorder="1" applyAlignment="1"/>
    <xf numFmtId="165" fontId="2" fillId="0" borderId="38" xfId="1" applyNumberFormat="1" applyFont="1" applyFill="1" applyBorder="1" applyAlignment="1"/>
    <xf numFmtId="167" fontId="2" fillId="0" borderId="38" xfId="1" applyNumberFormat="1" applyFont="1" applyFill="1" applyBorder="1" applyAlignment="1"/>
    <xf numFmtId="40" fontId="2" fillId="0" borderId="39" xfId="1" applyNumberFormat="1" applyFont="1" applyFill="1" applyBorder="1" applyAlignment="1"/>
    <xf numFmtId="40" fontId="2" fillId="0" borderId="40" xfId="1" applyNumberFormat="1" applyFont="1" applyFill="1" applyBorder="1" applyAlignment="1">
      <alignment vertical="center" wrapText="1"/>
    </xf>
    <xf numFmtId="40" fontId="2" fillId="0" borderId="41" xfId="1" applyNumberFormat="1" applyFont="1" applyFill="1" applyBorder="1" applyAlignment="1">
      <alignment vertical="center" wrapText="1"/>
    </xf>
    <xf numFmtId="40" fontId="2" fillId="0" borderId="37" xfId="1" applyNumberFormat="1" applyFont="1" applyFill="1" applyBorder="1" applyAlignment="1"/>
    <xf numFmtId="40" fontId="2" fillId="0" borderId="42" xfId="1" applyNumberFormat="1" applyFont="1" applyFill="1" applyBorder="1" applyAlignment="1"/>
    <xf numFmtId="167" fontId="2" fillId="0" borderId="37" xfId="1" applyNumberFormat="1" applyFont="1" applyFill="1" applyBorder="1" applyAlignment="1"/>
    <xf numFmtId="40" fontId="2" fillId="0" borderId="43" xfId="1" applyNumberFormat="1" applyFont="1" applyFill="1" applyBorder="1" applyAlignment="1"/>
    <xf numFmtId="0" fontId="2" fillId="0" borderId="44" xfId="13" applyFont="1" applyFill="1" applyBorder="1" applyAlignment="1">
      <alignment horizontal="center"/>
    </xf>
    <xf numFmtId="0" fontId="2" fillId="0" borderId="45" xfId="13" applyFont="1" applyFill="1" applyBorder="1" applyAlignment="1">
      <alignment horizontal="center"/>
    </xf>
    <xf numFmtId="0" fontId="2" fillId="0" borderId="41" xfId="13" applyFont="1" applyFill="1" applyBorder="1" applyAlignment="1">
      <alignment horizontal="center"/>
    </xf>
    <xf numFmtId="0" fontId="2" fillId="0" borderId="36" xfId="13" applyFont="1" applyFill="1" applyBorder="1" applyAlignment="1">
      <alignment horizontal="center"/>
    </xf>
    <xf numFmtId="40" fontId="2" fillId="0" borderId="8" xfId="8" applyNumberFormat="1" applyFont="1" applyFill="1" applyBorder="1" applyAlignment="1">
      <alignment horizontal="left" vertical="center"/>
    </xf>
    <xf numFmtId="40" fontId="2" fillId="0" borderId="46" xfId="1" applyNumberFormat="1" applyFont="1" applyFill="1" applyBorder="1" applyAlignment="1"/>
    <xf numFmtId="167" fontId="2" fillId="0" borderId="46" xfId="1" applyNumberFormat="1" applyFont="1" applyFill="1" applyBorder="1" applyAlignment="1"/>
    <xf numFmtId="0" fontId="2" fillId="0" borderId="47" xfId="13" applyFont="1" applyFill="1" applyBorder="1"/>
    <xf numFmtId="170" fontId="2" fillId="0" borderId="48" xfId="13" applyNumberFormat="1" applyFont="1" applyFill="1" applyBorder="1"/>
    <xf numFmtId="170" fontId="2" fillId="0" borderId="49" xfId="13" applyNumberFormat="1" applyFont="1" applyFill="1" applyBorder="1"/>
    <xf numFmtId="170" fontId="2" fillId="0" borderId="50" xfId="13" applyNumberFormat="1" applyFont="1" applyFill="1" applyBorder="1"/>
    <xf numFmtId="170" fontId="2" fillId="0" borderId="0" xfId="13" applyNumberFormat="1" applyFont="1" applyFill="1"/>
    <xf numFmtId="40" fontId="2" fillId="0" borderId="8" xfId="9" applyNumberFormat="1" applyFont="1" applyFill="1" applyBorder="1" applyAlignment="1">
      <alignment horizontal="left"/>
    </xf>
    <xf numFmtId="0" fontId="2" fillId="0" borderId="8" xfId="15" applyFont="1" applyFill="1" applyBorder="1"/>
    <xf numFmtId="165" fontId="2" fillId="0" borderId="8" xfId="9" applyNumberFormat="1" applyFont="1" applyFill="1" applyBorder="1" applyAlignment="1"/>
    <xf numFmtId="40" fontId="2" fillId="0" borderId="8" xfId="9" applyNumberFormat="1" applyFont="1" applyFill="1" applyBorder="1" applyAlignment="1"/>
    <xf numFmtId="167" fontId="2" fillId="0" borderId="8" xfId="9" applyNumberFormat="1" applyFont="1" applyFill="1" applyBorder="1" applyAlignment="1"/>
    <xf numFmtId="40" fontId="10" fillId="0" borderId="24" xfId="9" applyNumberFormat="1" applyFont="1" applyFill="1" applyBorder="1" applyAlignment="1"/>
    <xf numFmtId="40" fontId="2" fillId="0" borderId="25" xfId="9" applyNumberFormat="1" applyFont="1" applyFill="1" applyBorder="1" applyAlignment="1"/>
    <xf numFmtId="0" fontId="2" fillId="0" borderId="16" xfId="13" applyFont="1" applyFill="1" applyBorder="1"/>
    <xf numFmtId="170" fontId="2" fillId="0" borderId="20" xfId="13" applyNumberFormat="1" applyFont="1" applyFill="1" applyBorder="1"/>
    <xf numFmtId="170" fontId="2" fillId="0" borderId="31" xfId="13" applyNumberFormat="1" applyFont="1" applyFill="1" applyBorder="1"/>
    <xf numFmtId="170" fontId="2" fillId="0" borderId="36" xfId="13" applyNumberFormat="1" applyFont="1" applyFill="1" applyBorder="1"/>
    <xf numFmtId="40" fontId="2" fillId="0" borderId="8" xfId="9" quotePrefix="1" applyNumberFormat="1" applyFont="1" applyFill="1" applyBorder="1" applyAlignment="1"/>
    <xf numFmtId="0" fontId="1" fillId="0" borderId="0" xfId="15" applyFont="1" applyFill="1"/>
    <xf numFmtId="0" fontId="2" fillId="0" borderId="51" xfId="13" applyFont="1" applyFill="1" applyBorder="1"/>
    <xf numFmtId="170" fontId="2" fillId="0" borderId="52" xfId="13" applyNumberFormat="1" applyFont="1" applyFill="1" applyBorder="1"/>
    <xf numFmtId="170" fontId="2" fillId="0" borderId="53" xfId="13" applyNumberFormat="1" applyFont="1" applyFill="1" applyBorder="1"/>
    <xf numFmtId="170" fontId="2" fillId="0" borderId="54" xfId="13" applyNumberFormat="1" applyFont="1" applyFill="1" applyBorder="1"/>
    <xf numFmtId="0" fontId="2" fillId="0" borderId="55" xfId="13" applyFont="1" applyFill="1" applyBorder="1"/>
    <xf numFmtId="170" fontId="2" fillId="0" borderId="56" xfId="13" applyNumberFormat="1" applyFont="1" applyFill="1" applyBorder="1" applyAlignment="1">
      <alignment horizontal="right"/>
    </xf>
    <xf numFmtId="170" fontId="2" fillId="0" borderId="57" xfId="13" applyNumberFormat="1" applyFont="1" applyFill="1" applyBorder="1" applyAlignment="1">
      <alignment horizontal="right"/>
    </xf>
    <xf numFmtId="170" fontId="2" fillId="0" borderId="58" xfId="13" applyNumberFormat="1" applyFont="1" applyFill="1" applyBorder="1" applyAlignment="1">
      <alignment horizontal="right"/>
    </xf>
    <xf numFmtId="170" fontId="2" fillId="0" borderId="20" xfId="13" applyNumberFormat="1" applyFont="1" applyFill="1" applyBorder="1" applyAlignment="1">
      <alignment horizontal="right"/>
    </xf>
    <xf numFmtId="170" fontId="2" fillId="0" borderId="36" xfId="13" applyNumberFormat="1" applyFont="1" applyFill="1" applyBorder="1" applyAlignment="1">
      <alignment horizontal="right"/>
    </xf>
    <xf numFmtId="0" fontId="2" fillId="0" borderId="14" xfId="15" applyFont="1" applyFill="1" applyBorder="1"/>
    <xf numFmtId="0" fontId="2" fillId="0" borderId="59" xfId="15" applyFont="1" applyFill="1" applyBorder="1"/>
    <xf numFmtId="0" fontId="2" fillId="0" borderId="60" xfId="15" applyFont="1" applyFill="1" applyBorder="1"/>
    <xf numFmtId="40" fontId="2" fillId="0" borderId="61" xfId="1" applyNumberFormat="1" applyFont="1" applyFill="1" applyBorder="1" applyAlignment="1">
      <alignment horizontal="right"/>
    </xf>
    <xf numFmtId="40" fontId="2" fillId="0" borderId="22" xfId="1" applyNumberFormat="1" applyFont="1" applyFill="1" applyBorder="1" applyAlignment="1">
      <alignment horizontal="center" shrinkToFit="1"/>
    </xf>
    <xf numFmtId="40" fontId="2" fillId="0" borderId="62" xfId="1" applyNumberFormat="1" applyFont="1" applyFill="1" applyBorder="1" applyAlignment="1"/>
    <xf numFmtId="0" fontId="2" fillId="0" borderId="44" xfId="13" applyFont="1" applyFill="1" applyBorder="1"/>
    <xf numFmtId="170" fontId="2" fillId="0" borderId="63" xfId="13" applyNumberFormat="1" applyFont="1" applyFill="1" applyBorder="1"/>
    <xf numFmtId="170" fontId="2" fillId="0" borderId="64" xfId="13" applyNumberFormat="1" applyFont="1" applyFill="1" applyBorder="1"/>
    <xf numFmtId="170" fontId="2" fillId="0" borderId="65" xfId="13" applyNumberFormat="1" applyFont="1" applyFill="1" applyBorder="1"/>
    <xf numFmtId="0" fontId="2" fillId="0" borderId="5" xfId="15" applyFont="1" applyFill="1" applyBorder="1"/>
    <xf numFmtId="40" fontId="10" fillId="0" borderId="24" xfId="1" applyNumberFormat="1" applyFont="1" applyFill="1" applyBorder="1" applyAlignment="1"/>
    <xf numFmtId="0" fontId="2" fillId="0" borderId="12" xfId="15" applyFont="1" applyFill="1" applyBorder="1"/>
    <xf numFmtId="0" fontId="2" fillId="0" borderId="66" xfId="15" applyFont="1" applyFill="1" applyBorder="1"/>
    <xf numFmtId="0" fontId="2" fillId="0" borderId="67" xfId="15" applyFont="1" applyFill="1" applyBorder="1"/>
    <xf numFmtId="170" fontId="2" fillId="0" borderId="56" xfId="13" applyNumberFormat="1" applyFont="1" applyFill="1" applyBorder="1"/>
    <xf numFmtId="170" fontId="2" fillId="0" borderId="58" xfId="13" applyNumberFormat="1" applyFont="1" applyFill="1" applyBorder="1"/>
    <xf numFmtId="0" fontId="2" fillId="0" borderId="46" xfId="15" applyFont="1" applyFill="1" applyBorder="1"/>
    <xf numFmtId="40" fontId="1" fillId="0" borderId="16" xfId="1" applyNumberFormat="1" applyFont="1" applyFill="1" applyBorder="1" applyAlignment="1">
      <alignment horizontal="left"/>
    </xf>
    <xf numFmtId="40" fontId="2" fillId="0" borderId="17" xfId="1" applyNumberFormat="1" applyFont="1" applyFill="1" applyBorder="1" applyAlignment="1">
      <alignment horizontal="left"/>
    </xf>
    <xf numFmtId="40" fontId="2" fillId="0" borderId="17" xfId="1" applyNumberFormat="1" applyFont="1" applyFill="1" applyBorder="1" applyAlignment="1">
      <alignment horizontal="right"/>
    </xf>
    <xf numFmtId="40" fontId="10" fillId="0" borderId="52" xfId="1" applyNumberFormat="1" applyFont="1" applyFill="1" applyBorder="1" applyAlignment="1"/>
    <xf numFmtId="0" fontId="2" fillId="0" borderId="62" xfId="15" applyFont="1" applyFill="1" applyBorder="1"/>
    <xf numFmtId="172" fontId="2" fillId="0" borderId="8" xfId="4" applyNumberFormat="1" applyFont="1" applyFill="1" applyBorder="1" applyAlignment="1"/>
    <xf numFmtId="170" fontId="2" fillId="0" borderId="57" xfId="13" applyNumberFormat="1" applyFont="1" applyFill="1" applyBorder="1"/>
    <xf numFmtId="0" fontId="2" fillId="0" borderId="15" xfId="15" applyFont="1" applyFill="1" applyBorder="1"/>
    <xf numFmtId="40" fontId="2" fillId="0" borderId="68" xfId="1" applyNumberFormat="1" applyFont="1" applyFill="1" applyBorder="1" applyAlignment="1"/>
    <xf numFmtId="40" fontId="2" fillId="0" borderId="68" xfId="1" applyNumberFormat="1" applyFont="1" applyFill="1" applyBorder="1" applyAlignment="1">
      <alignment horizontal="center"/>
    </xf>
    <xf numFmtId="40" fontId="2" fillId="0" borderId="68" xfId="1" applyNumberFormat="1" applyFont="1" applyFill="1" applyBorder="1" applyAlignment="1">
      <alignment horizontal="right"/>
    </xf>
    <xf numFmtId="40" fontId="10" fillId="0" borderId="69" xfId="1" applyNumberFormat="1" applyFont="1" applyFill="1" applyBorder="1" applyAlignment="1"/>
    <xf numFmtId="40" fontId="12" fillId="0" borderId="0" xfId="15" applyNumberFormat="1" applyFont="1" applyFill="1"/>
    <xf numFmtId="40" fontId="2" fillId="0" borderId="34" xfId="1" applyNumberFormat="1" applyFont="1" applyFill="1" applyBorder="1" applyAlignment="1">
      <alignment horizontal="centerContinuous" wrapText="1"/>
    </xf>
    <xf numFmtId="40" fontId="2" fillId="0" borderId="1" xfId="1" quotePrefix="1" applyNumberFormat="1" applyFont="1" applyFill="1" applyBorder="1" applyAlignment="1">
      <alignment horizontal="center" wrapText="1"/>
    </xf>
    <xf numFmtId="40" fontId="2" fillId="0" borderId="38" xfId="1" applyNumberFormat="1" applyFont="1" applyFill="1" applyBorder="1" applyAlignment="1">
      <alignment horizontal="center" shrinkToFit="1"/>
    </xf>
    <xf numFmtId="40" fontId="1" fillId="0" borderId="3" xfId="1" applyNumberFormat="1" applyFont="1" applyFill="1" applyBorder="1" applyAlignment="1"/>
    <xf numFmtId="40" fontId="1" fillId="0" borderId="5" xfId="1" applyNumberFormat="1" applyFont="1" applyFill="1" applyBorder="1" applyAlignment="1"/>
    <xf numFmtId="165" fontId="1" fillId="0" borderId="5" xfId="1" applyNumberFormat="1" applyFont="1" applyFill="1" applyBorder="1" applyAlignment="1"/>
    <xf numFmtId="40" fontId="1" fillId="0" borderId="11" xfId="1" applyNumberFormat="1" applyFont="1" applyFill="1" applyBorder="1" applyAlignment="1"/>
    <xf numFmtId="0" fontId="2" fillId="0" borderId="0" xfId="15" quotePrefix="1" applyFont="1" applyFill="1"/>
    <xf numFmtId="167" fontId="2" fillId="0" borderId="17" xfId="1" applyNumberFormat="1" applyFont="1" applyFill="1" applyBorder="1" applyAlignment="1"/>
    <xf numFmtId="0" fontId="2" fillId="0" borderId="17" xfId="1" applyNumberFormat="1" applyFont="1" applyFill="1" applyBorder="1" applyAlignment="1">
      <alignment horizontal="right"/>
    </xf>
    <xf numFmtId="40" fontId="2" fillId="0" borderId="5" xfId="1" applyNumberFormat="1" applyFont="1" applyFill="1" applyBorder="1" applyAlignment="1">
      <alignment horizontal="center" shrinkToFit="1"/>
    </xf>
    <xf numFmtId="0" fontId="2" fillId="0" borderId="8" xfId="14" applyFont="1" applyFill="1" applyBorder="1"/>
    <xf numFmtId="40" fontId="2" fillId="0" borderId="5" xfId="9" applyNumberFormat="1" applyFont="1" applyFill="1" applyBorder="1" applyAlignment="1"/>
    <xf numFmtId="167" fontId="2" fillId="0" borderId="5" xfId="9" applyNumberFormat="1" applyFont="1" applyFill="1" applyBorder="1" applyAlignment="1"/>
    <xf numFmtId="40" fontId="2" fillId="0" borderId="6" xfId="9" applyNumberFormat="1" applyFont="1" applyFill="1" applyBorder="1" applyAlignment="1"/>
    <xf numFmtId="2" fontId="2" fillId="0" borderId="14" xfId="15" applyNumberFormat="1" applyFont="1" applyFill="1" applyBorder="1"/>
    <xf numFmtId="167" fontId="2" fillId="0" borderId="14" xfId="7" applyNumberFormat="1" applyFont="1" applyFill="1" applyBorder="1" applyAlignment="1"/>
    <xf numFmtId="167" fontId="2" fillId="0" borderId="14" xfId="15" applyNumberFormat="1" applyFont="1" applyFill="1" applyBorder="1"/>
    <xf numFmtId="2" fontId="2" fillId="0" borderId="59" xfId="15" applyNumberFormat="1" applyFont="1" applyFill="1" applyBorder="1"/>
    <xf numFmtId="2" fontId="2" fillId="0" borderId="67" xfId="15" applyNumberFormat="1" applyFont="1" applyFill="1" applyBorder="1"/>
    <xf numFmtId="0" fontId="2" fillId="0" borderId="8" xfId="12" applyFont="1" applyFill="1" applyBorder="1" applyAlignment="1"/>
    <xf numFmtId="40" fontId="2" fillId="0" borderId="8" xfId="9" applyNumberFormat="1" applyFont="1" applyFill="1" applyBorder="1" applyAlignment="1">
      <alignment horizontal="left" shrinkToFit="1"/>
    </xf>
    <xf numFmtId="0" fontId="2" fillId="0" borderId="8" xfId="16" applyFont="1" applyFill="1" applyBorder="1"/>
    <xf numFmtId="40" fontId="2" fillId="0" borderId="68" xfId="1" applyNumberFormat="1" applyFont="1" applyFill="1" applyBorder="1" applyAlignment="1">
      <alignment horizontal="left"/>
    </xf>
    <xf numFmtId="173" fontId="2" fillId="0" borderId="8" xfId="9" applyNumberFormat="1" applyFont="1" applyFill="1" applyBorder="1" applyAlignment="1"/>
    <xf numFmtId="167" fontId="2" fillId="0" borderId="62" xfId="1" applyNumberFormat="1" applyFont="1" applyFill="1" applyBorder="1" applyAlignment="1"/>
    <xf numFmtId="0" fontId="2" fillId="0" borderId="9" xfId="15" applyFont="1" applyFill="1" applyBorder="1"/>
    <xf numFmtId="0" fontId="2" fillId="0" borderId="24" xfId="15" applyFont="1" applyFill="1" applyBorder="1"/>
    <xf numFmtId="0" fontId="2" fillId="0" borderId="70" xfId="15" applyFont="1" applyFill="1" applyBorder="1"/>
    <xf numFmtId="0" fontId="2" fillId="0" borderId="55" xfId="15" applyFont="1" applyFill="1" applyBorder="1"/>
    <xf numFmtId="0" fontId="2" fillId="0" borderId="57" xfId="15" applyFont="1" applyFill="1" applyBorder="1"/>
    <xf numFmtId="0" fontId="2" fillId="0" borderId="58" xfId="15" applyFont="1" applyFill="1" applyBorder="1"/>
    <xf numFmtId="0" fontId="2" fillId="0" borderId="71" xfId="15" applyFont="1" applyFill="1" applyBorder="1"/>
    <xf numFmtId="0" fontId="2" fillId="0" borderId="72" xfId="15" applyFont="1" applyFill="1" applyBorder="1"/>
    <xf numFmtId="40" fontId="2" fillId="0" borderId="7" xfId="9" applyNumberFormat="1" applyFont="1" applyFill="1" applyBorder="1" applyAlignment="1"/>
    <xf numFmtId="0" fontId="2" fillId="0" borderId="7" xfId="16" quotePrefix="1" applyFont="1" applyFill="1" applyBorder="1" applyAlignment="1">
      <alignment horizontal="left"/>
    </xf>
    <xf numFmtId="173" fontId="2" fillId="0" borderId="7" xfId="9" applyNumberFormat="1" applyFont="1" applyFill="1" applyBorder="1" applyAlignment="1"/>
    <xf numFmtId="0" fontId="2" fillId="0" borderId="17" xfId="15" applyFont="1" applyFill="1" applyBorder="1"/>
    <xf numFmtId="2" fontId="2" fillId="0" borderId="0" xfId="15" applyNumberFormat="1" applyFont="1" applyFill="1"/>
    <xf numFmtId="40" fontId="2" fillId="0" borderId="62" xfId="9" applyNumberFormat="1" applyFont="1" applyFill="1" applyBorder="1" applyAlignment="1"/>
    <xf numFmtId="40" fontId="2" fillId="0" borderId="73" xfId="1" applyNumberFormat="1" applyFont="1" applyFill="1" applyBorder="1" applyAlignment="1"/>
    <xf numFmtId="2" fontId="2" fillId="0" borderId="65" xfId="1" applyNumberFormat="1" applyFont="1" applyFill="1" applyBorder="1" applyAlignment="1"/>
    <xf numFmtId="0" fontId="2" fillId="0" borderId="24" xfId="11" applyFont="1" applyFill="1" applyBorder="1"/>
    <xf numFmtId="40" fontId="2" fillId="0" borderId="74" xfId="1" applyNumberFormat="1" applyFont="1" applyFill="1" applyBorder="1" applyAlignment="1"/>
    <xf numFmtId="40" fontId="2" fillId="0" borderId="0" xfId="1" applyNumberFormat="1" applyFont="1" applyFill="1" applyBorder="1" applyAlignment="1">
      <alignment horizontal="right"/>
    </xf>
    <xf numFmtId="167" fontId="2" fillId="0" borderId="75" xfId="1" applyNumberFormat="1" applyFont="1" applyFill="1" applyBorder="1" applyAlignment="1"/>
    <xf numFmtId="40" fontId="1" fillId="0" borderId="75" xfId="1" applyNumberFormat="1" applyFont="1" applyFill="1" applyBorder="1" applyAlignment="1"/>
    <xf numFmtId="0" fontId="2" fillId="0" borderId="8" xfId="15" applyFont="1" applyFill="1" applyBorder="1" applyAlignment="1">
      <alignment horizontal="left"/>
    </xf>
    <xf numFmtId="0" fontId="2" fillId="0" borderId="19" xfId="0" applyFont="1" applyFill="1" applyBorder="1">
      <alignment vertical="center"/>
    </xf>
    <xf numFmtId="40" fontId="2" fillId="0" borderId="19" xfId="1" applyNumberFormat="1" applyFont="1" applyFill="1" applyBorder="1" applyAlignment="1">
      <alignment horizontal="right"/>
    </xf>
    <xf numFmtId="167" fontId="2" fillId="0" borderId="19" xfId="1" applyNumberFormat="1" applyFont="1" applyFill="1" applyBorder="1" applyAlignment="1"/>
    <xf numFmtId="40" fontId="2" fillId="0" borderId="74" xfId="1" applyNumberFormat="1" applyFont="1" applyFill="1" applyBorder="1" applyAlignment="1">
      <alignment horizontal="left"/>
    </xf>
    <xf numFmtId="40" fontId="2" fillId="0" borderId="74" xfId="1" applyNumberFormat="1" applyFont="1" applyFill="1" applyBorder="1" applyAlignment="1">
      <alignment horizontal="center"/>
    </xf>
    <xf numFmtId="0" fontId="2" fillId="0" borderId="0" xfId="0" applyFont="1" applyFill="1" applyBorder="1">
      <alignment vertical="center"/>
    </xf>
    <xf numFmtId="167" fontId="2" fillId="0" borderId="29" xfId="1" applyNumberFormat="1" applyFont="1" applyFill="1" applyBorder="1" applyAlignment="1"/>
    <xf numFmtId="40" fontId="1" fillId="0" borderId="29" xfId="1" applyNumberFormat="1" applyFont="1" applyFill="1" applyBorder="1" applyAlignment="1"/>
    <xf numFmtId="167" fontId="2" fillId="0" borderId="0" xfId="7" applyNumberFormat="1" applyFont="1" applyFill="1" applyAlignment="1"/>
    <xf numFmtId="40" fontId="2" fillId="0" borderId="0" xfId="1" applyNumberFormat="1" applyFont="1" applyFill="1" applyBorder="1" applyAlignment="1">
      <alignment vertical="center" wrapText="1"/>
    </xf>
    <xf numFmtId="40" fontId="2" fillId="0" borderId="76" xfId="1" applyNumberFormat="1" applyFont="1" applyFill="1" applyBorder="1" applyAlignment="1">
      <alignment horizontal="left"/>
    </xf>
    <xf numFmtId="40" fontId="2" fillId="0" borderId="77" xfId="1" applyNumberFormat="1" applyFont="1" applyFill="1" applyBorder="1" applyAlignment="1">
      <alignment horizontal="center"/>
    </xf>
    <xf numFmtId="40" fontId="2" fillId="0" borderId="77" xfId="1" applyNumberFormat="1" applyFont="1" applyFill="1" applyBorder="1" applyAlignment="1"/>
    <xf numFmtId="0" fontId="2" fillId="0" borderId="77" xfId="0" applyFont="1" applyFill="1" applyBorder="1">
      <alignment vertical="center"/>
    </xf>
    <xf numFmtId="40" fontId="2" fillId="0" borderId="77" xfId="1" applyNumberFormat="1" applyFont="1" applyFill="1" applyBorder="1" applyAlignment="1">
      <alignment horizontal="right"/>
    </xf>
    <xf numFmtId="167" fontId="2" fillId="0" borderId="77" xfId="1" applyNumberFormat="1" applyFont="1" applyFill="1" applyBorder="1" applyAlignment="1"/>
    <xf numFmtId="40" fontId="10" fillId="0" borderId="78" xfId="1" applyNumberFormat="1" applyFont="1" applyFill="1" applyBorder="1" applyAlignment="1"/>
    <xf numFmtId="0" fontId="2" fillId="0" borderId="7" xfId="15" applyFont="1" applyFill="1" applyBorder="1"/>
    <xf numFmtId="0" fontId="2" fillId="0" borderId="10" xfId="15" applyFont="1" applyFill="1" applyBorder="1"/>
    <xf numFmtId="0" fontId="2" fillId="0" borderId="74" xfId="15" applyFont="1" applyFill="1" applyBorder="1"/>
    <xf numFmtId="0" fontId="2" fillId="0" borderId="69" xfId="15" applyFont="1" applyFill="1" applyBorder="1"/>
    <xf numFmtId="40" fontId="1" fillId="0" borderId="0" xfId="1" applyNumberFormat="1" applyFont="1" applyFill="1" applyBorder="1" applyAlignment="1"/>
    <xf numFmtId="40" fontId="10" fillId="0" borderId="79" xfId="1" applyNumberFormat="1" applyFont="1" applyFill="1" applyBorder="1" applyAlignment="1"/>
    <xf numFmtId="0" fontId="2" fillId="0" borderId="44" xfId="15" applyFont="1" applyFill="1" applyBorder="1"/>
    <xf numFmtId="0" fontId="2" fillId="0" borderId="18" xfId="15" applyFont="1" applyFill="1" applyBorder="1"/>
    <xf numFmtId="0" fontId="2" fillId="0" borderId="44" xfId="15" applyFont="1" applyFill="1" applyBorder="1" applyAlignment="1">
      <alignment horizontal="center"/>
    </xf>
    <xf numFmtId="0" fontId="2" fillId="0" borderId="80" xfId="15" applyFont="1" applyFill="1" applyBorder="1" applyAlignment="1">
      <alignment horizontal="center"/>
    </xf>
    <xf numFmtId="0" fontId="2" fillId="0" borderId="64" xfId="15" applyFont="1" applyFill="1" applyBorder="1" applyAlignment="1">
      <alignment horizontal="center"/>
    </xf>
    <xf numFmtId="40" fontId="10" fillId="0" borderId="81" xfId="1" applyNumberFormat="1" applyFont="1" applyFill="1" applyBorder="1" applyAlignment="1"/>
    <xf numFmtId="0" fontId="2" fillId="0" borderId="68" xfId="15" applyFont="1" applyFill="1" applyBorder="1"/>
    <xf numFmtId="0" fontId="2" fillId="0" borderId="12" xfId="15" applyFont="1" applyFill="1" applyBorder="1" applyAlignment="1">
      <alignment horizontal="center"/>
    </xf>
    <xf numFmtId="0" fontId="2" fillId="0" borderId="82" xfId="15" applyFont="1" applyFill="1" applyBorder="1" applyAlignment="1">
      <alignment horizontal="center"/>
    </xf>
    <xf numFmtId="0" fontId="2" fillId="0" borderId="82" xfId="15" applyFont="1" applyFill="1" applyBorder="1" applyAlignment="1">
      <alignment horizontal="center" shrinkToFit="1"/>
    </xf>
    <xf numFmtId="0" fontId="2" fillId="0" borderId="66" xfId="15" applyFont="1" applyFill="1" applyBorder="1" applyAlignment="1">
      <alignment horizontal="center" shrinkToFit="1"/>
    </xf>
    <xf numFmtId="2" fontId="2" fillId="0" borderId="44" xfId="15" applyNumberFormat="1" applyFont="1" applyFill="1" applyBorder="1"/>
    <xf numFmtId="2" fontId="2" fillId="0" borderId="80" xfId="15" applyNumberFormat="1" applyFont="1" applyFill="1" applyBorder="1"/>
    <xf numFmtId="2" fontId="2" fillId="0" borderId="64" xfId="15" applyNumberFormat="1" applyFont="1" applyFill="1" applyBorder="1"/>
    <xf numFmtId="0" fontId="2" fillId="0" borderId="26" xfId="15" applyFont="1" applyFill="1" applyBorder="1"/>
    <xf numFmtId="2" fontId="10" fillId="0" borderId="46" xfId="15" applyNumberFormat="1" applyFont="1" applyFill="1" applyBorder="1"/>
    <xf numFmtId="2" fontId="10" fillId="0" borderId="83" xfId="15" applyNumberFormat="1" applyFont="1" applyFill="1" applyBorder="1"/>
    <xf numFmtId="2" fontId="2" fillId="0" borderId="9" xfId="15" applyNumberFormat="1" applyFont="1" applyFill="1" applyBorder="1"/>
    <xf numFmtId="167" fontId="2" fillId="0" borderId="46" xfId="15" applyNumberFormat="1" applyFont="1" applyFill="1" applyBorder="1"/>
    <xf numFmtId="167" fontId="2" fillId="0" borderId="83" xfId="15" applyNumberFormat="1" applyFont="1" applyFill="1" applyBorder="1"/>
    <xf numFmtId="167" fontId="2" fillId="0" borderId="9" xfId="15" applyNumberFormat="1" applyFont="1" applyFill="1" applyBorder="1"/>
    <xf numFmtId="2" fontId="2" fillId="0" borderId="55" xfId="15" applyNumberFormat="1" applyFont="1" applyFill="1" applyBorder="1"/>
    <xf numFmtId="2" fontId="2" fillId="0" borderId="84" xfId="15" applyNumberFormat="1" applyFont="1" applyFill="1" applyBorder="1"/>
    <xf numFmtId="2" fontId="2" fillId="0" borderId="57" xfId="15" applyNumberFormat="1" applyFont="1" applyFill="1" applyBorder="1"/>
    <xf numFmtId="0" fontId="2" fillId="0" borderId="16" xfId="15" applyFont="1" applyFill="1" applyBorder="1"/>
    <xf numFmtId="0" fontId="2" fillId="0" borderId="31" xfId="15" applyFont="1" applyFill="1" applyBorder="1"/>
    <xf numFmtId="0" fontId="2" fillId="0" borderId="85" xfId="15" applyFont="1" applyFill="1" applyBorder="1" applyAlignment="1">
      <alignment horizontal="center"/>
    </xf>
    <xf numFmtId="0" fontId="2" fillId="0" borderId="86" xfId="15" applyFont="1" applyFill="1" applyBorder="1" applyAlignment="1">
      <alignment horizontal="center"/>
    </xf>
    <xf numFmtId="0" fontId="2" fillId="0" borderId="73" xfId="15" applyFont="1" applyFill="1" applyBorder="1"/>
    <xf numFmtId="0" fontId="2" fillId="0" borderId="19" xfId="15" applyFont="1" applyFill="1" applyBorder="1"/>
    <xf numFmtId="0" fontId="2" fillId="0" borderId="87" xfId="16" applyFont="1" applyFill="1" applyBorder="1"/>
    <xf numFmtId="2" fontId="2" fillId="0" borderId="88" xfId="15" applyNumberFormat="1" applyFont="1" applyFill="1" applyBorder="1"/>
    <xf numFmtId="40" fontId="2" fillId="0" borderId="14" xfId="1" applyNumberFormat="1" applyFont="1" applyFill="1" applyBorder="1" applyAlignment="1">
      <alignment horizontal="left"/>
    </xf>
    <xf numFmtId="40" fontId="2" fillId="0" borderId="71" xfId="1" applyNumberFormat="1" applyFont="1" applyFill="1" applyBorder="1" applyAlignment="1"/>
    <xf numFmtId="40" fontId="2" fillId="0" borderId="56" xfId="1" applyNumberFormat="1" applyFont="1" applyFill="1" applyBorder="1" applyAlignment="1"/>
    <xf numFmtId="2" fontId="2" fillId="0" borderId="89" xfId="16" applyNumberFormat="1" applyFont="1" applyFill="1" applyBorder="1"/>
    <xf numFmtId="2" fontId="2" fillId="0" borderId="90" xfId="16" applyNumberFormat="1" applyFont="1" applyFill="1" applyBorder="1"/>
    <xf numFmtId="40" fontId="1" fillId="0" borderId="55" xfId="1" applyNumberFormat="1" applyFont="1" applyFill="1" applyBorder="1" applyAlignment="1"/>
    <xf numFmtId="40" fontId="2" fillId="0" borderId="58" xfId="1" applyNumberFormat="1" applyFont="1" applyFill="1" applyBorder="1" applyAlignment="1"/>
    <xf numFmtId="167" fontId="2" fillId="0" borderId="68" xfId="1" applyNumberFormat="1" applyFont="1" applyFill="1" applyBorder="1" applyAlignment="1"/>
    <xf numFmtId="40" fontId="2" fillId="0" borderId="72" xfId="1" applyNumberFormat="1" applyFont="1" applyFill="1" applyBorder="1" applyAlignment="1">
      <alignment horizontal="right"/>
    </xf>
    <xf numFmtId="172" fontId="2" fillId="0" borderId="5" xfId="4" applyNumberFormat="1" applyFont="1" applyFill="1" applyBorder="1" applyAlignment="1"/>
    <xf numFmtId="40" fontId="2" fillId="0" borderId="91" xfId="1" applyNumberFormat="1" applyFont="1" applyFill="1" applyBorder="1" applyAlignment="1"/>
    <xf numFmtId="0" fontId="2" fillId="0" borderId="13" xfId="15" applyFont="1" applyFill="1" applyBorder="1"/>
    <xf numFmtId="2" fontId="2" fillId="0" borderId="92" xfId="16" applyNumberFormat="1" applyFont="1" applyFill="1" applyBorder="1"/>
    <xf numFmtId="2" fontId="2" fillId="0" borderId="93" xfId="16" applyNumberFormat="1" applyFont="1" applyFill="1" applyBorder="1"/>
    <xf numFmtId="40" fontId="2" fillId="0" borderId="9" xfId="1" applyNumberFormat="1" applyFont="1" applyFill="1" applyBorder="1" applyAlignment="1"/>
    <xf numFmtId="40" fontId="2" fillId="0" borderId="62" xfId="1" applyNumberFormat="1" applyFont="1" applyFill="1" applyBorder="1" applyAlignment="1">
      <alignment horizontal="left"/>
    </xf>
    <xf numFmtId="0" fontId="2" fillId="0" borderId="36" xfId="15" applyFont="1" applyFill="1" applyBorder="1"/>
    <xf numFmtId="0" fontId="2" fillId="0" borderId="0" xfId="15" applyFont="1" applyFill="1" applyBorder="1"/>
    <xf numFmtId="40" fontId="2" fillId="0" borderId="0" xfId="15" applyNumberFormat="1" applyFont="1" applyFill="1"/>
    <xf numFmtId="2" fontId="2" fillId="0" borderId="91" xfId="11" applyNumberFormat="1" applyFont="1" applyFill="1" applyBorder="1"/>
    <xf numFmtId="164" fontId="2" fillId="0" borderId="8" xfId="1" applyNumberFormat="1" applyFont="1" applyFill="1" applyBorder="1" applyAlignment="1"/>
    <xf numFmtId="174" fontId="2" fillId="0" borderId="8" xfId="1" applyNumberFormat="1" applyFont="1" applyFill="1" applyBorder="1" applyAlignment="1"/>
    <xf numFmtId="40" fontId="2" fillId="0" borderId="30" xfId="9" applyNumberFormat="1" applyFont="1" applyFill="1" applyBorder="1" applyAlignment="1"/>
    <xf numFmtId="172" fontId="2" fillId="0" borderId="5" xfId="19" applyNumberFormat="1" applyFont="1" applyFill="1" applyBorder="1" applyAlignment="1"/>
    <xf numFmtId="0" fontId="2" fillId="0" borderId="0" xfId="15" applyFont="1" applyFill="1" applyAlignment="1">
      <alignment horizontal="right"/>
    </xf>
    <xf numFmtId="167" fontId="13" fillId="0" borderId="0" xfId="7" applyNumberFormat="1" applyFont="1" applyFill="1" applyAlignment="1"/>
    <xf numFmtId="174" fontId="2" fillId="0" borderId="8" xfId="9" applyNumberFormat="1" applyFont="1" applyFill="1" applyBorder="1" applyAlignment="1"/>
    <xf numFmtId="165" fontId="2" fillId="0" borderId="7" xfId="9" applyNumberFormat="1" applyFont="1" applyFill="1" applyBorder="1" applyAlignment="1"/>
    <xf numFmtId="176" fontId="2" fillId="0" borderId="5" xfId="1" applyNumberFormat="1" applyFont="1" applyFill="1" applyBorder="1" applyAlignment="1"/>
    <xf numFmtId="177" fontId="2" fillId="0" borderId="9" xfId="1" applyNumberFormat="1" applyFont="1" applyFill="1" applyBorder="1" applyAlignment="1"/>
    <xf numFmtId="40" fontId="10" fillId="0" borderId="22" xfId="8" applyNumberFormat="1" applyFont="1" applyFill="1" applyBorder="1" applyAlignment="1">
      <alignment vertical="center"/>
    </xf>
    <xf numFmtId="40" fontId="10" fillId="0" borderId="24" xfId="8" applyNumberFormat="1" applyFont="1" applyFill="1" applyBorder="1" applyAlignment="1">
      <alignment vertical="center"/>
    </xf>
    <xf numFmtId="178" fontId="2" fillId="0" borderId="8" xfId="15" applyNumberFormat="1" applyFont="1" applyFill="1" applyBorder="1"/>
    <xf numFmtId="179" fontId="2" fillId="0" borderId="8" xfId="15" applyNumberFormat="1" applyFont="1" applyFill="1" applyBorder="1"/>
    <xf numFmtId="40" fontId="2" fillId="0" borderId="30" xfId="1" applyNumberFormat="1" applyFont="1" applyFill="1" applyBorder="1" applyAlignment="1">
      <alignment horizontal="left"/>
    </xf>
    <xf numFmtId="40" fontId="2" fillId="0" borderId="30" xfId="9" applyNumberFormat="1" applyFont="1" applyFill="1" applyBorder="1" applyAlignment="1">
      <alignment horizontal="left"/>
    </xf>
    <xf numFmtId="172" fontId="2" fillId="0" borderId="14" xfId="19" applyNumberFormat="1" applyFont="1" applyFill="1" applyBorder="1" applyAlignment="1"/>
    <xf numFmtId="175" fontId="2" fillId="0" borderId="24" xfId="1" applyNumberFormat="1" applyFont="1" applyFill="1" applyBorder="1" applyAlignment="1"/>
    <xf numFmtId="174" fontId="2" fillId="0" borderId="7" xfId="9" applyNumberFormat="1" applyFont="1" applyFill="1" applyBorder="1" applyAlignment="1"/>
    <xf numFmtId="40" fontId="1" fillId="0" borderId="0" xfId="1" applyNumberFormat="1" applyFont="1" applyFill="1" applyBorder="1" applyAlignment="1">
      <alignment horizontal="left"/>
    </xf>
    <xf numFmtId="40" fontId="2" fillId="0" borderId="0" xfId="1" applyNumberFormat="1" applyFont="1" applyFill="1" applyBorder="1" applyAlignment="1">
      <alignment horizontal="left"/>
    </xf>
    <xf numFmtId="40" fontId="10" fillId="0" borderId="0" xfId="1" applyNumberFormat="1" applyFont="1" applyFill="1" applyBorder="1" applyAlignment="1"/>
    <xf numFmtId="173" fontId="2" fillId="0" borderId="8" xfId="15" applyNumberFormat="1" applyFont="1" applyFill="1" applyBorder="1"/>
    <xf numFmtId="40" fontId="2" fillId="2" borderId="7" xfId="1" applyNumberFormat="1" applyFont="1" applyFill="1" applyBorder="1" applyAlignment="1"/>
    <xf numFmtId="165" fontId="2" fillId="2" borderId="7" xfId="1" applyNumberFormat="1" applyFont="1" applyFill="1" applyBorder="1" applyAlignment="1"/>
    <xf numFmtId="165" fontId="2" fillId="0" borderId="46" xfId="1" applyNumberFormat="1" applyFont="1" applyFill="1" applyBorder="1" applyAlignment="1"/>
    <xf numFmtId="40" fontId="2" fillId="2" borderId="37" xfId="1" applyNumberFormat="1" applyFont="1" applyFill="1" applyBorder="1" applyAlignment="1"/>
    <xf numFmtId="40" fontId="2" fillId="2" borderId="46" xfId="1" applyNumberFormat="1" applyFont="1" applyFill="1" applyBorder="1" applyAlignment="1"/>
    <xf numFmtId="40" fontId="2" fillId="2" borderId="62" xfId="1" applyNumberFormat="1" applyFont="1" applyFill="1" applyBorder="1" applyAlignment="1"/>
    <xf numFmtId="40" fontId="2" fillId="2" borderId="94" xfId="1" applyNumberFormat="1" applyFont="1" applyFill="1" applyBorder="1" applyAlignment="1"/>
    <xf numFmtId="40" fontId="2" fillId="2" borderId="3" xfId="1" applyNumberFormat="1" applyFont="1" applyFill="1" applyBorder="1" applyAlignment="1"/>
    <xf numFmtId="40" fontId="5" fillId="0" borderId="16" xfId="1" applyNumberFormat="1" applyFont="1" applyFill="1" applyBorder="1" applyAlignment="1"/>
    <xf numFmtId="40" fontId="5" fillId="0" borderId="31" xfId="1" applyNumberFormat="1" applyFont="1" applyFill="1" applyBorder="1" applyAlignment="1"/>
    <xf numFmtId="40" fontId="5" fillId="0" borderId="16" xfId="1" applyNumberFormat="1" applyFont="1" applyFill="1" applyBorder="1" applyAlignment="1">
      <alignment horizontal="center"/>
    </xf>
    <xf numFmtId="40" fontId="5" fillId="0" borderId="17" xfId="1" applyNumberFormat="1" applyFont="1" applyFill="1" applyBorder="1" applyAlignment="1">
      <alignment horizontal="center"/>
    </xf>
    <xf numFmtId="40" fontId="5" fillId="0" borderId="31" xfId="1" applyNumberFormat="1" applyFont="1" applyFill="1" applyBorder="1" applyAlignment="1">
      <alignment horizontal="center"/>
    </xf>
    <xf numFmtId="40" fontId="2" fillId="0" borderId="33" xfId="1" applyNumberFormat="1" applyFont="1" applyFill="1" applyBorder="1" applyAlignment="1">
      <alignment horizontal="center" wrapText="1"/>
    </xf>
    <xf numFmtId="0" fontId="2" fillId="0" borderId="34" xfId="0" applyFont="1" applyFill="1" applyBorder="1" applyAlignment="1">
      <alignment horizontal="center" wrapText="1"/>
    </xf>
    <xf numFmtId="40" fontId="2" fillId="0" borderId="44" xfId="13" applyNumberFormat="1" applyFont="1" applyFill="1" applyBorder="1" applyAlignment="1">
      <alignment horizontal="center"/>
    </xf>
    <xf numFmtId="40" fontId="2" fillId="0" borderId="17" xfId="13" applyNumberFormat="1" applyFont="1" applyFill="1" applyBorder="1" applyAlignment="1">
      <alignment horizontal="center"/>
    </xf>
    <xf numFmtId="40" fontId="2" fillId="0" borderId="31" xfId="13" applyNumberFormat="1" applyFont="1" applyFill="1" applyBorder="1" applyAlignment="1">
      <alignment horizontal="center"/>
    </xf>
    <xf numFmtId="0" fontId="2" fillId="0" borderId="12" xfId="15" applyFont="1" applyFill="1" applyBorder="1" applyAlignment="1">
      <alignment shrinkToFit="1"/>
    </xf>
    <xf numFmtId="0" fontId="2" fillId="0" borderId="13" xfId="15" applyFont="1" applyFill="1" applyBorder="1" applyAlignment="1">
      <alignment shrinkToFit="1"/>
    </xf>
    <xf numFmtId="0" fontId="2" fillId="0" borderId="66" xfId="15" applyFont="1" applyFill="1" applyBorder="1" applyAlignment="1">
      <alignment shrinkToFit="1"/>
    </xf>
  </cellXfs>
  <cellStyles count="20">
    <cellStyle name="Comma [0] 5" xfId="1" xr:uid="{00000000-0005-0000-0000-000000000000}"/>
    <cellStyle name="Comma 2" xfId="2" xr:uid="{00000000-0005-0000-0000-000001000000}"/>
    <cellStyle name="Comma 3" xfId="3" xr:uid="{00000000-0005-0000-0000-000002000000}"/>
    <cellStyle name="Currency [0] 2" xfId="4" xr:uid="{00000000-0005-0000-0000-000003000000}"/>
    <cellStyle name="Normal" xfId="0" builtinId="0"/>
    <cellStyle name="Normal 2" xfId="5" xr:uid="{00000000-0005-0000-0000-000005000000}"/>
    <cellStyle name="Normal 3" xfId="6" xr:uid="{00000000-0005-0000-0000-000006000000}"/>
    <cellStyle name="Percent 5" xfId="7" xr:uid="{00000000-0005-0000-0000-000007000000}"/>
    <cellStyle name="桁区切り 2 2 2" xfId="8" xr:uid="{00000000-0005-0000-0000-000008000000}"/>
    <cellStyle name="桁区切り 3 2" xfId="9" xr:uid="{00000000-0005-0000-0000-000009000000}"/>
    <cellStyle name="標準 2 2 2" xfId="10" xr:uid="{00000000-0005-0000-0000-00000A000000}"/>
    <cellStyle name="標準 2 3" xfId="11" xr:uid="{00000000-0005-0000-0000-00000B000000}"/>
    <cellStyle name="標準 4 2" xfId="12" xr:uid="{00000000-0005-0000-0000-00000C000000}"/>
    <cellStyle name="標準_(FEAP 2nd) T15 Cost 020122_2008 MZR014 Costing (1)_MI14 KHP costing_2010312_TMR-035 cost table110607" xfId="13" xr:uid="{00000000-0005-0000-0000-00000D000000}"/>
    <cellStyle name="標準_(FEAP 2nd) T15 Cost 020122_2008 MZR014 Costing (1)_MI14 KHP costing_2010312_TMR-035 cost table110607 2 2" xfId="14" xr:uid="{00000000-0005-0000-0000-00000E000000}"/>
    <cellStyle name="標準_D-Pla原価見積りJan272004(13ch)_Rev by Jay_2008 MZR014 Costing (1)_MI14 KHP costing_2010312_TMR-035 cost table110607" xfId="15" xr:uid="{00000000-0005-0000-0000-00000F000000}"/>
    <cellStyle name="標準_D-Pla原価見積りJan272004(13ch)_Rev by Jay_2008 MZR014 Costing (1)_MI14 KHP costing_2010312_TMR-035 cost table110607 2 2" xfId="16" xr:uid="{00000000-0005-0000-0000-000010000000}"/>
    <cellStyle name="標準_D-Pla原価見積りJan272004(13ch)_Rev by Jay_2008 MZR014 Costing_MI14 KHP costing_2010312 2" xfId="17" xr:uid="{00000000-0005-0000-0000-000011000000}"/>
    <cellStyle name="標準_D-Pla原価見積りJan272004(13ch)_Rev by Jay_2008 MZR014 Costing_MI14 KHP costing_2010312_TMR-035 cost table110607" xfId="18" xr:uid="{00000000-0005-0000-0000-000012000000}"/>
    <cellStyle name="通貨 3 2" xfId="19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299357</xdr:colOff>
      <xdr:row>99</xdr:row>
      <xdr:rowOff>162486</xdr:rowOff>
    </xdr:from>
    <xdr:to>
      <xdr:col>19</xdr:col>
      <xdr:colOff>198504</xdr:colOff>
      <xdr:row>104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933464" y="18287200"/>
          <a:ext cx="4648040" cy="8220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古河品名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支給価格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FEAP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売値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TMR-051 CLAMP 1	215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251.55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90467-05172		  4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  4.68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299357</xdr:colOff>
      <xdr:row>99</xdr:row>
      <xdr:rowOff>162486</xdr:rowOff>
    </xdr:from>
    <xdr:to>
      <xdr:col>19</xdr:col>
      <xdr:colOff>198504</xdr:colOff>
      <xdr:row>104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1910332" y="18650511"/>
          <a:ext cx="4642597" cy="7519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古河品名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支給価格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FEAP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売値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TMR-051 CLAMP 1	215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251.55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</a:p>
        <a:p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90467-05172		  4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  4.68</a:t>
          </a:r>
          <a:r>
            <a:rPr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円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rmex1\Company%20Data\WINDOWS\TEMP\HRB-46%20Cost%20(Rev.3.1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ntapl01.ho.furukawa.co.jp/infobeans/db/akjsetbi.nsf/d9ff735d79d0b7ee492566b200332405/C5424AF36857E00149256A2D0010F7D4/$File/&#25505;&#31639;&#35336;&#31639;&#12501;&#12457;&#12540;&#12510;&#12483;&#12488;&#6529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AD\MY%20DOCUMENTS\bakup\LTK&#36039;&#26009;&#65420;&#65387;&#65433;&#65408;&#65438;&#65392;\&#65412;&#65438;&#65399;&#65389;&#65426;&#65437;&#65412;\&#30330;&#29017;&#29305;&#24615;&#35336;&#31639;&#2051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回収計算"/>
      <sheetName val="全ﾊﾞｽﾊﾞｰ日供（図面値）10ｔｈ起業用 "/>
      <sheetName val="数量"/>
      <sheetName val="売値　"/>
      <sheetName val="MT-MH(10th project)"/>
      <sheetName val="Overhead Rate"/>
      <sheetName val="????"/>
      <sheetName val="HRB-46 Cost (Rev.3.13)"/>
    </sheetNames>
    <sheetDataSet>
      <sheetData sheetId="0" refreshError="1">
        <row r="102">
          <cell r="AB102">
            <v>-238610</v>
          </cell>
          <cell r="AC102">
            <v>-466568.51599999983</v>
          </cell>
          <cell r="AD102">
            <v>465616.25400000019</v>
          </cell>
          <cell r="AE102">
            <v>561279.71199999982</v>
          </cell>
          <cell r="AF102">
            <v>342629.94000000064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ォーマット"/>
      <sheetName val="投資利益率計算"/>
      <sheetName val="MOTO"/>
      <sheetName val="初期03"/>
      <sheetName val="MPL 技連"/>
      <sheetName val="342E BLOCK"/>
      <sheetName val="342A Block"/>
      <sheetName val="損益予算Muster"/>
      <sheetName val="回収計算"/>
      <sheetName val="Sheet1"/>
      <sheetName val="主要WH売上"/>
      <sheetName val="計算ｼｰﾄ"/>
      <sheetName val="SCH"/>
      <sheetName val="計算DATA"/>
      <sheetName val="04年度長期操業予測_数量_0412月3発反映"/>
      <sheetName val="当前明细账"/>
      <sheetName val="工数集計"/>
      <sheetName val="Summary PL-No Variations"/>
      <sheetName val="静ﾊﾟﾀﾝ分析"/>
      <sheetName val="導体間隔ﾋｽﾄｸﾞﾗﾑ"/>
      <sheetName val="採算計算フォーマット２"/>
      <sheetName val="1課(PC誘導）"/>
      <sheetName val="工数海外比率"/>
      <sheetName val="4課khong phan tich"/>
      <sheetName val=" BIEU DO "/>
      <sheetName val="プレス入力"/>
      <sheetName val="推移データ"/>
      <sheetName val="Pivot"/>
      <sheetName val="Q_20050926_3_2"/>
      <sheetName val="３発デ－タ"/>
      <sheetName val="クエリ2"/>
      <sheetName val="CHART COST n GM"/>
      <sheetName val="車会集約"/>
      <sheetName val="#REF"/>
      <sheetName val="電線早見表"/>
      <sheetName val="出荷指示書"/>
      <sheetName val="指示数入力"/>
      <sheetName val="部品重量 150506"/>
      <sheetName val="部品重量 151001"/>
      <sheetName val="CAN BANG THAO TAC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J716(KYOUDO)"/>
      <sheetName val="成型負荷data"/>
      <sheetName val="MPL 技連"/>
      <sheetName val="342E BLOCK"/>
      <sheetName val="MOTO"/>
      <sheetName val="X02A (DF) TERMINAL LIST"/>
      <sheetName val="capacité"/>
      <sheetName val="SRP FH"/>
      <sheetName val="推移データ"/>
      <sheetName val="工数集計"/>
      <sheetName val="371国内試設変通知（日車記入）"/>
      <sheetName val="FAV"/>
      <sheetName val="GPC"/>
      <sheetName val="JAH"/>
      <sheetName val="CSM with CKD"/>
      <sheetName val="損益予算Muster"/>
      <sheetName val="主要WH売上"/>
      <sheetName val="1998"/>
      <sheetName val="1996A"/>
      <sheetName val="月次データ"/>
      <sheetName val="静ﾊﾟﾀﾝ分析"/>
      <sheetName val="工数海外比率"/>
      <sheetName val="XL4Poppy"/>
      <sheetName val="結果一覧"/>
      <sheetName val="発注ロット月数"/>
      <sheetName val="在庫にＬＴ＆ｻｲｸﾙ付加"/>
      <sheetName val="３発デ－タ"/>
      <sheetName val="#REF!"/>
      <sheetName val="計算DATA"/>
      <sheetName val="TW_STDATA"/>
      <sheetName val="Summary PL-No Variations"/>
      <sheetName val="04年度長期操業予測_金額_0408月3発反映_長計修正"/>
      <sheetName val="ﾄﾞﾗｲﾌﾞ鋳造"/>
      <sheetName val="ﾑｰﾊﾞﾌﾞﾙ鋳造 "/>
      <sheetName val="CHART COST n GM"/>
      <sheetName val="コード表"/>
      <sheetName val="4-m sheets"/>
      <sheetName val="Ramp-up"/>
      <sheetName val="Summary"/>
      <sheetName val="発煙特性計算値"/>
      <sheetName val="ﾋﾟﾆｵﾝｾﾝｻ1万"/>
      <sheetName val="CaseAnoInvest"/>
      <sheetName val="VN48 A,Btype 標準工数"/>
      <sheetName val="After Sales Supplier #'s"/>
      <sheetName val="ﾊﾟｲﾌﾟ"/>
      <sheetName val="他材料費"/>
      <sheetName val="熱延鋼板"/>
      <sheetName val="冷延鋼板"/>
      <sheetName val="1課(PC誘導）"/>
      <sheetName val="11月"/>
      <sheetName val="CHHS AVSS6"/>
      <sheetName val="①評価項目_メーカー"/>
      <sheetName val="4課khong phan tich"/>
      <sheetName val="Backデータ2"/>
      <sheetName val="DATE"/>
      <sheetName val="部品明細"/>
      <sheetName val="部品設定"/>
      <sheetName val="週数量"/>
      <sheetName val="投資利益率計算"/>
      <sheetName val="標準単価ﾏｽﾀ"/>
      <sheetName val="7 issue TS Report-Production"/>
      <sheetName val="箔Data"/>
      <sheetName val="INPUT SHEET"/>
      <sheetName val="总"/>
      <sheetName val="MYｺｰﾄﾞ"/>
      <sheetName val="車名照合表"/>
      <sheetName val="状況ｺｰﾄﾞ照合表"/>
      <sheetName val="名簿データ"/>
      <sheetName val="Gia vat tu"/>
      <sheetName val="TABLE"/>
      <sheetName val="_MISSION"/>
      <sheetName val="gvl"/>
      <sheetName val="DIST"/>
      <sheetName val="Lban"/>
      <sheetName val="DU LIEU XUAT KHO VO"/>
      <sheetName val="VN48 A_Btype 標準工数"/>
      <sheetName val="1_15 マトリクステスト_____"/>
    </sheetNames>
    <sheetDataSet>
      <sheetData sheetId="0" refreshError="1">
        <row r="39">
          <cell r="C39">
            <v>1</v>
          </cell>
          <cell r="D39">
            <v>82.178752022418294</v>
          </cell>
          <cell r="E39">
            <v>115.62192633149695</v>
          </cell>
          <cell r="F39">
            <v>162.2224624451668</v>
          </cell>
          <cell r="G39">
            <v>224.33958916613651</v>
          </cell>
        </row>
        <row r="40">
          <cell r="C40">
            <v>1.5</v>
          </cell>
          <cell r="D40">
            <v>67.37232165799135</v>
          </cell>
          <cell r="E40">
            <v>94.735225831855956</v>
          </cell>
          <cell r="F40">
            <v>132.85267310667254</v>
          </cell>
          <cell r="G40">
            <v>183.63819359862734</v>
          </cell>
        </row>
        <row r="41">
          <cell r="C41">
            <v>2</v>
          </cell>
          <cell r="D41">
            <v>58.583442014295066</v>
          </cell>
          <cell r="E41">
            <v>82.329499704544801</v>
          </cell>
          <cell r="F41">
            <v>115.39931365767781</v>
          </cell>
          <cell r="G41">
            <v>159.43897094130602</v>
          </cell>
        </row>
        <row r="42">
          <cell r="C42">
            <v>2.5</v>
          </cell>
          <cell r="D42">
            <v>52.611145329974754</v>
          </cell>
          <cell r="E42">
            <v>73.894182065649318</v>
          </cell>
          <cell r="F42">
            <v>103.52562857771929</v>
          </cell>
          <cell r="G42">
            <v>142.9678652935948</v>
          </cell>
        </row>
        <row r="43">
          <cell r="C43">
            <v>3</v>
          </cell>
          <cell r="D43">
            <v>48.221437293698145</v>
          </cell>
          <cell r="E43">
            <v>67.690204577065671</v>
          </cell>
          <cell r="F43">
            <v>94.788198599966606</v>
          </cell>
          <cell r="G43">
            <v>130.84131000568411</v>
          </cell>
        </row>
        <row r="44">
          <cell r="C44">
            <v>3.5</v>
          </cell>
          <cell r="D44">
            <v>44.824444235803597</v>
          </cell>
          <cell r="E44">
            <v>62.886157996643774</v>
          </cell>
          <cell r="F44">
            <v>88.018761206647284</v>
          </cell>
          <cell r="G44">
            <v>121.44137638889801</v>
          </cell>
        </row>
        <row r="45">
          <cell r="C45">
            <v>4</v>
          </cell>
          <cell r="D45">
            <v>42.09807509708358</v>
          </cell>
          <cell r="E45">
            <v>59.028010713111705</v>
          </cell>
          <cell r="F45">
            <v>82.579265515672674</v>
          </cell>
          <cell r="G45">
            <v>113.88434204889191</v>
          </cell>
        </row>
        <row r="46">
          <cell r="C46">
            <v>4.5</v>
          </cell>
          <cell r="D46">
            <v>39.849641392085665</v>
          </cell>
          <cell r="E46">
            <v>55.844109873548845</v>
          </cell>
          <cell r="F46">
            <v>78.087919616008364</v>
          </cell>
          <cell r="G46">
            <v>107.64136183776364</v>
          </cell>
        </row>
        <row r="47">
          <cell r="C47">
            <v>5</v>
          </cell>
          <cell r="D47">
            <v>37.955896651424823</v>
          </cell>
          <cell r="E47">
            <v>53.160681914915642</v>
          </cell>
          <cell r="F47">
            <v>74.30047096174691</v>
          </cell>
          <cell r="G47">
            <v>102.37407350951024</v>
          </cell>
        </row>
        <row r="48">
          <cell r="C48">
            <v>5.5</v>
          </cell>
          <cell r="D48">
            <v>36.333868516880642</v>
          </cell>
          <cell r="E48">
            <v>50.860724899565398</v>
          </cell>
          <cell r="F48">
            <v>71.052447862697761</v>
          </cell>
          <cell r="G48">
            <v>97.854613569079461</v>
          </cell>
        </row>
        <row r="49">
          <cell r="C49">
            <v>6</v>
          </cell>
          <cell r="D49">
            <v>34.925387453064118</v>
          </cell>
          <cell r="E49">
            <v>48.862202664350022</v>
          </cell>
          <cell r="F49">
            <v>68.228519347960727</v>
          </cell>
          <cell r="G49">
            <v>93.923184443738123</v>
          </cell>
        </row>
        <row r="50">
          <cell r="C50">
            <v>6.5</v>
          </cell>
          <cell r="D50">
            <v>33.688308047732072</v>
          </cell>
          <cell r="E50">
            <v>47.105670950459483</v>
          </cell>
          <cell r="F50">
            <v>65.745107249698094</v>
          </cell>
          <cell r="G50">
            <v>90.463973067738351</v>
          </cell>
        </row>
        <row r="51">
          <cell r="C51">
            <v>7</v>
          </cell>
          <cell r="D51">
            <v>32.591250675641668</v>
          </cell>
          <cell r="E51">
            <v>45.546865113901326</v>
          </cell>
          <cell r="F51">
            <v>63.539969780983476</v>
          </cell>
          <cell r="G51">
            <v>87.390723879580193</v>
          </cell>
        </row>
        <row r="52">
          <cell r="C52">
            <v>7.5</v>
          </cell>
          <cell r="D52">
            <v>31.610308482542052</v>
          </cell>
          <cell r="E52">
            <v>44.152057897882564</v>
          </cell>
          <cell r="F52">
            <v>61.565677493699006</v>
          </cell>
          <cell r="G52">
            <v>84.637702383708941</v>
          </cell>
        </row>
        <row r="53">
          <cell r="C53">
            <v>8</v>
          </cell>
          <cell r="D53">
            <v>30.726906845750356</v>
          </cell>
          <cell r="E53">
            <v>42.89504167560488</v>
          </cell>
          <cell r="F53">
            <v>59.78537198162708</v>
          </cell>
          <cell r="G53">
            <v>82.153820228108344</v>
          </cell>
        </row>
        <row r="54">
          <cell r="C54">
            <v>8.5</v>
          </cell>
          <cell r="D54">
            <v>29.926367182926509</v>
          </cell>
          <cell r="E54">
            <v>41.755103558849562</v>
          </cell>
          <cell r="F54">
            <v>58.169919846219514</v>
          </cell>
          <cell r="G54">
            <v>79.89869275195575</v>
          </cell>
        </row>
        <row r="55">
          <cell r="C55">
            <v>9</v>
          </cell>
          <cell r="D55">
            <v>29.196916691018139</v>
          </cell>
          <cell r="E55">
            <v>40.715629134055369</v>
          </cell>
          <cell r="F55">
            <v>56.695950105389706</v>
          </cell>
          <cell r="G55">
            <v>77.839920174656953</v>
          </cell>
        </row>
        <row r="56">
          <cell r="C56">
            <v>9.5</v>
          </cell>
          <cell r="D56">
            <v>28.528989147482751</v>
          </cell>
          <cell r="E56">
            <v>39.763116530747389</v>
          </cell>
          <cell r="F56">
            <v>55.344468289928713</v>
          </cell>
          <cell r="G56">
            <v>75.951167579281076</v>
          </cell>
        </row>
        <row r="57">
          <cell r="C57">
            <v>10</v>
          </cell>
          <cell r="D57">
            <v>27.914720814481591</v>
          </cell>
          <cell r="E57">
            <v>38.886465556017761</v>
          </cell>
          <cell r="F57">
            <v>54.099857139634196</v>
          </cell>
          <cell r="G57">
            <v>74.210780414698007</v>
          </cell>
        </row>
        <row r="58">
          <cell r="C58">
            <v>15</v>
          </cell>
          <cell r="D58">
            <v>23.679534670645722</v>
          </cell>
          <cell r="E58">
            <v>32.818583643784947</v>
          </cell>
          <cell r="F58">
            <v>45.45762991217368</v>
          </cell>
          <cell r="G58">
            <v>62.090553281047889</v>
          </cell>
        </row>
        <row r="59">
          <cell r="C59">
            <v>20</v>
          </cell>
          <cell r="D59">
            <v>21.281831079747796</v>
          </cell>
          <cell r="E59">
            <v>29.353728315326418</v>
          </cell>
          <cell r="F59">
            <v>40.488475606442805</v>
          </cell>
          <cell r="G59">
            <v>55.077339977999223</v>
          </cell>
        </row>
        <row r="60">
          <cell r="C60">
            <v>25</v>
          </cell>
          <cell r="D60">
            <v>19.73255498811039</v>
          </cell>
          <cell r="E60">
            <v>27.093761349013338</v>
          </cell>
          <cell r="F60">
            <v>37.222836030699554</v>
          </cell>
          <cell r="G60">
            <v>50.436862190584336</v>
          </cell>
        </row>
        <row r="61">
          <cell r="C61">
            <v>30</v>
          </cell>
          <cell r="D61">
            <v>18.653133538629586</v>
          </cell>
          <cell r="E61">
            <v>25.502985414067613</v>
          </cell>
          <cell r="F61">
            <v>34.905398674407742</v>
          </cell>
          <cell r="G61">
            <v>47.119614219739283</v>
          </cell>
        </row>
        <row r="62">
          <cell r="C62">
            <v>35</v>
          </cell>
          <cell r="D62">
            <v>17.86380629865851</v>
          </cell>
          <cell r="E62">
            <v>24.326799689737438</v>
          </cell>
          <cell r="F62">
            <v>33.176895581906173</v>
          </cell>
          <cell r="G62">
            <v>44.625988594612153</v>
          </cell>
        </row>
        <row r="63">
          <cell r="C63">
            <v>40</v>
          </cell>
          <cell r="D63">
            <v>17.267039364671707</v>
          </cell>
          <cell r="E63">
            <v>23.426944924859257</v>
          </cell>
          <cell r="F63">
            <v>31.842082691316403</v>
          </cell>
          <cell r="G63">
            <v>42.684269585715597</v>
          </cell>
        </row>
        <row r="64">
          <cell r="C64">
            <v>45</v>
          </cell>
          <cell r="D64">
            <v>16.804841621270359</v>
          </cell>
          <cell r="E64">
            <v>22.72114399043917</v>
          </cell>
          <cell r="F64">
            <v>30.784688293997025</v>
          </cell>
          <cell r="G64">
            <v>41.132530759610539</v>
          </cell>
        </row>
        <row r="65">
          <cell r="C65">
            <v>50</v>
          </cell>
          <cell r="D65">
            <v>16.440347051619771</v>
          </cell>
          <cell r="E65">
            <v>22.157040825228634</v>
          </cell>
          <cell r="F65">
            <v>29.930670569584478</v>
          </cell>
          <cell r="G65">
            <v>39.867587227088286</v>
          </cell>
        </row>
        <row r="66">
          <cell r="C66">
            <v>55</v>
          </cell>
          <cell r="D66">
            <v>16.148891738964235</v>
          </cell>
          <cell r="E66">
            <v>21.699567054917456</v>
          </cell>
          <cell r="F66">
            <v>29.230396870942702</v>
          </cell>
          <cell r="G66">
            <v>38.820223761220184</v>
          </cell>
        </row>
        <row r="67">
          <cell r="C67">
            <v>60</v>
          </cell>
          <cell r="D67">
            <v>15.913299365640032</v>
          </cell>
          <cell r="E67">
            <v>21.32426373948276</v>
          </cell>
          <cell r="F67">
            <v>28.649218674695806</v>
          </cell>
          <cell r="G67">
            <v>37.942086805987195</v>
          </cell>
        </row>
        <row r="68">
          <cell r="C68">
            <v>65</v>
          </cell>
          <cell r="D68">
            <v>15.721215984339604</v>
          </cell>
          <cell r="E68">
            <v>21.013504520775058</v>
          </cell>
          <cell r="F68">
            <v>28.162138901949895</v>
          </cell>
          <cell r="G68">
            <v>37.198264418189488</v>
          </cell>
        </row>
        <row r="69">
          <cell r="C69">
            <v>70</v>
          </cell>
          <cell r="D69">
            <v>15.563519009733932</v>
          </cell>
          <cell r="E69">
            <v>20.754240518860282</v>
          </cell>
          <cell r="F69">
            <v>27.750626644422841</v>
          </cell>
          <cell r="G69">
            <v>36.562852175187345</v>
          </cell>
        </row>
        <row r="70">
          <cell r="C70">
            <v>75</v>
          </cell>
          <cell r="D70">
            <v>15.433323867310531</v>
          </cell>
          <cell r="E70">
            <v>20.536592327727526</v>
          </cell>
          <cell r="F70">
            <v>27.40062783026789</v>
          </cell>
          <cell r="G70">
            <v>36.016182770895682</v>
          </cell>
        </row>
        <row r="71">
          <cell r="C71">
            <v>80</v>
          </cell>
          <cell r="D71">
            <v>15.325339934841335</v>
          </cell>
          <cell r="E71">
            <v>20.352937327708851</v>
          </cell>
          <cell r="F71">
            <v>27.101275505179053</v>
          </cell>
          <cell r="G71">
            <v>35.543029288209944</v>
          </cell>
        </row>
        <row r="72">
          <cell r="C72">
            <v>85</v>
          </cell>
          <cell r="D72">
            <v>15.235439264232749</v>
          </cell>
          <cell r="E72">
            <v>20.197298851710499</v>
          </cell>
          <cell r="F72">
            <v>26.844026660471648</v>
          </cell>
          <cell r="G72">
            <v>35.131402373820301</v>
          </cell>
        </row>
        <row r="73">
          <cell r="C73">
            <v>90</v>
          </cell>
          <cell r="D73">
            <v>15.160359604667821</v>
          </cell>
          <cell r="E73">
            <v>20.064925920380865</v>
          </cell>
          <cell r="F73">
            <v>26.622068463032718</v>
          </cell>
          <cell r="G73">
            <v>34.771722679642025</v>
          </cell>
        </row>
        <row r="74">
          <cell r="C74">
            <v>95</v>
          </cell>
          <cell r="D74">
            <v>15.097494842575177</v>
          </cell>
          <cell r="E74">
            <v>19.951997022279425</v>
          </cell>
          <cell r="F74">
            <v>26.429899905199395</v>
          </cell>
          <cell r="G74">
            <v>34.456237762286158</v>
          </cell>
        </row>
        <row r="75">
          <cell r="C75">
            <v>100</v>
          </cell>
          <cell r="D75">
            <v>15.044743900175034</v>
          </cell>
          <cell r="E75">
            <v>19.85540682520077</v>
          </cell>
          <cell r="F75">
            <v>26.263030762339845</v>
          </cell>
          <cell r="G75">
            <v>34.178602523980182</v>
          </cell>
        </row>
        <row r="76">
          <cell r="C76">
            <v>150</v>
          </cell>
          <cell r="D76">
            <v>14.812810691412198</v>
          </cell>
          <cell r="E76">
            <v>19.392494939864079</v>
          </cell>
          <cell r="F76">
            <v>25.404361192527301</v>
          </cell>
          <cell r="G76">
            <v>32.653822185837932</v>
          </cell>
        </row>
        <row r="77">
          <cell r="C77">
            <v>200</v>
          </cell>
          <cell r="D77">
            <v>14.769015846313883</v>
          </cell>
          <cell r="E77">
            <v>19.283813670953062</v>
          </cell>
          <cell r="F77">
            <v>25.163697711018656</v>
          </cell>
          <cell r="G77">
            <v>32.152037390620769</v>
          </cell>
        </row>
        <row r="78">
          <cell r="C78">
            <v>250</v>
          </cell>
          <cell r="D78">
            <v>14.760558799442618</v>
          </cell>
          <cell r="E78">
            <v>19.257434563423434</v>
          </cell>
          <cell r="F78">
            <v>25.093103600872361</v>
          </cell>
          <cell r="G78">
            <v>31.976686921007555</v>
          </cell>
        </row>
        <row r="79">
          <cell r="C79">
            <v>300</v>
          </cell>
          <cell r="D79">
            <v>14.758918698698768</v>
          </cell>
          <cell r="E79">
            <v>19.250980893232057</v>
          </cell>
          <cell r="F79">
            <v>25.072124903625102</v>
          </cell>
          <cell r="G79">
            <v>31.914155325254949</v>
          </cell>
        </row>
        <row r="80">
          <cell r="C80">
            <v>350</v>
          </cell>
          <cell r="D80">
            <v>14.75860036590403</v>
          </cell>
          <cell r="E80">
            <v>19.249398947591651</v>
          </cell>
          <cell r="F80">
            <v>25.065866613408147</v>
          </cell>
          <cell r="G80">
            <v>31.891696098523095</v>
          </cell>
        </row>
        <row r="81">
          <cell r="C81">
            <v>400</v>
          </cell>
          <cell r="D81">
            <v>14.75853856968577</v>
          </cell>
          <cell r="E81">
            <v>19.249010992405807</v>
          </cell>
          <cell r="F81">
            <v>25.063997528079938</v>
          </cell>
          <cell r="G81">
            <v>31.883608866951569</v>
          </cell>
        </row>
        <row r="82">
          <cell r="C82">
            <v>450</v>
          </cell>
          <cell r="D82">
            <v>14.75852657314771</v>
          </cell>
          <cell r="E82">
            <v>19.24891583953827</v>
          </cell>
          <cell r="F82">
            <v>25.063439121317622</v>
          </cell>
          <cell r="G82">
            <v>31.880694098989078</v>
          </cell>
        </row>
        <row r="83">
          <cell r="C83">
            <v>500</v>
          </cell>
          <cell r="D83">
            <v>14.758524244238284</v>
          </cell>
          <cell r="E83">
            <v>19.248892500952309</v>
          </cell>
          <cell r="F83">
            <v>25.063272275067447</v>
          </cell>
          <cell r="G83">
            <v>31.87964322211311</v>
          </cell>
        </row>
        <row r="84">
          <cell r="C84">
            <v>550</v>
          </cell>
          <cell r="D84">
            <v>14.758523792122393</v>
          </cell>
          <cell r="E84">
            <v>19.248886776548989</v>
          </cell>
          <cell r="F84">
            <v>25.063222421590833</v>
          </cell>
          <cell r="G84">
            <v>31.879264298650305</v>
          </cell>
        </row>
        <row r="85">
          <cell r="C85">
            <v>600</v>
          </cell>
          <cell r="D85">
            <v>14.758523704352204</v>
          </cell>
          <cell r="E85">
            <v>19.248885372485802</v>
          </cell>
          <cell r="F85">
            <v>25.063207525291215</v>
          </cell>
          <cell r="G85">
            <v>31.879127661171253</v>
          </cell>
        </row>
        <row r="86">
          <cell r="C86">
            <v>650</v>
          </cell>
          <cell r="D86">
            <v>14.758523687313193</v>
          </cell>
          <cell r="E86">
            <v>19.248885028101569</v>
          </cell>
          <cell r="F86">
            <v>25.063203074240654</v>
          </cell>
          <cell r="G86">
            <v>31.879078389769237</v>
          </cell>
        </row>
        <row r="87">
          <cell r="C87">
            <v>700</v>
          </cell>
          <cell r="D87">
            <v>14.758523684005375</v>
          </cell>
          <cell r="E87">
            <v>19.248884943632071</v>
          </cell>
          <cell r="F87">
            <v>25.063201744254837</v>
          </cell>
          <cell r="G87">
            <v>31.879060622428597</v>
          </cell>
        </row>
        <row r="88">
          <cell r="C88">
            <v>750</v>
          </cell>
          <cell r="D88">
            <v>14.758523683363222</v>
          </cell>
          <cell r="E88">
            <v>19.248884922913653</v>
          </cell>
          <cell r="F88">
            <v>25.063201346851422</v>
          </cell>
          <cell r="G88">
            <v>31.879054215486288</v>
          </cell>
        </row>
        <row r="89">
          <cell r="C89">
            <v>800</v>
          </cell>
          <cell r="D89">
            <v>14.758523683238559</v>
          </cell>
          <cell r="E89">
            <v>19.248884917831901</v>
          </cell>
          <cell r="F89">
            <v>25.06320122810618</v>
          </cell>
          <cell r="G89">
            <v>31.879051905127049</v>
          </cell>
        </row>
        <row r="90">
          <cell r="C90">
            <v>850</v>
          </cell>
          <cell r="D90">
            <v>14.758523683214358</v>
          </cell>
          <cell r="E90">
            <v>19.248884916585467</v>
          </cell>
          <cell r="F90">
            <v>25.063201192624771</v>
          </cell>
          <cell r="G90">
            <v>31.879051072005577</v>
          </cell>
        </row>
        <row r="91">
          <cell r="C91">
            <v>900</v>
          </cell>
          <cell r="D91">
            <v>14.75852368320966</v>
          </cell>
          <cell r="E91">
            <v>19.248884916279746</v>
          </cell>
          <cell r="F91">
            <v>25.063201182022826</v>
          </cell>
          <cell r="G91">
            <v>31.879050771579809</v>
          </cell>
        </row>
        <row r="92">
          <cell r="C92">
            <v>950</v>
          </cell>
          <cell r="D92">
            <v>14.758523683208749</v>
          </cell>
          <cell r="E92">
            <v>19.248884916204759</v>
          </cell>
          <cell r="F92">
            <v>25.063201178854939</v>
          </cell>
          <cell r="G92">
            <v>31.87905066324549</v>
          </cell>
        </row>
        <row r="93">
          <cell r="C93">
            <v>1000</v>
          </cell>
          <cell r="D93">
            <v>14.758523683208571</v>
          </cell>
          <cell r="E93">
            <v>19.248884916186366</v>
          </cell>
          <cell r="F93">
            <v>25.063201177908365</v>
          </cell>
          <cell r="G93">
            <v>31.87905062417985</v>
          </cell>
        </row>
        <row r="94">
          <cell r="C94">
            <v>1500</v>
          </cell>
        </row>
        <row r="95">
          <cell r="C95">
            <v>2000</v>
          </cell>
        </row>
        <row r="96">
          <cell r="C96">
            <v>2500</v>
          </cell>
        </row>
        <row r="97">
          <cell r="C97">
            <v>3000</v>
          </cell>
        </row>
        <row r="98">
          <cell r="C98">
            <v>3500</v>
          </cell>
        </row>
        <row r="99">
          <cell r="C99">
            <v>4000</v>
          </cell>
        </row>
        <row r="100">
          <cell r="C100">
            <v>4500</v>
          </cell>
        </row>
        <row r="101">
          <cell r="C101">
            <v>5000</v>
          </cell>
        </row>
        <row r="102">
          <cell r="C102">
            <v>5500</v>
          </cell>
        </row>
        <row r="103">
          <cell r="C103">
            <v>6000</v>
          </cell>
        </row>
        <row r="104">
          <cell r="C104">
            <v>6500</v>
          </cell>
        </row>
        <row r="105">
          <cell r="C105">
            <v>7000</v>
          </cell>
        </row>
        <row r="106">
          <cell r="C106">
            <v>7500</v>
          </cell>
        </row>
        <row r="107">
          <cell r="C107">
            <v>8000</v>
          </cell>
        </row>
        <row r="108">
          <cell r="C108">
            <v>8500</v>
          </cell>
        </row>
        <row r="109">
          <cell r="C109">
            <v>9000</v>
          </cell>
        </row>
        <row r="110">
          <cell r="C110">
            <v>9500</v>
          </cell>
        </row>
        <row r="111">
          <cell r="C111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115"/>
  <sheetViews>
    <sheetView showGridLines="0" tabSelected="1" view="pageBreakPreview" zoomScale="85" zoomScaleNormal="85" zoomScaleSheetLayoutView="85" workbookViewId="0">
      <selection activeCell="G9" sqref="G9"/>
    </sheetView>
  </sheetViews>
  <sheetFormatPr defaultColWidth="7.75" defaultRowHeight="14.25"/>
  <cols>
    <col min="1" max="1" width="14.5" style="1" customWidth="1"/>
    <col min="2" max="2" width="7.625" style="1" customWidth="1"/>
    <col min="3" max="3" width="33.125" style="1" customWidth="1"/>
    <col min="4" max="4" width="20.375" style="1" customWidth="1"/>
    <col min="5" max="5" width="13.125" style="1" customWidth="1"/>
    <col min="6" max="7" width="10" style="1" customWidth="1"/>
    <col min="8" max="8" width="7.125" style="1" customWidth="1"/>
    <col min="9" max="9" width="5.875" style="1" customWidth="1"/>
    <col min="10" max="10" width="9.25" style="1" customWidth="1"/>
    <col min="11" max="11" width="10.125" style="1" customWidth="1"/>
    <col min="12" max="12" width="11.25" style="1" customWidth="1"/>
    <col min="13" max="14" width="8.75" style="1" customWidth="1"/>
    <col min="15" max="17" width="8.375" style="1" customWidth="1"/>
    <col min="18" max="18" width="10.125" style="1" customWidth="1"/>
    <col min="19" max="19" width="9.5" style="1" customWidth="1"/>
    <col min="20" max="21" width="9.375" style="1" customWidth="1"/>
    <col min="22" max="22" width="9" style="1" customWidth="1"/>
    <col min="23" max="23" width="10.125" style="1" customWidth="1"/>
    <col min="24" max="24" width="10" style="1" customWidth="1"/>
    <col min="25" max="25" width="2.875" style="1" customWidth="1"/>
    <col min="26" max="26" width="12.375" style="1" customWidth="1"/>
    <col min="27" max="27" width="14.5" style="1" customWidth="1"/>
    <col min="28" max="31" width="7.75" style="1" hidden="1" customWidth="1"/>
    <col min="32" max="32" width="1.625" style="1" hidden="1" customWidth="1"/>
    <col min="33" max="36" width="7.75" style="1" customWidth="1"/>
    <col min="37" max="16384" width="7.75" style="1"/>
  </cols>
  <sheetData>
    <row r="1" spans="1:38" ht="18.75">
      <c r="B1" s="2" t="s">
        <v>0</v>
      </c>
      <c r="C1" s="3">
        <v>2018</v>
      </c>
      <c r="D1" s="4"/>
      <c r="E1" s="4"/>
      <c r="F1" s="4"/>
      <c r="G1" s="4"/>
      <c r="J1" s="5"/>
      <c r="K1" s="6"/>
      <c r="L1" s="5"/>
      <c r="R1" s="5"/>
      <c r="S1" s="7"/>
      <c r="X1" s="8" t="s">
        <v>1</v>
      </c>
    </row>
    <row r="2" spans="1:38" ht="18">
      <c r="B2" s="344" t="s">
        <v>2</v>
      </c>
      <c r="C2" s="345"/>
      <c r="D2" s="346" t="s">
        <v>208</v>
      </c>
      <c r="E2" s="347"/>
      <c r="F2" s="347"/>
      <c r="G2" s="348"/>
      <c r="I2" s="5"/>
      <c r="J2" s="9" t="s">
        <v>3</v>
      </c>
      <c r="K2" s="10">
        <v>2000</v>
      </c>
      <c r="L2" s="9" t="s">
        <v>4</v>
      </c>
      <c r="M2" s="9"/>
      <c r="Q2" s="5"/>
      <c r="R2" s="11" t="s">
        <v>5</v>
      </c>
      <c r="U2" s="5"/>
      <c r="V2" s="5"/>
      <c r="X2" s="12"/>
      <c r="AL2" s="1">
        <v>2000</v>
      </c>
    </row>
    <row r="3" spans="1:38" ht="18">
      <c r="B3" s="344" t="s">
        <v>6</v>
      </c>
      <c r="C3" s="345"/>
      <c r="D3" s="346" t="s">
        <v>209</v>
      </c>
      <c r="E3" s="347"/>
      <c r="F3" s="347"/>
      <c r="G3" s="348"/>
      <c r="I3" s="5"/>
      <c r="J3" s="13" t="s">
        <v>7</v>
      </c>
      <c r="K3" s="14">
        <v>120</v>
      </c>
      <c r="L3" s="9"/>
      <c r="M3" s="15"/>
      <c r="U3" s="5"/>
      <c r="V3" s="16" t="s">
        <v>8</v>
      </c>
      <c r="W3" s="12"/>
      <c r="AL3" s="1">
        <v>120</v>
      </c>
    </row>
    <row r="4" spans="1:38" ht="18">
      <c r="B4" s="344" t="s">
        <v>9</v>
      </c>
      <c r="C4" s="345"/>
      <c r="D4" s="346" t="s">
        <v>10</v>
      </c>
      <c r="E4" s="347"/>
      <c r="F4" s="347"/>
      <c r="G4" s="348"/>
      <c r="I4" s="5"/>
      <c r="J4" s="13" t="s">
        <v>11</v>
      </c>
      <c r="K4" s="14">
        <f>1/K3</f>
        <v>8.3333333333333332E-3</v>
      </c>
      <c r="L4" s="9"/>
      <c r="M4" s="17"/>
      <c r="U4" s="5"/>
      <c r="V4" s="16" t="s">
        <v>12</v>
      </c>
      <c r="AL4" s="1">
        <v>8.3333333333333332E-3</v>
      </c>
    </row>
    <row r="5" spans="1:38">
      <c r="A5" s="5"/>
      <c r="B5" s="5"/>
      <c r="C5" s="5"/>
      <c r="D5" s="5"/>
      <c r="E5" s="5"/>
      <c r="F5" s="5"/>
      <c r="G5" s="5"/>
      <c r="H5" s="5"/>
      <c r="I5" s="5"/>
      <c r="J5" s="5" t="s">
        <v>13</v>
      </c>
      <c r="K5" s="18">
        <v>0.46949999999999997</v>
      </c>
      <c r="L5" s="5" t="s">
        <v>14</v>
      </c>
      <c r="M5" s="5"/>
      <c r="N5" s="19"/>
      <c r="P5" s="5"/>
      <c r="U5" s="20"/>
    </row>
    <row r="6" spans="1:38" ht="14.25" customHeight="1" thickBot="1">
      <c r="A6" s="5"/>
      <c r="B6" s="5" t="s">
        <v>15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38" s="23" customFormat="1" ht="43.5" thickBot="1">
      <c r="A7" s="5"/>
      <c r="B7" s="349" t="s">
        <v>16</v>
      </c>
      <c r="C7" s="350"/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21" t="s">
        <v>22</v>
      </c>
      <c r="J7" s="21" t="s">
        <v>23</v>
      </c>
      <c r="K7" s="21" t="s">
        <v>24</v>
      </c>
      <c r="L7" s="21" t="s">
        <v>25</v>
      </c>
      <c r="M7" s="21" t="s">
        <v>26</v>
      </c>
      <c r="N7" s="21" t="s">
        <v>27</v>
      </c>
      <c r="O7" s="21" t="s">
        <v>28</v>
      </c>
      <c r="P7" s="21" t="s">
        <v>29</v>
      </c>
      <c r="Q7" s="22" t="s">
        <v>30</v>
      </c>
      <c r="R7" s="21" t="s">
        <v>31</v>
      </c>
      <c r="S7" s="21" t="s">
        <v>272</v>
      </c>
      <c r="T7" s="21" t="s">
        <v>33</v>
      </c>
      <c r="U7" s="21" t="s">
        <v>34</v>
      </c>
      <c r="V7" s="21" t="s">
        <v>35</v>
      </c>
      <c r="W7" s="22" t="s">
        <v>36</v>
      </c>
      <c r="X7" s="22" t="s">
        <v>37</v>
      </c>
      <c r="AL7" s="23" t="s">
        <v>24</v>
      </c>
    </row>
    <row r="8" spans="1:38" s="23" customFormat="1" ht="14.25" customHeight="1" thickTop="1">
      <c r="A8" s="5"/>
      <c r="B8" s="24" t="s">
        <v>210</v>
      </c>
      <c r="C8" s="25"/>
      <c r="D8" s="26" t="s">
        <v>176</v>
      </c>
      <c r="E8" s="27" t="s">
        <v>38</v>
      </c>
      <c r="F8" s="28">
        <v>1</v>
      </c>
      <c r="G8" s="29">
        <f>24.123+0.0496519</f>
        <v>24.172651900000002</v>
      </c>
      <c r="H8" s="29">
        <v>3.2679999999999998</v>
      </c>
      <c r="I8" s="30">
        <v>0.01</v>
      </c>
      <c r="J8" s="31">
        <f t="shared" ref="J8:J14" si="0">(G8+(H8/F8))*(1+I8)</f>
        <v>27.715058419000002</v>
      </c>
      <c r="K8" s="32">
        <f>T93</f>
        <v>345.5</v>
      </c>
      <c r="L8" s="32">
        <f t="shared" ref="L8:L14" si="1">J8*K8/1000</f>
        <v>9.5755526837645011</v>
      </c>
      <c r="M8" s="32">
        <f t="shared" ref="M8:M14" si="2">H8+(G8+H8)*I8/100</f>
        <v>3.2707440651899997</v>
      </c>
      <c r="N8" s="30">
        <v>0.9</v>
      </c>
      <c r="O8" s="32">
        <v>0</v>
      </c>
      <c r="P8" s="32">
        <f t="shared" ref="P8:P14" si="3">M8*N8*O8/1000/F8</f>
        <v>0</v>
      </c>
      <c r="Q8" s="33">
        <f t="shared" ref="Q8:Q14" si="4">L8-P8</f>
        <v>9.5755526837645011</v>
      </c>
      <c r="R8" s="28">
        <v>37.14</v>
      </c>
      <c r="S8" s="34">
        <f t="shared" ref="S8:S14" si="5">$Q$97</f>
        <v>212.71199999999999</v>
      </c>
      <c r="T8" s="32">
        <f t="shared" ref="T8:T14" si="6">R8*S8/3600/F8</f>
        <v>2.1944787999999997</v>
      </c>
      <c r="U8" s="32">
        <f t="shared" ref="U8:U14" si="7">$R$97</f>
        <v>557.57600000000002</v>
      </c>
      <c r="V8" s="32">
        <f t="shared" ref="V8:V14" si="8">R8*U8/3600/F8</f>
        <v>5.7523257333333335</v>
      </c>
      <c r="W8" s="33">
        <f>T8+V8</f>
        <v>7.9468045333333333</v>
      </c>
      <c r="X8" s="33">
        <f t="shared" ref="X8:X14" si="9">Q8+W8</f>
        <v>17.522357217097834</v>
      </c>
      <c r="AL8" s="23">
        <v>555.6</v>
      </c>
    </row>
    <row r="9" spans="1:38" s="23" customFormat="1" ht="14.25" customHeight="1">
      <c r="A9" s="5"/>
      <c r="B9" s="24" t="s">
        <v>211</v>
      </c>
      <c r="C9" s="25"/>
      <c r="D9" s="26" t="s">
        <v>39</v>
      </c>
      <c r="E9" s="27" t="s">
        <v>38</v>
      </c>
      <c r="F9" s="28">
        <v>1</v>
      </c>
      <c r="G9" s="29">
        <f>33.2+0.064429</f>
        <v>33.264429</v>
      </c>
      <c r="H9" s="29">
        <v>10.61</v>
      </c>
      <c r="I9" s="30">
        <v>0.01</v>
      </c>
      <c r="J9" s="31">
        <f t="shared" si="0"/>
        <v>44.313173290000002</v>
      </c>
      <c r="K9" s="32">
        <f>V93</f>
        <v>288.8</v>
      </c>
      <c r="L9" s="32">
        <f t="shared" si="1"/>
        <v>12.797644446152001</v>
      </c>
      <c r="M9" s="32">
        <f t="shared" si="2"/>
        <v>10.6143874429</v>
      </c>
      <c r="N9" s="30">
        <v>0.9</v>
      </c>
      <c r="O9" s="32">
        <v>0</v>
      </c>
      <c r="P9" s="32">
        <f t="shared" si="3"/>
        <v>0</v>
      </c>
      <c r="Q9" s="33">
        <f t="shared" si="4"/>
        <v>12.797644446152001</v>
      </c>
      <c r="R9" s="28">
        <v>39.79</v>
      </c>
      <c r="S9" s="34">
        <f t="shared" si="5"/>
        <v>212.71199999999999</v>
      </c>
      <c r="T9" s="32">
        <f t="shared" si="6"/>
        <v>2.3510584666666667</v>
      </c>
      <c r="U9" s="32">
        <f t="shared" si="7"/>
        <v>557.57600000000002</v>
      </c>
      <c r="V9" s="32">
        <f t="shared" si="8"/>
        <v>6.1627636222222222</v>
      </c>
      <c r="W9" s="33">
        <f>T9+V9</f>
        <v>8.5138220888888885</v>
      </c>
      <c r="X9" s="33">
        <f t="shared" si="9"/>
        <v>21.311466535040889</v>
      </c>
      <c r="AL9" s="23">
        <v>301.27999999999997</v>
      </c>
    </row>
    <row r="10" spans="1:38" s="23" customFormat="1" ht="14.25" customHeight="1">
      <c r="A10" s="5"/>
      <c r="B10" s="24" t="s">
        <v>212</v>
      </c>
      <c r="C10" s="25"/>
      <c r="D10" s="26" t="s">
        <v>39</v>
      </c>
      <c r="E10" s="27" t="s">
        <v>40</v>
      </c>
      <c r="F10" s="28">
        <v>1</v>
      </c>
      <c r="G10" s="29">
        <f>19.03+0.029886</f>
        <v>19.059886000000002</v>
      </c>
      <c r="H10" s="29">
        <v>5.4</v>
      </c>
      <c r="I10" s="30">
        <v>0.01</v>
      </c>
      <c r="J10" s="31">
        <f t="shared" si="0"/>
        <v>24.704484860000004</v>
      </c>
      <c r="K10" s="32">
        <f>V93</f>
        <v>288.8</v>
      </c>
      <c r="L10" s="32">
        <f t="shared" si="1"/>
        <v>7.1346552275680013</v>
      </c>
      <c r="M10" s="32">
        <f t="shared" si="2"/>
        <v>5.4024459886000002</v>
      </c>
      <c r="N10" s="30">
        <v>0.9</v>
      </c>
      <c r="O10" s="32">
        <v>0</v>
      </c>
      <c r="P10" s="32">
        <f t="shared" si="3"/>
        <v>0</v>
      </c>
      <c r="Q10" s="33">
        <f t="shared" si="4"/>
        <v>7.1346552275680013</v>
      </c>
      <c r="R10" s="28">
        <v>31.75</v>
      </c>
      <c r="S10" s="34">
        <f t="shared" si="5"/>
        <v>212.71199999999999</v>
      </c>
      <c r="T10" s="32">
        <f t="shared" si="6"/>
        <v>1.8760016666666666</v>
      </c>
      <c r="U10" s="32">
        <f t="shared" si="7"/>
        <v>557.57600000000002</v>
      </c>
      <c r="V10" s="32">
        <f t="shared" si="8"/>
        <v>4.9175105555555554</v>
      </c>
      <c r="W10" s="33">
        <f>T10+V10+1.38</f>
        <v>8.1735122222222216</v>
      </c>
      <c r="X10" s="33">
        <f t="shared" si="9"/>
        <v>15.308167449790222</v>
      </c>
      <c r="AL10" s="23">
        <v>648.70000000000016</v>
      </c>
    </row>
    <row r="11" spans="1:38" s="23" customFormat="1" ht="14.25" customHeight="1">
      <c r="A11" s="5"/>
      <c r="B11" s="24" t="s">
        <v>213</v>
      </c>
      <c r="C11" s="36"/>
      <c r="D11" s="26" t="s">
        <v>176</v>
      </c>
      <c r="E11" s="27" t="s">
        <v>38</v>
      </c>
      <c r="F11" s="28">
        <v>1</v>
      </c>
      <c r="G11" s="29">
        <f>7.88+0.028369</f>
        <v>7.9083689999999995</v>
      </c>
      <c r="H11" s="29">
        <v>3.35</v>
      </c>
      <c r="I11" s="30">
        <v>0.01</v>
      </c>
      <c r="J11" s="31">
        <f t="shared" si="0"/>
        <v>11.370952689999999</v>
      </c>
      <c r="K11" s="32">
        <f>T93</f>
        <v>345.5</v>
      </c>
      <c r="L11" s="32">
        <f t="shared" si="1"/>
        <v>3.9286641543949998</v>
      </c>
      <c r="M11" s="32">
        <f t="shared" si="2"/>
        <v>3.3511258369000001</v>
      </c>
      <c r="N11" s="30">
        <v>0.9</v>
      </c>
      <c r="O11" s="32">
        <v>0</v>
      </c>
      <c r="P11" s="32">
        <f t="shared" si="3"/>
        <v>0</v>
      </c>
      <c r="Q11" s="33">
        <f t="shared" si="4"/>
        <v>3.9286641543949998</v>
      </c>
      <c r="R11" s="28">
        <v>32.31</v>
      </c>
      <c r="S11" s="34">
        <f t="shared" si="5"/>
        <v>212.71199999999999</v>
      </c>
      <c r="T11" s="32">
        <f t="shared" si="6"/>
        <v>1.9090902000000001</v>
      </c>
      <c r="U11" s="32">
        <f t="shared" si="7"/>
        <v>557.57600000000002</v>
      </c>
      <c r="V11" s="32">
        <f t="shared" si="8"/>
        <v>5.0042446000000007</v>
      </c>
      <c r="W11" s="33">
        <f>T11+V11+0.18</f>
        <v>7.0933348000000009</v>
      </c>
      <c r="X11" s="33">
        <f t="shared" si="9"/>
        <v>11.021998954395</v>
      </c>
      <c r="AL11" s="23">
        <v>648.70000000000016</v>
      </c>
    </row>
    <row r="12" spans="1:38" s="23" customFormat="1" ht="14.25" customHeight="1">
      <c r="A12" s="5"/>
      <c r="B12" s="308" t="s">
        <v>214</v>
      </c>
      <c r="C12" s="75"/>
      <c r="D12" s="26" t="s">
        <v>207</v>
      </c>
      <c r="E12" s="38"/>
      <c r="F12" s="39">
        <v>4</v>
      </c>
      <c r="G12" s="40">
        <f>2.5+0.027585925</f>
        <v>2.5275859249999999</v>
      </c>
      <c r="H12" s="40">
        <v>0.37325000000000003</v>
      </c>
      <c r="I12" s="30">
        <v>0.01</v>
      </c>
      <c r="J12" s="31">
        <f t="shared" si="0"/>
        <v>2.6471074092500002</v>
      </c>
      <c r="K12" s="32">
        <f>V91</f>
        <v>348</v>
      </c>
      <c r="L12" s="32">
        <f t="shared" si="1"/>
        <v>0.92119337841900006</v>
      </c>
      <c r="M12" s="32">
        <f t="shared" si="2"/>
        <v>0.37354008359250002</v>
      </c>
      <c r="N12" s="30">
        <v>0.9</v>
      </c>
      <c r="O12" s="32">
        <v>0</v>
      </c>
      <c r="P12" s="32">
        <f t="shared" si="3"/>
        <v>0</v>
      </c>
      <c r="Q12" s="33">
        <f t="shared" si="4"/>
        <v>0.92119337841900006</v>
      </c>
      <c r="R12" s="43">
        <v>7.82</v>
      </c>
      <c r="S12" s="34">
        <f t="shared" si="5"/>
        <v>212.71199999999999</v>
      </c>
      <c r="T12" s="32">
        <f t="shared" si="6"/>
        <v>0.11551443333333333</v>
      </c>
      <c r="U12" s="32">
        <f t="shared" si="7"/>
        <v>557.57600000000002</v>
      </c>
      <c r="V12" s="32">
        <f t="shared" si="8"/>
        <v>0.30279474444444449</v>
      </c>
      <c r="W12" s="33">
        <f>T12+V12+0.18</f>
        <v>0.59830917777777781</v>
      </c>
      <c r="X12" s="33">
        <f t="shared" si="9"/>
        <v>1.5195025561967779</v>
      </c>
      <c r="AL12" s="23">
        <v>301.27999999999997</v>
      </c>
    </row>
    <row r="13" spans="1:38" s="23" customFormat="1" ht="14.25" customHeight="1">
      <c r="A13" s="5"/>
      <c r="B13" s="308" t="s">
        <v>215</v>
      </c>
      <c r="C13" s="75"/>
      <c r="D13" s="26" t="s">
        <v>39</v>
      </c>
      <c r="E13" s="38"/>
      <c r="F13" s="39">
        <v>1</v>
      </c>
      <c r="G13" s="40">
        <f>2.57+0.02823325</f>
        <v>2.5982332499999998</v>
      </c>
      <c r="H13" s="40">
        <v>1.0225</v>
      </c>
      <c r="I13" s="30">
        <v>0.01</v>
      </c>
      <c r="J13" s="31">
        <f t="shared" si="0"/>
        <v>3.6569405824999999</v>
      </c>
      <c r="K13" s="32">
        <f>V93</f>
        <v>288.8</v>
      </c>
      <c r="L13" s="32">
        <f t="shared" si="1"/>
        <v>1.0561244402259999</v>
      </c>
      <c r="M13" s="32">
        <f t="shared" si="2"/>
        <v>1.022862073325</v>
      </c>
      <c r="N13" s="30">
        <v>0.9</v>
      </c>
      <c r="O13" s="32">
        <v>0</v>
      </c>
      <c r="P13" s="32">
        <f t="shared" si="3"/>
        <v>0</v>
      </c>
      <c r="Q13" s="33">
        <f t="shared" si="4"/>
        <v>1.0561244402259999</v>
      </c>
      <c r="R13" s="43">
        <v>6.35</v>
      </c>
      <c r="S13" s="34">
        <f t="shared" si="5"/>
        <v>212.71199999999999</v>
      </c>
      <c r="T13" s="32">
        <f t="shared" si="6"/>
        <v>0.3752003333333333</v>
      </c>
      <c r="U13" s="32">
        <f t="shared" si="7"/>
        <v>557.57600000000002</v>
      </c>
      <c r="V13" s="32">
        <f t="shared" si="8"/>
        <v>0.98350211111111108</v>
      </c>
      <c r="W13" s="33">
        <f>T13+V13+0.18</f>
        <v>1.5387024444444444</v>
      </c>
      <c r="X13" s="33">
        <f t="shared" si="9"/>
        <v>2.5948268846704443</v>
      </c>
      <c r="AL13" s="23">
        <v>301.27999999999997</v>
      </c>
    </row>
    <row r="14" spans="1:38" s="23" customFormat="1" ht="14.25" customHeight="1">
      <c r="A14" s="5"/>
      <c r="B14" s="308" t="s">
        <v>216</v>
      </c>
      <c r="C14" s="75"/>
      <c r="D14" s="26" t="s">
        <v>207</v>
      </c>
      <c r="E14" s="44" t="s">
        <v>40</v>
      </c>
      <c r="F14" s="336">
        <v>4</v>
      </c>
      <c r="G14" s="337">
        <f>6.88+0.0266565</f>
        <v>6.9066564999999995</v>
      </c>
      <c r="H14" s="337">
        <v>1.4025000000000001</v>
      </c>
      <c r="I14" s="30">
        <v>0.01</v>
      </c>
      <c r="J14" s="31">
        <f t="shared" si="0"/>
        <v>7.3298543149999995</v>
      </c>
      <c r="K14" s="32">
        <f>V91</f>
        <v>348</v>
      </c>
      <c r="L14" s="32">
        <f t="shared" si="1"/>
        <v>2.5507893016199996</v>
      </c>
      <c r="M14" s="32">
        <f t="shared" si="2"/>
        <v>1.40333091565</v>
      </c>
      <c r="N14" s="30">
        <v>0.9</v>
      </c>
      <c r="O14" s="32">
        <v>0</v>
      </c>
      <c r="P14" s="32">
        <f t="shared" si="3"/>
        <v>0</v>
      </c>
      <c r="Q14" s="33">
        <f t="shared" si="4"/>
        <v>2.5507893016199996</v>
      </c>
      <c r="R14" s="43">
        <v>8.5724999999999998</v>
      </c>
      <c r="S14" s="34">
        <f t="shared" si="5"/>
        <v>212.71199999999999</v>
      </c>
      <c r="T14" s="32">
        <f t="shared" si="6"/>
        <v>0.12663011249999997</v>
      </c>
      <c r="U14" s="32">
        <f t="shared" si="7"/>
        <v>557.57600000000002</v>
      </c>
      <c r="V14" s="32">
        <f t="shared" si="8"/>
        <v>0.33193196250000001</v>
      </c>
      <c r="W14" s="33">
        <f>T14+V14+0.18</f>
        <v>0.63856207500000006</v>
      </c>
      <c r="X14" s="33">
        <f t="shared" si="9"/>
        <v>3.1893513766199995</v>
      </c>
      <c r="Y14" s="23" t="s">
        <v>41</v>
      </c>
      <c r="AL14" s="23">
        <v>301.27999999999997</v>
      </c>
    </row>
    <row r="15" spans="1:38" s="23" customFormat="1" ht="14.25" customHeight="1">
      <c r="A15" s="5"/>
      <c r="B15" s="51"/>
      <c r="C15" s="52"/>
      <c r="D15" s="35"/>
      <c r="E15" s="53" t="s">
        <v>40</v>
      </c>
      <c r="F15" s="56"/>
      <c r="G15" s="87"/>
      <c r="H15" s="87"/>
      <c r="I15" s="54"/>
      <c r="J15" s="55"/>
      <c r="K15" s="56"/>
      <c r="L15" s="56"/>
      <c r="M15" s="56"/>
      <c r="N15" s="54"/>
      <c r="O15" s="56"/>
      <c r="P15" s="57"/>
      <c r="Q15" s="58"/>
      <c r="R15" s="57"/>
      <c r="S15" s="59"/>
      <c r="T15" s="56"/>
      <c r="U15" s="56"/>
      <c r="V15" s="56"/>
      <c r="W15" s="58"/>
      <c r="X15" s="58"/>
      <c r="AL15" s="23">
        <v>301.27999999999997</v>
      </c>
    </row>
    <row r="16" spans="1:38" s="23" customFormat="1" ht="14.25" customHeight="1">
      <c r="A16" s="5"/>
      <c r="B16" s="60" t="s">
        <v>42</v>
      </c>
      <c r="C16" s="61"/>
      <c r="D16" s="61"/>
      <c r="E16" s="62"/>
      <c r="F16" s="61"/>
      <c r="G16" s="61"/>
      <c r="H16" s="61"/>
      <c r="I16" s="63"/>
      <c r="J16" s="64"/>
      <c r="K16" s="61"/>
      <c r="L16" s="61"/>
      <c r="M16" s="61"/>
      <c r="N16" s="65" t="s">
        <v>43</v>
      </c>
      <c r="O16" s="61"/>
      <c r="P16" s="61"/>
      <c r="Q16" s="66"/>
      <c r="R16" s="67"/>
      <c r="S16" s="68" t="s">
        <v>44</v>
      </c>
      <c r="T16" s="61"/>
      <c r="U16" s="68" t="s">
        <v>45</v>
      </c>
      <c r="V16" s="61"/>
      <c r="W16" s="66">
        <f>T16*V16</f>
        <v>0</v>
      </c>
      <c r="X16" s="66">
        <f>W16</f>
        <v>0</v>
      </c>
    </row>
    <row r="17" spans="1:38" s="74" customFormat="1" ht="14.25" customHeight="1">
      <c r="A17" s="5"/>
      <c r="B17" s="24"/>
      <c r="C17" s="25"/>
      <c r="D17" s="26"/>
      <c r="E17" s="27" t="s">
        <v>38</v>
      </c>
      <c r="F17" s="69">
        <v>1</v>
      </c>
      <c r="G17" s="70">
        <v>0</v>
      </c>
      <c r="H17" s="70">
        <v>0</v>
      </c>
      <c r="I17" s="71">
        <v>0.01</v>
      </c>
      <c r="J17" s="31">
        <f t="shared" ref="J17:J24" si="10">(G17+H17)*(1+I17)</f>
        <v>0</v>
      </c>
      <c r="K17" s="69">
        <v>0</v>
      </c>
      <c r="L17" s="69">
        <f t="shared" ref="L17:L24" si="11">J17*K17/1000/F17</f>
        <v>0</v>
      </c>
      <c r="M17" s="69">
        <f t="shared" ref="M17:M24" si="12">H17+(G17+H17)*I17/100</f>
        <v>0</v>
      </c>
      <c r="N17" s="71">
        <v>0.9</v>
      </c>
      <c r="O17" s="69">
        <v>0</v>
      </c>
      <c r="P17" s="69">
        <f t="shared" ref="P17:P24" si="13">M17*N17*O17/1000/F17</f>
        <v>0</v>
      </c>
      <c r="Q17" s="72">
        <f t="shared" ref="Q17:Q24" si="14">L17-P17</f>
        <v>0</v>
      </c>
      <c r="R17" s="69">
        <v>0</v>
      </c>
      <c r="S17" s="73">
        <f t="shared" ref="S17:S23" si="15">$Q$98</f>
        <v>139.22399999999999</v>
      </c>
      <c r="T17" s="69">
        <f t="shared" ref="T17:T24" si="16">R17*S17/3600</f>
        <v>0</v>
      </c>
      <c r="U17" s="69">
        <f t="shared" ref="U17:U23" si="17">$R$98</f>
        <v>12.431999999999999</v>
      </c>
      <c r="V17" s="69">
        <f t="shared" ref="V17:V24" si="18">R17*U17/3600/F17</f>
        <v>0</v>
      </c>
      <c r="W17" s="72">
        <f t="shared" ref="W17:W24" si="19">T17+V17</f>
        <v>0</v>
      </c>
      <c r="X17" s="72">
        <f t="shared" ref="X17:X24" si="20">Q17+W17</f>
        <v>0</v>
      </c>
      <c r="AL17" s="74">
        <v>0</v>
      </c>
    </row>
    <row r="18" spans="1:38" s="74" customFormat="1" ht="14.25" customHeight="1">
      <c r="A18" s="5"/>
      <c r="B18" s="24"/>
      <c r="C18" s="25"/>
      <c r="D18" s="76"/>
      <c r="E18" s="27" t="s">
        <v>38</v>
      </c>
      <c r="F18" s="32">
        <v>1</v>
      </c>
      <c r="G18" s="70">
        <v>0</v>
      </c>
      <c r="H18" s="70">
        <v>0</v>
      </c>
      <c r="I18" s="30">
        <v>0.01</v>
      </c>
      <c r="J18" s="31">
        <f t="shared" si="10"/>
        <v>0</v>
      </c>
      <c r="K18" s="32">
        <v>0</v>
      </c>
      <c r="L18" s="32">
        <f t="shared" si="11"/>
        <v>0</v>
      </c>
      <c r="M18" s="32">
        <f t="shared" si="12"/>
        <v>0</v>
      </c>
      <c r="N18" s="30">
        <v>0.9</v>
      </c>
      <c r="O18" s="32">
        <v>0</v>
      </c>
      <c r="P18" s="32">
        <f t="shared" si="13"/>
        <v>0</v>
      </c>
      <c r="Q18" s="33">
        <f t="shared" si="14"/>
        <v>0</v>
      </c>
      <c r="R18" s="32">
        <v>0</v>
      </c>
      <c r="S18" s="34">
        <f t="shared" si="15"/>
        <v>139.22399999999999</v>
      </c>
      <c r="T18" s="32">
        <f t="shared" si="16"/>
        <v>0</v>
      </c>
      <c r="U18" s="32">
        <f t="shared" si="17"/>
        <v>12.431999999999999</v>
      </c>
      <c r="V18" s="32">
        <f t="shared" si="18"/>
        <v>0</v>
      </c>
      <c r="W18" s="33">
        <f t="shared" si="19"/>
        <v>0</v>
      </c>
      <c r="X18" s="33">
        <f t="shared" si="20"/>
        <v>0</v>
      </c>
      <c r="AL18" s="74">
        <v>0</v>
      </c>
    </row>
    <row r="19" spans="1:38" s="74" customFormat="1" ht="14.25" customHeight="1">
      <c r="A19" s="5"/>
      <c r="B19" s="24"/>
      <c r="C19" s="25"/>
      <c r="D19" s="26"/>
      <c r="E19" s="27" t="s">
        <v>38</v>
      </c>
      <c r="F19" s="32">
        <v>1</v>
      </c>
      <c r="G19" s="70">
        <v>0</v>
      </c>
      <c r="H19" s="70">
        <v>0</v>
      </c>
      <c r="I19" s="30">
        <v>0.01</v>
      </c>
      <c r="J19" s="31">
        <f t="shared" si="10"/>
        <v>0</v>
      </c>
      <c r="K19" s="32">
        <v>0</v>
      </c>
      <c r="L19" s="32">
        <f t="shared" si="11"/>
        <v>0</v>
      </c>
      <c r="M19" s="32">
        <f t="shared" si="12"/>
        <v>0</v>
      </c>
      <c r="N19" s="30">
        <v>0.9</v>
      </c>
      <c r="O19" s="32">
        <v>0</v>
      </c>
      <c r="P19" s="32">
        <f t="shared" si="13"/>
        <v>0</v>
      </c>
      <c r="Q19" s="33">
        <f t="shared" si="14"/>
        <v>0</v>
      </c>
      <c r="R19" s="32">
        <v>0</v>
      </c>
      <c r="S19" s="34">
        <f t="shared" si="15"/>
        <v>139.22399999999999</v>
      </c>
      <c r="T19" s="32">
        <f t="shared" si="16"/>
        <v>0</v>
      </c>
      <c r="U19" s="32">
        <f t="shared" si="17"/>
        <v>12.431999999999999</v>
      </c>
      <c r="V19" s="32">
        <f t="shared" si="18"/>
        <v>0</v>
      </c>
      <c r="W19" s="33">
        <f t="shared" si="19"/>
        <v>0</v>
      </c>
      <c r="X19" s="33">
        <f t="shared" si="20"/>
        <v>0</v>
      </c>
      <c r="AL19" s="74">
        <v>0</v>
      </c>
    </row>
    <row r="20" spans="1:38" s="74" customFormat="1" ht="14.25" customHeight="1">
      <c r="A20" s="5"/>
      <c r="B20" s="24"/>
      <c r="C20" s="36"/>
      <c r="D20" s="26"/>
      <c r="E20" s="27" t="s">
        <v>38</v>
      </c>
      <c r="F20" s="32">
        <v>1</v>
      </c>
      <c r="G20" s="70">
        <v>0</v>
      </c>
      <c r="H20" s="70">
        <v>0</v>
      </c>
      <c r="I20" s="30">
        <v>0.01</v>
      </c>
      <c r="J20" s="31">
        <f t="shared" si="10"/>
        <v>0</v>
      </c>
      <c r="K20" s="32">
        <v>0</v>
      </c>
      <c r="L20" s="32">
        <f t="shared" si="11"/>
        <v>0</v>
      </c>
      <c r="M20" s="32">
        <f t="shared" si="12"/>
        <v>0</v>
      </c>
      <c r="N20" s="30">
        <v>0.9</v>
      </c>
      <c r="O20" s="32">
        <v>0</v>
      </c>
      <c r="P20" s="32">
        <f t="shared" si="13"/>
        <v>0</v>
      </c>
      <c r="Q20" s="33">
        <f t="shared" si="14"/>
        <v>0</v>
      </c>
      <c r="R20" s="32">
        <v>0</v>
      </c>
      <c r="S20" s="34">
        <f t="shared" si="15"/>
        <v>139.22399999999999</v>
      </c>
      <c r="T20" s="32">
        <f t="shared" si="16"/>
        <v>0</v>
      </c>
      <c r="U20" s="32">
        <f t="shared" si="17"/>
        <v>12.431999999999999</v>
      </c>
      <c r="V20" s="32">
        <f t="shared" si="18"/>
        <v>0</v>
      </c>
      <c r="W20" s="33">
        <f t="shared" si="19"/>
        <v>0</v>
      </c>
      <c r="X20" s="33">
        <f t="shared" si="20"/>
        <v>0</v>
      </c>
      <c r="AL20" s="74">
        <v>0</v>
      </c>
    </row>
    <row r="21" spans="1:38" s="74" customFormat="1" ht="14.25" customHeight="1">
      <c r="A21" s="5"/>
      <c r="B21" s="308"/>
      <c r="C21" s="75"/>
      <c r="D21" s="26"/>
      <c r="E21" s="38" t="s">
        <v>40</v>
      </c>
      <c r="F21" s="42">
        <v>1</v>
      </c>
      <c r="G21" s="77">
        <v>0</v>
      </c>
      <c r="H21" s="77">
        <v>0</v>
      </c>
      <c r="I21" s="41">
        <v>0.01</v>
      </c>
      <c r="J21" s="78">
        <f t="shared" si="10"/>
        <v>0</v>
      </c>
      <c r="K21" s="42">
        <v>0</v>
      </c>
      <c r="L21" s="42">
        <f t="shared" si="11"/>
        <v>0</v>
      </c>
      <c r="M21" s="42">
        <f t="shared" si="12"/>
        <v>0</v>
      </c>
      <c r="N21" s="41">
        <v>0.9</v>
      </c>
      <c r="O21" s="42">
        <v>0</v>
      </c>
      <c r="P21" s="79">
        <f t="shared" si="13"/>
        <v>0</v>
      </c>
      <c r="Q21" s="80">
        <f t="shared" si="14"/>
        <v>0</v>
      </c>
      <c r="R21" s="81">
        <v>0</v>
      </c>
      <c r="S21" s="34">
        <f t="shared" si="15"/>
        <v>139.22399999999999</v>
      </c>
      <c r="T21" s="32">
        <f t="shared" si="16"/>
        <v>0</v>
      </c>
      <c r="U21" s="32">
        <f t="shared" si="17"/>
        <v>12.431999999999999</v>
      </c>
      <c r="V21" s="32">
        <f t="shared" si="18"/>
        <v>0</v>
      </c>
      <c r="W21" s="33">
        <f t="shared" si="19"/>
        <v>0</v>
      </c>
      <c r="X21" s="33">
        <f t="shared" si="20"/>
        <v>0</v>
      </c>
      <c r="AL21" s="74">
        <v>0</v>
      </c>
    </row>
    <row r="22" spans="1:38" s="74" customFormat="1" ht="14.25" customHeight="1">
      <c r="A22" s="5"/>
      <c r="B22" s="308"/>
      <c r="C22" s="75"/>
      <c r="D22" s="35"/>
      <c r="E22" s="38" t="s">
        <v>40</v>
      </c>
      <c r="F22" s="42">
        <v>1</v>
      </c>
      <c r="G22" s="77">
        <v>0</v>
      </c>
      <c r="H22" s="77">
        <v>0</v>
      </c>
      <c r="I22" s="41">
        <v>0.01</v>
      </c>
      <c r="J22" s="78">
        <f t="shared" si="10"/>
        <v>0</v>
      </c>
      <c r="K22" s="42">
        <v>0</v>
      </c>
      <c r="L22" s="42">
        <f t="shared" si="11"/>
        <v>0</v>
      </c>
      <c r="M22" s="42">
        <f t="shared" si="12"/>
        <v>0</v>
      </c>
      <c r="N22" s="41">
        <v>0.9</v>
      </c>
      <c r="O22" s="42">
        <v>0</v>
      </c>
      <c r="P22" s="79">
        <f t="shared" si="13"/>
        <v>0</v>
      </c>
      <c r="Q22" s="80">
        <f t="shared" si="14"/>
        <v>0</v>
      </c>
      <c r="R22" s="81">
        <v>0</v>
      </c>
      <c r="S22" s="34">
        <f t="shared" si="15"/>
        <v>139.22399999999999</v>
      </c>
      <c r="T22" s="32">
        <f t="shared" si="16"/>
        <v>0</v>
      </c>
      <c r="U22" s="32">
        <f t="shared" si="17"/>
        <v>12.431999999999999</v>
      </c>
      <c r="V22" s="32">
        <f t="shared" si="18"/>
        <v>0</v>
      </c>
      <c r="W22" s="33">
        <f t="shared" si="19"/>
        <v>0</v>
      </c>
      <c r="X22" s="33">
        <f t="shared" si="20"/>
        <v>0</v>
      </c>
      <c r="AL22" s="74">
        <v>0</v>
      </c>
    </row>
    <row r="23" spans="1:38" s="74" customFormat="1" ht="14.25" customHeight="1">
      <c r="A23" s="5"/>
      <c r="B23" s="308"/>
      <c r="C23" s="75"/>
      <c r="D23" s="35"/>
      <c r="E23" s="44" t="s">
        <v>40</v>
      </c>
      <c r="F23" s="45">
        <v>1</v>
      </c>
      <c r="G23" s="46">
        <v>0</v>
      </c>
      <c r="H23" s="46">
        <v>0</v>
      </c>
      <c r="I23" s="47">
        <v>0.01</v>
      </c>
      <c r="J23" s="82">
        <f t="shared" si="10"/>
        <v>0</v>
      </c>
      <c r="K23" s="45">
        <v>0</v>
      </c>
      <c r="L23" s="45">
        <f t="shared" si="11"/>
        <v>0</v>
      </c>
      <c r="M23" s="45">
        <f t="shared" si="12"/>
        <v>0</v>
      </c>
      <c r="N23" s="47">
        <v>0.9</v>
      </c>
      <c r="O23" s="45">
        <v>0</v>
      </c>
      <c r="P23" s="83">
        <f t="shared" si="13"/>
        <v>0</v>
      </c>
      <c r="Q23" s="84">
        <f t="shared" si="14"/>
        <v>0</v>
      </c>
      <c r="R23" s="85">
        <v>0</v>
      </c>
      <c r="S23" s="50">
        <f t="shared" si="15"/>
        <v>139.22399999999999</v>
      </c>
      <c r="T23" s="48">
        <f t="shared" si="16"/>
        <v>0</v>
      </c>
      <c r="U23" s="48">
        <f t="shared" si="17"/>
        <v>12.431999999999999</v>
      </c>
      <c r="V23" s="48">
        <f t="shared" si="18"/>
        <v>0</v>
      </c>
      <c r="W23" s="49">
        <f t="shared" si="19"/>
        <v>0</v>
      </c>
      <c r="X23" s="49">
        <f t="shared" si="20"/>
        <v>0</v>
      </c>
      <c r="AL23" s="74">
        <v>0</v>
      </c>
    </row>
    <row r="24" spans="1:38" s="74" customFormat="1" ht="14.25" customHeight="1" thickBot="1">
      <c r="A24" s="5"/>
      <c r="B24" s="51"/>
      <c r="C24" s="52"/>
      <c r="D24" s="86"/>
      <c r="E24" s="53" t="s">
        <v>40</v>
      </c>
      <c r="F24" s="56">
        <v>1</v>
      </c>
      <c r="G24" s="87">
        <v>0</v>
      </c>
      <c r="H24" s="87">
        <v>0</v>
      </c>
      <c r="I24" s="54">
        <v>0.01</v>
      </c>
      <c r="J24" s="55">
        <f t="shared" si="10"/>
        <v>0</v>
      </c>
      <c r="K24" s="56">
        <v>0</v>
      </c>
      <c r="L24" s="56">
        <f t="shared" si="11"/>
        <v>0</v>
      </c>
      <c r="M24" s="56">
        <f t="shared" si="12"/>
        <v>0</v>
      </c>
      <c r="N24" s="54">
        <v>0.9</v>
      </c>
      <c r="O24" s="56">
        <v>0</v>
      </c>
      <c r="P24" s="57">
        <f t="shared" si="13"/>
        <v>0</v>
      </c>
      <c r="Q24" s="84">
        <f t="shared" si="14"/>
        <v>0</v>
      </c>
      <c r="R24" s="85">
        <v>0</v>
      </c>
      <c r="S24" s="59">
        <f>S23</f>
        <v>139.22399999999999</v>
      </c>
      <c r="T24" s="56">
        <f t="shared" si="16"/>
        <v>0</v>
      </c>
      <c r="U24" s="56">
        <f>U23</f>
        <v>12.431999999999999</v>
      </c>
      <c r="V24" s="88">
        <f t="shared" si="18"/>
        <v>0</v>
      </c>
      <c r="W24" s="84">
        <f t="shared" si="19"/>
        <v>0</v>
      </c>
      <c r="X24" s="84">
        <f t="shared" si="20"/>
        <v>0</v>
      </c>
      <c r="AL24" s="74">
        <v>0</v>
      </c>
    </row>
    <row r="25" spans="1:38" s="23" customFormat="1" ht="14.25" customHeight="1" thickBot="1">
      <c r="A25" s="5"/>
      <c r="B25" s="89" t="s">
        <v>46</v>
      </c>
      <c r="C25" s="61"/>
      <c r="D25" s="61"/>
      <c r="E25" s="62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90"/>
      <c r="Q25" s="91">
        <f>SUM(Q8:Q24)</f>
        <v>37.964623632144502</v>
      </c>
      <c r="R25" s="92" t="s">
        <v>47</v>
      </c>
      <c r="S25" s="61"/>
      <c r="T25" s="61"/>
      <c r="U25" s="61"/>
      <c r="V25" s="90"/>
      <c r="W25" s="91">
        <f>SUM(W8:W24)</f>
        <v>34.503047341666672</v>
      </c>
      <c r="X25" s="93">
        <f>SUM(X8:X24)</f>
        <v>72.467670973811167</v>
      </c>
    </row>
    <row r="26" spans="1:38" s="23" customFormat="1" ht="14.25" customHeight="1">
      <c r="A26" s="5"/>
      <c r="B26" s="94"/>
      <c r="C26" s="94"/>
      <c r="D26" s="94"/>
      <c r="E26" s="95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6" t="s">
        <v>48</v>
      </c>
      <c r="S26" s="94"/>
      <c r="T26" s="94"/>
      <c r="U26" s="94"/>
      <c r="V26" s="94"/>
      <c r="W26" s="94"/>
    </row>
    <row r="27" spans="1:38" ht="14.25" customHeight="1" thickBot="1">
      <c r="A27" s="5"/>
      <c r="B27" s="97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38" ht="14.25" customHeight="1" thickBot="1">
      <c r="A28" s="5"/>
      <c r="B28" s="349" t="s">
        <v>16</v>
      </c>
      <c r="C28" s="350"/>
      <c r="D28" s="21" t="s">
        <v>17</v>
      </c>
      <c r="E28" s="21" t="s">
        <v>18</v>
      </c>
      <c r="F28" s="21" t="s">
        <v>19</v>
      </c>
      <c r="G28" s="21" t="s">
        <v>20</v>
      </c>
      <c r="H28" s="21" t="s">
        <v>21</v>
      </c>
      <c r="I28" s="21" t="s">
        <v>22</v>
      </c>
      <c r="J28" s="21" t="s">
        <v>23</v>
      </c>
      <c r="K28" s="21" t="s">
        <v>50</v>
      </c>
      <c r="L28" s="21" t="s">
        <v>25</v>
      </c>
      <c r="M28" s="21" t="s">
        <v>26</v>
      </c>
      <c r="N28" s="21" t="s">
        <v>27</v>
      </c>
      <c r="O28" s="21" t="s">
        <v>28</v>
      </c>
      <c r="P28" s="21" t="s">
        <v>29</v>
      </c>
      <c r="Q28" s="22" t="s">
        <v>30</v>
      </c>
      <c r="R28" s="21" t="s">
        <v>31</v>
      </c>
      <c r="S28" s="21" t="s">
        <v>51</v>
      </c>
      <c r="T28" s="21" t="s">
        <v>33</v>
      </c>
      <c r="U28" s="21" t="s">
        <v>34</v>
      </c>
      <c r="V28" s="21" t="s">
        <v>35</v>
      </c>
      <c r="W28" s="22" t="s">
        <v>36</v>
      </c>
      <c r="X28" s="22" t="s">
        <v>37</v>
      </c>
      <c r="AL28" s="1" t="s">
        <v>50</v>
      </c>
    </row>
    <row r="29" spans="1:38" ht="14.25" customHeight="1" thickTop="1" thickBot="1">
      <c r="A29" s="5"/>
      <c r="B29" s="98"/>
      <c r="C29" s="99"/>
      <c r="D29" s="32"/>
      <c r="E29" s="27"/>
      <c r="F29" s="32"/>
      <c r="G29" s="70"/>
      <c r="H29" s="70"/>
      <c r="I29" s="100"/>
      <c r="J29" s="31"/>
      <c r="K29" s="32"/>
      <c r="L29" s="32"/>
      <c r="M29" s="32"/>
      <c r="N29" s="100"/>
      <c r="O29" s="32"/>
      <c r="P29" s="32"/>
      <c r="Q29" s="33"/>
      <c r="R29" s="32"/>
      <c r="S29" s="101"/>
      <c r="T29" s="32"/>
      <c r="U29" s="101"/>
      <c r="V29" s="32"/>
      <c r="W29" s="33"/>
      <c r="X29" s="33"/>
    </row>
    <row r="30" spans="1:38" ht="14.25" customHeight="1" thickBot="1">
      <c r="A30" s="5"/>
      <c r="B30" s="89" t="s">
        <v>46</v>
      </c>
      <c r="C30" s="61"/>
      <c r="D30" s="61"/>
      <c r="E30" s="62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90"/>
      <c r="Q30" s="91">
        <f>SUM(Q29:Q29)</f>
        <v>0</v>
      </c>
      <c r="R30" s="92" t="s">
        <v>47</v>
      </c>
      <c r="S30" s="61" t="s">
        <v>43</v>
      </c>
      <c r="T30" s="61"/>
      <c r="U30" s="61"/>
      <c r="V30" s="90"/>
      <c r="W30" s="91">
        <f>SUM(W29:W29)</f>
        <v>0</v>
      </c>
      <c r="X30" s="93">
        <f>SUM(X29:X29)</f>
        <v>0</v>
      </c>
    </row>
    <row r="31" spans="1:38" ht="14.25" customHeight="1">
      <c r="A31" s="5"/>
      <c r="B31" s="5"/>
      <c r="C31" s="5"/>
      <c r="D31" s="5"/>
      <c r="E31" s="10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38" ht="14.25" customHeight="1" thickBot="1">
      <c r="A32" s="5"/>
      <c r="B32" s="97" t="s">
        <v>52</v>
      </c>
      <c r="C32" s="5"/>
      <c r="D32" s="5"/>
      <c r="E32" s="102"/>
      <c r="F32" s="5"/>
      <c r="G32" s="5"/>
      <c r="H32" s="5"/>
      <c r="I32" s="5"/>
      <c r="J32" s="5"/>
      <c r="K32" s="5"/>
      <c r="L32" s="5"/>
      <c r="N32" s="97" t="s">
        <v>53</v>
      </c>
      <c r="O32" s="5"/>
      <c r="P32" s="5"/>
      <c r="Q32" s="5"/>
      <c r="R32" s="5"/>
      <c r="S32" s="5"/>
      <c r="T32" s="5"/>
      <c r="U32" s="5"/>
      <c r="V32" s="5"/>
      <c r="W32" s="5"/>
    </row>
    <row r="33" spans="1:38" ht="14.25" customHeight="1" thickBot="1">
      <c r="A33" s="5"/>
      <c r="B33" s="103" t="s">
        <v>54</v>
      </c>
      <c r="C33" s="104"/>
      <c r="D33" s="105" t="s">
        <v>17</v>
      </c>
      <c r="E33" s="105" t="s">
        <v>18</v>
      </c>
      <c r="F33" s="106" t="s">
        <v>55</v>
      </c>
      <c r="G33" s="105" t="s">
        <v>56</v>
      </c>
      <c r="H33" s="21" t="s">
        <v>57</v>
      </c>
      <c r="I33" s="105" t="s">
        <v>22</v>
      </c>
      <c r="J33" s="105" t="s">
        <v>50</v>
      </c>
      <c r="K33" s="107" t="s">
        <v>58</v>
      </c>
      <c r="L33" s="5" t="s">
        <v>59</v>
      </c>
      <c r="N33" s="108" t="s">
        <v>60</v>
      </c>
      <c r="O33" s="109"/>
      <c r="P33" s="110" t="s">
        <v>31</v>
      </c>
      <c r="Q33" s="110" t="s">
        <v>61</v>
      </c>
      <c r="R33" s="110" t="s">
        <v>62</v>
      </c>
      <c r="S33" s="110" t="s">
        <v>22</v>
      </c>
      <c r="T33" s="110" t="s">
        <v>63</v>
      </c>
      <c r="U33" s="110" t="s">
        <v>33</v>
      </c>
      <c r="V33" s="110" t="s">
        <v>64</v>
      </c>
      <c r="W33" s="110" t="s">
        <v>35</v>
      </c>
      <c r="X33" s="22" t="s">
        <v>65</v>
      </c>
      <c r="Z33" s="111" t="str">
        <f>D3</f>
        <v>77C543-0000</v>
      </c>
      <c r="AA33" s="351" t="str">
        <f>D2</f>
        <v xml:space="preserve">TMR-033 SRC 22CH JP </v>
      </c>
      <c r="AB33" s="352"/>
      <c r="AC33" s="352"/>
      <c r="AD33" s="353"/>
      <c r="AL33" s="1" t="s">
        <v>58</v>
      </c>
    </row>
    <row r="34" spans="1:38" ht="14.25" customHeight="1" thickTop="1" thickBot="1">
      <c r="A34" s="5"/>
      <c r="B34" s="112" t="s">
        <v>66</v>
      </c>
      <c r="C34" s="113" t="s">
        <v>177</v>
      </c>
      <c r="D34" s="114"/>
      <c r="E34" s="114" t="s">
        <v>196</v>
      </c>
      <c r="F34" s="114"/>
      <c r="G34" s="115">
        <v>1</v>
      </c>
      <c r="H34" s="114" t="s">
        <v>67</v>
      </c>
      <c r="I34" s="116">
        <v>5.0000000000000001E-3</v>
      </c>
      <c r="J34" s="323">
        <v>15.66</v>
      </c>
      <c r="K34" s="117">
        <f t="shared" ref="K34:K41" si="21">G34*(1+I34)*J34</f>
        <v>15.738299999999999</v>
      </c>
      <c r="L34" s="118"/>
      <c r="M34" s="119"/>
      <c r="N34" s="120" t="s">
        <v>68</v>
      </c>
      <c r="O34" s="121"/>
      <c r="P34" s="339">
        <v>5.81</v>
      </c>
      <c r="Q34" s="339">
        <v>1</v>
      </c>
      <c r="R34" s="122">
        <v>0.9</v>
      </c>
      <c r="S34" s="122">
        <v>5.0000000000000001E-3</v>
      </c>
      <c r="T34" s="120">
        <f>$Q$99</f>
        <v>226.37</v>
      </c>
      <c r="U34" s="120">
        <f t="shared" ref="U34:U45" si="22">P34*Q34/R34*(1+S34)*T34/3600</f>
        <v>0.40795856435185179</v>
      </c>
      <c r="V34" s="120">
        <f>$R$99</f>
        <v>480.96</v>
      </c>
      <c r="W34" s="123">
        <f t="shared" ref="W34:W45" si="23">P34/R34*(1+S34)*V34/3600</f>
        <v>0.8667745333333331</v>
      </c>
      <c r="X34" s="117">
        <f t="shared" ref="X34:X45" si="24">U34+W34</f>
        <v>1.2747330976851849</v>
      </c>
      <c r="Z34" s="124">
        <f>C1</f>
        <v>2018</v>
      </c>
      <c r="AA34" s="125" t="s">
        <v>69</v>
      </c>
      <c r="AB34" s="126" t="s">
        <v>70</v>
      </c>
      <c r="AC34" s="127" t="s">
        <v>71</v>
      </c>
      <c r="AD34" s="127" t="s">
        <v>72</v>
      </c>
      <c r="AE34" s="4" t="s">
        <v>73</v>
      </c>
      <c r="AF34" s="4"/>
      <c r="AL34" s="1">
        <v>21.346199999999996</v>
      </c>
    </row>
    <row r="35" spans="1:38" ht="14.25" customHeight="1">
      <c r="A35" s="5"/>
      <c r="B35" s="38"/>
      <c r="C35" s="128" t="s">
        <v>249</v>
      </c>
      <c r="D35" s="42"/>
      <c r="E35" s="42" t="s">
        <v>257</v>
      </c>
      <c r="F35" s="42"/>
      <c r="G35" s="77">
        <v>1</v>
      </c>
      <c r="H35" s="42" t="s">
        <v>67</v>
      </c>
      <c r="I35" s="41">
        <v>5.0000000000000001E-3</v>
      </c>
      <c r="J35" s="324">
        <v>17.77</v>
      </c>
      <c r="K35" s="80">
        <f t="shared" si="21"/>
        <v>17.858849999999997</v>
      </c>
      <c r="L35" s="118"/>
      <c r="M35" s="119"/>
      <c r="N35" s="129" t="s">
        <v>74</v>
      </c>
      <c r="O35" s="81"/>
      <c r="P35" s="340">
        <v>5.81</v>
      </c>
      <c r="Q35" s="340">
        <v>1</v>
      </c>
      <c r="R35" s="130">
        <v>0.9</v>
      </c>
      <c r="S35" s="130">
        <v>5.0000000000000001E-3</v>
      </c>
      <c r="T35" s="129">
        <f>$Q$99</f>
        <v>226.37</v>
      </c>
      <c r="U35" s="129">
        <f t="shared" si="22"/>
        <v>0.40795856435185179</v>
      </c>
      <c r="V35" s="129">
        <f>$R$99</f>
        <v>480.96</v>
      </c>
      <c r="W35" s="79">
        <f t="shared" si="23"/>
        <v>0.8667745333333331</v>
      </c>
      <c r="X35" s="80">
        <f t="shared" si="24"/>
        <v>1.2747330976851849</v>
      </c>
      <c r="Z35" s="131" t="s">
        <v>75</v>
      </c>
      <c r="AA35" s="132">
        <f>Q25</f>
        <v>37.964623632144502</v>
      </c>
      <c r="AB35" s="133">
        <f>Q25</f>
        <v>37.964623632144502</v>
      </c>
      <c r="AC35" s="134">
        <f>S25</f>
        <v>0</v>
      </c>
      <c r="AD35" s="134">
        <v>0</v>
      </c>
      <c r="AE35" s="135">
        <f t="shared" ref="AE35:AE54" si="25">SUM(AB35:AD35)</f>
        <v>37.964623632144502</v>
      </c>
      <c r="AF35" s="135">
        <f t="shared" ref="AF35:AF54" si="26">AA35-AE35</f>
        <v>0</v>
      </c>
      <c r="AL35" s="1">
        <v>24.240599999999997</v>
      </c>
    </row>
    <row r="36" spans="1:38" ht="14.25" customHeight="1">
      <c r="A36" s="5"/>
      <c r="B36" s="38"/>
      <c r="C36" s="136" t="s">
        <v>250</v>
      </c>
      <c r="D36" s="137"/>
      <c r="E36" s="137" t="s">
        <v>258</v>
      </c>
      <c r="F36" s="137"/>
      <c r="G36" s="138">
        <v>1</v>
      </c>
      <c r="H36" s="139" t="s">
        <v>76</v>
      </c>
      <c r="I36" s="140">
        <v>5.0000000000000001E-3</v>
      </c>
      <c r="J36" s="141">
        <v>42.57</v>
      </c>
      <c r="K36" s="142">
        <f t="shared" si="21"/>
        <v>42.782849999999996</v>
      </c>
      <c r="L36" s="118"/>
      <c r="M36" s="119"/>
      <c r="N36" s="129" t="s">
        <v>77</v>
      </c>
      <c r="O36" s="81"/>
      <c r="P36" s="340">
        <v>5.81</v>
      </c>
      <c r="Q36" s="340">
        <v>1</v>
      </c>
      <c r="R36" s="130">
        <v>0.9</v>
      </c>
      <c r="S36" s="130">
        <v>5.0000000000000001E-3</v>
      </c>
      <c r="T36" s="129">
        <f>$Q$99</f>
        <v>226.37</v>
      </c>
      <c r="U36" s="129">
        <f t="shared" si="22"/>
        <v>0.40795856435185179</v>
      </c>
      <c r="V36" s="129">
        <v>0</v>
      </c>
      <c r="W36" s="79">
        <f t="shared" si="23"/>
        <v>0</v>
      </c>
      <c r="X36" s="80">
        <f t="shared" si="24"/>
        <v>0.40795856435185179</v>
      </c>
      <c r="Z36" s="143" t="s">
        <v>78</v>
      </c>
      <c r="AA36" s="144">
        <f>K43+K55</f>
        <v>348.96816000000001</v>
      </c>
      <c r="AB36" s="145">
        <v>0</v>
      </c>
      <c r="AC36" s="146">
        <f>+K55</f>
        <v>204.44915999999998</v>
      </c>
      <c r="AD36" s="146">
        <f>K43</f>
        <v>144.51900000000001</v>
      </c>
      <c r="AE36" s="135">
        <f t="shared" si="25"/>
        <v>348.96816000000001</v>
      </c>
      <c r="AF36" s="135">
        <f t="shared" si="26"/>
        <v>0</v>
      </c>
      <c r="AL36" s="1">
        <v>19.017614999999996</v>
      </c>
    </row>
    <row r="37" spans="1:38" ht="14.25" customHeight="1">
      <c r="A37" s="5"/>
      <c r="B37" s="38"/>
      <c r="C37" s="136" t="s">
        <v>205</v>
      </c>
      <c r="D37" s="137"/>
      <c r="E37" s="137" t="s">
        <v>259</v>
      </c>
      <c r="F37" s="137"/>
      <c r="G37" s="138">
        <v>1</v>
      </c>
      <c r="H37" s="139" t="s">
        <v>76</v>
      </c>
      <c r="I37" s="140">
        <v>5.0000000000000001E-3</v>
      </c>
      <c r="J37" s="141">
        <v>9.5</v>
      </c>
      <c r="K37" s="142">
        <f t="shared" si="21"/>
        <v>9.5474999999999994</v>
      </c>
      <c r="L37" s="118"/>
      <c r="M37" s="119"/>
      <c r="N37" s="129" t="s">
        <v>79</v>
      </c>
      <c r="O37" s="81"/>
      <c r="P37" s="340">
        <v>5.81</v>
      </c>
      <c r="Q37" s="340">
        <v>1</v>
      </c>
      <c r="R37" s="130">
        <v>0.9</v>
      </c>
      <c r="S37" s="130">
        <v>5.0000000000000001E-3</v>
      </c>
      <c r="T37" s="129">
        <f t="shared" ref="T37:T45" si="27">$Q$99</f>
        <v>226.37</v>
      </c>
      <c r="U37" s="129">
        <f t="shared" si="22"/>
        <v>0.40795856435185179</v>
      </c>
      <c r="V37" s="129">
        <v>0</v>
      </c>
      <c r="W37" s="79">
        <f t="shared" si="23"/>
        <v>0</v>
      </c>
      <c r="X37" s="80">
        <f t="shared" si="24"/>
        <v>0.40795856435185179</v>
      </c>
      <c r="Z37" s="143" t="s">
        <v>80</v>
      </c>
      <c r="AA37" s="144">
        <f>K60+K83</f>
        <v>62.702432399999985</v>
      </c>
      <c r="AB37" s="145">
        <f>K60</f>
        <v>0</v>
      </c>
      <c r="AC37" s="146">
        <f>+K83</f>
        <v>62.702432399999985</v>
      </c>
      <c r="AD37" s="146">
        <f>+K60</f>
        <v>0</v>
      </c>
      <c r="AE37" s="135">
        <f t="shared" si="25"/>
        <v>62.702432399999985</v>
      </c>
      <c r="AF37" s="135">
        <f t="shared" si="26"/>
        <v>0</v>
      </c>
      <c r="AL37" s="1">
        <v>19.557199499999999</v>
      </c>
    </row>
    <row r="38" spans="1:38" ht="14.25" customHeight="1">
      <c r="A38" s="5"/>
      <c r="B38" s="38"/>
      <c r="C38" s="136" t="s">
        <v>204</v>
      </c>
      <c r="D38" s="139"/>
      <c r="E38" s="147" t="s">
        <v>260</v>
      </c>
      <c r="F38" s="139"/>
      <c r="G38" s="138">
        <v>1</v>
      </c>
      <c r="H38" s="139" t="s">
        <v>76</v>
      </c>
      <c r="I38" s="140">
        <v>5.0000000000000001E-3</v>
      </c>
      <c r="J38" s="141">
        <v>9.7200000000000006</v>
      </c>
      <c r="K38" s="80">
        <f t="shared" si="21"/>
        <v>9.7685999999999993</v>
      </c>
      <c r="L38" s="148"/>
      <c r="N38" s="129" t="s">
        <v>81</v>
      </c>
      <c r="O38" s="81"/>
      <c r="P38" s="340">
        <v>17.61</v>
      </c>
      <c r="Q38" s="340">
        <v>2</v>
      </c>
      <c r="R38" s="130">
        <v>0.9</v>
      </c>
      <c r="S38" s="130">
        <v>5.0000000000000001E-3</v>
      </c>
      <c r="T38" s="129">
        <f>$Q$99</f>
        <v>226.37</v>
      </c>
      <c r="U38" s="129">
        <f>P38*Q38/R38*(1+S38)*T38/3600</f>
        <v>2.4730293694444438</v>
      </c>
      <c r="V38" s="129">
        <v>0</v>
      </c>
      <c r="W38" s="79">
        <f>P38/R38*(1+S38)*V38/3600</f>
        <v>0</v>
      </c>
      <c r="X38" s="80">
        <f>U38+W38</f>
        <v>2.4730293694444438</v>
      </c>
      <c r="Z38" s="143" t="s">
        <v>82</v>
      </c>
      <c r="AA38" s="144">
        <f>K95+K109-AA35-AA40</f>
        <v>47.923989111827865</v>
      </c>
      <c r="AB38" s="145" t="e">
        <f>AA38-AC38-AD38</f>
        <v>#REF!</v>
      </c>
      <c r="AC38" s="146" t="e">
        <f>#REF!+#REF!</f>
        <v>#REF!</v>
      </c>
      <c r="AD38" s="146" t="e">
        <f>K109-#REF!-#REF!</f>
        <v>#REF!</v>
      </c>
      <c r="AE38" s="135" t="e">
        <f t="shared" si="25"/>
        <v>#REF!</v>
      </c>
      <c r="AF38" s="135" t="e">
        <f>AA38-AE38</f>
        <v>#REF!</v>
      </c>
      <c r="AL38" s="1">
        <v>14.572499999999998</v>
      </c>
    </row>
    <row r="39" spans="1:38" ht="14.25" customHeight="1" thickBot="1">
      <c r="A39" s="5"/>
      <c r="B39" s="137"/>
      <c r="C39" s="136" t="s">
        <v>255</v>
      </c>
      <c r="D39" s="139"/>
      <c r="E39" s="139" t="s">
        <v>261</v>
      </c>
      <c r="F39" s="139"/>
      <c r="G39" s="138">
        <v>1</v>
      </c>
      <c r="H39" s="139" t="s">
        <v>76</v>
      </c>
      <c r="I39" s="140">
        <v>5.0000000000000001E-3</v>
      </c>
      <c r="J39" s="141">
        <v>24.6</v>
      </c>
      <c r="K39" s="80">
        <f t="shared" si="21"/>
        <v>24.722999999999999</v>
      </c>
      <c r="L39" s="148"/>
      <c r="N39" s="129" t="s">
        <v>83</v>
      </c>
      <c r="O39" s="81"/>
      <c r="P39" s="340">
        <v>17.61</v>
      </c>
      <c r="Q39" s="340">
        <v>2</v>
      </c>
      <c r="R39" s="130">
        <v>0.9</v>
      </c>
      <c r="S39" s="130">
        <v>5.0000000000000001E-3</v>
      </c>
      <c r="T39" s="129">
        <f t="shared" si="27"/>
        <v>226.37</v>
      </c>
      <c r="U39" s="129">
        <f>P39*Q39/R39*(1+S39)*T39/3600</f>
        <v>2.4730293694444438</v>
      </c>
      <c r="V39" s="129">
        <v>0</v>
      </c>
      <c r="W39" s="79">
        <f>P39/R39*(1+S39)*V39/3600</f>
        <v>0</v>
      </c>
      <c r="X39" s="80">
        <f>U39+W39</f>
        <v>2.4730293694444438</v>
      </c>
      <c r="Z39" s="149" t="s">
        <v>84</v>
      </c>
      <c r="AA39" s="150">
        <f>SUM(AA35:AA38)</f>
        <v>497.55920514397235</v>
      </c>
      <c r="AB39" s="151" t="e">
        <f>SUM(AB35:AB38)</f>
        <v>#REF!</v>
      </c>
      <c r="AC39" s="152" t="e">
        <f>SUM(AC35:AC38)</f>
        <v>#REF!</v>
      </c>
      <c r="AD39" s="152" t="e">
        <f>SUM(AD35:AD38)</f>
        <v>#REF!</v>
      </c>
      <c r="AE39" s="135" t="e">
        <f t="shared" si="25"/>
        <v>#REF!</v>
      </c>
      <c r="AF39" s="135" t="e">
        <f>AA39-AE39</f>
        <v>#REF!</v>
      </c>
      <c r="AL39" s="1">
        <v>14.552399999999999</v>
      </c>
    </row>
    <row r="40" spans="1:38" ht="14.25" customHeight="1">
      <c r="A40" s="5"/>
      <c r="B40" s="137"/>
      <c r="C40" s="136" t="s">
        <v>256</v>
      </c>
      <c r="D40" s="139"/>
      <c r="E40" s="139" t="s">
        <v>262</v>
      </c>
      <c r="F40" s="139"/>
      <c r="G40" s="138">
        <v>1</v>
      </c>
      <c r="H40" s="139" t="s">
        <v>76</v>
      </c>
      <c r="I40" s="140">
        <v>5.0000000000000001E-3</v>
      </c>
      <c r="J40" s="141">
        <v>23.98</v>
      </c>
      <c r="K40" s="80">
        <f t="shared" si="21"/>
        <v>24.099899999999998</v>
      </c>
      <c r="L40" s="148"/>
      <c r="N40" s="129" t="s">
        <v>85</v>
      </c>
      <c r="O40" s="81"/>
      <c r="P40" s="340">
        <v>14.31</v>
      </c>
      <c r="Q40" s="340">
        <v>2</v>
      </c>
      <c r="R40" s="130">
        <v>0.9</v>
      </c>
      <c r="S40" s="130">
        <v>5.0000000000000001E-3</v>
      </c>
      <c r="T40" s="129">
        <f t="shared" si="27"/>
        <v>226.37</v>
      </c>
      <c r="U40" s="129">
        <f t="shared" si="22"/>
        <v>2.0095996749999996</v>
      </c>
      <c r="V40" s="129">
        <v>0</v>
      </c>
      <c r="W40" s="79">
        <f t="shared" si="23"/>
        <v>0</v>
      </c>
      <c r="X40" s="80">
        <f t="shared" si="24"/>
        <v>2.0095996749999996</v>
      </c>
      <c r="Z40" s="153" t="s">
        <v>75</v>
      </c>
      <c r="AA40" s="154">
        <f>W25</f>
        <v>34.503047341666672</v>
      </c>
      <c r="AB40" s="155">
        <f>AA40</f>
        <v>34.503047341666672</v>
      </c>
      <c r="AC40" s="156"/>
      <c r="AD40" s="156"/>
      <c r="AE40" s="135">
        <f t="shared" si="25"/>
        <v>34.503047341666672</v>
      </c>
      <c r="AF40" s="135">
        <f t="shared" si="26"/>
        <v>0</v>
      </c>
      <c r="AL40" s="1">
        <v>43.202939999999998</v>
      </c>
    </row>
    <row r="41" spans="1:38" ht="14.25" customHeight="1">
      <c r="A41" s="5"/>
      <c r="B41" s="38"/>
      <c r="C41" s="136"/>
      <c r="D41" s="139"/>
      <c r="E41" s="139"/>
      <c r="F41" s="139"/>
      <c r="G41" s="138"/>
      <c r="H41" s="139"/>
      <c r="I41" s="140"/>
      <c r="J41" s="141"/>
      <c r="K41" s="80">
        <f t="shared" si="21"/>
        <v>0</v>
      </c>
      <c r="L41" s="148"/>
      <c r="N41" s="129" t="s">
        <v>86</v>
      </c>
      <c r="O41" s="81"/>
      <c r="P41" s="340">
        <v>21.4</v>
      </c>
      <c r="Q41" s="340">
        <v>2</v>
      </c>
      <c r="R41" s="130">
        <v>0.9</v>
      </c>
      <c r="S41" s="130">
        <v>5.0000000000000001E-3</v>
      </c>
      <c r="T41" s="129">
        <f t="shared" si="27"/>
        <v>226.37</v>
      </c>
      <c r="U41" s="129">
        <f t="shared" si="22"/>
        <v>3.0052713518518512</v>
      </c>
      <c r="V41" s="129">
        <v>0</v>
      </c>
      <c r="W41" s="79">
        <f t="shared" si="23"/>
        <v>0</v>
      </c>
      <c r="X41" s="80">
        <f t="shared" si="24"/>
        <v>3.0052713518518512</v>
      </c>
      <c r="Z41" s="143" t="s">
        <v>78</v>
      </c>
      <c r="AA41" s="157">
        <f>+X78-AA36</f>
        <v>29.40198507592595</v>
      </c>
      <c r="AB41" s="155">
        <f>AA41</f>
        <v>29.40198507592595</v>
      </c>
      <c r="AC41" s="158"/>
      <c r="AD41" s="158"/>
      <c r="AE41" s="135">
        <f t="shared" si="25"/>
        <v>29.40198507592595</v>
      </c>
      <c r="AF41" s="135">
        <f t="shared" si="26"/>
        <v>0</v>
      </c>
      <c r="AL41" s="1">
        <v>43.202939999999998</v>
      </c>
    </row>
    <row r="42" spans="1:38" ht="14.25" customHeight="1" thickBot="1">
      <c r="A42" s="5"/>
      <c r="B42" s="53"/>
      <c r="C42" s="159"/>
      <c r="D42" s="159"/>
      <c r="E42" s="159"/>
      <c r="F42" s="159"/>
      <c r="G42" s="159"/>
      <c r="H42" s="159"/>
      <c r="I42" s="159"/>
      <c r="J42" s="160"/>
      <c r="K42" s="161"/>
      <c r="L42" s="5"/>
      <c r="N42" s="129" t="s">
        <v>87</v>
      </c>
      <c r="O42" s="81"/>
      <c r="P42" s="340">
        <v>18.100000000000001</v>
      </c>
      <c r="Q42" s="340">
        <v>2</v>
      </c>
      <c r="R42" s="130">
        <v>0.9</v>
      </c>
      <c r="S42" s="130">
        <v>5.0000000000000001E-3</v>
      </c>
      <c r="T42" s="129">
        <f t="shared" si="27"/>
        <v>226.37</v>
      </c>
      <c r="U42" s="129">
        <f t="shared" si="22"/>
        <v>2.541841657407407</v>
      </c>
      <c r="V42" s="129">
        <f>$R$99</f>
        <v>480.96</v>
      </c>
      <c r="W42" s="79">
        <f>P42/R42*(1+S42)*V42/3600</f>
        <v>2.7002786666666658</v>
      </c>
      <c r="X42" s="80">
        <f t="shared" si="24"/>
        <v>5.2421203240740724</v>
      </c>
      <c r="Z42" s="143" t="s">
        <v>80</v>
      </c>
      <c r="AA42" s="157">
        <f>+X80-AA37</f>
        <v>24.423284641777776</v>
      </c>
      <c r="AB42" s="155">
        <f>AA42</f>
        <v>24.423284641777776</v>
      </c>
      <c r="AC42" s="158"/>
      <c r="AD42" s="158"/>
      <c r="AE42" s="135">
        <f t="shared" si="25"/>
        <v>24.423284641777776</v>
      </c>
      <c r="AF42" s="135">
        <f>AA42-AE42</f>
        <v>0</v>
      </c>
    </row>
    <row r="43" spans="1:38" ht="14.25" customHeight="1" thickBot="1">
      <c r="A43" s="5"/>
      <c r="B43" s="89" t="s">
        <v>46</v>
      </c>
      <c r="C43" s="61"/>
      <c r="D43" s="61"/>
      <c r="E43" s="62"/>
      <c r="F43" s="61"/>
      <c r="G43" s="61"/>
      <c r="H43" s="61"/>
      <c r="I43" s="61"/>
      <c r="J43" s="162" t="s">
        <v>88</v>
      </c>
      <c r="K43" s="93">
        <f>SUM(K34:K42)</f>
        <v>144.51900000000001</v>
      </c>
      <c r="L43" s="5"/>
      <c r="M43" s="5"/>
      <c r="N43" s="129" t="s">
        <v>89</v>
      </c>
      <c r="O43" s="81"/>
      <c r="P43" s="340">
        <v>18.350000000000001</v>
      </c>
      <c r="Q43" s="340">
        <v>2</v>
      </c>
      <c r="R43" s="130">
        <v>0.9</v>
      </c>
      <c r="S43" s="130">
        <v>5.0000000000000001E-3</v>
      </c>
      <c r="T43" s="129">
        <f t="shared" si="27"/>
        <v>226.37</v>
      </c>
      <c r="U43" s="129">
        <f t="shared" si="22"/>
        <v>2.5769499675925922</v>
      </c>
      <c r="V43" s="129">
        <f>R99</f>
        <v>480.96</v>
      </c>
      <c r="W43" s="79">
        <f t="shared" si="23"/>
        <v>2.737575333333333</v>
      </c>
      <c r="X43" s="80">
        <f t="shared" si="24"/>
        <v>5.3145253009259257</v>
      </c>
      <c r="Z43" s="143" t="s">
        <v>82</v>
      </c>
      <c r="AA43" s="144">
        <f>+SUM(X70:X72)+X82-X81</f>
        <v>27.243291851851865</v>
      </c>
      <c r="AB43" s="155">
        <f>AA43</f>
        <v>27.243291851851865</v>
      </c>
      <c r="AC43" s="146"/>
      <c r="AD43" s="146"/>
      <c r="AE43" s="135">
        <f t="shared" si="25"/>
        <v>27.243291851851865</v>
      </c>
      <c r="AF43" s="135">
        <f>AA43-AE43</f>
        <v>0</v>
      </c>
      <c r="AL43" s="1">
        <v>199.69239449999998</v>
      </c>
    </row>
    <row r="44" spans="1:38" ht="14.25" customHeight="1" thickBot="1">
      <c r="A44" s="5"/>
      <c r="B44" s="163" t="s">
        <v>90</v>
      </c>
      <c r="C44" s="136" t="s">
        <v>222</v>
      </c>
      <c r="D44" s="137" t="s">
        <v>112</v>
      </c>
      <c r="E44" s="137" t="s">
        <v>224</v>
      </c>
      <c r="F44" s="326"/>
      <c r="G44" s="138">
        <v>1</v>
      </c>
      <c r="H44" s="139" t="s">
        <v>76</v>
      </c>
      <c r="I44" s="140">
        <v>5.0000000000000001E-3</v>
      </c>
      <c r="J44" s="141">
        <v>22.48</v>
      </c>
      <c r="K44" s="33">
        <f t="shared" ref="K44:K49" si="28">G44*(1+I44)*J44</f>
        <v>22.592399999999998</v>
      </c>
      <c r="L44" s="5"/>
      <c r="N44" s="164" t="s">
        <v>91</v>
      </c>
      <c r="O44" s="85"/>
      <c r="P44" s="341">
        <v>17.899999999999999</v>
      </c>
      <c r="Q44" s="340">
        <v>2</v>
      </c>
      <c r="R44" s="130">
        <v>0.9</v>
      </c>
      <c r="S44" s="130">
        <v>5.0000000000000001E-3</v>
      </c>
      <c r="T44" s="129">
        <f t="shared" si="27"/>
        <v>226.37</v>
      </c>
      <c r="U44" s="164">
        <f t="shared" si="22"/>
        <v>2.5137550092592589</v>
      </c>
      <c r="V44" s="129">
        <v>0</v>
      </c>
      <c r="W44" s="83">
        <f t="shared" si="23"/>
        <v>0</v>
      </c>
      <c r="X44" s="84">
        <f t="shared" si="24"/>
        <v>2.5137550092592589</v>
      </c>
      <c r="Z44" s="165" t="s">
        <v>65</v>
      </c>
      <c r="AA44" s="166">
        <f>SUM(AA40:AA43)</f>
        <v>115.57160891122226</v>
      </c>
      <c r="AB44" s="167">
        <f>SUM(AB40:AB43)</f>
        <v>115.57160891122226</v>
      </c>
      <c r="AC44" s="168">
        <f>SUM(AC40:AC43)</f>
        <v>0</v>
      </c>
      <c r="AD44" s="168">
        <f>SUM(AD40:AD43)</f>
        <v>0</v>
      </c>
      <c r="AE44" s="135">
        <f t="shared" si="25"/>
        <v>115.57160891122226</v>
      </c>
      <c r="AF44" s="135">
        <f>AA44-AE44</f>
        <v>0</v>
      </c>
      <c r="AL44" s="1">
        <v>38.642249999999997</v>
      </c>
    </row>
    <row r="45" spans="1:38" ht="14.25" customHeight="1">
      <c r="A45" s="5"/>
      <c r="B45" s="38"/>
      <c r="C45" s="136" t="s">
        <v>223</v>
      </c>
      <c r="D45" s="137" t="s">
        <v>112</v>
      </c>
      <c r="E45" s="137" t="s">
        <v>225</v>
      </c>
      <c r="F45" s="137"/>
      <c r="G45" s="138">
        <v>1</v>
      </c>
      <c r="H45" s="139" t="s">
        <v>76</v>
      </c>
      <c r="I45" s="140">
        <v>5.0000000000000001E-3</v>
      </c>
      <c r="J45" s="141">
        <v>39.200000000000003</v>
      </c>
      <c r="K45" s="80">
        <f t="shared" si="28"/>
        <v>39.396000000000001</v>
      </c>
      <c r="L45" s="5"/>
      <c r="N45" s="164" t="s">
        <v>92</v>
      </c>
      <c r="O45" s="85"/>
      <c r="P45" s="341">
        <v>21.4</v>
      </c>
      <c r="Q45" s="340">
        <v>2</v>
      </c>
      <c r="R45" s="130">
        <v>0.9</v>
      </c>
      <c r="S45" s="130">
        <v>5.0000000000000001E-3</v>
      </c>
      <c r="T45" s="129">
        <f t="shared" si="27"/>
        <v>226.37</v>
      </c>
      <c r="U45" s="164">
        <f t="shared" si="22"/>
        <v>3.0052713518518512</v>
      </c>
      <c r="V45" s="129">
        <v>0</v>
      </c>
      <c r="W45" s="83">
        <f t="shared" si="23"/>
        <v>0</v>
      </c>
      <c r="X45" s="84">
        <f t="shared" si="24"/>
        <v>3.0052713518518512</v>
      </c>
      <c r="Z45" s="131" t="s">
        <v>75</v>
      </c>
      <c r="AA45" s="132">
        <f>AA35+AA40</f>
        <v>72.467670973811181</v>
      </c>
      <c r="AB45" s="133">
        <f t="shared" ref="AB45:AD47" si="29">AB35+AB40</f>
        <v>72.467670973811181</v>
      </c>
      <c r="AC45" s="134">
        <f t="shared" si="29"/>
        <v>0</v>
      </c>
      <c r="AD45" s="134">
        <f t="shared" si="29"/>
        <v>0</v>
      </c>
      <c r="AE45" s="135">
        <f>SUM(AB45:AD45)</f>
        <v>72.467670973811181</v>
      </c>
      <c r="AF45" s="135">
        <f t="shared" si="26"/>
        <v>0</v>
      </c>
      <c r="AL45" s="1">
        <v>44.531549999999996</v>
      </c>
    </row>
    <row r="46" spans="1:38" ht="14.25" customHeight="1">
      <c r="A46" s="5"/>
      <c r="B46" s="169"/>
      <c r="C46" s="136" t="s">
        <v>264</v>
      </c>
      <c r="D46" s="139" t="s">
        <v>112</v>
      </c>
      <c r="E46" s="147" t="s">
        <v>253</v>
      </c>
      <c r="F46" s="139"/>
      <c r="G46" s="138">
        <v>1</v>
      </c>
      <c r="H46" s="139" t="s">
        <v>76</v>
      </c>
      <c r="I46" s="140">
        <v>5.0000000000000001E-3</v>
      </c>
      <c r="J46" s="141">
        <v>41.44</v>
      </c>
      <c r="K46" s="80">
        <f t="shared" si="28"/>
        <v>41.647199999999991</v>
      </c>
      <c r="L46" s="5"/>
      <c r="N46" s="171"/>
      <c r="O46" s="172"/>
      <c r="P46" s="159"/>
      <c r="Q46" s="159"/>
      <c r="R46" s="159"/>
      <c r="S46" s="159"/>
      <c r="T46" s="159"/>
      <c r="U46" s="159"/>
      <c r="V46" s="159"/>
      <c r="W46" s="160"/>
      <c r="X46" s="173"/>
      <c r="Z46" s="153" t="s">
        <v>78</v>
      </c>
      <c r="AA46" s="174">
        <f>AA36+AA41</f>
        <v>378.37014507592596</v>
      </c>
      <c r="AB46" s="145">
        <f t="shared" si="29"/>
        <v>29.40198507592595</v>
      </c>
      <c r="AC46" s="175">
        <f t="shared" si="29"/>
        <v>204.44915999999998</v>
      </c>
      <c r="AD46" s="175">
        <f t="shared" si="29"/>
        <v>144.51900000000001</v>
      </c>
      <c r="AE46" s="135">
        <f t="shared" si="25"/>
        <v>378.37014507592596</v>
      </c>
      <c r="AF46" s="135">
        <f t="shared" si="26"/>
        <v>0</v>
      </c>
      <c r="AL46" s="1">
        <v>25.828499999999998</v>
      </c>
    </row>
    <row r="47" spans="1:38" ht="14.25" customHeight="1" thickBot="1">
      <c r="A47" s="5"/>
      <c r="B47" s="176"/>
      <c r="C47" s="37" t="s">
        <v>263</v>
      </c>
      <c r="D47" s="137" t="s">
        <v>112</v>
      </c>
      <c r="E47" s="137" t="s">
        <v>254</v>
      </c>
      <c r="F47" s="137"/>
      <c r="G47" s="77">
        <v>1</v>
      </c>
      <c r="H47" s="42" t="s">
        <v>76</v>
      </c>
      <c r="I47" s="140">
        <v>5.0000000000000001E-3</v>
      </c>
      <c r="J47" s="170">
        <v>37.03</v>
      </c>
      <c r="K47" s="80">
        <f t="shared" si="28"/>
        <v>37.215149999999994</v>
      </c>
      <c r="L47" s="5"/>
      <c r="N47" s="177" t="s">
        <v>46</v>
      </c>
      <c r="O47" s="178"/>
      <c r="P47" s="61"/>
      <c r="Q47" s="61"/>
      <c r="R47" s="61"/>
      <c r="S47" s="61"/>
      <c r="T47" s="61"/>
      <c r="U47" s="61"/>
      <c r="V47" s="61"/>
      <c r="W47" s="179" t="s">
        <v>94</v>
      </c>
      <c r="X47" s="180">
        <f>SUM(X34:X46)</f>
        <v>29.401985075925921</v>
      </c>
      <c r="Z47" s="143" t="s">
        <v>80</v>
      </c>
      <c r="AA47" s="144">
        <f>AA37+AA42</f>
        <v>87.125717041777762</v>
      </c>
      <c r="AB47" s="145">
        <f t="shared" si="29"/>
        <v>24.423284641777776</v>
      </c>
      <c r="AC47" s="146">
        <f t="shared" si="29"/>
        <v>62.702432399999985</v>
      </c>
      <c r="AD47" s="146">
        <f t="shared" si="29"/>
        <v>0</v>
      </c>
      <c r="AE47" s="135">
        <f t="shared" si="25"/>
        <v>87.125717041777762</v>
      </c>
      <c r="AF47" s="135">
        <f t="shared" si="26"/>
        <v>0</v>
      </c>
      <c r="AL47" s="1">
        <v>25.828499999999998</v>
      </c>
    </row>
    <row r="48" spans="1:38" ht="14.25" customHeight="1">
      <c r="A48" s="5"/>
      <c r="B48" s="181"/>
      <c r="C48" s="37" t="s">
        <v>251</v>
      </c>
      <c r="D48" s="176" t="s">
        <v>93</v>
      </c>
      <c r="E48" s="137" t="s">
        <v>252</v>
      </c>
      <c r="F48" s="137"/>
      <c r="G48" s="77">
        <v>1</v>
      </c>
      <c r="H48" s="42" t="s">
        <v>76</v>
      </c>
      <c r="I48" s="140">
        <v>5.0000000000000001E-3</v>
      </c>
      <c r="J48" s="170">
        <v>50.13</v>
      </c>
      <c r="K48" s="80">
        <f t="shared" si="28"/>
        <v>50.380649999999996</v>
      </c>
      <c r="L48" s="5"/>
      <c r="N48" s="332"/>
      <c r="O48" s="333"/>
      <c r="P48" s="94"/>
      <c r="Q48" s="94"/>
      <c r="R48" s="94"/>
      <c r="S48" s="94"/>
      <c r="T48" s="94"/>
      <c r="U48" s="94"/>
      <c r="V48" s="94"/>
      <c r="W48" s="234"/>
      <c r="X48" s="334"/>
      <c r="Z48" s="143"/>
      <c r="AA48" s="144"/>
      <c r="AB48" s="183"/>
      <c r="AC48" s="146"/>
      <c r="AD48" s="146"/>
      <c r="AE48" s="135"/>
      <c r="AF48" s="135"/>
    </row>
    <row r="49" spans="1:38" ht="14.25" customHeight="1">
      <c r="A49" s="5"/>
      <c r="B49" s="181"/>
      <c r="C49" s="37" t="s">
        <v>206</v>
      </c>
      <c r="D49" s="176" t="s">
        <v>96</v>
      </c>
      <c r="E49" s="137" t="s">
        <v>95</v>
      </c>
      <c r="F49" s="325">
        <v>1.37E-2</v>
      </c>
      <c r="G49" s="77">
        <v>8</v>
      </c>
      <c r="H49" s="42" t="s">
        <v>76</v>
      </c>
      <c r="I49" s="140">
        <v>5.0000000000000001E-3</v>
      </c>
      <c r="J49" s="170">
        <f>F49/K4</f>
        <v>1.6440000000000001</v>
      </c>
      <c r="K49" s="80">
        <f t="shared" si="28"/>
        <v>13.21776</v>
      </c>
      <c r="L49" s="5"/>
      <c r="N49" s="332"/>
      <c r="O49" s="333"/>
      <c r="P49" s="94"/>
      <c r="Q49" s="94"/>
      <c r="R49" s="94"/>
      <c r="S49" s="94"/>
      <c r="T49" s="94"/>
      <c r="U49" s="94"/>
      <c r="V49" s="94"/>
      <c r="W49" s="234"/>
      <c r="X49" s="334"/>
      <c r="Z49" s="143"/>
      <c r="AA49" s="144"/>
      <c r="AB49" s="183"/>
      <c r="AC49" s="146"/>
      <c r="AD49" s="146"/>
      <c r="AE49" s="135"/>
      <c r="AF49" s="135"/>
    </row>
    <row r="50" spans="1:38" ht="14.25" customHeight="1">
      <c r="A50" s="5"/>
      <c r="B50" s="181"/>
      <c r="C50" s="37"/>
      <c r="D50" s="176"/>
      <c r="E50" s="137"/>
      <c r="F50" s="137"/>
      <c r="G50" s="77"/>
      <c r="H50" s="42"/>
      <c r="I50" s="140"/>
      <c r="J50" s="170"/>
      <c r="K50" s="80"/>
      <c r="L50" s="5"/>
      <c r="N50" s="332"/>
      <c r="O50" s="333"/>
      <c r="P50" s="94"/>
      <c r="Q50" s="94"/>
      <c r="R50" s="94"/>
      <c r="S50" s="94"/>
      <c r="T50" s="94"/>
      <c r="U50" s="94"/>
      <c r="V50" s="94"/>
      <c r="W50" s="234"/>
      <c r="X50" s="334"/>
      <c r="Z50" s="143"/>
      <c r="AA50" s="144"/>
      <c r="AB50" s="183"/>
      <c r="AC50" s="146"/>
      <c r="AD50" s="146"/>
      <c r="AE50" s="135"/>
      <c r="AF50" s="135"/>
    </row>
    <row r="51" spans="1:38" ht="14.25" customHeight="1">
      <c r="A51" s="5"/>
      <c r="B51" s="181"/>
      <c r="C51" s="37"/>
      <c r="D51" s="176"/>
      <c r="E51" s="137"/>
      <c r="F51" s="137"/>
      <c r="G51" s="77"/>
      <c r="H51" s="42"/>
      <c r="I51" s="140"/>
      <c r="J51" s="170"/>
      <c r="K51" s="80"/>
      <c r="L51" s="5"/>
      <c r="N51" s="332"/>
      <c r="O51" s="333"/>
      <c r="P51" s="94"/>
      <c r="Q51" s="94"/>
      <c r="R51" s="94"/>
      <c r="S51" s="94"/>
      <c r="T51" s="94"/>
      <c r="U51" s="94"/>
      <c r="V51" s="94"/>
      <c r="W51" s="234"/>
      <c r="X51" s="334"/>
      <c r="Z51" s="143"/>
      <c r="AA51" s="144"/>
      <c r="AB51" s="183"/>
      <c r="AC51" s="146"/>
      <c r="AD51" s="146"/>
      <c r="AE51" s="135"/>
      <c r="AF51" s="135"/>
    </row>
    <row r="52" spans="1:38" ht="14.25" customHeight="1">
      <c r="A52" s="5"/>
      <c r="B52" s="181"/>
      <c r="C52" s="37"/>
      <c r="D52" s="176"/>
      <c r="E52" s="137"/>
      <c r="F52" s="325"/>
      <c r="G52" s="77"/>
      <c r="H52" s="42"/>
      <c r="I52" s="140"/>
      <c r="J52" s="170"/>
      <c r="K52" s="80"/>
      <c r="L52" s="5"/>
      <c r="N52" s="332"/>
      <c r="O52" s="333"/>
      <c r="P52" s="94"/>
      <c r="Q52" s="94"/>
      <c r="R52" s="94"/>
      <c r="S52" s="94"/>
      <c r="T52" s="94"/>
      <c r="U52" s="94"/>
      <c r="V52" s="94"/>
      <c r="W52" s="234"/>
      <c r="X52" s="334"/>
      <c r="Z52" s="143"/>
      <c r="AA52" s="144"/>
      <c r="AB52" s="183"/>
      <c r="AC52" s="146"/>
      <c r="AD52" s="146"/>
      <c r="AE52" s="135"/>
      <c r="AF52" s="135"/>
    </row>
    <row r="53" spans="1:38" ht="14.25" customHeight="1">
      <c r="A53" s="5"/>
      <c r="B53" s="181"/>
      <c r="C53" s="37"/>
      <c r="D53" s="129"/>
      <c r="E53" s="42"/>
      <c r="F53" s="182"/>
      <c r="G53" s="77"/>
      <c r="H53" s="42"/>
      <c r="I53" s="41"/>
      <c r="J53" s="79"/>
      <c r="K53" s="80"/>
      <c r="L53" s="148"/>
      <c r="Z53" s="143" t="s">
        <v>82</v>
      </c>
      <c r="AA53" s="144">
        <f>AA38+AA43</f>
        <v>75.16728096367973</v>
      </c>
      <c r="AB53" s="183" t="e">
        <f>AB38+AB43</f>
        <v>#REF!</v>
      </c>
      <c r="AC53" s="146" t="e">
        <f>AC38+AC43</f>
        <v>#REF!</v>
      </c>
      <c r="AD53" s="146" t="e">
        <f>AD38+AD43</f>
        <v>#REF!</v>
      </c>
      <c r="AE53" s="135" t="e">
        <f t="shared" si="25"/>
        <v>#REF!</v>
      </c>
      <c r="AF53" s="135" t="e">
        <f t="shared" si="26"/>
        <v>#REF!</v>
      </c>
      <c r="AL53" s="1">
        <v>13.507199999999997</v>
      </c>
    </row>
    <row r="54" spans="1:38" ht="14.25" customHeight="1" thickBot="1">
      <c r="A54" s="5"/>
      <c r="B54" s="171"/>
      <c r="C54" s="159"/>
      <c r="D54" s="159"/>
      <c r="E54" s="159"/>
      <c r="F54" s="159"/>
      <c r="G54" s="159"/>
      <c r="H54" s="159"/>
      <c r="I54" s="159"/>
      <c r="J54" s="171"/>
      <c r="K54" s="184"/>
      <c r="N54" s="97" t="s">
        <v>97</v>
      </c>
      <c r="Z54" s="143" t="s">
        <v>37</v>
      </c>
      <c r="AA54" s="150">
        <f>SUM(AA45:AA53)</f>
        <v>613.13081405519461</v>
      </c>
      <c r="AB54" s="145" t="e">
        <f>SUM(AB45:AB53)</f>
        <v>#REF!</v>
      </c>
      <c r="AC54" s="146" t="e">
        <f>SUM(AC45:AC53)</f>
        <v>#REF!</v>
      </c>
      <c r="AD54" s="146" t="e">
        <f>SUM(AD45:AD53)</f>
        <v>#REF!</v>
      </c>
      <c r="AE54" s="135" t="e">
        <f t="shared" si="25"/>
        <v>#REF!</v>
      </c>
      <c r="AF54" s="135" t="e">
        <f t="shared" si="26"/>
        <v>#REF!</v>
      </c>
    </row>
    <row r="55" spans="1:38" ht="14.25" customHeight="1" thickBot="1">
      <c r="A55" s="5"/>
      <c r="B55" s="89" t="s">
        <v>46</v>
      </c>
      <c r="C55" s="185"/>
      <c r="D55" s="185"/>
      <c r="E55" s="186"/>
      <c r="F55" s="185"/>
      <c r="G55" s="185"/>
      <c r="H55" s="185"/>
      <c r="I55" s="185"/>
      <c r="J55" s="187" t="s">
        <v>98</v>
      </c>
      <c r="K55" s="188">
        <f>SUM(K44:K54)</f>
        <v>204.44915999999998</v>
      </c>
      <c r="L55" s="5"/>
      <c r="N55" s="108" t="s">
        <v>99</v>
      </c>
      <c r="O55" s="109"/>
      <c r="P55" s="110" t="s">
        <v>31</v>
      </c>
      <c r="Q55" s="110" t="s">
        <v>61</v>
      </c>
      <c r="R55" s="110" t="s">
        <v>62</v>
      </c>
      <c r="S55" s="110" t="s">
        <v>22</v>
      </c>
      <c r="T55" s="110" t="s">
        <v>63</v>
      </c>
      <c r="U55" s="110" t="s">
        <v>33</v>
      </c>
      <c r="V55" s="110" t="s">
        <v>64</v>
      </c>
      <c r="W55" s="110" t="s">
        <v>35</v>
      </c>
      <c r="X55" s="22" t="s">
        <v>65</v>
      </c>
      <c r="AA55" s="189"/>
      <c r="AL55" s="1">
        <v>148.33799999999997</v>
      </c>
    </row>
    <row r="56" spans="1:38" ht="14.25" customHeight="1">
      <c r="A56" s="5"/>
      <c r="L56" s="5"/>
      <c r="N56" s="129" t="s">
        <v>100</v>
      </c>
      <c r="O56" s="81"/>
      <c r="P56" s="129">
        <v>60</v>
      </c>
      <c r="Q56" s="129">
        <v>3</v>
      </c>
      <c r="R56" s="130">
        <v>0.75</v>
      </c>
      <c r="S56" s="130">
        <v>0.05</v>
      </c>
      <c r="T56" s="129">
        <f t="shared" ref="T56:T65" si="30">$Q$100</f>
        <v>304.55</v>
      </c>
      <c r="U56" s="129">
        <v>0</v>
      </c>
      <c r="V56" s="129">
        <v>0</v>
      </c>
      <c r="W56" s="129">
        <f t="shared" ref="W56:W65" si="31">P56/R56*(1+S56)*V56/3600</f>
        <v>0</v>
      </c>
      <c r="X56" s="80">
        <f t="shared" ref="X56:X64" si="32">U56+W56</f>
        <v>0</v>
      </c>
    </row>
    <row r="57" spans="1:38" ht="14.25" customHeight="1" thickBot="1">
      <c r="A57" s="5"/>
      <c r="B57" s="97" t="s">
        <v>101</v>
      </c>
      <c r="C57" s="5"/>
      <c r="D57" s="5"/>
      <c r="E57" s="102"/>
      <c r="F57" s="5"/>
      <c r="G57" s="5"/>
      <c r="H57" s="5"/>
      <c r="I57" s="5"/>
      <c r="J57" s="5"/>
      <c r="K57" s="5"/>
      <c r="L57" s="5"/>
      <c r="N57" s="129" t="s">
        <v>102</v>
      </c>
      <c r="O57" s="81"/>
      <c r="P57" s="340">
        <v>6.8819999999999997</v>
      </c>
      <c r="Q57" s="340">
        <v>1</v>
      </c>
      <c r="R57" s="130">
        <v>0.75</v>
      </c>
      <c r="S57" s="130">
        <v>5.0000000000000001E-3</v>
      </c>
      <c r="T57" s="129">
        <f t="shared" si="30"/>
        <v>304.55</v>
      </c>
      <c r="U57" s="129">
        <f t="shared" ref="U57:U65" si="33">P57*Q57/R57*(1+S57)*T57/3600</f>
        <v>0.78014543166666661</v>
      </c>
      <c r="V57" s="129">
        <f t="shared" ref="V57:V64" si="34">$R$100</f>
        <v>781.96</v>
      </c>
      <c r="W57" s="129">
        <f>P57/R57*(1+S57)*V57/3600</f>
        <v>2.003094801333333</v>
      </c>
      <c r="X57" s="80">
        <f t="shared" si="32"/>
        <v>2.7832402329999995</v>
      </c>
    </row>
    <row r="58" spans="1:38" ht="14.25" customHeight="1" thickBot="1">
      <c r="A58" s="5"/>
      <c r="B58" s="108" t="s">
        <v>54</v>
      </c>
      <c r="C58" s="190"/>
      <c r="D58" s="21" t="s">
        <v>17</v>
      </c>
      <c r="E58" s="21" t="s">
        <v>18</v>
      </c>
      <c r="F58" s="191" t="s">
        <v>55</v>
      </c>
      <c r="G58" s="21" t="s">
        <v>56</v>
      </c>
      <c r="H58" s="21" t="s">
        <v>57</v>
      </c>
      <c r="I58" s="21" t="s">
        <v>22</v>
      </c>
      <c r="J58" s="21" t="s">
        <v>50</v>
      </c>
      <c r="K58" s="22" t="s">
        <v>58</v>
      </c>
      <c r="L58" s="5"/>
      <c r="N58" s="129" t="s">
        <v>102</v>
      </c>
      <c r="O58" s="81"/>
      <c r="P58" s="340">
        <v>6.8819999999999997</v>
      </c>
      <c r="Q58" s="340">
        <v>1</v>
      </c>
      <c r="R58" s="130">
        <v>0.75</v>
      </c>
      <c r="S58" s="130">
        <v>5.0000000000000001E-3</v>
      </c>
      <c r="T58" s="129">
        <f t="shared" si="30"/>
        <v>304.55</v>
      </c>
      <c r="U58" s="129">
        <f t="shared" si="33"/>
        <v>0.78014543166666661</v>
      </c>
      <c r="V58" s="129">
        <f t="shared" si="34"/>
        <v>781.96</v>
      </c>
      <c r="W58" s="129">
        <f>P58/R58*(1+S58)*V58/3600</f>
        <v>2.003094801333333</v>
      </c>
      <c r="X58" s="80">
        <f t="shared" si="32"/>
        <v>2.7832402329999995</v>
      </c>
      <c r="AL58" s="1" t="s">
        <v>58</v>
      </c>
    </row>
    <row r="59" spans="1:38" ht="14.25" customHeight="1" thickTop="1" thickBot="1">
      <c r="A59" s="5"/>
      <c r="B59" s="192" t="s">
        <v>66</v>
      </c>
      <c r="C59" s="193" t="s">
        <v>103</v>
      </c>
      <c r="D59" s="194" t="s">
        <v>103</v>
      </c>
      <c r="E59" s="27" t="s">
        <v>43</v>
      </c>
      <c r="F59" s="194" t="s">
        <v>103</v>
      </c>
      <c r="G59" s="195" t="s">
        <v>103</v>
      </c>
      <c r="H59" s="32"/>
      <c r="I59" s="30"/>
      <c r="J59" s="194" t="s">
        <v>103</v>
      </c>
      <c r="K59" s="196" t="s">
        <v>103</v>
      </c>
      <c r="L59" s="5"/>
      <c r="M59" s="197"/>
      <c r="N59" s="129" t="s">
        <v>102</v>
      </c>
      <c r="O59" s="81"/>
      <c r="P59" s="340">
        <v>6.8819999999999997</v>
      </c>
      <c r="Q59" s="340">
        <v>1</v>
      </c>
      <c r="R59" s="130">
        <v>0.75</v>
      </c>
      <c r="S59" s="130">
        <v>5.0000000000000001E-3</v>
      </c>
      <c r="T59" s="129">
        <f t="shared" si="30"/>
        <v>304.55</v>
      </c>
      <c r="U59" s="129">
        <f t="shared" si="33"/>
        <v>0.78014543166666661</v>
      </c>
      <c r="V59" s="129">
        <f t="shared" si="34"/>
        <v>781.96</v>
      </c>
      <c r="W59" s="129">
        <f>P59/R59*(1+S59)*V59/3600</f>
        <v>2.003094801333333</v>
      </c>
      <c r="X59" s="80">
        <f t="shared" si="32"/>
        <v>2.7832402329999995</v>
      </c>
      <c r="AL59" s="1" t="s">
        <v>103</v>
      </c>
    </row>
    <row r="60" spans="1:38" ht="14.25" customHeight="1" thickBot="1">
      <c r="A60" s="5"/>
      <c r="B60" s="89" t="s">
        <v>46</v>
      </c>
      <c r="C60" s="61"/>
      <c r="D60" s="61"/>
      <c r="E60" s="62"/>
      <c r="F60" s="61"/>
      <c r="G60" s="61"/>
      <c r="H60" s="61"/>
      <c r="I60" s="198"/>
      <c r="J60" s="199" t="s">
        <v>104</v>
      </c>
      <c r="K60" s="91">
        <f>SUM(K59:K59)</f>
        <v>0</v>
      </c>
      <c r="M60" s="197"/>
      <c r="N60" s="129" t="s">
        <v>102</v>
      </c>
      <c r="O60" s="81"/>
      <c r="P60" s="340">
        <v>6.8819999999999997</v>
      </c>
      <c r="Q60" s="340">
        <v>1</v>
      </c>
      <c r="R60" s="130">
        <v>0.75</v>
      </c>
      <c r="S60" s="130">
        <v>5.0000000000000001E-3</v>
      </c>
      <c r="T60" s="129">
        <f t="shared" si="30"/>
        <v>304.55</v>
      </c>
      <c r="U60" s="129">
        <f t="shared" si="33"/>
        <v>0.78014543166666661</v>
      </c>
      <c r="V60" s="129">
        <f t="shared" si="34"/>
        <v>781.96</v>
      </c>
      <c r="W60" s="129">
        <f>P60/R60*(1+S60)*V60/3600</f>
        <v>2.003094801333333</v>
      </c>
      <c r="X60" s="80">
        <f t="shared" si="32"/>
        <v>2.7832402329999995</v>
      </c>
      <c r="AL60" s="1">
        <v>0</v>
      </c>
    </row>
    <row r="61" spans="1:38" ht="14.25" customHeight="1">
      <c r="A61" s="5"/>
      <c r="B61" s="200" t="s">
        <v>105</v>
      </c>
      <c r="C61" s="201"/>
      <c r="D61" s="139"/>
      <c r="E61" s="136"/>
      <c r="F61" s="139"/>
      <c r="G61" s="138"/>
      <c r="H61" s="202"/>
      <c r="I61" s="203"/>
      <c r="J61" s="202"/>
      <c r="K61" s="204">
        <f t="shared" ref="K61:K80" si="35">G61*(1+I61)*J61</f>
        <v>0</v>
      </c>
      <c r="L61" s="5"/>
      <c r="M61" s="197"/>
      <c r="N61" s="129" t="s">
        <v>102</v>
      </c>
      <c r="O61" s="81"/>
      <c r="P61" s="340">
        <v>6.8819999999999997</v>
      </c>
      <c r="Q61" s="340">
        <v>1</v>
      </c>
      <c r="R61" s="130">
        <v>0.75</v>
      </c>
      <c r="S61" s="130">
        <v>5.0000000000000001E-3</v>
      </c>
      <c r="T61" s="129">
        <f t="shared" si="30"/>
        <v>304.55</v>
      </c>
      <c r="U61" s="129">
        <f t="shared" si="33"/>
        <v>0.78014543166666661</v>
      </c>
      <c r="V61" s="129">
        <f t="shared" si="34"/>
        <v>781.96</v>
      </c>
      <c r="W61" s="129">
        <f t="shared" si="31"/>
        <v>2.003094801333333</v>
      </c>
      <c r="X61" s="80">
        <f t="shared" si="32"/>
        <v>2.7832402329999995</v>
      </c>
      <c r="AL61" s="1">
        <v>5.0652000000000008</v>
      </c>
    </row>
    <row r="62" spans="1:38" ht="14.25" customHeight="1">
      <c r="A62" s="5"/>
      <c r="B62" s="137"/>
      <c r="C62" s="201" t="s">
        <v>178</v>
      </c>
      <c r="D62" s="139"/>
      <c r="E62" s="136" t="s">
        <v>181</v>
      </c>
      <c r="F62" s="139"/>
      <c r="G62" s="138">
        <v>2</v>
      </c>
      <c r="H62" s="202" t="s">
        <v>67</v>
      </c>
      <c r="I62" s="203">
        <v>5.0000000000000001E-3</v>
      </c>
      <c r="J62" s="139">
        <v>2.14</v>
      </c>
      <c r="K62" s="142">
        <f t="shared" si="35"/>
        <v>4.3014000000000001</v>
      </c>
      <c r="L62" s="5"/>
      <c r="M62" s="197"/>
      <c r="N62" s="129" t="s">
        <v>102</v>
      </c>
      <c r="O62" s="81"/>
      <c r="P62" s="340">
        <v>6.8819999999999997</v>
      </c>
      <c r="Q62" s="340">
        <v>1</v>
      </c>
      <c r="R62" s="130">
        <v>0.75</v>
      </c>
      <c r="S62" s="130">
        <v>5.0000000000000001E-3</v>
      </c>
      <c r="T62" s="129">
        <f t="shared" si="30"/>
        <v>304.55</v>
      </c>
      <c r="U62" s="129">
        <f t="shared" si="33"/>
        <v>0.78014543166666661</v>
      </c>
      <c r="V62" s="129">
        <f t="shared" si="34"/>
        <v>781.96</v>
      </c>
      <c r="W62" s="129">
        <f t="shared" si="31"/>
        <v>2.003094801333333</v>
      </c>
      <c r="X62" s="80">
        <f t="shared" si="32"/>
        <v>2.7832402329999995</v>
      </c>
      <c r="AL62" s="1">
        <v>5.0652000000000008</v>
      </c>
    </row>
    <row r="63" spans="1:38" ht="14.25" customHeight="1">
      <c r="A63" s="5"/>
      <c r="B63" s="137"/>
      <c r="C63" s="210" t="s">
        <v>179</v>
      </c>
      <c r="D63" s="139"/>
      <c r="E63" s="211" t="s">
        <v>110</v>
      </c>
      <c r="F63" s="212"/>
      <c r="G63" s="138">
        <v>2</v>
      </c>
      <c r="H63" s="202" t="s">
        <v>67</v>
      </c>
      <c r="I63" s="203">
        <v>5.0000000000000001E-3</v>
      </c>
      <c r="J63" s="139">
        <v>5.25</v>
      </c>
      <c r="K63" s="142">
        <f>G63*(1+I63)*J63</f>
        <v>10.552499999999998</v>
      </c>
      <c r="L63" s="5"/>
      <c r="N63" s="129" t="s">
        <v>102</v>
      </c>
      <c r="O63" s="81"/>
      <c r="P63" s="340">
        <v>6.8819999999999997</v>
      </c>
      <c r="Q63" s="340">
        <v>1</v>
      </c>
      <c r="R63" s="130">
        <v>0.75</v>
      </c>
      <c r="S63" s="130">
        <v>5.0000000000000001E-3</v>
      </c>
      <c r="T63" s="129">
        <f t="shared" si="30"/>
        <v>304.55</v>
      </c>
      <c r="U63" s="129">
        <f t="shared" si="33"/>
        <v>0.78014543166666661</v>
      </c>
      <c r="V63" s="129">
        <f t="shared" si="34"/>
        <v>781.96</v>
      </c>
      <c r="W63" s="129">
        <f t="shared" si="31"/>
        <v>2.003094801333333</v>
      </c>
      <c r="X63" s="80">
        <f t="shared" si="32"/>
        <v>2.7832402329999995</v>
      </c>
      <c r="AL63" s="1">
        <v>6.0782400000000001</v>
      </c>
    </row>
    <row r="64" spans="1:38" ht="14.25" customHeight="1">
      <c r="A64" s="5"/>
      <c r="B64" s="137"/>
      <c r="C64" s="210" t="s">
        <v>180</v>
      </c>
      <c r="D64" s="139"/>
      <c r="E64" s="211" t="s">
        <v>182</v>
      </c>
      <c r="F64" s="212"/>
      <c r="G64" s="138">
        <v>1</v>
      </c>
      <c r="H64" s="202" t="s">
        <v>67</v>
      </c>
      <c r="I64" s="140">
        <v>5.0000000000000001E-3</v>
      </c>
      <c r="J64" s="139">
        <v>5.78</v>
      </c>
      <c r="K64" s="142">
        <f t="shared" si="35"/>
        <v>5.8088999999999995</v>
      </c>
      <c r="L64" s="5"/>
      <c r="N64" s="129" t="s">
        <v>102</v>
      </c>
      <c r="O64" s="81"/>
      <c r="P64" s="340">
        <v>6.8819999999999997</v>
      </c>
      <c r="Q64" s="340">
        <v>1</v>
      </c>
      <c r="R64" s="130">
        <v>0.75</v>
      </c>
      <c r="S64" s="130">
        <v>5.0000000000000001E-3</v>
      </c>
      <c r="T64" s="129">
        <f t="shared" si="30"/>
        <v>304.55</v>
      </c>
      <c r="U64" s="129">
        <f t="shared" si="33"/>
        <v>0.78014543166666661</v>
      </c>
      <c r="V64" s="129">
        <f t="shared" si="34"/>
        <v>781.96</v>
      </c>
      <c r="W64" s="129">
        <f t="shared" si="31"/>
        <v>2.003094801333333</v>
      </c>
      <c r="X64" s="80">
        <f t="shared" si="32"/>
        <v>2.7832402329999995</v>
      </c>
      <c r="AL64" s="1">
        <v>13.732319999999998</v>
      </c>
    </row>
    <row r="65" spans="1:38" ht="14.25" customHeight="1">
      <c r="A65" s="5"/>
      <c r="B65" s="137"/>
      <c r="C65" s="139" t="s">
        <v>183</v>
      </c>
      <c r="D65" s="139"/>
      <c r="E65" s="211" t="s">
        <v>184</v>
      </c>
      <c r="F65" s="139"/>
      <c r="G65" s="138">
        <v>1</v>
      </c>
      <c r="H65" s="202" t="s">
        <v>67</v>
      </c>
      <c r="I65" s="140">
        <v>5.0000000000000001E-3</v>
      </c>
      <c r="J65" s="139">
        <v>5.78</v>
      </c>
      <c r="K65" s="142">
        <f>G65*(1+I65)*J65</f>
        <v>5.8088999999999995</v>
      </c>
      <c r="L65" s="5"/>
      <c r="N65" s="171" t="s">
        <v>106</v>
      </c>
      <c r="O65" s="172"/>
      <c r="P65" s="205">
        <v>16</v>
      </c>
      <c r="Q65" s="205">
        <v>2</v>
      </c>
      <c r="R65" s="206">
        <v>0.75</v>
      </c>
      <c r="S65" s="207">
        <v>5.0000000000000001E-3</v>
      </c>
      <c r="T65" s="205">
        <f t="shared" si="30"/>
        <v>304.55</v>
      </c>
      <c r="U65" s="205">
        <f t="shared" si="33"/>
        <v>3.6275288888888886</v>
      </c>
      <c r="V65" s="205">
        <v>0</v>
      </c>
      <c r="W65" s="208">
        <f t="shared" si="31"/>
        <v>0</v>
      </c>
      <c r="X65" s="209">
        <v>2.1573627777777773</v>
      </c>
      <c r="AL65" s="1">
        <v>13.732319999999998</v>
      </c>
    </row>
    <row r="66" spans="1:38" ht="14.25" customHeight="1" thickBot="1">
      <c r="A66" s="5"/>
      <c r="B66" s="137"/>
      <c r="C66" s="139" t="s">
        <v>185</v>
      </c>
      <c r="D66" s="139"/>
      <c r="E66" s="136" t="s">
        <v>186</v>
      </c>
      <c r="F66" s="139"/>
      <c r="G66" s="138">
        <v>4</v>
      </c>
      <c r="H66" s="202" t="s">
        <v>67</v>
      </c>
      <c r="I66" s="140">
        <v>5.0000000000000001E-3</v>
      </c>
      <c r="J66" s="139">
        <v>3.64</v>
      </c>
      <c r="K66" s="142">
        <f t="shared" si="35"/>
        <v>14.6328</v>
      </c>
      <c r="L66" s="5"/>
      <c r="N66" s="177" t="s">
        <v>46</v>
      </c>
      <c r="O66" s="178"/>
      <c r="P66" s="61"/>
      <c r="Q66" s="61"/>
      <c r="R66" s="61"/>
      <c r="S66" s="61"/>
      <c r="T66" s="61"/>
      <c r="U66" s="61"/>
      <c r="V66" s="61"/>
      <c r="W66" s="179" t="s">
        <v>107</v>
      </c>
      <c r="X66" s="180">
        <f>SUM(X56:X65)</f>
        <v>24.423284641777776</v>
      </c>
      <c r="AL66" s="1">
        <v>4.5023999999999997</v>
      </c>
    </row>
    <row r="67" spans="1:38" ht="14.25" customHeight="1">
      <c r="A67" s="5"/>
      <c r="B67" s="137"/>
      <c r="C67" s="139" t="s">
        <v>226</v>
      </c>
      <c r="D67" s="139"/>
      <c r="E67" s="136" t="s">
        <v>228</v>
      </c>
      <c r="F67" s="139"/>
      <c r="G67" s="319">
        <v>0.158</v>
      </c>
      <c r="H67" s="139" t="s">
        <v>113</v>
      </c>
      <c r="I67" s="140">
        <v>5.0000000000000001E-3</v>
      </c>
      <c r="J67" s="139">
        <v>5.84</v>
      </c>
      <c r="K67" s="142">
        <f t="shared" si="35"/>
        <v>0.92733359999999987</v>
      </c>
      <c r="L67" s="5"/>
      <c r="AL67" s="1">
        <v>10.552499999999998</v>
      </c>
    </row>
    <row r="68" spans="1:38" ht="14.25" customHeight="1" thickBot="1">
      <c r="A68" s="5"/>
      <c r="B68" s="137"/>
      <c r="C68" s="139" t="s">
        <v>227</v>
      </c>
      <c r="D68" s="139"/>
      <c r="E68" s="136" t="s">
        <v>229</v>
      </c>
      <c r="F68" s="139"/>
      <c r="G68" s="319">
        <v>0.158</v>
      </c>
      <c r="H68" s="139" t="s">
        <v>113</v>
      </c>
      <c r="I68" s="140">
        <v>5.0000000000000001E-3</v>
      </c>
      <c r="J68" s="139">
        <v>5.84</v>
      </c>
      <c r="K68" s="142">
        <f t="shared" si="35"/>
        <v>0.92733359999999987</v>
      </c>
      <c r="L68" s="5"/>
      <c r="N68" s="97" t="s">
        <v>108</v>
      </c>
      <c r="O68" s="213"/>
      <c r="P68" s="185"/>
      <c r="Q68" s="185"/>
      <c r="R68" s="185"/>
      <c r="S68" s="185"/>
      <c r="T68" s="185"/>
      <c r="U68" s="185"/>
      <c r="V68" s="185"/>
      <c r="W68" s="185"/>
      <c r="X68" s="94"/>
      <c r="AL68" s="1">
        <v>3.4792697999999991</v>
      </c>
    </row>
    <row r="69" spans="1:38" ht="14.25" customHeight="1" thickBot="1">
      <c r="A69" s="5"/>
      <c r="B69" s="137"/>
      <c r="C69" s="139" t="s">
        <v>230</v>
      </c>
      <c r="D69" s="139"/>
      <c r="E69" s="136" t="s">
        <v>231</v>
      </c>
      <c r="F69" s="139"/>
      <c r="G69" s="214">
        <v>0.158</v>
      </c>
      <c r="H69" s="139" t="s">
        <v>113</v>
      </c>
      <c r="I69" s="140">
        <v>5.0000000000000001E-3</v>
      </c>
      <c r="J69" s="139">
        <v>5.84</v>
      </c>
      <c r="K69" s="142">
        <f t="shared" si="35"/>
        <v>0.92733359999999987</v>
      </c>
      <c r="L69" s="5"/>
      <c r="N69" s="108" t="s">
        <v>60</v>
      </c>
      <c r="O69" s="109"/>
      <c r="P69" s="110" t="s">
        <v>31</v>
      </c>
      <c r="Q69" s="110" t="s">
        <v>61</v>
      </c>
      <c r="R69" s="110" t="s">
        <v>62</v>
      </c>
      <c r="S69" s="110" t="s">
        <v>22</v>
      </c>
      <c r="T69" s="110" t="s">
        <v>63</v>
      </c>
      <c r="U69" s="110" t="s">
        <v>33</v>
      </c>
      <c r="V69" s="110" t="s">
        <v>64</v>
      </c>
      <c r="W69" s="110" t="s">
        <v>35</v>
      </c>
      <c r="X69" s="22" t="s">
        <v>65</v>
      </c>
      <c r="AL69" s="1">
        <v>3.4792697999999991</v>
      </c>
    </row>
    <row r="70" spans="1:38" ht="14.25" customHeight="1" thickTop="1">
      <c r="A70" s="5"/>
      <c r="B70" s="137"/>
      <c r="C70" s="139" t="s">
        <v>232</v>
      </c>
      <c r="D70" s="139"/>
      <c r="E70" s="136" t="s">
        <v>233</v>
      </c>
      <c r="F70" s="139"/>
      <c r="G70" s="214">
        <v>0.158</v>
      </c>
      <c r="H70" s="139" t="s">
        <v>113</v>
      </c>
      <c r="I70" s="140">
        <v>5.0000000000000001E-3</v>
      </c>
      <c r="J70" s="139">
        <v>5.84</v>
      </c>
      <c r="K70" s="142">
        <f t="shared" si="35"/>
        <v>0.92733359999999987</v>
      </c>
      <c r="L70" s="5"/>
      <c r="N70" s="129" t="s">
        <v>109</v>
      </c>
      <c r="O70" s="81"/>
      <c r="P70" s="340">
        <v>32</v>
      </c>
      <c r="Q70" s="340">
        <v>8</v>
      </c>
      <c r="R70" s="130">
        <v>0.9</v>
      </c>
      <c r="S70" s="130">
        <v>5.0000000000000001E-3</v>
      </c>
      <c r="T70" s="129">
        <f>$Q$101</f>
        <v>226.37</v>
      </c>
      <c r="U70" s="129">
        <f>P70*Q70/R70*(1+S70)*T70/3600</f>
        <v>17.975454814814817</v>
      </c>
      <c r="V70" s="129">
        <f>$R$101</f>
        <v>480.96</v>
      </c>
      <c r="W70" s="129">
        <f>P70/R70*(1+S70)*V70/3600</f>
        <v>4.7739733333333332</v>
      </c>
      <c r="X70" s="80">
        <f>U70+W70</f>
        <v>22.749428148148152</v>
      </c>
      <c r="AL70" s="1">
        <v>3.736539749999999</v>
      </c>
    </row>
    <row r="71" spans="1:38" ht="14.25" customHeight="1">
      <c r="A71" s="5"/>
      <c r="B71" s="137"/>
      <c r="C71" s="224" t="s">
        <v>234</v>
      </c>
      <c r="D71" s="224"/>
      <c r="E71" s="225" t="s">
        <v>235</v>
      </c>
      <c r="F71" s="224"/>
      <c r="G71" s="331">
        <f>77.5/1000</f>
        <v>7.7499999999999999E-2</v>
      </c>
      <c r="H71" s="139" t="s">
        <v>113</v>
      </c>
      <c r="I71" s="140">
        <v>5.0000000000000001E-3</v>
      </c>
      <c r="J71" s="139">
        <v>5.16</v>
      </c>
      <c r="K71" s="142">
        <f t="shared" si="35"/>
        <v>0.40189949999999991</v>
      </c>
      <c r="L71" s="5"/>
      <c r="N71" s="129" t="s">
        <v>111</v>
      </c>
      <c r="O71" s="81"/>
      <c r="P71" s="340">
        <v>32</v>
      </c>
      <c r="Q71" s="129">
        <v>1</v>
      </c>
      <c r="R71" s="130">
        <v>0.9</v>
      </c>
      <c r="S71" s="130">
        <f>S70</f>
        <v>5.0000000000000001E-3</v>
      </c>
      <c r="T71" s="129">
        <f>$Q$101</f>
        <v>226.37</v>
      </c>
      <c r="U71" s="129">
        <f>P71*Q71/R71*(1+S71)*T71/3600</f>
        <v>2.2469318518518522</v>
      </c>
      <c r="V71" s="129">
        <v>0</v>
      </c>
      <c r="W71" s="129">
        <f>P71/R71*(1+S71)*V71/3600</f>
        <v>0</v>
      </c>
      <c r="X71" s="80">
        <f>U71+W71</f>
        <v>2.2469318518518522</v>
      </c>
      <c r="AL71" s="1">
        <v>3.736539749999999</v>
      </c>
    </row>
    <row r="72" spans="1:38" ht="14.25" customHeight="1">
      <c r="A72" s="5"/>
      <c r="B72" s="137"/>
      <c r="C72" s="139" t="s">
        <v>236</v>
      </c>
      <c r="D72" s="139"/>
      <c r="E72" s="136" t="s">
        <v>237</v>
      </c>
      <c r="F72" s="139"/>
      <c r="G72" s="319">
        <f>77.5/1000</f>
        <v>7.7499999999999999E-2</v>
      </c>
      <c r="H72" s="139" t="s">
        <v>113</v>
      </c>
      <c r="I72" s="140">
        <v>5.0000000000000001E-3</v>
      </c>
      <c r="J72" s="139">
        <v>5.16</v>
      </c>
      <c r="K72" s="142">
        <f>G72*(1+I72)*J72</f>
        <v>0.40189949999999991</v>
      </c>
      <c r="L72" s="5"/>
      <c r="N72" s="164" t="s">
        <v>114</v>
      </c>
      <c r="O72" s="85"/>
      <c r="P72" s="340">
        <v>32</v>
      </c>
      <c r="Q72" s="129">
        <v>1</v>
      </c>
      <c r="R72" s="215">
        <v>0.9</v>
      </c>
      <c r="S72" s="215">
        <f>S71</f>
        <v>5.0000000000000001E-3</v>
      </c>
      <c r="T72" s="164">
        <f>$Q$101</f>
        <v>226.37</v>
      </c>
      <c r="U72" s="164">
        <f>P72*Q72/R72*(1+S72)*T72/3600</f>
        <v>2.2469318518518522</v>
      </c>
      <c r="V72" s="164">
        <v>0</v>
      </c>
      <c r="W72" s="164">
        <f>P72/R72*(1+S72)*V72/3600</f>
        <v>0</v>
      </c>
      <c r="X72" s="84">
        <f>U72+W72</f>
        <v>2.2469318518518522</v>
      </c>
      <c r="AA72" s="228"/>
      <c r="AL72" s="1">
        <v>2.8140000000000001</v>
      </c>
    </row>
    <row r="73" spans="1:38" ht="14.25" customHeight="1">
      <c r="A73" s="5"/>
      <c r="B73" s="137"/>
      <c r="C73" s="224" t="s">
        <v>238</v>
      </c>
      <c r="D73" s="224"/>
      <c r="E73" s="225" t="s">
        <v>240</v>
      </c>
      <c r="F73" s="224"/>
      <c r="G73" s="226">
        <f>77.5/1000</f>
        <v>7.7499999999999999E-2</v>
      </c>
      <c r="H73" s="139" t="s">
        <v>113</v>
      </c>
      <c r="I73" s="140">
        <v>5.0000000000000001E-3</v>
      </c>
      <c r="J73" s="229">
        <v>5.16</v>
      </c>
      <c r="K73" s="142">
        <f>G73*(1+I73)*J73</f>
        <v>0.40189949999999991</v>
      </c>
      <c r="L73" s="5"/>
      <c r="N73" s="176"/>
      <c r="O73" s="216"/>
      <c r="P73" s="137"/>
      <c r="Q73" s="137"/>
      <c r="R73" s="137"/>
      <c r="S73" s="137"/>
      <c r="T73" s="137"/>
      <c r="U73" s="137"/>
      <c r="V73" s="137"/>
      <c r="W73" s="217"/>
      <c r="X73" s="218"/>
      <c r="AL73" s="1">
        <v>3.9071376960000004</v>
      </c>
    </row>
    <row r="74" spans="1:38" ht="14.25" customHeight="1">
      <c r="A74" s="5"/>
      <c r="B74" s="137"/>
      <c r="C74" s="224" t="s">
        <v>239</v>
      </c>
      <c r="D74" s="224"/>
      <c r="E74" s="225" t="s">
        <v>241</v>
      </c>
      <c r="F74" s="224"/>
      <c r="G74" s="226">
        <f>77.5/1000</f>
        <v>7.7499999999999999E-2</v>
      </c>
      <c r="H74" s="202" t="s">
        <v>113</v>
      </c>
      <c r="I74" s="140">
        <v>5.0000000000000001E-3</v>
      </c>
      <c r="J74" s="232">
        <v>5.16</v>
      </c>
      <c r="K74" s="142">
        <f>G74*(1+I74)*J74</f>
        <v>0.40189949999999991</v>
      </c>
      <c r="L74" s="5"/>
      <c r="N74" s="219"/>
      <c r="O74" s="220"/>
      <c r="P74" s="221"/>
      <c r="Q74" s="221"/>
      <c r="R74" s="221"/>
      <c r="S74" s="221"/>
      <c r="T74" s="221"/>
      <c r="U74" s="221"/>
      <c r="V74" s="221"/>
      <c r="W74" s="222"/>
      <c r="X74" s="223"/>
      <c r="AL74" s="1">
        <v>20.898020249999998</v>
      </c>
    </row>
    <row r="75" spans="1:38" ht="14.25" customHeight="1" thickBot="1">
      <c r="A75" s="5"/>
      <c r="B75" s="137"/>
      <c r="C75" s="137" t="s">
        <v>242</v>
      </c>
      <c r="D75" s="137"/>
      <c r="E75" s="237" t="s">
        <v>243</v>
      </c>
      <c r="F75" s="137"/>
      <c r="G75" s="335">
        <v>4</v>
      </c>
      <c r="H75" s="32" t="s">
        <v>76</v>
      </c>
      <c r="I75" s="30">
        <v>5.0000000000000001E-3</v>
      </c>
      <c r="J75" s="32">
        <v>0.6</v>
      </c>
      <c r="K75" s="33">
        <f>G75*(1+I75)*J75</f>
        <v>2.4119999999999995</v>
      </c>
      <c r="L75" s="5"/>
      <c r="N75" s="177" t="s">
        <v>46</v>
      </c>
      <c r="O75" s="178"/>
      <c r="P75" s="227"/>
      <c r="Q75" s="227"/>
      <c r="R75" s="61"/>
      <c r="S75" s="61"/>
      <c r="T75" s="61"/>
      <c r="U75" s="61"/>
      <c r="V75" s="61"/>
      <c r="W75" s="162" t="s">
        <v>115</v>
      </c>
      <c r="X75" s="180">
        <f>+SUM(X70:X74)</f>
        <v>27.243291851851854</v>
      </c>
      <c r="AL75" s="1">
        <v>20.230649999999997</v>
      </c>
    </row>
    <row r="76" spans="1:38" ht="14.25" customHeight="1">
      <c r="A76" s="5"/>
      <c r="B76" s="137"/>
      <c r="C76" s="137" t="s">
        <v>244</v>
      </c>
      <c r="D76" s="137"/>
      <c r="E76" s="237" t="s">
        <v>245</v>
      </c>
      <c r="F76" s="137"/>
      <c r="G76" s="335">
        <v>1</v>
      </c>
      <c r="H76" s="32" t="s">
        <v>76</v>
      </c>
      <c r="I76" s="30">
        <v>5.0000000000000001E-3</v>
      </c>
      <c r="J76" s="42">
        <v>9.9</v>
      </c>
      <c r="K76" s="80">
        <f t="shared" si="35"/>
        <v>9.9494999999999987</v>
      </c>
      <c r="L76" s="5"/>
      <c r="AL76" s="1">
        <v>6.9947999999999988</v>
      </c>
    </row>
    <row r="77" spans="1:38" ht="14.25" customHeight="1" thickBot="1">
      <c r="A77" s="5"/>
      <c r="B77" s="137"/>
      <c r="C77" s="224" t="s">
        <v>202</v>
      </c>
      <c r="D77" s="224"/>
      <c r="E77" s="225" t="s">
        <v>203</v>
      </c>
      <c r="F77" s="224"/>
      <c r="G77" s="320">
        <v>2</v>
      </c>
      <c r="H77" s="139" t="s">
        <v>76</v>
      </c>
      <c r="I77" s="140">
        <v>5.0000000000000001E-3</v>
      </c>
      <c r="J77" s="139">
        <v>0.68</v>
      </c>
      <c r="K77" s="80">
        <f>G77*(1+I77)*J77</f>
        <v>1.3668</v>
      </c>
      <c r="L77" s="5"/>
      <c r="N77" s="230" t="s">
        <v>116</v>
      </c>
      <c r="O77" s="65"/>
      <c r="P77" s="65"/>
      <c r="Q77" s="65" t="s">
        <v>43</v>
      </c>
      <c r="R77" s="65" t="s">
        <v>117</v>
      </c>
      <c r="S77" s="65"/>
      <c r="T77" s="65"/>
      <c r="U77" s="65"/>
      <c r="V77" s="65"/>
      <c r="W77" s="65"/>
      <c r="X77" s="231">
        <f>K43+K55+X47</f>
        <v>378.37014507592596</v>
      </c>
      <c r="AL77" s="1">
        <v>0.41497454999999994</v>
      </c>
    </row>
    <row r="78" spans="1:38" ht="14.25" customHeight="1" thickBot="1">
      <c r="A78" s="5"/>
      <c r="B78" s="137"/>
      <c r="C78" s="137" t="s">
        <v>266</v>
      </c>
      <c r="D78" s="137"/>
      <c r="E78" s="237" t="s">
        <v>267</v>
      </c>
      <c r="F78" s="137"/>
      <c r="G78" s="320">
        <v>2</v>
      </c>
      <c r="H78" s="42" t="s">
        <v>76</v>
      </c>
      <c r="I78" s="140">
        <v>5.0000000000000001E-3</v>
      </c>
      <c r="J78" s="42">
        <v>1.27</v>
      </c>
      <c r="K78" s="80">
        <f>G78*(1+I78)*J78</f>
        <v>2.5526999999999997</v>
      </c>
      <c r="L78" s="5"/>
      <c r="N78" s="233" t="s">
        <v>118</v>
      </c>
      <c r="O78" s="94"/>
      <c r="P78" s="94"/>
      <c r="Q78" s="94"/>
      <c r="R78" s="94"/>
      <c r="S78" s="234" t="s">
        <v>119</v>
      </c>
      <c r="T78" s="235">
        <v>0</v>
      </c>
      <c r="U78" s="236" t="s">
        <v>120</v>
      </c>
      <c r="V78" s="94"/>
      <c r="W78" s="94"/>
      <c r="X78" s="93">
        <f>X77*(1+T78)</f>
        <v>378.37014507592596</v>
      </c>
      <c r="Z78" s="4"/>
      <c r="AA78" s="4"/>
      <c r="AB78" s="4"/>
      <c r="AC78" s="246"/>
      <c r="AL78" s="1">
        <v>0.41497454999999994</v>
      </c>
    </row>
    <row r="79" spans="1:38" ht="14.25" customHeight="1" thickBot="1">
      <c r="A79" s="5"/>
      <c r="B79" s="137"/>
      <c r="C79" s="137"/>
      <c r="D79" s="137"/>
      <c r="E79" s="237"/>
      <c r="F79" s="137"/>
      <c r="G79" s="320"/>
      <c r="H79" s="42"/>
      <c r="I79" s="140"/>
      <c r="J79" s="42"/>
      <c r="K79" s="80">
        <f t="shared" si="35"/>
        <v>0</v>
      </c>
      <c r="L79" s="118"/>
      <c r="M79" s="247"/>
      <c r="N79" s="230" t="s">
        <v>121</v>
      </c>
      <c r="O79" s="65"/>
      <c r="P79" s="65"/>
      <c r="Q79" s="65" t="s">
        <v>43</v>
      </c>
      <c r="R79" s="65" t="s">
        <v>122</v>
      </c>
      <c r="S79" s="65"/>
      <c r="T79" s="65"/>
      <c r="U79" s="65"/>
      <c r="V79" s="65"/>
      <c r="W79" s="65"/>
      <c r="X79" s="231">
        <f>+K60+K83+X66</f>
        <v>87.125717041777762</v>
      </c>
      <c r="AL79" s="1">
        <v>0.41497454999999994</v>
      </c>
    </row>
    <row r="80" spans="1:38" ht="14.25" customHeight="1" thickBot="1">
      <c r="A80" s="5"/>
      <c r="B80" s="137"/>
      <c r="C80" s="137"/>
      <c r="D80" s="137"/>
      <c r="E80" s="237"/>
      <c r="F80" s="137"/>
      <c r="G80" s="137"/>
      <c r="H80" s="42"/>
      <c r="I80" s="41"/>
      <c r="J80" s="42"/>
      <c r="K80" s="80">
        <f t="shared" si="35"/>
        <v>0</v>
      </c>
      <c r="L80" s="247"/>
      <c r="M80" s="247"/>
      <c r="N80" s="233" t="s">
        <v>123</v>
      </c>
      <c r="O80" s="94"/>
      <c r="P80" s="94"/>
      <c r="Q80" s="94"/>
      <c r="R80" s="94"/>
      <c r="S80" s="234" t="s">
        <v>119</v>
      </c>
      <c r="T80" s="235">
        <v>0</v>
      </c>
      <c r="U80" s="236" t="s">
        <v>120</v>
      </c>
      <c r="V80" s="94"/>
      <c r="W80" s="94"/>
      <c r="X80" s="93">
        <f>X79*(1+T80)</f>
        <v>87.125717041777762</v>
      </c>
      <c r="AL80" s="1">
        <v>0.41497454999999994</v>
      </c>
    </row>
    <row r="81" spans="1:38" ht="14.25" customHeight="1" thickBot="1">
      <c r="A81" s="5"/>
      <c r="B81" s="255"/>
      <c r="C81" s="255"/>
      <c r="D81" s="255"/>
      <c r="E81" s="255"/>
      <c r="F81" s="255"/>
      <c r="G81" s="255"/>
      <c r="H81" s="42"/>
      <c r="I81" s="41"/>
      <c r="J81" s="129"/>
      <c r="K81" s="80">
        <f>G81*(1+I81)*J81</f>
        <v>0</v>
      </c>
      <c r="L81" s="247"/>
      <c r="M81" s="247"/>
      <c r="N81" s="230" t="s">
        <v>124</v>
      </c>
      <c r="O81" s="230"/>
      <c r="P81" s="65"/>
      <c r="Q81" s="238"/>
      <c r="R81" s="238" t="s">
        <v>125</v>
      </c>
      <c r="S81" s="239"/>
      <c r="T81" s="240"/>
      <c r="U81" s="65"/>
      <c r="V81" s="65"/>
      <c r="W81" s="65"/>
      <c r="X81" s="32">
        <f>+K95+K109+SUM(X70:X72)</f>
        <v>147.63495193749088</v>
      </c>
      <c r="AL81" s="1">
        <v>0.30602249999999998</v>
      </c>
    </row>
    <row r="82" spans="1:38" ht="14.25" customHeight="1" thickBot="1">
      <c r="A82" s="5"/>
      <c r="B82" s="255"/>
      <c r="C82" s="159"/>
      <c r="D82" s="159"/>
      <c r="E82" s="159"/>
      <c r="F82" s="159"/>
      <c r="G82" s="159"/>
      <c r="H82" s="256"/>
      <c r="I82" s="256"/>
      <c r="J82" s="257"/>
      <c r="K82" s="258"/>
      <c r="L82" s="247"/>
      <c r="M82" s="247"/>
      <c r="N82" s="241" t="s">
        <v>126</v>
      </c>
      <c r="O82" s="242"/>
      <c r="P82" s="94"/>
      <c r="Q82" s="243"/>
      <c r="R82" s="94"/>
      <c r="S82" s="234" t="s">
        <v>127</v>
      </c>
      <c r="T82" s="244">
        <v>0</v>
      </c>
      <c r="U82" s="245" t="s">
        <v>120</v>
      </c>
      <c r="V82" s="94"/>
      <c r="W82" s="94"/>
      <c r="X82" s="93">
        <f>X81*(1+T82)</f>
        <v>147.63495193749088</v>
      </c>
    </row>
    <row r="83" spans="1:38" ht="14.25" customHeight="1" thickTop="1" thickBot="1">
      <c r="A83" s="5"/>
      <c r="B83" s="89" t="s">
        <v>46</v>
      </c>
      <c r="C83" s="61"/>
      <c r="D83" s="61"/>
      <c r="E83" s="62"/>
      <c r="F83" s="61"/>
      <c r="G83" s="61"/>
      <c r="H83" s="61"/>
      <c r="I83" s="61"/>
      <c r="J83" s="162" t="s">
        <v>130</v>
      </c>
      <c r="K83" s="93">
        <f>+SUM(K61:K82)</f>
        <v>62.702432399999985</v>
      </c>
      <c r="L83" s="5"/>
      <c r="N83" s="248" t="s">
        <v>128</v>
      </c>
      <c r="O83" s="249"/>
      <c r="P83" s="250"/>
      <c r="Q83" s="251"/>
      <c r="R83" s="250"/>
      <c r="S83" s="252"/>
      <c r="T83" s="253"/>
      <c r="U83" s="250"/>
      <c r="V83" s="250"/>
      <c r="W83" s="250"/>
      <c r="X83" s="254">
        <f>+X82+X80+X78</f>
        <v>613.13081405519461</v>
      </c>
      <c r="AL83" s="1">
        <v>129.97032774600007</v>
      </c>
    </row>
    <row r="84" spans="1:38" ht="14.25" customHeight="1" thickBot="1">
      <c r="A84" s="5"/>
      <c r="B84" s="259"/>
      <c r="C84" s="94"/>
      <c r="D84" s="94"/>
      <c r="E84" s="95"/>
      <c r="F84" s="94"/>
      <c r="G84" s="94"/>
      <c r="H84" s="94"/>
      <c r="I84" s="94"/>
      <c r="J84" s="234"/>
      <c r="K84" s="260"/>
      <c r="L84" s="5"/>
    </row>
    <row r="85" spans="1:38" ht="14.25" customHeight="1" thickTop="1" thickBot="1">
      <c r="A85" s="5"/>
      <c r="B85" s="97" t="s">
        <v>135</v>
      </c>
      <c r="C85" s="94"/>
      <c r="D85" s="94"/>
      <c r="E85" s="95"/>
      <c r="F85" s="94"/>
      <c r="G85" s="94"/>
      <c r="H85" s="94"/>
      <c r="I85" s="94"/>
      <c r="J85" s="234"/>
      <c r="K85" s="266"/>
      <c r="L85" s="5"/>
      <c r="N85" s="248" t="s">
        <v>129</v>
      </c>
      <c r="O85" s="249"/>
      <c r="P85" s="250"/>
      <c r="Q85" s="251"/>
      <c r="R85" s="250"/>
      <c r="S85" s="252"/>
      <c r="T85" s="253"/>
      <c r="U85" s="250"/>
      <c r="V85" s="250"/>
      <c r="W85" s="250"/>
      <c r="X85" s="254"/>
    </row>
    <row r="86" spans="1:38" ht="14.25" customHeight="1" thickBot="1">
      <c r="A86" s="5"/>
      <c r="B86" s="108" t="s">
        <v>54</v>
      </c>
      <c r="C86" s="190"/>
      <c r="D86" s="21" t="s">
        <v>17</v>
      </c>
      <c r="E86" s="21" t="s">
        <v>18</v>
      </c>
      <c r="F86" s="191" t="s">
        <v>55</v>
      </c>
      <c r="G86" s="21" t="s">
        <v>56</v>
      </c>
      <c r="H86" s="21" t="s">
        <v>57</v>
      </c>
      <c r="I86" s="21" t="s">
        <v>22</v>
      </c>
      <c r="J86" s="21" t="s">
        <v>50</v>
      </c>
      <c r="K86" s="22" t="s">
        <v>58</v>
      </c>
      <c r="AL86" s="1" t="s">
        <v>58</v>
      </c>
    </row>
    <row r="87" spans="1:38" ht="14.25" customHeight="1" thickTop="1">
      <c r="A87" s="5"/>
      <c r="B87" s="200" t="s">
        <v>66</v>
      </c>
      <c r="C87" s="24" t="str">
        <f t="shared" ref="C87:C93" si="36">B8</f>
        <v>TMR-033 Rotator</v>
      </c>
      <c r="D87" s="32" t="s">
        <v>70</v>
      </c>
      <c r="E87" s="32"/>
      <c r="F87" s="32" t="s">
        <v>43</v>
      </c>
      <c r="G87" s="70">
        <v>1</v>
      </c>
      <c r="H87" s="32" t="s">
        <v>67</v>
      </c>
      <c r="I87" s="30">
        <v>0.01</v>
      </c>
      <c r="J87" s="32">
        <f t="shared" ref="J87:J93" si="37">+X8+X17</f>
        <v>17.522357217097834</v>
      </c>
      <c r="K87" s="33">
        <f t="shared" ref="K87:K93" si="38">G87*(1+I87)*J87</f>
        <v>17.697580789268812</v>
      </c>
      <c r="L87" s="5"/>
      <c r="N87" s="5" t="s">
        <v>131</v>
      </c>
      <c r="O87" s="5"/>
      <c r="P87" s="5"/>
      <c r="Q87" s="5"/>
      <c r="R87" s="5"/>
      <c r="S87" s="4"/>
      <c r="T87" s="4"/>
      <c r="U87" s="4"/>
      <c r="V87" s="94"/>
      <c r="W87" s="94"/>
      <c r="X87" s="94"/>
      <c r="AL87" s="1">
        <v>24.933513269337695</v>
      </c>
    </row>
    <row r="88" spans="1:38" ht="14.25" customHeight="1">
      <c r="A88" s="5"/>
      <c r="B88" s="27"/>
      <c r="C88" s="24" t="str">
        <f t="shared" si="36"/>
        <v>TMR-033 Stator</v>
      </c>
      <c r="D88" s="32" t="s">
        <v>70</v>
      </c>
      <c r="E88" s="32"/>
      <c r="F88" s="32" t="s">
        <v>43</v>
      </c>
      <c r="G88" s="70">
        <v>1</v>
      </c>
      <c r="H88" s="32" t="s">
        <v>67</v>
      </c>
      <c r="I88" s="30">
        <v>0.01</v>
      </c>
      <c r="J88" s="32">
        <f t="shared" si="37"/>
        <v>21.311466535040889</v>
      </c>
      <c r="K88" s="33">
        <f t="shared" si="38"/>
        <v>21.5245812003913</v>
      </c>
      <c r="L88" s="5"/>
      <c r="M88" s="5"/>
      <c r="N88" s="261"/>
      <c r="O88" s="262"/>
      <c r="P88" s="262"/>
      <c r="Q88" s="262"/>
      <c r="R88" s="262"/>
      <c r="S88" s="263" t="s">
        <v>132</v>
      </c>
      <c r="T88" s="264" t="s">
        <v>132</v>
      </c>
      <c r="U88" s="264" t="s">
        <v>132</v>
      </c>
      <c r="V88" s="264" t="s">
        <v>133</v>
      </c>
      <c r="W88" s="264" t="s">
        <v>134</v>
      </c>
      <c r="X88" s="265" t="s">
        <v>134</v>
      </c>
      <c r="AL88" s="1">
        <v>17.98819011219641</v>
      </c>
    </row>
    <row r="89" spans="1:38" ht="14.25" customHeight="1">
      <c r="A89" s="5"/>
      <c r="B89" s="27"/>
      <c r="C89" s="24" t="str">
        <f t="shared" si="36"/>
        <v>TMR-027 Substator</v>
      </c>
      <c r="D89" s="32" t="s">
        <v>70</v>
      </c>
      <c r="E89" s="32"/>
      <c r="F89" s="32" t="s">
        <v>43</v>
      </c>
      <c r="G89" s="70">
        <v>1</v>
      </c>
      <c r="H89" s="32" t="s">
        <v>67</v>
      </c>
      <c r="I89" s="30">
        <v>0.01</v>
      </c>
      <c r="J89" s="32">
        <f t="shared" si="37"/>
        <v>15.308167449790222</v>
      </c>
      <c r="K89" s="33">
        <f t="shared" si="38"/>
        <v>15.461249124288125</v>
      </c>
      <c r="L89" s="5"/>
      <c r="M89" s="5"/>
      <c r="N89" s="219"/>
      <c r="O89" s="267"/>
      <c r="P89" s="267"/>
      <c r="Q89" s="267"/>
      <c r="R89" s="267"/>
      <c r="S89" s="268" t="s">
        <v>136</v>
      </c>
      <c r="T89" s="269" t="s">
        <v>175</v>
      </c>
      <c r="U89" s="269" t="s">
        <v>137</v>
      </c>
      <c r="V89" s="270" t="s">
        <v>138</v>
      </c>
      <c r="W89" s="269" t="s">
        <v>139</v>
      </c>
      <c r="X89" s="271" t="s">
        <v>140</v>
      </c>
      <c r="AL89" s="1">
        <v>25.722269101850237</v>
      </c>
    </row>
    <row r="90" spans="1:38" ht="14.25" customHeight="1">
      <c r="A90" s="5"/>
      <c r="B90" s="27"/>
      <c r="C90" s="24" t="str">
        <f t="shared" si="36"/>
        <v>TMR-027 Sleeve</v>
      </c>
      <c r="D90" s="32" t="s">
        <v>70</v>
      </c>
      <c r="E90" s="32"/>
      <c r="F90" s="32"/>
      <c r="G90" s="70">
        <v>1</v>
      </c>
      <c r="H90" s="32" t="s">
        <v>67</v>
      </c>
      <c r="I90" s="30">
        <v>0.01</v>
      </c>
      <c r="J90" s="32">
        <f t="shared" si="37"/>
        <v>11.021998954395</v>
      </c>
      <c r="K90" s="33">
        <f t="shared" si="38"/>
        <v>11.13221894393895</v>
      </c>
      <c r="L90" s="5"/>
      <c r="M90" s="5"/>
      <c r="N90" s="261" t="s">
        <v>141</v>
      </c>
      <c r="O90" s="262"/>
      <c r="P90" s="262"/>
      <c r="Q90" s="262"/>
      <c r="R90" s="262"/>
      <c r="S90" s="272">
        <v>52</v>
      </c>
      <c r="T90" s="273">
        <v>52</v>
      </c>
      <c r="U90" s="273">
        <v>52</v>
      </c>
      <c r="V90" s="273">
        <v>52</v>
      </c>
      <c r="W90" s="273">
        <v>52</v>
      </c>
      <c r="X90" s="274">
        <v>52</v>
      </c>
      <c r="AL90" s="1">
        <v>12.837292329193309</v>
      </c>
    </row>
    <row r="91" spans="1:38" ht="14.25" customHeight="1">
      <c r="A91" s="5"/>
      <c r="B91" s="42"/>
      <c r="C91" s="24" t="str">
        <f t="shared" si="36"/>
        <v>TMR-033 MOLD HOLDER 1</v>
      </c>
      <c r="D91" s="32" t="s">
        <v>70</v>
      </c>
      <c r="E91" s="42"/>
      <c r="F91" s="42"/>
      <c r="G91" s="70">
        <v>1</v>
      </c>
      <c r="H91" s="32" t="s">
        <v>67</v>
      </c>
      <c r="I91" s="30">
        <v>0.01</v>
      </c>
      <c r="J91" s="32">
        <f t="shared" si="37"/>
        <v>1.5195025561967779</v>
      </c>
      <c r="K91" s="33">
        <f t="shared" si="38"/>
        <v>1.5346975817587456</v>
      </c>
      <c r="L91" s="5"/>
      <c r="M91" s="5"/>
      <c r="N91" s="176" t="s">
        <v>142</v>
      </c>
      <c r="O91" s="275"/>
      <c r="P91" s="275"/>
      <c r="Q91" s="275"/>
      <c r="R91" s="275"/>
      <c r="S91" s="276">
        <f>1.98*K3</f>
        <v>237.6</v>
      </c>
      <c r="T91" s="277">
        <v>345.5</v>
      </c>
      <c r="U91" s="277">
        <f>3.98*K3</f>
        <v>477.6</v>
      </c>
      <c r="V91" s="277">
        <f>2.9*K3</f>
        <v>348</v>
      </c>
      <c r="W91" s="277">
        <f>610</f>
        <v>610</v>
      </c>
      <c r="X91" s="278">
        <f>465*1.1</f>
        <v>511.50000000000006</v>
      </c>
      <c r="AL91" s="1">
        <v>2.517065718688178</v>
      </c>
    </row>
    <row r="92" spans="1:38" ht="14.25" customHeight="1">
      <c r="A92" s="5"/>
      <c r="B92" s="137"/>
      <c r="C92" s="24" t="str">
        <f t="shared" si="36"/>
        <v>TMR-027 MOLD HOLDER 2</v>
      </c>
      <c r="D92" s="32" t="s">
        <v>70</v>
      </c>
      <c r="E92" s="137"/>
      <c r="F92" s="137"/>
      <c r="G92" s="70">
        <v>1</v>
      </c>
      <c r="H92" s="32" t="s">
        <v>67</v>
      </c>
      <c r="I92" s="30">
        <v>0.01</v>
      </c>
      <c r="J92" s="32">
        <f t="shared" si="37"/>
        <v>2.5948268846704443</v>
      </c>
      <c r="K92" s="33">
        <f t="shared" si="38"/>
        <v>2.6207751535171488</v>
      </c>
      <c r="L92" s="5"/>
      <c r="M92" s="5"/>
      <c r="N92" s="176" t="s">
        <v>143</v>
      </c>
      <c r="O92" s="275"/>
      <c r="P92" s="275"/>
      <c r="Q92" s="275"/>
      <c r="R92" s="275"/>
      <c r="S92" s="279">
        <v>0.15</v>
      </c>
      <c r="T92" s="280">
        <v>0</v>
      </c>
      <c r="U92" s="280">
        <v>0</v>
      </c>
      <c r="V92" s="280">
        <v>0.2</v>
      </c>
      <c r="W92" s="280">
        <v>0.1</v>
      </c>
      <c r="X92" s="281">
        <v>0.1</v>
      </c>
      <c r="AL92" s="1">
        <v>1.88045120665072</v>
      </c>
    </row>
    <row r="93" spans="1:38" ht="14.25" customHeight="1">
      <c r="A93" s="5"/>
      <c r="B93" s="255"/>
      <c r="C93" s="24" t="str">
        <f t="shared" si="36"/>
        <v>TMR-033 STATOR HOUSING 1</v>
      </c>
      <c r="D93" s="32" t="s">
        <v>70</v>
      </c>
      <c r="E93" s="255"/>
      <c r="F93" s="255"/>
      <c r="G93" s="70">
        <v>1</v>
      </c>
      <c r="H93" s="32" t="s">
        <v>67</v>
      </c>
      <c r="I93" s="30">
        <v>0.01</v>
      </c>
      <c r="J93" s="32">
        <f t="shared" si="37"/>
        <v>3.1893513766199995</v>
      </c>
      <c r="K93" s="33">
        <f t="shared" si="38"/>
        <v>3.2212448903861994</v>
      </c>
      <c r="L93" s="5"/>
      <c r="M93" s="5"/>
      <c r="N93" s="354" t="s">
        <v>144</v>
      </c>
      <c r="O93" s="355"/>
      <c r="P93" s="355"/>
      <c r="Q93" s="355"/>
      <c r="R93" s="356"/>
      <c r="S93" s="282">
        <f t="shared" ref="S93:X93" si="39">S90*S92+S91*(1-S92)</f>
        <v>209.76</v>
      </c>
      <c r="T93" s="283">
        <f t="shared" si="39"/>
        <v>345.5</v>
      </c>
      <c r="U93" s="283">
        <f t="shared" si="39"/>
        <v>477.6</v>
      </c>
      <c r="V93" s="283">
        <f t="shared" si="39"/>
        <v>288.8</v>
      </c>
      <c r="W93" s="283">
        <f t="shared" si="39"/>
        <v>554.20000000000005</v>
      </c>
      <c r="X93" s="284">
        <f t="shared" si="39"/>
        <v>465.55000000000007</v>
      </c>
      <c r="AL93" s="1">
        <v>4.338601867466668</v>
      </c>
    </row>
    <row r="94" spans="1:38" ht="14.25" customHeight="1">
      <c r="A94" s="5"/>
      <c r="B94" s="159"/>
      <c r="C94" s="293"/>
      <c r="D94" s="159"/>
      <c r="E94" s="159"/>
      <c r="F94" s="159"/>
      <c r="G94" s="87"/>
      <c r="H94" s="56"/>
      <c r="I94" s="54"/>
      <c r="J94" s="294"/>
      <c r="K94" s="295"/>
      <c r="L94" s="5"/>
      <c r="S94" s="1" t="s">
        <v>145</v>
      </c>
      <c r="T94" s="1" t="s">
        <v>146</v>
      </c>
      <c r="U94" s="1" t="s">
        <v>147</v>
      </c>
      <c r="V94" s="1" t="s">
        <v>148</v>
      </c>
      <c r="W94" s="1" t="s">
        <v>149</v>
      </c>
      <c r="AL94" s="1">
        <v>2.6504025042615287</v>
      </c>
    </row>
    <row r="95" spans="1:38" ht="14.25" customHeight="1" thickBot="1">
      <c r="B95" s="298" t="s">
        <v>46</v>
      </c>
      <c r="C95" s="185"/>
      <c r="D95" s="299"/>
      <c r="E95" s="186"/>
      <c r="F95" s="185"/>
      <c r="G95" s="185"/>
      <c r="H95" s="185"/>
      <c r="I95" s="300"/>
      <c r="J95" s="301" t="s">
        <v>155</v>
      </c>
      <c r="K95" s="188">
        <f>SUM(K87:K94)</f>
        <v>73.192347683549272</v>
      </c>
      <c r="L95" s="5" t="s">
        <v>156</v>
      </c>
      <c r="N95" s="5" t="s">
        <v>150</v>
      </c>
      <c r="AL95" s="1">
        <v>92.86778610964474</v>
      </c>
    </row>
    <row r="96" spans="1:38" ht="14.25" customHeight="1">
      <c r="B96" s="200" t="s">
        <v>90</v>
      </c>
      <c r="C96" s="32"/>
      <c r="D96" s="32"/>
      <c r="E96" s="32"/>
      <c r="F96" s="302"/>
      <c r="G96" s="70"/>
      <c r="H96" s="32"/>
      <c r="I96" s="30"/>
      <c r="J96" s="303"/>
      <c r="K96" s="33">
        <f t="shared" ref="K96:K106" si="40">G96*(1+I96)*J96</f>
        <v>0</v>
      </c>
      <c r="L96" s="1" t="s">
        <v>158</v>
      </c>
      <c r="N96" s="285"/>
      <c r="O96" s="227"/>
      <c r="P96" s="286"/>
      <c r="Q96" s="287" t="s">
        <v>151</v>
      </c>
      <c r="R96" s="288" t="s">
        <v>152</v>
      </c>
      <c r="AL96" s="1">
        <v>8.6900399999999998</v>
      </c>
    </row>
    <row r="97" spans="2:38" ht="14.25" customHeight="1">
      <c r="B97" s="164"/>
      <c r="C97" s="32" t="s">
        <v>189</v>
      </c>
      <c r="D97" s="32" t="s">
        <v>192</v>
      </c>
      <c r="E97" s="32" t="s">
        <v>168</v>
      </c>
      <c r="F97" s="313">
        <v>380</v>
      </c>
      <c r="G97" s="321">
        <v>5.0000000000000002E-5</v>
      </c>
      <c r="H97" s="32" t="s">
        <v>76</v>
      </c>
      <c r="I97" s="30">
        <v>0.01</v>
      </c>
      <c r="J97" s="303">
        <f>F97/K5</f>
        <v>809.3716719914803</v>
      </c>
      <c r="K97" s="33">
        <f t="shared" si="40"/>
        <v>4.0873269435569758E-2</v>
      </c>
      <c r="L97" s="5"/>
      <c r="N97" s="289" t="s">
        <v>153</v>
      </c>
      <c r="O97" s="290"/>
      <c r="P97" s="290"/>
      <c r="Q97" s="291">
        <v>212.71199999999999</v>
      </c>
      <c r="R97" s="292">
        <f>422.98*1.2+50</f>
        <v>557.57600000000002</v>
      </c>
      <c r="AL97" s="1">
        <v>7.7325599999999994</v>
      </c>
    </row>
    <row r="98" spans="2:38" ht="14.25" customHeight="1">
      <c r="B98" s="164"/>
      <c r="C98" s="32" t="s">
        <v>190</v>
      </c>
      <c r="D98" s="32" t="s">
        <v>162</v>
      </c>
      <c r="E98" s="32" t="s">
        <v>194</v>
      </c>
      <c r="F98" s="307"/>
      <c r="G98" s="70">
        <v>1</v>
      </c>
      <c r="H98" s="32" t="s">
        <v>67</v>
      </c>
      <c r="I98" s="30">
        <v>0.01</v>
      </c>
      <c r="J98" s="303">
        <v>0.23899999999999999</v>
      </c>
      <c r="K98" s="33">
        <f t="shared" si="40"/>
        <v>0.24138999999999999</v>
      </c>
      <c r="L98" s="1" t="s">
        <v>163</v>
      </c>
      <c r="N98" s="176" t="s">
        <v>154</v>
      </c>
      <c r="O98" s="275"/>
      <c r="P98" s="275"/>
      <c r="Q98" s="296">
        <v>139.22399999999999</v>
      </c>
      <c r="R98" s="297">
        <v>12.431999999999999</v>
      </c>
      <c r="AL98" s="1">
        <v>1.7978000000000001</v>
      </c>
    </row>
    <row r="99" spans="2:38">
      <c r="B99" s="164"/>
      <c r="C99" s="37" t="s">
        <v>191</v>
      </c>
      <c r="D99" s="42" t="s">
        <v>193</v>
      </c>
      <c r="E99" s="88" t="s">
        <v>195</v>
      </c>
      <c r="F99" s="322">
        <v>3.28</v>
      </c>
      <c r="G99" s="77">
        <v>6.6666666666666671E-3</v>
      </c>
      <c r="H99" s="42" t="s">
        <v>201</v>
      </c>
      <c r="I99" s="41">
        <v>0.01</v>
      </c>
      <c r="J99" s="303">
        <f>F99/K4</f>
        <v>393.59999999999997</v>
      </c>
      <c r="K99" s="33">
        <f t="shared" si="40"/>
        <v>2.6502400000000002</v>
      </c>
      <c r="L99" s="1" t="s">
        <v>163</v>
      </c>
      <c r="N99" s="176" t="s">
        <v>157</v>
      </c>
      <c r="O99" s="275"/>
      <c r="P99" s="275"/>
      <c r="Q99" s="296">
        <v>226.37</v>
      </c>
      <c r="R99" s="297">
        <v>480.96</v>
      </c>
      <c r="AL99" s="1">
        <v>0.2525</v>
      </c>
    </row>
    <row r="100" spans="2:38">
      <c r="B100" s="164"/>
      <c r="C100" s="202" t="s">
        <v>188</v>
      </c>
      <c r="D100" s="42" t="s">
        <v>112</v>
      </c>
      <c r="E100" s="88" t="s">
        <v>166</v>
      </c>
      <c r="F100" s="307"/>
      <c r="G100" s="77">
        <v>1.85941</v>
      </c>
      <c r="H100" s="202" t="s">
        <v>167</v>
      </c>
      <c r="I100" s="203">
        <v>0.03</v>
      </c>
      <c r="J100" s="303">
        <f>55182.57/16000</f>
        <v>3.4489106249999999</v>
      </c>
      <c r="K100" s="33">
        <f>G100*(1+I100)*J100</f>
        <v>6.6053270723881869</v>
      </c>
      <c r="N100" s="176" t="s">
        <v>159</v>
      </c>
      <c r="O100" s="275"/>
      <c r="P100" s="275"/>
      <c r="Q100" s="296">
        <v>304.55</v>
      </c>
      <c r="R100" s="297">
        <v>781.96</v>
      </c>
      <c r="AL100" s="1">
        <v>5.5414000000000003</v>
      </c>
    </row>
    <row r="101" spans="2:38">
      <c r="B101" s="164"/>
      <c r="C101" s="37" t="s">
        <v>187</v>
      </c>
      <c r="D101" s="42" t="s">
        <v>198</v>
      </c>
      <c r="E101" s="42" t="s">
        <v>166</v>
      </c>
      <c r="F101" s="302">
        <v>3.2689999999999997E-2</v>
      </c>
      <c r="G101" s="77">
        <f>1.85+0.06+0.09</f>
        <v>2</v>
      </c>
      <c r="H101" s="42" t="s">
        <v>76</v>
      </c>
      <c r="I101" s="30">
        <v>0.01</v>
      </c>
      <c r="J101" s="312">
        <f>F101/K4</f>
        <v>3.9227999999999996</v>
      </c>
      <c r="K101" s="33">
        <f>G101*(1+I101)*J101</f>
        <v>7.9240559999999993</v>
      </c>
      <c r="N101" s="171" t="s">
        <v>160</v>
      </c>
      <c r="O101" s="304"/>
      <c r="P101" s="304"/>
      <c r="Q101" s="305">
        <v>226.37</v>
      </c>
      <c r="R101" s="306">
        <v>480.96</v>
      </c>
      <c r="S101" s="1" t="s">
        <v>161</v>
      </c>
      <c r="AL101" s="1">
        <v>1.236</v>
      </c>
    </row>
    <row r="102" spans="2:38">
      <c r="B102" s="164"/>
      <c r="C102" s="202" t="s">
        <v>220</v>
      </c>
      <c r="D102" s="42" t="s">
        <v>112</v>
      </c>
      <c r="E102" s="88" t="s">
        <v>221</v>
      </c>
      <c r="F102" s="322"/>
      <c r="G102" s="70">
        <v>1</v>
      </c>
      <c r="H102" s="202" t="s">
        <v>67</v>
      </c>
      <c r="I102" s="41">
        <v>0.01</v>
      </c>
      <c r="J102" s="303">
        <v>14</v>
      </c>
      <c r="K102" s="33">
        <f t="shared" si="40"/>
        <v>14.14</v>
      </c>
      <c r="AL102" s="1">
        <v>10.180800000000001</v>
      </c>
    </row>
    <row r="103" spans="2:38" ht="15" customHeight="1">
      <c r="B103" s="164"/>
      <c r="C103" s="129" t="s">
        <v>246</v>
      </c>
      <c r="D103" s="42" t="s">
        <v>112</v>
      </c>
      <c r="E103" s="88" t="s">
        <v>247</v>
      </c>
      <c r="F103" s="302"/>
      <c r="G103" s="77">
        <v>5.0299999999999997E-3</v>
      </c>
      <c r="H103" s="42" t="s">
        <v>167</v>
      </c>
      <c r="I103" s="41">
        <v>0.03</v>
      </c>
      <c r="J103" s="303">
        <f>10993.48/2000</f>
        <v>5.49674</v>
      </c>
      <c r="K103" s="33">
        <f>G103*(1+I103)*J103</f>
        <v>2.8478060265999996E-2</v>
      </c>
      <c r="N103" s="5" t="s">
        <v>164</v>
      </c>
      <c r="Q103" s="309">
        <v>12</v>
      </c>
      <c r="R103" s="310" t="s">
        <v>165</v>
      </c>
      <c r="AL103" s="1">
        <v>3.3936000000000002</v>
      </c>
    </row>
    <row r="104" spans="2:38">
      <c r="B104" s="164"/>
      <c r="C104" s="37" t="s">
        <v>199</v>
      </c>
      <c r="D104" s="42" t="s">
        <v>112</v>
      </c>
      <c r="E104" s="42" t="s">
        <v>200</v>
      </c>
      <c r="F104" s="302"/>
      <c r="G104" s="70">
        <v>1</v>
      </c>
      <c r="H104" s="32" t="s">
        <v>76</v>
      </c>
      <c r="I104" s="30">
        <v>0.01</v>
      </c>
      <c r="J104" s="303">
        <v>5</v>
      </c>
      <c r="K104" s="33">
        <f t="shared" si="40"/>
        <v>5.05</v>
      </c>
      <c r="L104" s="1">
        <v>440.83200000000005</v>
      </c>
      <c r="M104" s="311"/>
      <c r="AL104" s="1">
        <v>1.0117679040000001</v>
      </c>
    </row>
    <row r="105" spans="2:38">
      <c r="B105" s="164"/>
      <c r="C105" s="32" t="s">
        <v>248</v>
      </c>
      <c r="D105" s="202" t="s">
        <v>197</v>
      </c>
      <c r="E105" s="315" t="s">
        <v>265</v>
      </c>
      <c r="F105" s="316">
        <v>6.5799999999999997E-2</v>
      </c>
      <c r="G105" s="70">
        <v>1</v>
      </c>
      <c r="H105" s="32" t="s">
        <v>76</v>
      </c>
      <c r="I105" s="30">
        <v>0.01</v>
      </c>
      <c r="J105" s="303">
        <f>F105/K4</f>
        <v>7.8959999999999999</v>
      </c>
      <c r="K105" s="33">
        <f t="shared" si="40"/>
        <v>7.9749600000000003</v>
      </c>
      <c r="AL105" s="1">
        <v>7.881631758000001</v>
      </c>
    </row>
    <row r="106" spans="2:38">
      <c r="B106" s="164"/>
      <c r="C106" s="129" t="s">
        <v>217</v>
      </c>
      <c r="D106" s="42" t="s">
        <v>218</v>
      </c>
      <c r="E106" s="327" t="s">
        <v>219</v>
      </c>
      <c r="F106" s="316">
        <v>2.0990000000000002E-2</v>
      </c>
      <c r="G106" s="314">
        <v>1</v>
      </c>
      <c r="H106" s="42" t="s">
        <v>76</v>
      </c>
      <c r="I106" s="41">
        <v>0.01</v>
      </c>
      <c r="J106" s="303">
        <f>F106/K4</f>
        <v>2.5188000000000001</v>
      </c>
      <c r="K106" s="33">
        <f t="shared" si="40"/>
        <v>2.5439880000000001</v>
      </c>
      <c r="AL106" s="1">
        <v>7.2415094339622649E-2</v>
      </c>
    </row>
    <row r="107" spans="2:38">
      <c r="B107" s="164"/>
      <c r="C107" s="32"/>
      <c r="D107" s="202"/>
      <c r="E107" s="328"/>
      <c r="F107" s="316"/>
      <c r="G107" s="70"/>
      <c r="H107" s="32"/>
      <c r="I107" s="30"/>
      <c r="J107" s="303"/>
      <c r="K107" s="33"/>
      <c r="L107" s="1" t="s">
        <v>169</v>
      </c>
      <c r="AL107" s="1">
        <v>12.59268</v>
      </c>
    </row>
    <row r="108" spans="2:38" ht="15" thickBot="1">
      <c r="B108" s="164"/>
      <c r="C108" s="164"/>
      <c r="D108" s="45"/>
      <c r="E108" s="327"/>
      <c r="F108" s="329"/>
      <c r="G108" s="46"/>
      <c r="H108" s="45"/>
      <c r="I108" s="41"/>
      <c r="J108" s="330"/>
      <c r="K108" s="80"/>
    </row>
    <row r="109" spans="2:38" ht="15.75" thickBot="1">
      <c r="B109" s="89" t="s">
        <v>46</v>
      </c>
      <c r="C109" s="61"/>
      <c r="D109" s="61"/>
      <c r="E109" s="62"/>
      <c r="F109" s="61"/>
      <c r="G109" s="61"/>
      <c r="H109" s="61"/>
      <c r="I109" s="61"/>
      <c r="J109" s="179" t="s">
        <v>170</v>
      </c>
      <c r="K109" s="93">
        <f>SUM(K96:K108)</f>
        <v>47.19931240208976</v>
      </c>
      <c r="AL109" s="1">
        <v>60.383194756339627</v>
      </c>
    </row>
    <row r="111" spans="2:38">
      <c r="J111" s="317" t="s">
        <v>171</v>
      </c>
      <c r="K111" s="5">
        <f>K43+K55+K60+K83+K95+K109</f>
        <v>532.06225248563896</v>
      </c>
      <c r="AL111" s="1">
        <v>631.2517031119844</v>
      </c>
    </row>
    <row r="112" spans="2:38">
      <c r="B112" s="5"/>
      <c r="D112" s="5"/>
      <c r="E112" s="318"/>
      <c r="G112" s="5"/>
      <c r="H112" s="5"/>
      <c r="J112" s="19" t="s">
        <v>172</v>
      </c>
      <c r="K112" s="228">
        <f>SUMIF(D34:D109,"=FAS",K34:K109)</f>
        <v>166.67455513265415</v>
      </c>
      <c r="AL112" s="1">
        <v>231.53080490800002</v>
      </c>
    </row>
    <row r="113" spans="10:38">
      <c r="J113" s="317" t="s">
        <v>173</v>
      </c>
      <c r="K113" s="228">
        <f>K111-K112</f>
        <v>365.38769735298479</v>
      </c>
      <c r="AL113" s="1">
        <v>399.72089820398435</v>
      </c>
    </row>
    <row r="115" spans="10:38">
      <c r="J115" s="317" t="s">
        <v>174</v>
      </c>
      <c r="K115" s="5">
        <f>X47+X66+X75</f>
        <v>81.068561569555555</v>
      </c>
      <c r="AL115" s="1">
        <v>103.09416509259258</v>
      </c>
    </row>
  </sheetData>
  <mergeCells count="10">
    <mergeCell ref="B28:C28"/>
    <mergeCell ref="AA33:AD33"/>
    <mergeCell ref="N93:R93"/>
    <mergeCell ref="B4:C4"/>
    <mergeCell ref="D4:G4"/>
    <mergeCell ref="B2:C2"/>
    <mergeCell ref="D2:G2"/>
    <mergeCell ref="B3:C3"/>
    <mergeCell ref="D3:G3"/>
    <mergeCell ref="B7:C7"/>
  </mergeCells>
  <phoneticPr fontId="16" type="noConversion"/>
  <printOptions horizontalCentered="1"/>
  <pageMargins left="0.46" right="0.46" top="0.16" bottom="0.16" header="0.16" footer="0.16"/>
  <pageSetup paperSize="9" scale="37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115"/>
  <sheetViews>
    <sheetView showGridLines="0" view="pageBreakPreview" zoomScale="85" zoomScaleNormal="85" zoomScaleSheetLayoutView="85" workbookViewId="0">
      <selection activeCell="G11" sqref="G11"/>
    </sheetView>
  </sheetViews>
  <sheetFormatPr defaultColWidth="7.75" defaultRowHeight="14.25"/>
  <cols>
    <col min="1" max="1" width="14.5" style="1" customWidth="1"/>
    <col min="2" max="2" width="7.625" style="1" customWidth="1"/>
    <col min="3" max="3" width="33.125" style="1" customWidth="1"/>
    <col min="4" max="4" width="20.375" style="1" customWidth="1"/>
    <col min="5" max="5" width="13.125" style="1" customWidth="1"/>
    <col min="6" max="7" width="10" style="1" customWidth="1"/>
    <col min="8" max="8" width="7.125" style="1" customWidth="1"/>
    <col min="9" max="9" width="5.875" style="1" customWidth="1"/>
    <col min="10" max="10" width="9.25" style="1" customWidth="1"/>
    <col min="11" max="11" width="10.125" style="1" customWidth="1"/>
    <col min="12" max="12" width="11.25" style="1" customWidth="1"/>
    <col min="13" max="14" width="8.75" style="1" customWidth="1"/>
    <col min="15" max="17" width="8.375" style="1" customWidth="1"/>
    <col min="18" max="18" width="10.125" style="1" customWidth="1"/>
    <col min="19" max="19" width="9.5" style="1" customWidth="1"/>
    <col min="20" max="21" width="9.375" style="1" customWidth="1"/>
    <col min="22" max="22" width="9" style="1" customWidth="1"/>
    <col min="23" max="23" width="10.125" style="1" customWidth="1"/>
    <col min="24" max="24" width="10" style="1" customWidth="1"/>
    <col min="25" max="25" width="2.875" style="1" customWidth="1"/>
    <col min="26" max="26" width="12.375" style="1" customWidth="1"/>
    <col min="27" max="27" width="14.5" style="1" customWidth="1"/>
    <col min="28" max="31" width="7.75" style="1" hidden="1" customWidth="1"/>
    <col min="32" max="32" width="1.625" style="1" hidden="1" customWidth="1"/>
    <col min="33" max="36" width="7.75" style="1" customWidth="1"/>
    <col min="37" max="16384" width="7.75" style="1"/>
  </cols>
  <sheetData>
    <row r="1" spans="1:38" ht="18.75">
      <c r="B1" s="2" t="s">
        <v>0</v>
      </c>
      <c r="C1" s="3">
        <v>2018</v>
      </c>
      <c r="D1" s="4"/>
      <c r="E1" s="4"/>
      <c r="F1" s="4"/>
      <c r="G1" s="4"/>
      <c r="J1" s="5"/>
      <c r="K1" s="6"/>
      <c r="L1" s="5"/>
      <c r="R1" s="5"/>
      <c r="S1" s="7"/>
      <c r="X1" s="8" t="s">
        <v>1</v>
      </c>
    </row>
    <row r="2" spans="1:38" ht="18">
      <c r="B2" s="344" t="s">
        <v>2</v>
      </c>
      <c r="C2" s="345"/>
      <c r="D2" s="346" t="s">
        <v>271</v>
      </c>
      <c r="E2" s="347"/>
      <c r="F2" s="347"/>
      <c r="G2" s="348"/>
      <c r="I2" s="5"/>
      <c r="J2" s="9" t="s">
        <v>3</v>
      </c>
      <c r="K2" s="10">
        <v>2000</v>
      </c>
      <c r="L2" s="9" t="s">
        <v>4</v>
      </c>
      <c r="M2" s="9"/>
      <c r="Q2" s="5"/>
      <c r="R2" s="11" t="s">
        <v>5</v>
      </c>
      <c r="U2" s="5"/>
      <c r="V2" s="5"/>
      <c r="X2" s="12"/>
      <c r="AL2" s="1">
        <v>2000</v>
      </c>
    </row>
    <row r="3" spans="1:38" ht="18">
      <c r="B3" s="344" t="s">
        <v>6</v>
      </c>
      <c r="C3" s="345"/>
      <c r="D3" s="346" t="s">
        <v>268</v>
      </c>
      <c r="E3" s="347"/>
      <c r="F3" s="347"/>
      <c r="G3" s="348"/>
      <c r="I3" s="5"/>
      <c r="J3" s="13" t="s">
        <v>7</v>
      </c>
      <c r="K3" s="14">
        <v>120</v>
      </c>
      <c r="L3" s="9"/>
      <c r="M3" s="15"/>
      <c r="U3" s="5"/>
      <c r="V3" s="16" t="s">
        <v>8</v>
      </c>
      <c r="W3" s="12"/>
      <c r="AL3" s="1">
        <v>120</v>
      </c>
    </row>
    <row r="4" spans="1:38" ht="18">
      <c r="B4" s="344" t="s">
        <v>9</v>
      </c>
      <c r="C4" s="345"/>
      <c r="D4" s="346" t="s">
        <v>10</v>
      </c>
      <c r="E4" s="347"/>
      <c r="F4" s="347"/>
      <c r="G4" s="348"/>
      <c r="I4" s="5"/>
      <c r="J4" s="13" t="s">
        <v>11</v>
      </c>
      <c r="K4" s="14">
        <f>1/K3</f>
        <v>8.3333333333333332E-3</v>
      </c>
      <c r="L4" s="9"/>
      <c r="M4" s="17"/>
      <c r="U4" s="5"/>
      <c r="V4" s="16" t="s">
        <v>12</v>
      </c>
      <c r="AL4" s="1">
        <v>8.3333333333333332E-3</v>
      </c>
    </row>
    <row r="5" spans="1:38">
      <c r="A5" s="5"/>
      <c r="B5" s="5"/>
      <c r="C5" s="5"/>
      <c r="D5" s="5"/>
      <c r="E5" s="5"/>
      <c r="F5" s="5"/>
      <c r="G5" s="5"/>
      <c r="H5" s="5"/>
      <c r="I5" s="5"/>
      <c r="J5" s="5" t="s">
        <v>13</v>
      </c>
      <c r="K5" s="18">
        <v>0.46949999999999997</v>
      </c>
      <c r="L5" s="5" t="s">
        <v>14</v>
      </c>
      <c r="M5" s="5"/>
      <c r="N5" s="19"/>
      <c r="P5" s="5"/>
      <c r="U5" s="20"/>
    </row>
    <row r="6" spans="1:38" ht="14.25" customHeight="1" thickBot="1">
      <c r="A6" s="5"/>
      <c r="B6" s="5" t="s">
        <v>15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38" s="23" customFormat="1" ht="43.5" thickBot="1">
      <c r="A7" s="5"/>
      <c r="B7" s="349" t="s">
        <v>16</v>
      </c>
      <c r="C7" s="350"/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21" t="s">
        <v>22</v>
      </c>
      <c r="J7" s="21" t="s">
        <v>23</v>
      </c>
      <c r="K7" s="21" t="s">
        <v>24</v>
      </c>
      <c r="L7" s="21" t="s">
        <v>25</v>
      </c>
      <c r="M7" s="21" t="s">
        <v>26</v>
      </c>
      <c r="N7" s="21" t="s">
        <v>27</v>
      </c>
      <c r="O7" s="21" t="s">
        <v>28</v>
      </c>
      <c r="P7" s="21" t="s">
        <v>29</v>
      </c>
      <c r="Q7" s="22" t="s">
        <v>30</v>
      </c>
      <c r="R7" s="21" t="s">
        <v>31</v>
      </c>
      <c r="S7" s="21" t="s">
        <v>32</v>
      </c>
      <c r="T7" s="21" t="s">
        <v>33</v>
      </c>
      <c r="U7" s="21" t="s">
        <v>34</v>
      </c>
      <c r="V7" s="21" t="s">
        <v>35</v>
      </c>
      <c r="W7" s="22" t="s">
        <v>36</v>
      </c>
      <c r="X7" s="22" t="s">
        <v>37</v>
      </c>
      <c r="AL7" s="23" t="s">
        <v>24</v>
      </c>
    </row>
    <row r="8" spans="1:38" s="23" customFormat="1" ht="14.25" customHeight="1" thickTop="1">
      <c r="A8" s="5"/>
      <c r="B8" s="24" t="s">
        <v>210</v>
      </c>
      <c r="C8" s="25"/>
      <c r="D8" s="26" t="s">
        <v>176</v>
      </c>
      <c r="E8" s="27" t="s">
        <v>38</v>
      </c>
      <c r="F8" s="28">
        <v>1</v>
      </c>
      <c r="G8" s="29">
        <f>24.123+0.0496519</f>
        <v>24.172651900000002</v>
      </c>
      <c r="H8" s="29">
        <v>3.2679999999999998</v>
      </c>
      <c r="I8" s="30">
        <v>0.01</v>
      </c>
      <c r="J8" s="31">
        <f t="shared" ref="J8:J14" si="0">(G8+(H8/F8))*(1+I8)</f>
        <v>27.715058419000002</v>
      </c>
      <c r="K8" s="32">
        <f>T93</f>
        <v>345.5</v>
      </c>
      <c r="L8" s="32">
        <f t="shared" ref="L8:L14" si="1">J8*K8/1000</f>
        <v>9.5755526837645011</v>
      </c>
      <c r="M8" s="32">
        <f t="shared" ref="M8:M14" si="2">H8+(G8+H8)*I8/100</f>
        <v>3.2707440651899997</v>
      </c>
      <c r="N8" s="30">
        <v>0.9</v>
      </c>
      <c r="O8" s="32">
        <v>0</v>
      </c>
      <c r="P8" s="32">
        <f t="shared" ref="P8:P14" si="3">M8*N8*O8/1000/F8</f>
        <v>0</v>
      </c>
      <c r="Q8" s="33">
        <f t="shared" ref="Q8:Q14" si="4">L8-P8</f>
        <v>9.5755526837645011</v>
      </c>
      <c r="R8" s="28">
        <v>37.14</v>
      </c>
      <c r="S8" s="34">
        <f t="shared" ref="S8:S14" si="5">$Q$97</f>
        <v>212.71199999999999</v>
      </c>
      <c r="T8" s="32">
        <f t="shared" ref="T8:T14" si="6">R8*S8/3600/F8</f>
        <v>2.1944787999999997</v>
      </c>
      <c r="U8" s="32">
        <f t="shared" ref="U8:U14" si="7">$R$97</f>
        <v>557.57600000000002</v>
      </c>
      <c r="V8" s="32">
        <f t="shared" ref="V8:V14" si="8">R8*U8/3600/F8</f>
        <v>5.7523257333333335</v>
      </c>
      <c r="W8" s="33">
        <f>T8+V8</f>
        <v>7.9468045333333333</v>
      </c>
      <c r="X8" s="33">
        <f t="shared" ref="X8:X14" si="9">Q8+W8</f>
        <v>17.522357217097834</v>
      </c>
      <c r="AL8" s="23">
        <v>555.6</v>
      </c>
    </row>
    <row r="9" spans="1:38" s="23" customFormat="1" ht="14.25" customHeight="1">
      <c r="A9" s="5"/>
      <c r="B9" s="24" t="s">
        <v>211</v>
      </c>
      <c r="C9" s="25"/>
      <c r="D9" s="26" t="s">
        <v>39</v>
      </c>
      <c r="E9" s="27" t="s">
        <v>38</v>
      </c>
      <c r="F9" s="28">
        <v>1</v>
      </c>
      <c r="G9" s="29">
        <f>33.2+0.064429</f>
        <v>33.264429</v>
      </c>
      <c r="H9" s="29">
        <v>10.61</v>
      </c>
      <c r="I9" s="30">
        <v>0.01</v>
      </c>
      <c r="J9" s="31">
        <f t="shared" si="0"/>
        <v>44.313173290000002</v>
      </c>
      <c r="K9" s="32">
        <f>V93</f>
        <v>288.8</v>
      </c>
      <c r="L9" s="32">
        <f t="shared" si="1"/>
        <v>12.797644446152001</v>
      </c>
      <c r="M9" s="32">
        <f t="shared" si="2"/>
        <v>10.6143874429</v>
      </c>
      <c r="N9" s="30">
        <v>0.9</v>
      </c>
      <c r="O9" s="32">
        <v>0</v>
      </c>
      <c r="P9" s="32">
        <f t="shared" si="3"/>
        <v>0</v>
      </c>
      <c r="Q9" s="33">
        <f t="shared" si="4"/>
        <v>12.797644446152001</v>
      </c>
      <c r="R9" s="28">
        <v>39.79</v>
      </c>
      <c r="S9" s="34">
        <f t="shared" si="5"/>
        <v>212.71199999999999</v>
      </c>
      <c r="T9" s="32">
        <f t="shared" si="6"/>
        <v>2.3510584666666667</v>
      </c>
      <c r="U9" s="32">
        <f t="shared" si="7"/>
        <v>557.57600000000002</v>
      </c>
      <c r="V9" s="32">
        <f t="shared" si="8"/>
        <v>6.1627636222222222</v>
      </c>
      <c r="W9" s="33">
        <f>T9+V9</f>
        <v>8.5138220888888885</v>
      </c>
      <c r="X9" s="33">
        <f t="shared" si="9"/>
        <v>21.311466535040889</v>
      </c>
      <c r="AL9" s="23">
        <v>301.27999999999997</v>
      </c>
    </row>
    <row r="10" spans="1:38" s="23" customFormat="1" ht="14.25" customHeight="1">
      <c r="A10" s="5"/>
      <c r="B10" s="24" t="s">
        <v>212</v>
      </c>
      <c r="C10" s="25"/>
      <c r="D10" s="26" t="s">
        <v>39</v>
      </c>
      <c r="E10" s="27" t="s">
        <v>38</v>
      </c>
      <c r="F10" s="28">
        <v>1</v>
      </c>
      <c r="G10" s="29">
        <f>19.03+0.029886</f>
        <v>19.059886000000002</v>
      </c>
      <c r="H10" s="29">
        <v>5.4</v>
      </c>
      <c r="I10" s="30">
        <v>0.01</v>
      </c>
      <c r="J10" s="31">
        <f t="shared" si="0"/>
        <v>24.704484860000004</v>
      </c>
      <c r="K10" s="32">
        <f>V93</f>
        <v>288.8</v>
      </c>
      <c r="L10" s="32">
        <f t="shared" si="1"/>
        <v>7.1346552275680013</v>
      </c>
      <c r="M10" s="32">
        <f t="shared" si="2"/>
        <v>5.4024459886000002</v>
      </c>
      <c r="N10" s="30">
        <v>0.9</v>
      </c>
      <c r="O10" s="32">
        <v>0</v>
      </c>
      <c r="P10" s="32">
        <f t="shared" si="3"/>
        <v>0</v>
      </c>
      <c r="Q10" s="33">
        <f t="shared" si="4"/>
        <v>7.1346552275680013</v>
      </c>
      <c r="R10" s="28">
        <v>31.75</v>
      </c>
      <c r="S10" s="34">
        <f t="shared" si="5"/>
        <v>212.71199999999999</v>
      </c>
      <c r="T10" s="32">
        <f t="shared" si="6"/>
        <v>1.8760016666666666</v>
      </c>
      <c r="U10" s="32">
        <f t="shared" si="7"/>
        <v>557.57600000000002</v>
      </c>
      <c r="V10" s="32">
        <f t="shared" si="8"/>
        <v>4.9175105555555554</v>
      </c>
      <c r="W10" s="33">
        <f>T10+V10+1.38</f>
        <v>8.1735122222222216</v>
      </c>
      <c r="X10" s="33">
        <f>Q10+W10</f>
        <v>15.308167449790222</v>
      </c>
      <c r="AL10" s="23">
        <v>648.70000000000016</v>
      </c>
    </row>
    <row r="11" spans="1:38" s="23" customFormat="1" ht="14.25" customHeight="1">
      <c r="A11" s="5"/>
      <c r="B11" s="24" t="s">
        <v>213</v>
      </c>
      <c r="C11" s="36"/>
      <c r="D11" s="26" t="s">
        <v>176</v>
      </c>
      <c r="E11" s="27" t="s">
        <v>38</v>
      </c>
      <c r="F11" s="28">
        <v>1</v>
      </c>
      <c r="G11" s="29">
        <f>7.88+0.028369</f>
        <v>7.9083689999999995</v>
      </c>
      <c r="H11" s="29">
        <v>3.35</v>
      </c>
      <c r="I11" s="30">
        <v>0.01</v>
      </c>
      <c r="J11" s="31">
        <f t="shared" si="0"/>
        <v>11.370952689999999</v>
      </c>
      <c r="K11" s="32">
        <f>T93</f>
        <v>345.5</v>
      </c>
      <c r="L11" s="32">
        <f t="shared" si="1"/>
        <v>3.9286641543949998</v>
      </c>
      <c r="M11" s="32">
        <f t="shared" si="2"/>
        <v>3.3511258369000001</v>
      </c>
      <c r="N11" s="30">
        <v>0.9</v>
      </c>
      <c r="O11" s="32">
        <v>0</v>
      </c>
      <c r="P11" s="32">
        <f t="shared" si="3"/>
        <v>0</v>
      </c>
      <c r="Q11" s="33">
        <f t="shared" si="4"/>
        <v>3.9286641543949998</v>
      </c>
      <c r="R11" s="28">
        <v>32.31</v>
      </c>
      <c r="S11" s="34">
        <f t="shared" si="5"/>
        <v>212.71199999999999</v>
      </c>
      <c r="T11" s="32">
        <f t="shared" si="6"/>
        <v>1.9090902000000001</v>
      </c>
      <c r="U11" s="32">
        <f t="shared" si="7"/>
        <v>557.57600000000002</v>
      </c>
      <c r="V11" s="32">
        <f t="shared" si="8"/>
        <v>5.0042446000000007</v>
      </c>
      <c r="W11" s="33">
        <f>T11+V11+0.18</f>
        <v>7.0933348000000009</v>
      </c>
      <c r="X11" s="33">
        <f t="shared" si="9"/>
        <v>11.021998954395</v>
      </c>
      <c r="AL11" s="23">
        <v>648.70000000000016</v>
      </c>
    </row>
    <row r="12" spans="1:38" s="23" customFormat="1" ht="14.25" customHeight="1">
      <c r="A12" s="5"/>
      <c r="B12" s="308" t="s">
        <v>214</v>
      </c>
      <c r="C12" s="75"/>
      <c r="D12" s="26" t="s">
        <v>207</v>
      </c>
      <c r="E12" s="38"/>
      <c r="F12" s="39">
        <v>4</v>
      </c>
      <c r="G12" s="40">
        <f>2.5+0.027585925</f>
        <v>2.5275859249999999</v>
      </c>
      <c r="H12" s="40">
        <v>0.37325000000000003</v>
      </c>
      <c r="I12" s="30">
        <v>0.01</v>
      </c>
      <c r="J12" s="31">
        <f t="shared" si="0"/>
        <v>2.6471074092500002</v>
      </c>
      <c r="K12" s="32">
        <f>V91</f>
        <v>348</v>
      </c>
      <c r="L12" s="32">
        <f t="shared" si="1"/>
        <v>0.92119337841900006</v>
      </c>
      <c r="M12" s="32">
        <f t="shared" si="2"/>
        <v>0.37354008359250002</v>
      </c>
      <c r="N12" s="30">
        <v>0.9</v>
      </c>
      <c r="O12" s="32">
        <v>0</v>
      </c>
      <c r="P12" s="32">
        <f t="shared" si="3"/>
        <v>0</v>
      </c>
      <c r="Q12" s="33">
        <f t="shared" si="4"/>
        <v>0.92119337841900006</v>
      </c>
      <c r="R12" s="43">
        <v>7.82</v>
      </c>
      <c r="S12" s="34">
        <f t="shared" si="5"/>
        <v>212.71199999999999</v>
      </c>
      <c r="T12" s="32">
        <f t="shared" si="6"/>
        <v>0.11551443333333333</v>
      </c>
      <c r="U12" s="32">
        <f t="shared" si="7"/>
        <v>557.57600000000002</v>
      </c>
      <c r="V12" s="32">
        <f t="shared" si="8"/>
        <v>0.30279474444444449</v>
      </c>
      <c r="W12" s="33">
        <f>T12+V12+0.18</f>
        <v>0.59830917777777781</v>
      </c>
      <c r="X12" s="33">
        <f t="shared" si="9"/>
        <v>1.5195025561967779</v>
      </c>
      <c r="AL12" s="23">
        <v>301.27999999999997</v>
      </c>
    </row>
    <row r="13" spans="1:38" s="23" customFormat="1" ht="14.25" customHeight="1">
      <c r="A13" s="5"/>
      <c r="B13" s="308" t="s">
        <v>215</v>
      </c>
      <c r="C13" s="75"/>
      <c r="D13" s="26" t="s">
        <v>39</v>
      </c>
      <c r="E13" s="38"/>
      <c r="F13" s="39">
        <v>1</v>
      </c>
      <c r="G13" s="40">
        <f>2.57+0.02823325</f>
        <v>2.5982332499999998</v>
      </c>
      <c r="H13" s="40">
        <v>1.0225</v>
      </c>
      <c r="I13" s="30">
        <v>0.01</v>
      </c>
      <c r="J13" s="31">
        <f t="shared" si="0"/>
        <v>3.6569405824999999</v>
      </c>
      <c r="K13" s="32">
        <f>V93</f>
        <v>288.8</v>
      </c>
      <c r="L13" s="32">
        <f t="shared" si="1"/>
        <v>1.0561244402259999</v>
      </c>
      <c r="M13" s="32">
        <f t="shared" si="2"/>
        <v>1.022862073325</v>
      </c>
      <c r="N13" s="30">
        <v>0.9</v>
      </c>
      <c r="O13" s="32">
        <v>0</v>
      </c>
      <c r="P13" s="32">
        <f t="shared" si="3"/>
        <v>0</v>
      </c>
      <c r="Q13" s="33">
        <f t="shared" si="4"/>
        <v>1.0561244402259999</v>
      </c>
      <c r="R13" s="43">
        <v>6.35</v>
      </c>
      <c r="S13" s="34">
        <f t="shared" si="5"/>
        <v>212.71199999999999</v>
      </c>
      <c r="T13" s="32">
        <f t="shared" si="6"/>
        <v>0.3752003333333333</v>
      </c>
      <c r="U13" s="32">
        <f t="shared" si="7"/>
        <v>557.57600000000002</v>
      </c>
      <c r="V13" s="32">
        <f t="shared" si="8"/>
        <v>0.98350211111111108</v>
      </c>
      <c r="W13" s="33">
        <f>T13+V13+0.18</f>
        <v>1.5387024444444444</v>
      </c>
      <c r="X13" s="33">
        <f t="shared" si="9"/>
        <v>2.5948268846704443</v>
      </c>
      <c r="AL13" s="23">
        <v>301.27999999999997</v>
      </c>
    </row>
    <row r="14" spans="1:38" s="23" customFormat="1" ht="14.25" customHeight="1">
      <c r="A14" s="5"/>
      <c r="B14" s="308" t="s">
        <v>216</v>
      </c>
      <c r="C14" s="75"/>
      <c r="D14" s="26" t="s">
        <v>207</v>
      </c>
      <c r="E14" s="44" t="s">
        <v>40</v>
      </c>
      <c r="F14" s="336">
        <v>4</v>
      </c>
      <c r="G14" s="337">
        <f>6.88+0.0266565</f>
        <v>6.9066564999999995</v>
      </c>
      <c r="H14" s="337">
        <v>1.4025000000000001</v>
      </c>
      <c r="I14" s="30">
        <v>0.01</v>
      </c>
      <c r="J14" s="31">
        <f t="shared" si="0"/>
        <v>7.3298543149999995</v>
      </c>
      <c r="K14" s="32">
        <f>V91</f>
        <v>348</v>
      </c>
      <c r="L14" s="32">
        <f t="shared" si="1"/>
        <v>2.5507893016199996</v>
      </c>
      <c r="M14" s="32">
        <f t="shared" si="2"/>
        <v>1.40333091565</v>
      </c>
      <c r="N14" s="30">
        <v>0.9</v>
      </c>
      <c r="O14" s="32">
        <v>0</v>
      </c>
      <c r="P14" s="32">
        <f t="shared" si="3"/>
        <v>0</v>
      </c>
      <c r="Q14" s="33">
        <f t="shared" si="4"/>
        <v>2.5507893016199996</v>
      </c>
      <c r="R14" s="43">
        <v>8.5724999999999998</v>
      </c>
      <c r="S14" s="34">
        <f t="shared" si="5"/>
        <v>212.71199999999999</v>
      </c>
      <c r="T14" s="32">
        <f t="shared" si="6"/>
        <v>0.12663011249999997</v>
      </c>
      <c r="U14" s="32">
        <f t="shared" si="7"/>
        <v>557.57600000000002</v>
      </c>
      <c r="V14" s="32">
        <f t="shared" si="8"/>
        <v>0.33193196250000001</v>
      </c>
      <c r="W14" s="33">
        <f>T14+V14+0.18</f>
        <v>0.63856207500000006</v>
      </c>
      <c r="X14" s="33">
        <f t="shared" si="9"/>
        <v>3.1893513766199995</v>
      </c>
      <c r="Y14" s="23" t="s">
        <v>41</v>
      </c>
      <c r="AL14" s="23">
        <v>301.27999999999997</v>
      </c>
    </row>
    <row r="15" spans="1:38" s="23" customFormat="1" ht="14.25" customHeight="1">
      <c r="A15" s="5"/>
      <c r="B15" s="51"/>
      <c r="C15" s="52"/>
      <c r="D15" s="35"/>
      <c r="E15" s="53" t="s">
        <v>40</v>
      </c>
      <c r="F15" s="56"/>
      <c r="G15" s="87"/>
      <c r="H15" s="87"/>
      <c r="I15" s="54"/>
      <c r="J15" s="55"/>
      <c r="K15" s="56"/>
      <c r="L15" s="56"/>
      <c r="M15" s="56"/>
      <c r="N15" s="54"/>
      <c r="O15" s="56"/>
      <c r="P15" s="57"/>
      <c r="Q15" s="58"/>
      <c r="R15" s="57"/>
      <c r="S15" s="59"/>
      <c r="T15" s="56"/>
      <c r="U15" s="56"/>
      <c r="V15" s="56"/>
      <c r="W15" s="58"/>
      <c r="X15" s="58"/>
      <c r="AL15" s="23">
        <v>301.27999999999997</v>
      </c>
    </row>
    <row r="16" spans="1:38" s="23" customFormat="1" ht="14.25" customHeight="1">
      <c r="A16" s="5"/>
      <c r="B16" s="60" t="s">
        <v>42</v>
      </c>
      <c r="C16" s="61"/>
      <c r="D16" s="61"/>
      <c r="E16" s="62"/>
      <c r="F16" s="61"/>
      <c r="G16" s="61"/>
      <c r="H16" s="61"/>
      <c r="I16" s="63"/>
      <c r="J16" s="64"/>
      <c r="K16" s="61"/>
      <c r="L16" s="61"/>
      <c r="M16" s="61"/>
      <c r="N16" s="65" t="s">
        <v>43</v>
      </c>
      <c r="O16" s="61"/>
      <c r="P16" s="61"/>
      <c r="Q16" s="66"/>
      <c r="R16" s="67"/>
      <c r="S16" s="68" t="s">
        <v>44</v>
      </c>
      <c r="T16" s="61"/>
      <c r="U16" s="68" t="s">
        <v>45</v>
      </c>
      <c r="V16" s="61"/>
      <c r="W16" s="66">
        <f>T16*V16</f>
        <v>0</v>
      </c>
      <c r="X16" s="66">
        <f>W16</f>
        <v>0</v>
      </c>
    </row>
    <row r="17" spans="1:38" s="74" customFormat="1" ht="14.25" customHeight="1">
      <c r="A17" s="5"/>
      <c r="B17" s="24"/>
      <c r="C17" s="25"/>
      <c r="D17" s="26"/>
      <c r="E17" s="27" t="s">
        <v>38</v>
      </c>
      <c r="F17" s="69">
        <v>1</v>
      </c>
      <c r="G17" s="70">
        <v>0</v>
      </c>
      <c r="H17" s="70">
        <v>0</v>
      </c>
      <c r="I17" s="71">
        <v>0.01</v>
      </c>
      <c r="J17" s="31">
        <f t="shared" ref="J17:J24" si="10">(G17+H17)*(1+I17)</f>
        <v>0</v>
      </c>
      <c r="K17" s="69">
        <v>0</v>
      </c>
      <c r="L17" s="69">
        <f t="shared" ref="L17:L24" si="11">J17*K17/1000/F17</f>
        <v>0</v>
      </c>
      <c r="M17" s="69">
        <f t="shared" ref="M17:M24" si="12">H17+(G17+H17)*I17/100</f>
        <v>0</v>
      </c>
      <c r="N17" s="71">
        <v>0.9</v>
      </c>
      <c r="O17" s="69">
        <v>0</v>
      </c>
      <c r="P17" s="69">
        <f t="shared" ref="P17:P24" si="13">M17*N17*O17/1000/F17</f>
        <v>0</v>
      </c>
      <c r="Q17" s="72">
        <f t="shared" ref="Q17:Q24" si="14">L17-P17</f>
        <v>0</v>
      </c>
      <c r="R17" s="69">
        <v>0</v>
      </c>
      <c r="S17" s="73">
        <f t="shared" ref="S17:S23" si="15">$Q$98</f>
        <v>139.22399999999999</v>
      </c>
      <c r="T17" s="69">
        <f t="shared" ref="T17:T24" si="16">R17*S17/3600</f>
        <v>0</v>
      </c>
      <c r="U17" s="69">
        <f t="shared" ref="U17:U23" si="17">$R$98</f>
        <v>12.431999999999999</v>
      </c>
      <c r="V17" s="69">
        <f t="shared" ref="V17:V24" si="18">R17*U17/3600/F17</f>
        <v>0</v>
      </c>
      <c r="W17" s="72">
        <f t="shared" ref="W17:W24" si="19">T17+V17</f>
        <v>0</v>
      </c>
      <c r="X17" s="72">
        <f t="shared" ref="X17:X24" si="20">Q17+W17</f>
        <v>0</v>
      </c>
      <c r="AL17" s="74">
        <v>0</v>
      </c>
    </row>
    <row r="18" spans="1:38" s="74" customFormat="1" ht="14.25" customHeight="1">
      <c r="A18" s="5"/>
      <c r="B18" s="24"/>
      <c r="C18" s="25"/>
      <c r="D18" s="76"/>
      <c r="E18" s="27" t="s">
        <v>38</v>
      </c>
      <c r="F18" s="32">
        <v>1</v>
      </c>
      <c r="G18" s="70">
        <v>0</v>
      </c>
      <c r="H18" s="70">
        <v>0</v>
      </c>
      <c r="I18" s="30">
        <v>0.01</v>
      </c>
      <c r="J18" s="31">
        <f t="shared" si="10"/>
        <v>0</v>
      </c>
      <c r="K18" s="32">
        <v>0</v>
      </c>
      <c r="L18" s="32">
        <f t="shared" si="11"/>
        <v>0</v>
      </c>
      <c r="M18" s="32">
        <f t="shared" si="12"/>
        <v>0</v>
      </c>
      <c r="N18" s="30">
        <v>0.9</v>
      </c>
      <c r="O18" s="32">
        <v>0</v>
      </c>
      <c r="P18" s="32">
        <f t="shared" si="13"/>
        <v>0</v>
      </c>
      <c r="Q18" s="33">
        <f t="shared" si="14"/>
        <v>0</v>
      </c>
      <c r="R18" s="32">
        <v>0</v>
      </c>
      <c r="S18" s="34">
        <f t="shared" si="15"/>
        <v>139.22399999999999</v>
      </c>
      <c r="T18" s="32">
        <f t="shared" si="16"/>
        <v>0</v>
      </c>
      <c r="U18" s="32">
        <f t="shared" si="17"/>
        <v>12.431999999999999</v>
      </c>
      <c r="V18" s="32">
        <f t="shared" si="18"/>
        <v>0</v>
      </c>
      <c r="W18" s="33">
        <f t="shared" si="19"/>
        <v>0</v>
      </c>
      <c r="X18" s="33">
        <f t="shared" si="20"/>
        <v>0</v>
      </c>
      <c r="AL18" s="74">
        <v>0</v>
      </c>
    </row>
    <row r="19" spans="1:38" s="74" customFormat="1" ht="14.25" customHeight="1">
      <c r="A19" s="5"/>
      <c r="B19" s="24"/>
      <c r="C19" s="25"/>
      <c r="D19" s="26"/>
      <c r="E19" s="27" t="s">
        <v>38</v>
      </c>
      <c r="F19" s="32">
        <v>1</v>
      </c>
      <c r="G19" s="70">
        <v>0</v>
      </c>
      <c r="H19" s="70">
        <v>0</v>
      </c>
      <c r="I19" s="30">
        <v>0.01</v>
      </c>
      <c r="J19" s="31">
        <f t="shared" si="10"/>
        <v>0</v>
      </c>
      <c r="K19" s="32">
        <v>0</v>
      </c>
      <c r="L19" s="32">
        <f t="shared" si="11"/>
        <v>0</v>
      </c>
      <c r="M19" s="32">
        <f t="shared" si="12"/>
        <v>0</v>
      </c>
      <c r="N19" s="30">
        <v>0.9</v>
      </c>
      <c r="O19" s="32">
        <v>0</v>
      </c>
      <c r="P19" s="32">
        <f t="shared" si="13"/>
        <v>0</v>
      </c>
      <c r="Q19" s="33">
        <f t="shared" si="14"/>
        <v>0</v>
      </c>
      <c r="R19" s="32">
        <v>0</v>
      </c>
      <c r="S19" s="34">
        <f t="shared" si="15"/>
        <v>139.22399999999999</v>
      </c>
      <c r="T19" s="32">
        <f t="shared" si="16"/>
        <v>0</v>
      </c>
      <c r="U19" s="32">
        <f t="shared" si="17"/>
        <v>12.431999999999999</v>
      </c>
      <c r="V19" s="32">
        <f t="shared" si="18"/>
        <v>0</v>
      </c>
      <c r="W19" s="33">
        <f t="shared" si="19"/>
        <v>0</v>
      </c>
      <c r="X19" s="33">
        <f t="shared" si="20"/>
        <v>0</v>
      </c>
      <c r="AL19" s="74">
        <v>0</v>
      </c>
    </row>
    <row r="20" spans="1:38" s="74" customFormat="1" ht="14.25" customHeight="1">
      <c r="A20" s="5"/>
      <c r="B20" s="24"/>
      <c r="C20" s="36"/>
      <c r="D20" s="26"/>
      <c r="E20" s="27" t="s">
        <v>38</v>
      </c>
      <c r="F20" s="32">
        <v>1</v>
      </c>
      <c r="G20" s="70">
        <v>0</v>
      </c>
      <c r="H20" s="70">
        <v>0</v>
      </c>
      <c r="I20" s="30">
        <v>0.01</v>
      </c>
      <c r="J20" s="31">
        <f t="shared" si="10"/>
        <v>0</v>
      </c>
      <c r="K20" s="32">
        <v>0</v>
      </c>
      <c r="L20" s="32">
        <f t="shared" si="11"/>
        <v>0</v>
      </c>
      <c r="M20" s="32">
        <f t="shared" si="12"/>
        <v>0</v>
      </c>
      <c r="N20" s="30">
        <v>0.9</v>
      </c>
      <c r="O20" s="32">
        <v>0</v>
      </c>
      <c r="P20" s="32">
        <f t="shared" si="13"/>
        <v>0</v>
      </c>
      <c r="Q20" s="33">
        <f t="shared" si="14"/>
        <v>0</v>
      </c>
      <c r="R20" s="32">
        <v>0</v>
      </c>
      <c r="S20" s="34">
        <f t="shared" si="15"/>
        <v>139.22399999999999</v>
      </c>
      <c r="T20" s="32">
        <f t="shared" si="16"/>
        <v>0</v>
      </c>
      <c r="U20" s="32">
        <f t="shared" si="17"/>
        <v>12.431999999999999</v>
      </c>
      <c r="V20" s="32">
        <f t="shared" si="18"/>
        <v>0</v>
      </c>
      <c r="W20" s="33">
        <f t="shared" si="19"/>
        <v>0</v>
      </c>
      <c r="X20" s="33">
        <f t="shared" si="20"/>
        <v>0</v>
      </c>
      <c r="AL20" s="74">
        <v>0</v>
      </c>
    </row>
    <row r="21" spans="1:38" s="74" customFormat="1" ht="14.25" customHeight="1">
      <c r="A21" s="5"/>
      <c r="B21" s="308"/>
      <c r="C21" s="75"/>
      <c r="D21" s="26"/>
      <c r="E21" s="38" t="s">
        <v>40</v>
      </c>
      <c r="F21" s="42">
        <v>1</v>
      </c>
      <c r="G21" s="77">
        <v>0</v>
      </c>
      <c r="H21" s="77">
        <v>0</v>
      </c>
      <c r="I21" s="41">
        <v>0.01</v>
      </c>
      <c r="J21" s="78">
        <f t="shared" si="10"/>
        <v>0</v>
      </c>
      <c r="K21" s="42">
        <v>0</v>
      </c>
      <c r="L21" s="42">
        <f t="shared" si="11"/>
        <v>0</v>
      </c>
      <c r="M21" s="42">
        <f t="shared" si="12"/>
        <v>0</v>
      </c>
      <c r="N21" s="41">
        <v>0.9</v>
      </c>
      <c r="O21" s="42">
        <v>0</v>
      </c>
      <c r="P21" s="79">
        <f t="shared" si="13"/>
        <v>0</v>
      </c>
      <c r="Q21" s="80">
        <f t="shared" si="14"/>
        <v>0</v>
      </c>
      <c r="R21" s="81">
        <v>0</v>
      </c>
      <c r="S21" s="34">
        <f t="shared" si="15"/>
        <v>139.22399999999999</v>
      </c>
      <c r="T21" s="32">
        <f t="shared" si="16"/>
        <v>0</v>
      </c>
      <c r="U21" s="32">
        <f t="shared" si="17"/>
        <v>12.431999999999999</v>
      </c>
      <c r="V21" s="32">
        <f t="shared" si="18"/>
        <v>0</v>
      </c>
      <c r="W21" s="33">
        <f t="shared" si="19"/>
        <v>0</v>
      </c>
      <c r="X21" s="33">
        <f t="shared" si="20"/>
        <v>0</v>
      </c>
      <c r="AL21" s="74">
        <v>0</v>
      </c>
    </row>
    <row r="22" spans="1:38" s="74" customFormat="1" ht="14.25" customHeight="1">
      <c r="A22" s="5"/>
      <c r="B22" s="308"/>
      <c r="C22" s="75"/>
      <c r="D22" s="35"/>
      <c r="E22" s="38" t="s">
        <v>40</v>
      </c>
      <c r="F22" s="42">
        <v>1</v>
      </c>
      <c r="G22" s="77">
        <v>0</v>
      </c>
      <c r="H22" s="77">
        <v>0</v>
      </c>
      <c r="I22" s="41">
        <v>0.01</v>
      </c>
      <c r="J22" s="78">
        <f t="shared" si="10"/>
        <v>0</v>
      </c>
      <c r="K22" s="42">
        <v>0</v>
      </c>
      <c r="L22" s="42">
        <f t="shared" si="11"/>
        <v>0</v>
      </c>
      <c r="M22" s="42">
        <f t="shared" si="12"/>
        <v>0</v>
      </c>
      <c r="N22" s="41">
        <v>0.9</v>
      </c>
      <c r="O22" s="42">
        <v>0</v>
      </c>
      <c r="P22" s="79">
        <f t="shared" si="13"/>
        <v>0</v>
      </c>
      <c r="Q22" s="80">
        <f t="shared" si="14"/>
        <v>0</v>
      </c>
      <c r="R22" s="81">
        <v>0</v>
      </c>
      <c r="S22" s="34">
        <f t="shared" si="15"/>
        <v>139.22399999999999</v>
      </c>
      <c r="T22" s="32">
        <f t="shared" si="16"/>
        <v>0</v>
      </c>
      <c r="U22" s="32">
        <f t="shared" si="17"/>
        <v>12.431999999999999</v>
      </c>
      <c r="V22" s="32">
        <f t="shared" si="18"/>
        <v>0</v>
      </c>
      <c r="W22" s="33">
        <f t="shared" si="19"/>
        <v>0</v>
      </c>
      <c r="X22" s="33">
        <f t="shared" si="20"/>
        <v>0</v>
      </c>
      <c r="AL22" s="74">
        <v>0</v>
      </c>
    </row>
    <row r="23" spans="1:38" s="74" customFormat="1" ht="14.25" customHeight="1">
      <c r="A23" s="5"/>
      <c r="B23" s="308"/>
      <c r="C23" s="75"/>
      <c r="D23" s="35"/>
      <c r="E23" s="44" t="s">
        <v>40</v>
      </c>
      <c r="F23" s="45">
        <v>1</v>
      </c>
      <c r="G23" s="46">
        <v>0</v>
      </c>
      <c r="H23" s="46">
        <v>0</v>
      </c>
      <c r="I23" s="47">
        <v>0.01</v>
      </c>
      <c r="J23" s="82">
        <f t="shared" si="10"/>
        <v>0</v>
      </c>
      <c r="K23" s="45">
        <v>0</v>
      </c>
      <c r="L23" s="45">
        <f t="shared" si="11"/>
        <v>0</v>
      </c>
      <c r="M23" s="45">
        <f t="shared" si="12"/>
        <v>0</v>
      </c>
      <c r="N23" s="47">
        <v>0.9</v>
      </c>
      <c r="O23" s="45">
        <v>0</v>
      </c>
      <c r="P23" s="83">
        <f t="shared" si="13"/>
        <v>0</v>
      </c>
      <c r="Q23" s="84">
        <f t="shared" si="14"/>
        <v>0</v>
      </c>
      <c r="R23" s="85">
        <v>0</v>
      </c>
      <c r="S23" s="50">
        <f t="shared" si="15"/>
        <v>139.22399999999999</v>
      </c>
      <c r="T23" s="48">
        <f t="shared" si="16"/>
        <v>0</v>
      </c>
      <c r="U23" s="48">
        <f t="shared" si="17"/>
        <v>12.431999999999999</v>
      </c>
      <c r="V23" s="48">
        <f t="shared" si="18"/>
        <v>0</v>
      </c>
      <c r="W23" s="49">
        <f t="shared" si="19"/>
        <v>0</v>
      </c>
      <c r="X23" s="49">
        <f t="shared" si="20"/>
        <v>0</v>
      </c>
      <c r="AL23" s="74">
        <v>0</v>
      </c>
    </row>
    <row r="24" spans="1:38" s="74" customFormat="1" ht="14.25" customHeight="1" thickBot="1">
      <c r="A24" s="5"/>
      <c r="B24" s="51"/>
      <c r="C24" s="52"/>
      <c r="D24" s="86"/>
      <c r="E24" s="53" t="s">
        <v>40</v>
      </c>
      <c r="F24" s="56">
        <v>1</v>
      </c>
      <c r="G24" s="87">
        <v>0</v>
      </c>
      <c r="H24" s="87">
        <v>0</v>
      </c>
      <c r="I24" s="54">
        <v>0.01</v>
      </c>
      <c r="J24" s="55">
        <f t="shared" si="10"/>
        <v>0</v>
      </c>
      <c r="K24" s="56">
        <v>0</v>
      </c>
      <c r="L24" s="56">
        <f t="shared" si="11"/>
        <v>0</v>
      </c>
      <c r="M24" s="56">
        <f t="shared" si="12"/>
        <v>0</v>
      </c>
      <c r="N24" s="54">
        <v>0.9</v>
      </c>
      <c r="O24" s="56">
        <v>0</v>
      </c>
      <c r="P24" s="57">
        <f t="shared" si="13"/>
        <v>0</v>
      </c>
      <c r="Q24" s="84">
        <f t="shared" si="14"/>
        <v>0</v>
      </c>
      <c r="R24" s="85">
        <v>0</v>
      </c>
      <c r="S24" s="59">
        <f>S23</f>
        <v>139.22399999999999</v>
      </c>
      <c r="T24" s="56">
        <f t="shared" si="16"/>
        <v>0</v>
      </c>
      <c r="U24" s="56">
        <f>U23</f>
        <v>12.431999999999999</v>
      </c>
      <c r="V24" s="88">
        <f t="shared" si="18"/>
        <v>0</v>
      </c>
      <c r="W24" s="84">
        <f t="shared" si="19"/>
        <v>0</v>
      </c>
      <c r="X24" s="84">
        <f t="shared" si="20"/>
        <v>0</v>
      </c>
      <c r="AL24" s="74">
        <v>0</v>
      </c>
    </row>
    <row r="25" spans="1:38" s="23" customFormat="1" ht="14.25" customHeight="1" thickBot="1">
      <c r="A25" s="5"/>
      <c r="B25" s="89" t="s">
        <v>46</v>
      </c>
      <c r="C25" s="61"/>
      <c r="D25" s="61"/>
      <c r="E25" s="62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90"/>
      <c r="Q25" s="91">
        <f>SUM(Q8:Q24)</f>
        <v>37.964623632144502</v>
      </c>
      <c r="R25" s="92" t="s">
        <v>47</v>
      </c>
      <c r="S25" s="61"/>
      <c r="T25" s="61"/>
      <c r="U25" s="61"/>
      <c r="V25" s="90"/>
      <c r="W25" s="91">
        <f>SUM(W8:W24)</f>
        <v>34.503047341666672</v>
      </c>
      <c r="X25" s="93">
        <f>SUM(X8:X24)</f>
        <v>72.467670973811167</v>
      </c>
    </row>
    <row r="26" spans="1:38" s="23" customFormat="1" ht="14.25" customHeight="1">
      <c r="A26" s="5"/>
      <c r="B26" s="94"/>
      <c r="C26" s="94"/>
      <c r="D26" s="94"/>
      <c r="E26" s="95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6" t="s">
        <v>48</v>
      </c>
      <c r="S26" s="94"/>
      <c r="T26" s="94"/>
      <c r="U26" s="94"/>
      <c r="V26" s="94"/>
      <c r="W26" s="94"/>
    </row>
    <row r="27" spans="1:38" ht="14.25" customHeight="1" thickBot="1">
      <c r="A27" s="5"/>
      <c r="B27" s="97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38" ht="14.25" customHeight="1" thickBot="1">
      <c r="A28" s="5"/>
      <c r="B28" s="349" t="s">
        <v>16</v>
      </c>
      <c r="C28" s="350"/>
      <c r="D28" s="21" t="s">
        <v>17</v>
      </c>
      <c r="E28" s="21" t="s">
        <v>18</v>
      </c>
      <c r="F28" s="21" t="s">
        <v>19</v>
      </c>
      <c r="G28" s="21" t="s">
        <v>20</v>
      </c>
      <c r="H28" s="21" t="s">
        <v>21</v>
      </c>
      <c r="I28" s="21" t="s">
        <v>22</v>
      </c>
      <c r="J28" s="21" t="s">
        <v>23</v>
      </c>
      <c r="K28" s="21" t="s">
        <v>50</v>
      </c>
      <c r="L28" s="21" t="s">
        <v>25</v>
      </c>
      <c r="M28" s="21" t="s">
        <v>26</v>
      </c>
      <c r="N28" s="21" t="s">
        <v>27</v>
      </c>
      <c r="O28" s="21" t="s">
        <v>28</v>
      </c>
      <c r="P28" s="21" t="s">
        <v>29</v>
      </c>
      <c r="Q28" s="22" t="s">
        <v>30</v>
      </c>
      <c r="R28" s="21" t="s">
        <v>31</v>
      </c>
      <c r="S28" s="21" t="s">
        <v>51</v>
      </c>
      <c r="T28" s="21" t="s">
        <v>33</v>
      </c>
      <c r="U28" s="21" t="s">
        <v>34</v>
      </c>
      <c r="V28" s="21" t="s">
        <v>35</v>
      </c>
      <c r="W28" s="22" t="s">
        <v>36</v>
      </c>
      <c r="X28" s="22" t="s">
        <v>37</v>
      </c>
      <c r="AL28" s="1" t="s">
        <v>50</v>
      </c>
    </row>
    <row r="29" spans="1:38" ht="14.25" customHeight="1" thickTop="1" thickBot="1">
      <c r="A29" s="5"/>
      <c r="B29" s="98"/>
      <c r="C29" s="99"/>
      <c r="D29" s="32"/>
      <c r="E29" s="27"/>
      <c r="F29" s="32"/>
      <c r="G29" s="70"/>
      <c r="H29" s="70"/>
      <c r="I29" s="100"/>
      <c r="J29" s="31"/>
      <c r="K29" s="32"/>
      <c r="L29" s="32"/>
      <c r="M29" s="32"/>
      <c r="N29" s="100"/>
      <c r="O29" s="32"/>
      <c r="P29" s="32"/>
      <c r="Q29" s="33"/>
      <c r="R29" s="32"/>
      <c r="S29" s="101"/>
      <c r="T29" s="32"/>
      <c r="U29" s="101"/>
      <c r="V29" s="32"/>
      <c r="W29" s="33"/>
      <c r="X29" s="33"/>
    </row>
    <row r="30" spans="1:38" ht="14.25" customHeight="1" thickBot="1">
      <c r="A30" s="5"/>
      <c r="B30" s="89" t="s">
        <v>46</v>
      </c>
      <c r="C30" s="61"/>
      <c r="D30" s="61"/>
      <c r="E30" s="62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90"/>
      <c r="Q30" s="91">
        <f>SUM(Q29:Q29)</f>
        <v>0</v>
      </c>
      <c r="R30" s="92" t="s">
        <v>47</v>
      </c>
      <c r="S30" s="61" t="s">
        <v>43</v>
      </c>
      <c r="T30" s="61"/>
      <c r="U30" s="61"/>
      <c r="V30" s="90"/>
      <c r="W30" s="91">
        <f>SUM(W29:W29)</f>
        <v>0</v>
      </c>
      <c r="X30" s="93">
        <f>SUM(X29:X29)</f>
        <v>0</v>
      </c>
    </row>
    <row r="31" spans="1:38" ht="14.25" customHeight="1">
      <c r="A31" s="5"/>
      <c r="B31" s="5"/>
      <c r="C31" s="5"/>
      <c r="D31" s="5"/>
      <c r="E31" s="102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38" ht="14.25" customHeight="1" thickBot="1">
      <c r="A32" s="5"/>
      <c r="B32" s="97" t="s">
        <v>52</v>
      </c>
      <c r="C32" s="5"/>
      <c r="D32" s="5"/>
      <c r="E32" s="102"/>
      <c r="F32" s="5"/>
      <c r="G32" s="5"/>
      <c r="H32" s="5"/>
      <c r="I32" s="5"/>
      <c r="J32" s="5"/>
      <c r="K32" s="5"/>
      <c r="L32" s="5"/>
      <c r="N32" s="97" t="s">
        <v>53</v>
      </c>
      <c r="O32" s="5"/>
      <c r="P32" s="5"/>
      <c r="Q32" s="5"/>
      <c r="R32" s="5"/>
      <c r="S32" s="5"/>
      <c r="T32" s="5"/>
      <c r="U32" s="5"/>
      <c r="V32" s="5"/>
      <c r="W32" s="5"/>
    </row>
    <row r="33" spans="1:38" ht="14.25" customHeight="1" thickBot="1">
      <c r="A33" s="5"/>
      <c r="B33" s="103" t="s">
        <v>54</v>
      </c>
      <c r="C33" s="104"/>
      <c r="D33" s="105" t="s">
        <v>17</v>
      </c>
      <c r="E33" s="105" t="s">
        <v>18</v>
      </c>
      <c r="F33" s="106" t="s">
        <v>55</v>
      </c>
      <c r="G33" s="105" t="s">
        <v>56</v>
      </c>
      <c r="H33" s="21" t="s">
        <v>57</v>
      </c>
      <c r="I33" s="105" t="s">
        <v>22</v>
      </c>
      <c r="J33" s="105" t="s">
        <v>50</v>
      </c>
      <c r="K33" s="107" t="s">
        <v>58</v>
      </c>
      <c r="L33" s="5" t="s">
        <v>59</v>
      </c>
      <c r="N33" s="108" t="s">
        <v>60</v>
      </c>
      <c r="O33" s="109"/>
      <c r="P33" s="110" t="s">
        <v>31</v>
      </c>
      <c r="Q33" s="110" t="s">
        <v>61</v>
      </c>
      <c r="R33" s="110" t="s">
        <v>62</v>
      </c>
      <c r="S33" s="110" t="s">
        <v>22</v>
      </c>
      <c r="T33" s="110" t="s">
        <v>63</v>
      </c>
      <c r="U33" s="110" t="s">
        <v>33</v>
      </c>
      <c r="V33" s="110" t="s">
        <v>64</v>
      </c>
      <c r="W33" s="110" t="s">
        <v>35</v>
      </c>
      <c r="X33" s="22" t="s">
        <v>65</v>
      </c>
      <c r="Z33" s="111" t="str">
        <f>D3</f>
        <v>77B959-0000</v>
      </c>
      <c r="AA33" s="351" t="str">
        <f>D2</f>
        <v>TMR-033 SRC 20CH JP B</v>
      </c>
      <c r="AB33" s="352"/>
      <c r="AC33" s="352"/>
      <c r="AD33" s="353"/>
      <c r="AL33" s="1" t="s">
        <v>58</v>
      </c>
    </row>
    <row r="34" spans="1:38" ht="14.25" customHeight="1" thickTop="1" thickBot="1">
      <c r="A34" s="5"/>
      <c r="B34" s="112" t="s">
        <v>66</v>
      </c>
      <c r="C34" s="113" t="s">
        <v>177</v>
      </c>
      <c r="D34" s="114"/>
      <c r="E34" s="114" t="s">
        <v>196</v>
      </c>
      <c r="F34" s="114"/>
      <c r="G34" s="115">
        <v>1</v>
      </c>
      <c r="H34" s="114" t="s">
        <v>67</v>
      </c>
      <c r="I34" s="116">
        <v>5.0000000000000001E-3</v>
      </c>
      <c r="J34" s="323">
        <v>15.66</v>
      </c>
      <c r="K34" s="117">
        <f t="shared" ref="K34:K41" si="21">G34*(1+I34)*J34</f>
        <v>15.738299999999999</v>
      </c>
      <c r="L34" s="118"/>
      <c r="M34" s="119"/>
      <c r="N34" s="120" t="s">
        <v>68</v>
      </c>
      <c r="O34" s="121"/>
      <c r="P34" s="342">
        <v>5.81</v>
      </c>
      <c r="Q34" s="342">
        <v>1</v>
      </c>
      <c r="R34" s="122">
        <v>0.9</v>
      </c>
      <c r="S34" s="122">
        <v>5.0000000000000001E-3</v>
      </c>
      <c r="T34" s="120">
        <f>$Q$99</f>
        <v>226.37</v>
      </c>
      <c r="U34" s="120">
        <f t="shared" ref="U34:U45" si="22">P34*Q34/R34*(1+S34)*T34/3600</f>
        <v>0.40795856435185179</v>
      </c>
      <c r="V34" s="120">
        <f>$R$99</f>
        <v>480.96</v>
      </c>
      <c r="W34" s="123">
        <f t="shared" ref="W34:W45" si="23">P34/R34*(1+S34)*V34/3600</f>
        <v>0.8667745333333331</v>
      </c>
      <c r="X34" s="117">
        <f t="shared" ref="X34:X45" si="24">U34+W34</f>
        <v>1.2747330976851849</v>
      </c>
      <c r="Z34" s="124">
        <f>C1</f>
        <v>2018</v>
      </c>
      <c r="AA34" s="125" t="s">
        <v>69</v>
      </c>
      <c r="AB34" s="126" t="s">
        <v>70</v>
      </c>
      <c r="AC34" s="127" t="s">
        <v>71</v>
      </c>
      <c r="AD34" s="127" t="s">
        <v>72</v>
      </c>
      <c r="AE34" s="4" t="s">
        <v>73</v>
      </c>
      <c r="AF34" s="4"/>
      <c r="AL34" s="1">
        <v>21.346199999999996</v>
      </c>
    </row>
    <row r="35" spans="1:38" ht="14.25" customHeight="1">
      <c r="A35" s="5"/>
      <c r="B35" s="38"/>
      <c r="C35" s="128" t="s">
        <v>249</v>
      </c>
      <c r="D35" s="42"/>
      <c r="E35" s="42" t="s">
        <v>257</v>
      </c>
      <c r="F35" s="42"/>
      <c r="G35" s="77">
        <v>1</v>
      </c>
      <c r="H35" s="42" t="s">
        <v>67</v>
      </c>
      <c r="I35" s="41">
        <v>5.0000000000000001E-3</v>
      </c>
      <c r="J35" s="324">
        <v>17.77</v>
      </c>
      <c r="K35" s="80">
        <f t="shared" si="21"/>
        <v>17.858849999999997</v>
      </c>
      <c r="L35" s="118"/>
      <c r="M35" s="119"/>
      <c r="N35" s="129" t="s">
        <v>74</v>
      </c>
      <c r="O35" s="81"/>
      <c r="P35" s="340">
        <v>5.81</v>
      </c>
      <c r="Q35" s="39">
        <v>1</v>
      </c>
      <c r="R35" s="130">
        <v>0.9</v>
      </c>
      <c r="S35" s="130">
        <v>5.0000000000000001E-3</v>
      </c>
      <c r="T35" s="129">
        <f>$Q$99</f>
        <v>226.37</v>
      </c>
      <c r="U35" s="129">
        <f t="shared" si="22"/>
        <v>0.40795856435185179</v>
      </c>
      <c r="V35" s="129">
        <f>$R$99</f>
        <v>480.96</v>
      </c>
      <c r="W35" s="79">
        <f t="shared" si="23"/>
        <v>0.8667745333333331</v>
      </c>
      <c r="X35" s="80">
        <f t="shared" si="24"/>
        <v>1.2747330976851849</v>
      </c>
      <c r="Z35" s="131" t="s">
        <v>75</v>
      </c>
      <c r="AA35" s="132">
        <f>Q25</f>
        <v>37.964623632144502</v>
      </c>
      <c r="AB35" s="133">
        <f>Q25</f>
        <v>37.964623632144502</v>
      </c>
      <c r="AC35" s="134">
        <f>S25</f>
        <v>0</v>
      </c>
      <c r="AD35" s="134">
        <v>0</v>
      </c>
      <c r="AE35" s="135">
        <f t="shared" ref="AE35:AE54" si="25">SUM(AB35:AD35)</f>
        <v>37.964623632144502</v>
      </c>
      <c r="AF35" s="135">
        <f t="shared" ref="AF35:AF54" si="26">AA35-AE35</f>
        <v>0</v>
      </c>
      <c r="AL35" s="1">
        <v>24.240599999999997</v>
      </c>
    </row>
    <row r="36" spans="1:38" ht="14.25" customHeight="1">
      <c r="A36" s="5"/>
      <c r="B36" s="38"/>
      <c r="C36" s="136" t="s">
        <v>250</v>
      </c>
      <c r="D36" s="137"/>
      <c r="E36" s="137" t="s">
        <v>258</v>
      </c>
      <c r="F36" s="137"/>
      <c r="G36" s="138">
        <v>1</v>
      </c>
      <c r="H36" s="139" t="s">
        <v>76</v>
      </c>
      <c r="I36" s="140">
        <v>5.0000000000000001E-3</v>
      </c>
      <c r="J36" s="141">
        <v>42.57</v>
      </c>
      <c r="K36" s="142">
        <f t="shared" si="21"/>
        <v>42.782849999999996</v>
      </c>
      <c r="L36" s="118"/>
      <c r="M36" s="119"/>
      <c r="N36" s="129" t="s">
        <v>77</v>
      </c>
      <c r="O36" s="81"/>
      <c r="P36" s="340">
        <v>5.81</v>
      </c>
      <c r="Q36" s="39">
        <v>1</v>
      </c>
      <c r="R36" s="130">
        <v>0.9</v>
      </c>
      <c r="S36" s="130">
        <v>5.0000000000000001E-3</v>
      </c>
      <c r="T36" s="129">
        <f>$Q$99</f>
        <v>226.37</v>
      </c>
      <c r="U36" s="129">
        <f t="shared" si="22"/>
        <v>0.40795856435185179</v>
      </c>
      <c r="V36" s="129">
        <v>0</v>
      </c>
      <c r="W36" s="79">
        <f t="shared" si="23"/>
        <v>0</v>
      </c>
      <c r="X36" s="80">
        <f t="shared" si="24"/>
        <v>0.40795856435185179</v>
      </c>
      <c r="Z36" s="143" t="s">
        <v>78</v>
      </c>
      <c r="AA36" s="144">
        <f>K43+K55</f>
        <v>348.96816000000001</v>
      </c>
      <c r="AB36" s="145">
        <v>0</v>
      </c>
      <c r="AC36" s="146">
        <f>+K55</f>
        <v>204.44915999999998</v>
      </c>
      <c r="AD36" s="146">
        <f>K43</f>
        <v>144.51900000000001</v>
      </c>
      <c r="AE36" s="135">
        <f t="shared" si="25"/>
        <v>348.96816000000001</v>
      </c>
      <c r="AF36" s="135">
        <f t="shared" si="26"/>
        <v>0</v>
      </c>
      <c r="AL36" s="1">
        <v>19.017614999999996</v>
      </c>
    </row>
    <row r="37" spans="1:38" ht="14.25" customHeight="1">
      <c r="A37" s="5"/>
      <c r="B37" s="38"/>
      <c r="C37" s="136" t="s">
        <v>205</v>
      </c>
      <c r="D37" s="137"/>
      <c r="E37" s="137" t="s">
        <v>259</v>
      </c>
      <c r="F37" s="137"/>
      <c r="G37" s="138">
        <v>1</v>
      </c>
      <c r="H37" s="139" t="s">
        <v>76</v>
      </c>
      <c r="I37" s="140">
        <v>5.0000000000000001E-3</v>
      </c>
      <c r="J37" s="141">
        <v>9.5</v>
      </c>
      <c r="K37" s="142">
        <f t="shared" si="21"/>
        <v>9.5474999999999994</v>
      </c>
      <c r="L37" s="118"/>
      <c r="M37" s="119"/>
      <c r="N37" s="129" t="s">
        <v>79</v>
      </c>
      <c r="O37" s="81"/>
      <c r="P37" s="343">
        <v>5.81</v>
      </c>
      <c r="Q37" s="343">
        <v>1</v>
      </c>
      <c r="R37" s="130">
        <v>0.9</v>
      </c>
      <c r="S37" s="130">
        <v>5.0000000000000001E-3</v>
      </c>
      <c r="T37" s="129">
        <f t="shared" ref="T37:T45" si="27">$Q$99</f>
        <v>226.37</v>
      </c>
      <c r="U37" s="129">
        <f t="shared" si="22"/>
        <v>0.40795856435185179</v>
      </c>
      <c r="V37" s="129">
        <v>0</v>
      </c>
      <c r="W37" s="79">
        <f t="shared" si="23"/>
        <v>0</v>
      </c>
      <c r="X37" s="80">
        <f t="shared" si="24"/>
        <v>0.40795856435185179</v>
      </c>
      <c r="Z37" s="143" t="s">
        <v>80</v>
      </c>
      <c r="AA37" s="144">
        <f>K60+K83</f>
        <v>39.019165199999996</v>
      </c>
      <c r="AB37" s="145">
        <f>K60</f>
        <v>0</v>
      </c>
      <c r="AC37" s="146">
        <f>+K83</f>
        <v>39.019165199999996</v>
      </c>
      <c r="AD37" s="146">
        <f>+K60</f>
        <v>0</v>
      </c>
      <c r="AE37" s="135">
        <f t="shared" si="25"/>
        <v>39.019165199999996</v>
      </c>
      <c r="AF37" s="135">
        <f t="shared" si="26"/>
        <v>0</v>
      </c>
      <c r="AL37" s="1">
        <v>19.557199499999999</v>
      </c>
    </row>
    <row r="38" spans="1:38" ht="14.25" customHeight="1">
      <c r="A38" s="5"/>
      <c r="B38" s="38"/>
      <c r="C38" s="136" t="s">
        <v>204</v>
      </c>
      <c r="D38" s="139"/>
      <c r="E38" s="147" t="s">
        <v>260</v>
      </c>
      <c r="F38" s="139"/>
      <c r="G38" s="138">
        <v>1</v>
      </c>
      <c r="H38" s="139" t="s">
        <v>76</v>
      </c>
      <c r="I38" s="140">
        <v>5.0000000000000001E-3</v>
      </c>
      <c r="J38" s="141">
        <v>9.7200000000000006</v>
      </c>
      <c r="K38" s="80">
        <f t="shared" si="21"/>
        <v>9.7685999999999993</v>
      </c>
      <c r="L38" s="148"/>
      <c r="N38" s="129" t="s">
        <v>81</v>
      </c>
      <c r="O38" s="81"/>
      <c r="P38" s="340">
        <v>17.61</v>
      </c>
      <c r="Q38" s="340">
        <v>2</v>
      </c>
      <c r="R38" s="130">
        <v>0.9</v>
      </c>
      <c r="S38" s="130">
        <v>5.0000000000000001E-3</v>
      </c>
      <c r="T38" s="129">
        <f>$Q$99</f>
        <v>226.37</v>
      </c>
      <c r="U38" s="129">
        <f>P38*Q38/R38*(1+S38)*T38/3600</f>
        <v>2.4730293694444438</v>
      </c>
      <c r="V38" s="129">
        <v>0</v>
      </c>
      <c r="W38" s="79">
        <f>P38/R38*(1+S38)*V38/3600</f>
        <v>0</v>
      </c>
      <c r="X38" s="80">
        <f>U38+W38</f>
        <v>2.4730293694444438</v>
      </c>
      <c r="Z38" s="143" t="s">
        <v>82</v>
      </c>
      <c r="AA38" s="144">
        <f>K95+K109-AA35-AA40</f>
        <v>48.783410231827844</v>
      </c>
      <c r="AB38" s="145" t="e">
        <f>AA38-AC38-AD38</f>
        <v>#REF!</v>
      </c>
      <c r="AC38" s="146" t="e">
        <f>#REF!+#REF!</f>
        <v>#REF!</v>
      </c>
      <c r="AD38" s="146" t="e">
        <f>K109-#REF!-#REF!</f>
        <v>#REF!</v>
      </c>
      <c r="AE38" s="135" t="e">
        <f t="shared" si="25"/>
        <v>#REF!</v>
      </c>
      <c r="AF38" s="135" t="e">
        <f>AA38-AE38</f>
        <v>#REF!</v>
      </c>
      <c r="AL38" s="1">
        <v>14.572499999999998</v>
      </c>
    </row>
    <row r="39" spans="1:38" ht="14.25" customHeight="1" thickBot="1">
      <c r="A39" s="5"/>
      <c r="B39" s="137"/>
      <c r="C39" s="136" t="s">
        <v>255</v>
      </c>
      <c r="D39" s="139"/>
      <c r="E39" s="139" t="s">
        <v>261</v>
      </c>
      <c r="F39" s="139"/>
      <c r="G39" s="138">
        <v>1</v>
      </c>
      <c r="H39" s="139" t="s">
        <v>76</v>
      </c>
      <c r="I39" s="140">
        <v>5.0000000000000001E-3</v>
      </c>
      <c r="J39" s="141">
        <v>24.6</v>
      </c>
      <c r="K39" s="80">
        <f t="shared" si="21"/>
        <v>24.722999999999999</v>
      </c>
      <c r="L39" s="148"/>
      <c r="N39" s="129" t="s">
        <v>83</v>
      </c>
      <c r="O39" s="81"/>
      <c r="P39" s="340">
        <v>14.31</v>
      </c>
      <c r="Q39" s="340">
        <v>2</v>
      </c>
      <c r="R39" s="130">
        <v>0.9</v>
      </c>
      <c r="S39" s="130">
        <v>5.0000000000000001E-3</v>
      </c>
      <c r="T39" s="129">
        <f t="shared" si="27"/>
        <v>226.37</v>
      </c>
      <c r="U39" s="129">
        <f>P39*Q39/R39*(1+S39)*T39/3600</f>
        <v>2.0095996749999996</v>
      </c>
      <c r="V39" s="129">
        <v>0</v>
      </c>
      <c r="W39" s="79">
        <f>P39/R39*(1+S39)*V39/3600</f>
        <v>0</v>
      </c>
      <c r="X39" s="80">
        <f>U39+W39</f>
        <v>2.0095996749999996</v>
      </c>
      <c r="Z39" s="149" t="s">
        <v>84</v>
      </c>
      <c r="AA39" s="150">
        <f>SUM(AA35:AA38)</f>
        <v>474.73535906397228</v>
      </c>
      <c r="AB39" s="151" t="e">
        <f>SUM(AB35:AB38)</f>
        <v>#REF!</v>
      </c>
      <c r="AC39" s="152" t="e">
        <f>SUM(AC35:AC38)</f>
        <v>#REF!</v>
      </c>
      <c r="AD39" s="152" t="e">
        <f>SUM(AD35:AD38)</f>
        <v>#REF!</v>
      </c>
      <c r="AE39" s="135" t="e">
        <f t="shared" si="25"/>
        <v>#REF!</v>
      </c>
      <c r="AF39" s="135" t="e">
        <f>AA39-AE39</f>
        <v>#REF!</v>
      </c>
      <c r="AL39" s="1">
        <v>14.552399999999999</v>
      </c>
    </row>
    <row r="40" spans="1:38" ht="14.25" customHeight="1">
      <c r="A40" s="5"/>
      <c r="B40" s="137"/>
      <c r="C40" s="136" t="s">
        <v>256</v>
      </c>
      <c r="D40" s="139"/>
      <c r="E40" s="139" t="s">
        <v>262</v>
      </c>
      <c r="F40" s="139"/>
      <c r="G40" s="138">
        <v>1</v>
      </c>
      <c r="H40" s="139" t="s">
        <v>76</v>
      </c>
      <c r="I40" s="140">
        <v>5.0000000000000001E-3</v>
      </c>
      <c r="J40" s="141">
        <v>23.98</v>
      </c>
      <c r="K40" s="80">
        <f t="shared" si="21"/>
        <v>24.099899999999998</v>
      </c>
      <c r="L40" s="148"/>
      <c r="N40" s="129" t="s">
        <v>85</v>
      </c>
      <c r="O40" s="81"/>
      <c r="P40" s="340">
        <v>21.4</v>
      </c>
      <c r="Q40" s="340">
        <v>2</v>
      </c>
      <c r="R40" s="130">
        <v>0.9</v>
      </c>
      <c r="S40" s="130">
        <v>5.0000000000000001E-3</v>
      </c>
      <c r="T40" s="129">
        <f t="shared" si="27"/>
        <v>226.37</v>
      </c>
      <c r="U40" s="129">
        <f t="shared" si="22"/>
        <v>3.0052713518518512</v>
      </c>
      <c r="V40" s="129">
        <v>0</v>
      </c>
      <c r="W40" s="79">
        <f t="shared" si="23"/>
        <v>0</v>
      </c>
      <c r="X40" s="80">
        <f t="shared" si="24"/>
        <v>3.0052713518518512</v>
      </c>
      <c r="Z40" s="153" t="s">
        <v>75</v>
      </c>
      <c r="AA40" s="154">
        <f>W25</f>
        <v>34.503047341666672</v>
      </c>
      <c r="AB40" s="155">
        <f>AA40</f>
        <v>34.503047341666672</v>
      </c>
      <c r="AC40" s="156"/>
      <c r="AD40" s="156"/>
      <c r="AE40" s="135">
        <f t="shared" si="25"/>
        <v>34.503047341666672</v>
      </c>
      <c r="AF40" s="135">
        <f t="shared" si="26"/>
        <v>0</v>
      </c>
      <c r="AL40" s="1">
        <v>43.202939999999998</v>
      </c>
    </row>
    <row r="41" spans="1:38" ht="14.25" customHeight="1">
      <c r="A41" s="5"/>
      <c r="B41" s="38"/>
      <c r="C41" s="136"/>
      <c r="D41" s="139"/>
      <c r="E41" s="139"/>
      <c r="F41" s="139"/>
      <c r="G41" s="138"/>
      <c r="H41" s="139"/>
      <c r="I41" s="140"/>
      <c r="J41" s="141"/>
      <c r="K41" s="80">
        <f t="shared" si="21"/>
        <v>0</v>
      </c>
      <c r="L41" s="148"/>
      <c r="N41" s="129" t="s">
        <v>86</v>
      </c>
      <c r="O41" s="81"/>
      <c r="P41" s="129">
        <v>0</v>
      </c>
      <c r="Q41" s="129">
        <v>0</v>
      </c>
      <c r="R41" s="130">
        <v>0.9</v>
      </c>
      <c r="S41" s="130">
        <v>5.0000000000000001E-3</v>
      </c>
      <c r="T41" s="129">
        <f t="shared" si="27"/>
        <v>226.37</v>
      </c>
      <c r="U41" s="129">
        <f t="shared" si="22"/>
        <v>0</v>
      </c>
      <c r="V41" s="129">
        <v>0</v>
      </c>
      <c r="W41" s="79">
        <f t="shared" si="23"/>
        <v>0</v>
      </c>
      <c r="X41" s="80">
        <f t="shared" si="24"/>
        <v>0</v>
      </c>
      <c r="Z41" s="143" t="s">
        <v>78</v>
      </c>
      <c r="AA41" s="157">
        <f>+X78-AA36</f>
        <v>27.812296424074077</v>
      </c>
      <c r="AB41" s="155">
        <f>AA41</f>
        <v>27.812296424074077</v>
      </c>
      <c r="AC41" s="158"/>
      <c r="AD41" s="158"/>
      <c r="AE41" s="135">
        <f t="shared" si="25"/>
        <v>27.812296424074077</v>
      </c>
      <c r="AF41" s="135">
        <f t="shared" si="26"/>
        <v>0</v>
      </c>
      <c r="AL41" s="1">
        <v>43.202939999999998</v>
      </c>
    </row>
    <row r="42" spans="1:38" ht="14.25" customHeight="1" thickBot="1">
      <c r="A42" s="5"/>
      <c r="B42" s="53"/>
      <c r="C42" s="159"/>
      <c r="D42" s="159"/>
      <c r="E42" s="159"/>
      <c r="F42" s="159"/>
      <c r="G42" s="159"/>
      <c r="H42" s="159"/>
      <c r="I42" s="159"/>
      <c r="J42" s="160"/>
      <c r="K42" s="161"/>
      <c r="L42" s="5"/>
      <c r="N42" s="129" t="s">
        <v>87</v>
      </c>
      <c r="O42" s="81"/>
      <c r="P42" s="340">
        <v>18.100000000000001</v>
      </c>
      <c r="Q42" s="340">
        <v>2</v>
      </c>
      <c r="R42" s="130">
        <v>0.9</v>
      </c>
      <c r="S42" s="130">
        <v>5.0000000000000001E-3</v>
      </c>
      <c r="T42" s="129">
        <f t="shared" si="27"/>
        <v>226.37</v>
      </c>
      <c r="U42" s="129">
        <f t="shared" si="22"/>
        <v>2.541841657407407</v>
      </c>
      <c r="V42" s="129">
        <f>$R$99</f>
        <v>480.96</v>
      </c>
      <c r="W42" s="79">
        <f>P42/R42*(1+S42)*V42/3600</f>
        <v>2.7002786666666658</v>
      </c>
      <c r="X42" s="80">
        <f t="shared" si="24"/>
        <v>5.2421203240740724</v>
      </c>
      <c r="Z42" s="143" t="s">
        <v>80</v>
      </c>
      <c r="AA42" s="157">
        <f>+X80-AA37</f>
        <v>24.423284641777776</v>
      </c>
      <c r="AB42" s="155">
        <f>AA42</f>
        <v>24.423284641777776</v>
      </c>
      <c r="AC42" s="158"/>
      <c r="AD42" s="158"/>
      <c r="AE42" s="135">
        <f t="shared" si="25"/>
        <v>24.423284641777776</v>
      </c>
      <c r="AF42" s="135">
        <f>AA42-AE42</f>
        <v>0</v>
      </c>
    </row>
    <row r="43" spans="1:38" ht="14.25" customHeight="1" thickBot="1">
      <c r="A43" s="5"/>
      <c r="B43" s="89" t="s">
        <v>46</v>
      </c>
      <c r="C43" s="61"/>
      <c r="D43" s="61"/>
      <c r="E43" s="62"/>
      <c r="F43" s="61"/>
      <c r="G43" s="61"/>
      <c r="H43" s="61"/>
      <c r="I43" s="61"/>
      <c r="J43" s="162" t="s">
        <v>88</v>
      </c>
      <c r="K43" s="93">
        <f>SUM(K34:K42)</f>
        <v>144.51900000000001</v>
      </c>
      <c r="L43" s="5"/>
      <c r="M43" s="5"/>
      <c r="N43" s="129" t="s">
        <v>89</v>
      </c>
      <c r="O43" s="81"/>
      <c r="P43" s="340">
        <v>21.4</v>
      </c>
      <c r="Q43" s="340">
        <v>2</v>
      </c>
      <c r="R43" s="130">
        <v>0.9</v>
      </c>
      <c r="S43" s="130">
        <v>5.0000000000000001E-3</v>
      </c>
      <c r="T43" s="129">
        <f t="shared" si="27"/>
        <v>226.37</v>
      </c>
      <c r="U43" s="129">
        <f t="shared" si="22"/>
        <v>3.0052713518518512</v>
      </c>
      <c r="V43" s="129">
        <f>R99</f>
        <v>480.96</v>
      </c>
      <c r="W43" s="79">
        <f t="shared" si="23"/>
        <v>3.1925946666666656</v>
      </c>
      <c r="X43" s="80">
        <f t="shared" si="24"/>
        <v>6.1978660185185168</v>
      </c>
      <c r="Z43" s="143" t="s">
        <v>82</v>
      </c>
      <c r="AA43" s="144">
        <f>+SUM(X70:X72)+X82-X81</f>
        <v>27.243291851851865</v>
      </c>
      <c r="AB43" s="155">
        <f>AA43</f>
        <v>27.243291851851865</v>
      </c>
      <c r="AC43" s="146"/>
      <c r="AD43" s="146"/>
      <c r="AE43" s="135">
        <f t="shared" si="25"/>
        <v>27.243291851851865</v>
      </c>
      <c r="AF43" s="135">
        <f>AA43-AE43</f>
        <v>0</v>
      </c>
      <c r="AL43" s="1">
        <v>199.69239449999998</v>
      </c>
    </row>
    <row r="44" spans="1:38" ht="14.25" customHeight="1" thickBot="1">
      <c r="A44" s="5"/>
      <c r="B44" s="163" t="s">
        <v>90</v>
      </c>
      <c r="C44" s="136" t="s">
        <v>222</v>
      </c>
      <c r="D44" s="137" t="s">
        <v>112</v>
      </c>
      <c r="E44" s="137" t="s">
        <v>224</v>
      </c>
      <c r="F44" s="326"/>
      <c r="G44" s="138">
        <v>1</v>
      </c>
      <c r="H44" s="139" t="s">
        <v>76</v>
      </c>
      <c r="I44" s="140">
        <v>5.0000000000000001E-3</v>
      </c>
      <c r="J44" s="141">
        <v>22.48</v>
      </c>
      <c r="K44" s="33">
        <f t="shared" ref="K44:K49" si="28">G44*(1+I44)*J44</f>
        <v>22.592399999999998</v>
      </c>
      <c r="L44" s="5"/>
      <c r="N44" s="164" t="s">
        <v>91</v>
      </c>
      <c r="O44" s="85"/>
      <c r="P44" s="341">
        <v>17.899999999999999</v>
      </c>
      <c r="Q44" s="340">
        <v>2</v>
      </c>
      <c r="R44" s="130">
        <v>0.9</v>
      </c>
      <c r="S44" s="130">
        <v>5.0000000000000001E-3</v>
      </c>
      <c r="T44" s="129">
        <f t="shared" si="27"/>
        <v>226.37</v>
      </c>
      <c r="U44" s="164">
        <f t="shared" si="22"/>
        <v>2.5137550092592589</v>
      </c>
      <c r="V44" s="129">
        <v>0</v>
      </c>
      <c r="W44" s="83">
        <f t="shared" si="23"/>
        <v>0</v>
      </c>
      <c r="X44" s="84">
        <f t="shared" si="24"/>
        <v>2.5137550092592589</v>
      </c>
      <c r="Z44" s="165" t="s">
        <v>65</v>
      </c>
      <c r="AA44" s="166">
        <f>SUM(AA40:AA43)</f>
        <v>113.98192025937038</v>
      </c>
      <c r="AB44" s="167">
        <f>SUM(AB40:AB43)</f>
        <v>113.98192025937038</v>
      </c>
      <c r="AC44" s="168">
        <f>SUM(AC40:AC43)</f>
        <v>0</v>
      </c>
      <c r="AD44" s="168">
        <f>SUM(AD40:AD43)</f>
        <v>0</v>
      </c>
      <c r="AE44" s="135">
        <f t="shared" si="25"/>
        <v>113.98192025937038</v>
      </c>
      <c r="AF44" s="135">
        <f>AA44-AE44</f>
        <v>0</v>
      </c>
      <c r="AL44" s="1">
        <v>38.642249999999997</v>
      </c>
    </row>
    <row r="45" spans="1:38" ht="14.25" customHeight="1">
      <c r="A45" s="5"/>
      <c r="B45" s="38"/>
      <c r="C45" s="136" t="s">
        <v>223</v>
      </c>
      <c r="D45" s="137" t="s">
        <v>112</v>
      </c>
      <c r="E45" s="137" t="s">
        <v>225</v>
      </c>
      <c r="F45" s="137"/>
      <c r="G45" s="138">
        <v>1</v>
      </c>
      <c r="H45" s="139" t="s">
        <v>76</v>
      </c>
      <c r="I45" s="140">
        <v>5.0000000000000001E-3</v>
      </c>
      <c r="J45" s="141">
        <v>39.200000000000003</v>
      </c>
      <c r="K45" s="80">
        <f t="shared" si="28"/>
        <v>39.396000000000001</v>
      </c>
      <c r="L45" s="5"/>
      <c r="N45" s="164" t="s">
        <v>92</v>
      </c>
      <c r="O45" s="85"/>
      <c r="P45" s="341">
        <v>21.4</v>
      </c>
      <c r="Q45" s="340">
        <v>2</v>
      </c>
      <c r="R45" s="130">
        <v>0.9</v>
      </c>
      <c r="S45" s="130">
        <v>5.0000000000000001E-3</v>
      </c>
      <c r="T45" s="129">
        <f t="shared" si="27"/>
        <v>226.37</v>
      </c>
      <c r="U45" s="164">
        <f t="shared" si="22"/>
        <v>3.0052713518518512</v>
      </c>
      <c r="V45" s="129">
        <v>0</v>
      </c>
      <c r="W45" s="83">
        <f t="shared" si="23"/>
        <v>0</v>
      </c>
      <c r="X45" s="84">
        <f t="shared" si="24"/>
        <v>3.0052713518518512</v>
      </c>
      <c r="Z45" s="131" t="s">
        <v>75</v>
      </c>
      <c r="AA45" s="132">
        <f>AA35+AA40</f>
        <v>72.467670973811181</v>
      </c>
      <c r="AB45" s="133">
        <f t="shared" ref="AB45:AD47" si="29">AB35+AB40</f>
        <v>72.467670973811181</v>
      </c>
      <c r="AC45" s="134">
        <f t="shared" si="29"/>
        <v>0</v>
      </c>
      <c r="AD45" s="134">
        <f t="shared" si="29"/>
        <v>0</v>
      </c>
      <c r="AE45" s="135">
        <f>SUM(AB45:AD45)</f>
        <v>72.467670973811181</v>
      </c>
      <c r="AF45" s="135">
        <f t="shared" si="26"/>
        <v>0</v>
      </c>
      <c r="AL45" s="1">
        <v>44.531549999999996</v>
      </c>
    </row>
    <row r="46" spans="1:38" ht="14.25" customHeight="1">
      <c r="A46" s="5"/>
      <c r="B46" s="169"/>
      <c r="C46" s="136" t="s">
        <v>264</v>
      </c>
      <c r="D46" s="139" t="s">
        <v>112</v>
      </c>
      <c r="E46" s="147" t="s">
        <v>253</v>
      </c>
      <c r="F46" s="139"/>
      <c r="G46" s="138">
        <v>1</v>
      </c>
      <c r="H46" s="139" t="s">
        <v>76</v>
      </c>
      <c r="I46" s="140">
        <v>5.0000000000000001E-3</v>
      </c>
      <c r="J46" s="141">
        <v>41.44</v>
      </c>
      <c r="K46" s="80">
        <f t="shared" si="28"/>
        <v>41.647199999999991</v>
      </c>
      <c r="L46" s="5"/>
      <c r="N46" s="171"/>
      <c r="O46" s="172"/>
      <c r="P46" s="159"/>
      <c r="Q46" s="159"/>
      <c r="R46" s="159"/>
      <c r="S46" s="159"/>
      <c r="T46" s="159"/>
      <c r="U46" s="159"/>
      <c r="V46" s="159"/>
      <c r="W46" s="160"/>
      <c r="X46" s="173"/>
      <c r="Z46" s="153" t="s">
        <v>78</v>
      </c>
      <c r="AA46" s="174">
        <f>AA36+AA41</f>
        <v>376.78045642407409</v>
      </c>
      <c r="AB46" s="145">
        <f t="shared" si="29"/>
        <v>27.812296424074077</v>
      </c>
      <c r="AC46" s="175">
        <f t="shared" si="29"/>
        <v>204.44915999999998</v>
      </c>
      <c r="AD46" s="175">
        <f t="shared" si="29"/>
        <v>144.51900000000001</v>
      </c>
      <c r="AE46" s="135">
        <f t="shared" si="25"/>
        <v>376.78045642407403</v>
      </c>
      <c r="AF46" s="135">
        <f t="shared" si="26"/>
        <v>0</v>
      </c>
      <c r="AL46" s="1">
        <v>25.828499999999998</v>
      </c>
    </row>
    <row r="47" spans="1:38" ht="14.25" customHeight="1" thickBot="1">
      <c r="A47" s="5"/>
      <c r="B47" s="176"/>
      <c r="C47" s="37" t="s">
        <v>263</v>
      </c>
      <c r="D47" s="137" t="s">
        <v>112</v>
      </c>
      <c r="E47" s="137" t="s">
        <v>254</v>
      </c>
      <c r="F47" s="137"/>
      <c r="G47" s="77">
        <v>1</v>
      </c>
      <c r="H47" s="42" t="s">
        <v>76</v>
      </c>
      <c r="I47" s="140">
        <v>5.0000000000000001E-3</v>
      </c>
      <c r="J47" s="170">
        <v>37.03</v>
      </c>
      <c r="K47" s="80">
        <f t="shared" si="28"/>
        <v>37.215149999999994</v>
      </c>
      <c r="L47" s="5"/>
      <c r="N47" s="177" t="s">
        <v>46</v>
      </c>
      <c r="O47" s="178"/>
      <c r="P47" s="61"/>
      <c r="Q47" s="61"/>
      <c r="R47" s="61"/>
      <c r="S47" s="61"/>
      <c r="T47" s="61"/>
      <c r="U47" s="61"/>
      <c r="V47" s="61"/>
      <c r="W47" s="179" t="s">
        <v>94</v>
      </c>
      <c r="X47" s="180">
        <f>SUM(X34:X46)</f>
        <v>27.81229642407407</v>
      </c>
      <c r="Z47" s="143" t="s">
        <v>80</v>
      </c>
      <c r="AA47" s="144">
        <f>AA37+AA42</f>
        <v>63.442449841777773</v>
      </c>
      <c r="AB47" s="145">
        <f t="shared" si="29"/>
        <v>24.423284641777776</v>
      </c>
      <c r="AC47" s="146">
        <f t="shared" si="29"/>
        <v>39.019165199999996</v>
      </c>
      <c r="AD47" s="146">
        <f t="shared" si="29"/>
        <v>0</v>
      </c>
      <c r="AE47" s="135">
        <f t="shared" si="25"/>
        <v>63.442449841777773</v>
      </c>
      <c r="AF47" s="135">
        <f t="shared" si="26"/>
        <v>0</v>
      </c>
      <c r="AL47" s="1">
        <v>25.828499999999998</v>
      </c>
    </row>
    <row r="48" spans="1:38" ht="14.25" customHeight="1">
      <c r="A48" s="5"/>
      <c r="B48" s="181"/>
      <c r="C48" s="37" t="s">
        <v>251</v>
      </c>
      <c r="D48" s="176" t="s">
        <v>93</v>
      </c>
      <c r="E48" s="137" t="s">
        <v>252</v>
      </c>
      <c r="F48" s="137"/>
      <c r="G48" s="77">
        <v>1</v>
      </c>
      <c r="H48" s="42" t="s">
        <v>76</v>
      </c>
      <c r="I48" s="140">
        <v>5.0000000000000001E-3</v>
      </c>
      <c r="J48" s="170">
        <v>50.13</v>
      </c>
      <c r="K48" s="80">
        <f t="shared" si="28"/>
        <v>50.380649999999996</v>
      </c>
      <c r="L48" s="5"/>
      <c r="N48" s="332"/>
      <c r="O48" s="333"/>
      <c r="P48" s="94"/>
      <c r="Q48" s="94"/>
      <c r="R48" s="94"/>
      <c r="S48" s="94"/>
      <c r="T48" s="94"/>
      <c r="U48" s="94"/>
      <c r="V48" s="94"/>
      <c r="W48" s="234"/>
      <c r="X48" s="334"/>
      <c r="Z48" s="143"/>
      <c r="AA48" s="144"/>
      <c r="AB48" s="183"/>
      <c r="AC48" s="146"/>
      <c r="AD48" s="146"/>
      <c r="AE48" s="135"/>
      <c r="AF48" s="135"/>
    </row>
    <row r="49" spans="1:38" ht="14.25" customHeight="1">
      <c r="A49" s="5"/>
      <c r="B49" s="181"/>
      <c r="C49" s="37" t="s">
        <v>206</v>
      </c>
      <c r="D49" s="176" t="s">
        <v>96</v>
      </c>
      <c r="E49" s="137" t="s">
        <v>95</v>
      </c>
      <c r="F49" s="325">
        <v>1.37E-2</v>
      </c>
      <c r="G49" s="77">
        <v>8</v>
      </c>
      <c r="H49" s="42" t="s">
        <v>76</v>
      </c>
      <c r="I49" s="140">
        <v>5.0000000000000001E-3</v>
      </c>
      <c r="J49" s="170">
        <f>F49/K4</f>
        <v>1.6440000000000001</v>
      </c>
      <c r="K49" s="80">
        <f t="shared" si="28"/>
        <v>13.21776</v>
      </c>
      <c r="L49" s="5"/>
      <c r="N49" s="332"/>
      <c r="O49" s="333"/>
      <c r="P49" s="94"/>
      <c r="Q49" s="94"/>
      <c r="R49" s="94"/>
      <c r="S49" s="94"/>
      <c r="T49" s="94"/>
      <c r="U49" s="94"/>
      <c r="V49" s="94"/>
      <c r="W49" s="234"/>
      <c r="X49" s="334"/>
      <c r="Z49" s="143"/>
      <c r="AA49" s="144"/>
      <c r="AB49" s="183"/>
      <c r="AC49" s="146"/>
      <c r="AD49" s="146"/>
      <c r="AE49" s="135"/>
      <c r="AF49" s="135"/>
    </row>
    <row r="50" spans="1:38" ht="14.25" customHeight="1">
      <c r="A50" s="5"/>
      <c r="B50" s="181"/>
      <c r="C50" s="37"/>
      <c r="D50" s="176"/>
      <c r="E50" s="137"/>
      <c r="F50" s="137"/>
      <c r="G50" s="77"/>
      <c r="H50" s="42"/>
      <c r="I50" s="140"/>
      <c r="J50" s="170"/>
      <c r="K50" s="80"/>
      <c r="L50" s="5"/>
      <c r="N50" s="332"/>
      <c r="O50" s="333"/>
      <c r="P50" s="94"/>
      <c r="Q50" s="94"/>
      <c r="R50" s="94"/>
      <c r="S50" s="94"/>
      <c r="T50" s="94"/>
      <c r="U50" s="94"/>
      <c r="V50" s="94"/>
      <c r="W50" s="234"/>
      <c r="X50" s="334"/>
      <c r="Z50" s="143"/>
      <c r="AA50" s="144"/>
      <c r="AB50" s="183"/>
      <c r="AC50" s="146"/>
      <c r="AD50" s="146"/>
      <c r="AE50" s="135"/>
      <c r="AF50" s="135"/>
    </row>
    <row r="51" spans="1:38" ht="14.25" customHeight="1">
      <c r="A51" s="5"/>
      <c r="B51" s="181"/>
      <c r="C51" s="37"/>
      <c r="D51" s="176"/>
      <c r="E51" s="137"/>
      <c r="F51" s="137"/>
      <c r="G51" s="77"/>
      <c r="H51" s="42"/>
      <c r="I51" s="140"/>
      <c r="J51" s="170"/>
      <c r="K51" s="80"/>
      <c r="L51" s="5"/>
      <c r="N51" s="332"/>
      <c r="O51" s="333"/>
      <c r="P51" s="94"/>
      <c r="Q51" s="94"/>
      <c r="R51" s="94"/>
      <c r="S51" s="94"/>
      <c r="T51" s="94"/>
      <c r="U51" s="94"/>
      <c r="V51" s="94"/>
      <c r="W51" s="234"/>
      <c r="X51" s="334"/>
      <c r="Z51" s="143"/>
      <c r="AA51" s="144"/>
      <c r="AB51" s="183"/>
      <c r="AC51" s="146"/>
      <c r="AD51" s="146"/>
      <c r="AE51" s="135"/>
      <c r="AF51" s="135"/>
    </row>
    <row r="52" spans="1:38" ht="14.25" customHeight="1">
      <c r="A52" s="5"/>
      <c r="B52" s="181"/>
      <c r="C52" s="37"/>
      <c r="D52" s="176"/>
      <c r="E52" s="137"/>
      <c r="F52" s="325"/>
      <c r="G52" s="77"/>
      <c r="H52" s="42"/>
      <c r="I52" s="140"/>
      <c r="J52" s="170"/>
      <c r="K52" s="80"/>
      <c r="L52" s="5"/>
      <c r="N52" s="332"/>
      <c r="O52" s="333"/>
      <c r="P52" s="94"/>
      <c r="Q52" s="94"/>
      <c r="R52" s="94"/>
      <c r="S52" s="94"/>
      <c r="T52" s="94"/>
      <c r="U52" s="94"/>
      <c r="V52" s="94"/>
      <c r="W52" s="234"/>
      <c r="X52" s="334"/>
      <c r="Z52" s="143"/>
      <c r="AA52" s="144"/>
      <c r="AB52" s="183"/>
      <c r="AC52" s="146"/>
      <c r="AD52" s="146"/>
      <c r="AE52" s="135"/>
      <c r="AF52" s="135"/>
    </row>
    <row r="53" spans="1:38" ht="14.25" customHeight="1">
      <c r="A53" s="5"/>
      <c r="B53" s="181"/>
      <c r="C53" s="37"/>
      <c r="D53" s="129"/>
      <c r="E53" s="42"/>
      <c r="F53" s="182"/>
      <c r="G53" s="77"/>
      <c r="H53" s="42"/>
      <c r="I53" s="41"/>
      <c r="J53" s="79"/>
      <c r="K53" s="80"/>
      <c r="L53" s="148"/>
      <c r="Z53" s="143" t="s">
        <v>82</v>
      </c>
      <c r="AA53" s="144">
        <f>AA38+AA43</f>
        <v>76.026702083679709</v>
      </c>
      <c r="AB53" s="183" t="e">
        <f>AB38+AB43</f>
        <v>#REF!</v>
      </c>
      <c r="AC53" s="146" t="e">
        <f>AC38+AC43</f>
        <v>#REF!</v>
      </c>
      <c r="AD53" s="146" t="e">
        <f>AD38+AD43</f>
        <v>#REF!</v>
      </c>
      <c r="AE53" s="135" t="e">
        <f t="shared" si="25"/>
        <v>#REF!</v>
      </c>
      <c r="AF53" s="135" t="e">
        <f t="shared" si="26"/>
        <v>#REF!</v>
      </c>
      <c r="AL53" s="1">
        <v>13.507199999999997</v>
      </c>
    </row>
    <row r="54" spans="1:38" ht="14.25" customHeight="1" thickBot="1">
      <c r="A54" s="5"/>
      <c r="B54" s="171"/>
      <c r="C54" s="159"/>
      <c r="D54" s="159"/>
      <c r="E54" s="159"/>
      <c r="F54" s="159"/>
      <c r="G54" s="159"/>
      <c r="H54" s="159"/>
      <c r="I54" s="159"/>
      <c r="J54" s="171"/>
      <c r="K54" s="184"/>
      <c r="N54" s="97" t="s">
        <v>97</v>
      </c>
      <c r="Z54" s="143" t="s">
        <v>37</v>
      </c>
      <c r="AA54" s="150">
        <f>SUM(AA45:AA53)</f>
        <v>588.71727932334284</v>
      </c>
      <c r="AB54" s="145" t="e">
        <f>SUM(AB45:AB53)</f>
        <v>#REF!</v>
      </c>
      <c r="AC54" s="146" t="e">
        <f>SUM(AC45:AC53)</f>
        <v>#REF!</v>
      </c>
      <c r="AD54" s="146" t="e">
        <f>SUM(AD45:AD53)</f>
        <v>#REF!</v>
      </c>
      <c r="AE54" s="135" t="e">
        <f t="shared" si="25"/>
        <v>#REF!</v>
      </c>
      <c r="AF54" s="135" t="e">
        <f t="shared" si="26"/>
        <v>#REF!</v>
      </c>
    </row>
    <row r="55" spans="1:38" ht="14.25" customHeight="1" thickBot="1">
      <c r="A55" s="5"/>
      <c r="B55" s="89" t="s">
        <v>46</v>
      </c>
      <c r="C55" s="185"/>
      <c r="D55" s="185"/>
      <c r="E55" s="186"/>
      <c r="F55" s="185"/>
      <c r="G55" s="185"/>
      <c r="H55" s="185"/>
      <c r="I55" s="185"/>
      <c r="J55" s="187" t="s">
        <v>98</v>
      </c>
      <c r="K55" s="188">
        <f>SUM(K44:K54)</f>
        <v>204.44915999999998</v>
      </c>
      <c r="L55" s="5"/>
      <c r="N55" s="108" t="s">
        <v>99</v>
      </c>
      <c r="O55" s="109"/>
      <c r="P55" s="110" t="s">
        <v>31</v>
      </c>
      <c r="Q55" s="110" t="s">
        <v>61</v>
      </c>
      <c r="R55" s="110" t="s">
        <v>62</v>
      </c>
      <c r="S55" s="110" t="s">
        <v>22</v>
      </c>
      <c r="T55" s="110" t="s">
        <v>63</v>
      </c>
      <c r="U55" s="110" t="s">
        <v>33</v>
      </c>
      <c r="V55" s="110" t="s">
        <v>64</v>
      </c>
      <c r="W55" s="110" t="s">
        <v>35</v>
      </c>
      <c r="X55" s="22" t="s">
        <v>65</v>
      </c>
      <c r="AA55" s="189"/>
      <c r="AL55" s="1">
        <v>148.33799999999997</v>
      </c>
    </row>
    <row r="56" spans="1:38" ht="14.25" customHeight="1">
      <c r="A56" s="5"/>
      <c r="L56" s="5"/>
      <c r="N56" s="129" t="s">
        <v>100</v>
      </c>
      <c r="O56" s="81"/>
      <c r="P56" s="129">
        <v>60</v>
      </c>
      <c r="Q56" s="129">
        <v>3</v>
      </c>
      <c r="R56" s="130">
        <v>0.75</v>
      </c>
      <c r="S56" s="130">
        <v>0.05</v>
      </c>
      <c r="T56" s="129">
        <f t="shared" ref="T56:T65" si="30">$Q$100</f>
        <v>304.55</v>
      </c>
      <c r="U56" s="129">
        <v>0</v>
      </c>
      <c r="V56" s="129">
        <v>0</v>
      </c>
      <c r="W56" s="129">
        <f t="shared" ref="W56:W65" si="31">P56/R56*(1+S56)*V56/3600</f>
        <v>0</v>
      </c>
      <c r="X56" s="80">
        <f t="shared" ref="X56:X64" si="32">U56+W56</f>
        <v>0</v>
      </c>
    </row>
    <row r="57" spans="1:38" ht="14.25" customHeight="1" thickBot="1">
      <c r="A57" s="5"/>
      <c r="B57" s="97" t="s">
        <v>101</v>
      </c>
      <c r="C57" s="5"/>
      <c r="D57" s="5"/>
      <c r="E57" s="102"/>
      <c r="F57" s="5"/>
      <c r="G57" s="5"/>
      <c r="H57" s="5"/>
      <c r="I57" s="5"/>
      <c r="J57" s="5"/>
      <c r="K57" s="5"/>
      <c r="L57" s="5"/>
      <c r="N57" s="129" t="s">
        <v>102</v>
      </c>
      <c r="O57" s="81"/>
      <c r="P57" s="340">
        <v>6.8819999999999997</v>
      </c>
      <c r="Q57" s="340">
        <v>1</v>
      </c>
      <c r="R57" s="130">
        <v>0.75</v>
      </c>
      <c r="S57" s="130">
        <v>5.0000000000000001E-3</v>
      </c>
      <c r="T57" s="129">
        <f t="shared" si="30"/>
        <v>304.55</v>
      </c>
      <c r="U57" s="129">
        <f t="shared" ref="U57:U65" si="33">P57*Q57/R57*(1+S57)*T57/3600</f>
        <v>0.78014543166666661</v>
      </c>
      <c r="V57" s="129">
        <f t="shared" ref="V57:V64" si="34">$R$100</f>
        <v>781.96</v>
      </c>
      <c r="W57" s="129">
        <f>P57/R57*(1+S57)*V57/3600</f>
        <v>2.003094801333333</v>
      </c>
      <c r="X57" s="80">
        <f t="shared" si="32"/>
        <v>2.7832402329999995</v>
      </c>
    </row>
    <row r="58" spans="1:38" ht="14.25" customHeight="1" thickBot="1">
      <c r="A58" s="5"/>
      <c r="B58" s="108" t="s">
        <v>54</v>
      </c>
      <c r="C58" s="190"/>
      <c r="D58" s="21" t="s">
        <v>17</v>
      </c>
      <c r="E58" s="21" t="s">
        <v>18</v>
      </c>
      <c r="F58" s="191" t="s">
        <v>55</v>
      </c>
      <c r="G58" s="21" t="s">
        <v>56</v>
      </c>
      <c r="H58" s="21" t="s">
        <v>57</v>
      </c>
      <c r="I58" s="21" t="s">
        <v>22</v>
      </c>
      <c r="J58" s="21" t="s">
        <v>50</v>
      </c>
      <c r="K58" s="22" t="s">
        <v>58</v>
      </c>
      <c r="L58" s="5"/>
      <c r="N58" s="129" t="s">
        <v>102</v>
      </c>
      <c r="O58" s="81"/>
      <c r="P58" s="340">
        <v>6.8819999999999997</v>
      </c>
      <c r="Q58" s="340">
        <v>1</v>
      </c>
      <c r="R58" s="130">
        <v>0.75</v>
      </c>
      <c r="S58" s="130">
        <v>5.0000000000000001E-3</v>
      </c>
      <c r="T58" s="129">
        <f t="shared" si="30"/>
        <v>304.55</v>
      </c>
      <c r="U58" s="129">
        <f t="shared" si="33"/>
        <v>0.78014543166666661</v>
      </c>
      <c r="V58" s="129">
        <f t="shared" si="34"/>
        <v>781.96</v>
      </c>
      <c r="W58" s="129">
        <f>P58/R58*(1+S58)*V58/3600</f>
        <v>2.003094801333333</v>
      </c>
      <c r="X58" s="80">
        <f t="shared" si="32"/>
        <v>2.7832402329999995</v>
      </c>
      <c r="AL58" s="1" t="s">
        <v>58</v>
      </c>
    </row>
    <row r="59" spans="1:38" ht="14.25" customHeight="1" thickTop="1" thickBot="1">
      <c r="A59" s="5"/>
      <c r="B59" s="192" t="s">
        <v>66</v>
      </c>
      <c r="C59" s="193" t="s">
        <v>103</v>
      </c>
      <c r="D59" s="194" t="s">
        <v>103</v>
      </c>
      <c r="E59" s="27" t="s">
        <v>43</v>
      </c>
      <c r="F59" s="194" t="s">
        <v>103</v>
      </c>
      <c r="G59" s="195" t="s">
        <v>103</v>
      </c>
      <c r="H59" s="32"/>
      <c r="I59" s="30"/>
      <c r="J59" s="194" t="s">
        <v>103</v>
      </c>
      <c r="K59" s="196" t="s">
        <v>103</v>
      </c>
      <c r="L59" s="5"/>
      <c r="M59" s="197"/>
      <c r="N59" s="129" t="s">
        <v>102</v>
      </c>
      <c r="O59" s="81"/>
      <c r="P59" s="340">
        <v>6.8819999999999997</v>
      </c>
      <c r="Q59" s="340">
        <v>1</v>
      </c>
      <c r="R59" s="130">
        <v>0.75</v>
      </c>
      <c r="S59" s="130">
        <v>5.0000000000000001E-3</v>
      </c>
      <c r="T59" s="129">
        <f t="shared" si="30"/>
        <v>304.55</v>
      </c>
      <c r="U59" s="129">
        <f t="shared" si="33"/>
        <v>0.78014543166666661</v>
      </c>
      <c r="V59" s="129">
        <f t="shared" si="34"/>
        <v>781.96</v>
      </c>
      <c r="W59" s="129">
        <f>P59/R59*(1+S59)*V59/3600</f>
        <v>2.003094801333333</v>
      </c>
      <c r="X59" s="80">
        <f t="shared" si="32"/>
        <v>2.7832402329999995</v>
      </c>
      <c r="AL59" s="1" t="s">
        <v>103</v>
      </c>
    </row>
    <row r="60" spans="1:38" ht="14.25" customHeight="1" thickBot="1">
      <c r="A60" s="5"/>
      <c r="B60" s="89" t="s">
        <v>46</v>
      </c>
      <c r="C60" s="61"/>
      <c r="D60" s="61"/>
      <c r="E60" s="62"/>
      <c r="F60" s="61"/>
      <c r="G60" s="61"/>
      <c r="H60" s="61"/>
      <c r="I60" s="198"/>
      <c r="J60" s="199" t="s">
        <v>104</v>
      </c>
      <c r="K60" s="91">
        <f>SUM(K59:K59)</f>
        <v>0</v>
      </c>
      <c r="M60" s="197"/>
      <c r="N60" s="129" t="s">
        <v>102</v>
      </c>
      <c r="O60" s="81"/>
      <c r="P60" s="340">
        <v>6.8819999999999997</v>
      </c>
      <c r="Q60" s="340">
        <v>1</v>
      </c>
      <c r="R60" s="130">
        <v>0.75</v>
      </c>
      <c r="S60" s="130">
        <v>5.0000000000000001E-3</v>
      </c>
      <c r="T60" s="129">
        <f t="shared" si="30"/>
        <v>304.55</v>
      </c>
      <c r="U60" s="129">
        <f t="shared" si="33"/>
        <v>0.78014543166666661</v>
      </c>
      <c r="V60" s="129">
        <f t="shared" si="34"/>
        <v>781.96</v>
      </c>
      <c r="W60" s="129">
        <f>P60/R60*(1+S60)*V60/3600</f>
        <v>2.003094801333333</v>
      </c>
      <c r="X60" s="80">
        <f t="shared" si="32"/>
        <v>2.7832402329999995</v>
      </c>
      <c r="AL60" s="1">
        <v>0</v>
      </c>
    </row>
    <row r="61" spans="1:38" ht="14.25" customHeight="1">
      <c r="A61" s="5"/>
      <c r="B61" s="200" t="s">
        <v>105</v>
      </c>
      <c r="C61" s="201"/>
      <c r="D61" s="139"/>
      <c r="E61" s="136"/>
      <c r="F61" s="139"/>
      <c r="G61" s="138"/>
      <c r="H61" s="202"/>
      <c r="I61" s="203"/>
      <c r="J61" s="202"/>
      <c r="K61" s="204">
        <f t="shared" ref="K61:K80" si="35">G61*(1+I61)*J61</f>
        <v>0</v>
      </c>
      <c r="L61" s="5"/>
      <c r="M61" s="197"/>
      <c r="N61" s="129" t="s">
        <v>102</v>
      </c>
      <c r="O61" s="81"/>
      <c r="P61" s="340">
        <v>6.8819999999999997</v>
      </c>
      <c r="Q61" s="340">
        <v>1</v>
      </c>
      <c r="R61" s="130">
        <v>0.75</v>
      </c>
      <c r="S61" s="130">
        <v>5.0000000000000001E-3</v>
      </c>
      <c r="T61" s="129">
        <f t="shared" si="30"/>
        <v>304.55</v>
      </c>
      <c r="U61" s="129">
        <f t="shared" si="33"/>
        <v>0.78014543166666661</v>
      </c>
      <c r="V61" s="129">
        <f t="shared" si="34"/>
        <v>781.96</v>
      </c>
      <c r="W61" s="129">
        <f t="shared" si="31"/>
        <v>2.003094801333333</v>
      </c>
      <c r="X61" s="80">
        <f t="shared" si="32"/>
        <v>2.7832402329999995</v>
      </c>
      <c r="AL61" s="1">
        <v>5.0652000000000008</v>
      </c>
    </row>
    <row r="62" spans="1:38" ht="14.25" customHeight="1">
      <c r="A62" s="5"/>
      <c r="B62" s="137"/>
      <c r="C62" s="201" t="s">
        <v>178</v>
      </c>
      <c r="D62" s="139"/>
      <c r="E62" s="136" t="s">
        <v>181</v>
      </c>
      <c r="F62" s="139"/>
      <c r="G62" s="138">
        <v>1</v>
      </c>
      <c r="H62" s="202" t="s">
        <v>67</v>
      </c>
      <c r="I62" s="203">
        <v>5.0000000000000001E-3</v>
      </c>
      <c r="J62" s="139">
        <v>2.14</v>
      </c>
      <c r="K62" s="142">
        <f t="shared" si="35"/>
        <v>2.1507000000000001</v>
      </c>
      <c r="L62" s="5"/>
      <c r="M62" s="197"/>
      <c r="N62" s="129" t="s">
        <v>102</v>
      </c>
      <c r="O62" s="81"/>
      <c r="P62" s="340">
        <v>6.8819999999999997</v>
      </c>
      <c r="Q62" s="340">
        <v>1</v>
      </c>
      <c r="R62" s="130">
        <v>0.75</v>
      </c>
      <c r="S62" s="130">
        <v>5.0000000000000001E-3</v>
      </c>
      <c r="T62" s="129">
        <f t="shared" si="30"/>
        <v>304.55</v>
      </c>
      <c r="U62" s="129">
        <f t="shared" si="33"/>
        <v>0.78014543166666661</v>
      </c>
      <c r="V62" s="129">
        <f t="shared" si="34"/>
        <v>781.96</v>
      </c>
      <c r="W62" s="129">
        <f t="shared" si="31"/>
        <v>2.003094801333333</v>
      </c>
      <c r="X62" s="80">
        <f t="shared" si="32"/>
        <v>2.7832402329999995</v>
      </c>
      <c r="AL62" s="1">
        <v>5.0652000000000008</v>
      </c>
    </row>
    <row r="63" spans="1:38" ht="14.25" customHeight="1">
      <c r="A63" s="5"/>
      <c r="B63" s="137"/>
      <c r="C63" s="210" t="s">
        <v>179</v>
      </c>
      <c r="D63" s="139"/>
      <c r="E63" s="211" t="s">
        <v>110</v>
      </c>
      <c r="F63" s="212"/>
      <c r="G63" s="138">
        <v>1</v>
      </c>
      <c r="H63" s="202" t="s">
        <v>67</v>
      </c>
      <c r="I63" s="203">
        <v>5.0000000000000001E-3</v>
      </c>
      <c r="J63" s="139">
        <v>5.25</v>
      </c>
      <c r="K63" s="142">
        <f>G63*(1+I63)*J63</f>
        <v>5.2762499999999992</v>
      </c>
      <c r="L63" s="5"/>
      <c r="N63" s="129" t="s">
        <v>102</v>
      </c>
      <c r="O63" s="81"/>
      <c r="P63" s="340">
        <v>6.8819999999999997</v>
      </c>
      <c r="Q63" s="340">
        <v>1</v>
      </c>
      <c r="R63" s="130">
        <v>0.75</v>
      </c>
      <c r="S63" s="130">
        <v>5.0000000000000001E-3</v>
      </c>
      <c r="T63" s="129">
        <f t="shared" si="30"/>
        <v>304.55</v>
      </c>
      <c r="U63" s="129">
        <f t="shared" si="33"/>
        <v>0.78014543166666661</v>
      </c>
      <c r="V63" s="129">
        <f t="shared" si="34"/>
        <v>781.96</v>
      </c>
      <c r="W63" s="129">
        <f t="shared" si="31"/>
        <v>2.003094801333333</v>
      </c>
      <c r="X63" s="80">
        <f t="shared" si="32"/>
        <v>2.7832402329999995</v>
      </c>
      <c r="AL63" s="1">
        <v>6.0782400000000001</v>
      </c>
    </row>
    <row r="64" spans="1:38" ht="14.25" customHeight="1">
      <c r="A64" s="5"/>
      <c r="B64" s="137"/>
      <c r="C64" s="210" t="s">
        <v>180</v>
      </c>
      <c r="D64" s="139"/>
      <c r="E64" s="211" t="s">
        <v>182</v>
      </c>
      <c r="F64" s="212"/>
      <c r="G64" s="138">
        <v>0</v>
      </c>
      <c r="H64" s="202" t="s">
        <v>67</v>
      </c>
      <c r="I64" s="140">
        <v>5.0000000000000001E-3</v>
      </c>
      <c r="J64" s="139">
        <v>5.78</v>
      </c>
      <c r="K64" s="142">
        <f t="shared" si="35"/>
        <v>0</v>
      </c>
      <c r="L64" s="5"/>
      <c r="N64" s="129" t="s">
        <v>102</v>
      </c>
      <c r="O64" s="81"/>
      <c r="P64" s="340">
        <v>6.8819999999999997</v>
      </c>
      <c r="Q64" s="340">
        <v>1</v>
      </c>
      <c r="R64" s="130">
        <v>0.75</v>
      </c>
      <c r="S64" s="130">
        <v>5.0000000000000001E-3</v>
      </c>
      <c r="T64" s="129">
        <f t="shared" si="30"/>
        <v>304.55</v>
      </c>
      <c r="U64" s="129">
        <f t="shared" si="33"/>
        <v>0.78014543166666661</v>
      </c>
      <c r="V64" s="129">
        <f t="shared" si="34"/>
        <v>781.96</v>
      </c>
      <c r="W64" s="129">
        <f t="shared" si="31"/>
        <v>2.003094801333333</v>
      </c>
      <c r="X64" s="80">
        <f t="shared" si="32"/>
        <v>2.7832402329999995</v>
      </c>
      <c r="AL64" s="1">
        <v>13.732319999999998</v>
      </c>
    </row>
    <row r="65" spans="1:38" ht="14.25" customHeight="1">
      <c r="A65" s="5"/>
      <c r="B65" s="137"/>
      <c r="C65" s="139" t="s">
        <v>183</v>
      </c>
      <c r="D65" s="139"/>
      <c r="E65" s="211" t="s">
        <v>184</v>
      </c>
      <c r="F65" s="139"/>
      <c r="G65" s="138">
        <v>1</v>
      </c>
      <c r="H65" s="202" t="s">
        <v>67</v>
      </c>
      <c r="I65" s="140">
        <v>5.0000000000000001E-3</v>
      </c>
      <c r="J65" s="139">
        <v>5.78</v>
      </c>
      <c r="K65" s="142">
        <f>G65*(1+I65)*J65</f>
        <v>5.8088999999999995</v>
      </c>
      <c r="L65" s="5"/>
      <c r="N65" s="171" t="s">
        <v>106</v>
      </c>
      <c r="O65" s="172"/>
      <c r="P65" s="205">
        <v>16</v>
      </c>
      <c r="Q65" s="205">
        <v>2</v>
      </c>
      <c r="R65" s="206">
        <v>0.75</v>
      </c>
      <c r="S65" s="207">
        <v>5.0000000000000001E-3</v>
      </c>
      <c r="T65" s="205">
        <f t="shared" si="30"/>
        <v>304.55</v>
      </c>
      <c r="U65" s="205">
        <f t="shared" si="33"/>
        <v>3.6275288888888886</v>
      </c>
      <c r="V65" s="205">
        <v>0</v>
      </c>
      <c r="W65" s="208">
        <f t="shared" si="31"/>
        <v>0</v>
      </c>
      <c r="X65" s="209">
        <v>2.1573627777777773</v>
      </c>
      <c r="AL65" s="1">
        <v>13.732319999999998</v>
      </c>
    </row>
    <row r="66" spans="1:38" ht="14.25" customHeight="1" thickBot="1">
      <c r="A66" s="5"/>
      <c r="B66" s="137"/>
      <c r="C66" s="139" t="s">
        <v>185</v>
      </c>
      <c r="D66" s="139"/>
      <c r="E66" s="136" t="s">
        <v>186</v>
      </c>
      <c r="F66" s="139"/>
      <c r="G66" s="138">
        <v>2</v>
      </c>
      <c r="H66" s="202" t="s">
        <v>67</v>
      </c>
      <c r="I66" s="140">
        <v>5.0000000000000001E-3</v>
      </c>
      <c r="J66" s="139">
        <v>3.64</v>
      </c>
      <c r="K66" s="142">
        <f t="shared" si="35"/>
        <v>7.3163999999999998</v>
      </c>
      <c r="L66" s="5"/>
      <c r="N66" s="177" t="s">
        <v>46</v>
      </c>
      <c r="O66" s="178"/>
      <c r="P66" s="61"/>
      <c r="Q66" s="61"/>
      <c r="R66" s="61"/>
      <c r="S66" s="61"/>
      <c r="T66" s="61"/>
      <c r="U66" s="61"/>
      <c r="V66" s="61"/>
      <c r="W66" s="179" t="s">
        <v>107</v>
      </c>
      <c r="X66" s="180">
        <f>SUM(X56:X65)</f>
        <v>24.423284641777776</v>
      </c>
      <c r="AL66" s="1">
        <v>4.5023999999999997</v>
      </c>
    </row>
    <row r="67" spans="1:38" ht="14.25" customHeight="1">
      <c r="A67" s="5"/>
      <c r="B67" s="137"/>
      <c r="C67" s="139" t="s">
        <v>226</v>
      </c>
      <c r="D67" s="139"/>
      <c r="E67" s="136" t="s">
        <v>228</v>
      </c>
      <c r="F67" s="139"/>
      <c r="G67" s="319">
        <v>0.158</v>
      </c>
      <c r="H67" s="139" t="s">
        <v>113</v>
      </c>
      <c r="I67" s="140">
        <v>5.0000000000000001E-3</v>
      </c>
      <c r="J67" s="139">
        <v>5.84</v>
      </c>
      <c r="K67" s="142">
        <f t="shared" si="35"/>
        <v>0.92733359999999987</v>
      </c>
      <c r="L67" s="5"/>
      <c r="AL67" s="1">
        <v>10.552499999999998</v>
      </c>
    </row>
    <row r="68" spans="1:38" ht="14.25" customHeight="1" thickBot="1">
      <c r="A68" s="5"/>
      <c r="B68" s="137"/>
      <c r="C68" s="139" t="s">
        <v>227</v>
      </c>
      <c r="D68" s="139"/>
      <c r="E68" s="136" t="s">
        <v>229</v>
      </c>
      <c r="F68" s="139"/>
      <c r="G68" s="319">
        <v>0.158</v>
      </c>
      <c r="H68" s="139" t="s">
        <v>113</v>
      </c>
      <c r="I68" s="140">
        <v>5.0000000000000001E-3</v>
      </c>
      <c r="J68" s="139">
        <v>5.84</v>
      </c>
      <c r="K68" s="142">
        <f t="shared" si="35"/>
        <v>0.92733359999999987</v>
      </c>
      <c r="L68" s="5"/>
      <c r="N68" s="97" t="s">
        <v>108</v>
      </c>
      <c r="O68" s="213"/>
      <c r="P68" s="185"/>
      <c r="Q68" s="185"/>
      <c r="R68" s="185"/>
      <c r="S68" s="185"/>
      <c r="T68" s="185"/>
      <c r="U68" s="185"/>
      <c r="V68" s="185"/>
      <c r="W68" s="185"/>
      <c r="X68" s="94"/>
      <c r="AL68" s="1">
        <v>3.4792697999999991</v>
      </c>
    </row>
    <row r="69" spans="1:38" ht="14.25" customHeight="1" thickBot="1">
      <c r="A69" s="5"/>
      <c r="B69" s="137"/>
      <c r="C69" s="139" t="s">
        <v>230</v>
      </c>
      <c r="D69" s="139"/>
      <c r="E69" s="136" t="s">
        <v>231</v>
      </c>
      <c r="F69" s="139"/>
      <c r="G69" s="214">
        <v>0</v>
      </c>
      <c r="H69" s="139" t="s">
        <v>113</v>
      </c>
      <c r="I69" s="140">
        <v>5.0000000000000001E-3</v>
      </c>
      <c r="J69" s="139">
        <v>5.84</v>
      </c>
      <c r="K69" s="142">
        <f t="shared" si="35"/>
        <v>0</v>
      </c>
      <c r="L69" s="5"/>
      <c r="N69" s="108" t="s">
        <v>60</v>
      </c>
      <c r="O69" s="109"/>
      <c r="P69" s="110" t="s">
        <v>31</v>
      </c>
      <c r="Q69" s="110" t="s">
        <v>61</v>
      </c>
      <c r="R69" s="110" t="s">
        <v>62</v>
      </c>
      <c r="S69" s="110" t="s">
        <v>22</v>
      </c>
      <c r="T69" s="110" t="s">
        <v>63</v>
      </c>
      <c r="U69" s="110" t="s">
        <v>33</v>
      </c>
      <c r="V69" s="110" t="s">
        <v>64</v>
      </c>
      <c r="W69" s="110" t="s">
        <v>35</v>
      </c>
      <c r="X69" s="22" t="s">
        <v>65</v>
      </c>
      <c r="AL69" s="1">
        <v>3.4792697999999991</v>
      </c>
    </row>
    <row r="70" spans="1:38" ht="14.25" customHeight="1" thickTop="1">
      <c r="A70" s="5"/>
      <c r="B70" s="137"/>
      <c r="C70" s="139" t="s">
        <v>232</v>
      </c>
      <c r="D70" s="139"/>
      <c r="E70" s="136" t="s">
        <v>233</v>
      </c>
      <c r="F70" s="139"/>
      <c r="G70" s="214">
        <v>0</v>
      </c>
      <c r="H70" s="139" t="s">
        <v>113</v>
      </c>
      <c r="I70" s="140">
        <v>5.0000000000000001E-3</v>
      </c>
      <c r="J70" s="139">
        <v>5.84</v>
      </c>
      <c r="K70" s="142">
        <f t="shared" si="35"/>
        <v>0</v>
      </c>
      <c r="L70" s="5"/>
      <c r="N70" s="129" t="s">
        <v>109</v>
      </c>
      <c r="O70" s="81"/>
      <c r="P70" s="340">
        <v>32</v>
      </c>
      <c r="Q70" s="129">
        <v>8</v>
      </c>
      <c r="R70" s="130">
        <v>0.9</v>
      </c>
      <c r="S70" s="130">
        <v>5.0000000000000001E-3</v>
      </c>
      <c r="T70" s="129">
        <f>$Q$101</f>
        <v>226.37</v>
      </c>
      <c r="U70" s="129">
        <f>P70*Q70/R70*(1+S70)*T70/3600</f>
        <v>17.975454814814817</v>
      </c>
      <c r="V70" s="129">
        <f>$R$101</f>
        <v>480.96</v>
      </c>
      <c r="W70" s="129">
        <f>P70/R70*(1+S70)*V70/3600</f>
        <v>4.7739733333333332</v>
      </c>
      <c r="X70" s="80">
        <f>U70+W70</f>
        <v>22.749428148148152</v>
      </c>
      <c r="AL70" s="1">
        <v>3.736539749999999</v>
      </c>
    </row>
    <row r="71" spans="1:38" ht="14.25" customHeight="1">
      <c r="A71" s="5"/>
      <c r="B71" s="137"/>
      <c r="C71" s="224" t="s">
        <v>234</v>
      </c>
      <c r="D71" s="224"/>
      <c r="E71" s="225" t="s">
        <v>235</v>
      </c>
      <c r="F71" s="224"/>
      <c r="G71" s="331">
        <f>77.5/1000</f>
        <v>7.7499999999999999E-2</v>
      </c>
      <c r="H71" s="139" t="s">
        <v>113</v>
      </c>
      <c r="I71" s="140">
        <v>5.0000000000000001E-3</v>
      </c>
      <c r="J71" s="139">
        <v>5.16</v>
      </c>
      <c r="K71" s="142">
        <f t="shared" si="35"/>
        <v>0.40189949999999991</v>
      </c>
      <c r="L71" s="5"/>
      <c r="N71" s="129" t="s">
        <v>111</v>
      </c>
      <c r="O71" s="81"/>
      <c r="P71" s="340">
        <v>32</v>
      </c>
      <c r="Q71" s="129">
        <v>1</v>
      </c>
      <c r="R71" s="130">
        <v>0.9</v>
      </c>
      <c r="S71" s="130">
        <f>S70</f>
        <v>5.0000000000000001E-3</v>
      </c>
      <c r="T71" s="129">
        <f>$Q$101</f>
        <v>226.37</v>
      </c>
      <c r="U71" s="129">
        <f>P71*Q71/R71*(1+S71)*T71/3600</f>
        <v>2.2469318518518522</v>
      </c>
      <c r="V71" s="129">
        <v>0</v>
      </c>
      <c r="W71" s="129">
        <f>P71/R71*(1+S71)*V71/3600</f>
        <v>0</v>
      </c>
      <c r="X71" s="80">
        <f>U71+W71</f>
        <v>2.2469318518518522</v>
      </c>
      <c r="AL71" s="1">
        <v>3.736539749999999</v>
      </c>
    </row>
    <row r="72" spans="1:38" ht="14.25" customHeight="1">
      <c r="A72" s="5"/>
      <c r="B72" s="137"/>
      <c r="C72" s="139" t="s">
        <v>236</v>
      </c>
      <c r="D72" s="139"/>
      <c r="E72" s="136" t="s">
        <v>237</v>
      </c>
      <c r="F72" s="139"/>
      <c r="G72" s="319">
        <f>77.5/1000</f>
        <v>7.7499999999999999E-2</v>
      </c>
      <c r="H72" s="139" t="s">
        <v>113</v>
      </c>
      <c r="I72" s="140">
        <v>5.0000000000000001E-3</v>
      </c>
      <c r="J72" s="139">
        <v>5.16</v>
      </c>
      <c r="K72" s="142">
        <f t="shared" si="35"/>
        <v>0.40189949999999991</v>
      </c>
      <c r="L72" s="5"/>
      <c r="N72" s="164" t="s">
        <v>114</v>
      </c>
      <c r="O72" s="85"/>
      <c r="P72" s="340">
        <v>32</v>
      </c>
      <c r="Q72" s="129">
        <v>1</v>
      </c>
      <c r="R72" s="215">
        <v>0.9</v>
      </c>
      <c r="S72" s="215">
        <f>S71</f>
        <v>5.0000000000000001E-3</v>
      </c>
      <c r="T72" s="164">
        <f>$Q$101</f>
        <v>226.37</v>
      </c>
      <c r="U72" s="164">
        <f>P72*Q72/R72*(1+S72)*T72/3600</f>
        <v>2.2469318518518522</v>
      </c>
      <c r="V72" s="164">
        <v>0</v>
      </c>
      <c r="W72" s="164">
        <f>P72/R72*(1+S72)*V72/3600</f>
        <v>0</v>
      </c>
      <c r="X72" s="84">
        <f>U72+W72</f>
        <v>2.2469318518518522</v>
      </c>
      <c r="AA72" s="228"/>
      <c r="AL72" s="1">
        <v>2.8140000000000001</v>
      </c>
    </row>
    <row r="73" spans="1:38" ht="14.25" customHeight="1">
      <c r="A73" s="5"/>
      <c r="B73" s="137"/>
      <c r="C73" s="224" t="s">
        <v>238</v>
      </c>
      <c r="D73" s="224"/>
      <c r="E73" s="225" t="s">
        <v>240</v>
      </c>
      <c r="F73" s="224"/>
      <c r="G73" s="226">
        <f>77.5/1000</f>
        <v>7.7499999999999999E-2</v>
      </c>
      <c r="H73" s="139" t="s">
        <v>113</v>
      </c>
      <c r="I73" s="140">
        <v>5.0000000000000001E-3</v>
      </c>
      <c r="J73" s="229">
        <v>5.16</v>
      </c>
      <c r="K73" s="142">
        <f t="shared" si="35"/>
        <v>0.40189949999999991</v>
      </c>
      <c r="L73" s="5"/>
      <c r="N73" s="176"/>
      <c r="O73" s="216"/>
      <c r="P73" s="137"/>
      <c r="Q73" s="137"/>
      <c r="R73" s="137"/>
      <c r="S73" s="137"/>
      <c r="T73" s="137"/>
      <c r="U73" s="137"/>
      <c r="V73" s="137"/>
      <c r="W73" s="217"/>
      <c r="X73" s="218"/>
      <c r="AL73" s="1">
        <v>3.9071376960000004</v>
      </c>
    </row>
    <row r="74" spans="1:38" ht="14.25" customHeight="1">
      <c r="A74" s="5"/>
      <c r="B74" s="137"/>
      <c r="C74" s="224" t="s">
        <v>239</v>
      </c>
      <c r="D74" s="224"/>
      <c r="E74" s="225" t="s">
        <v>241</v>
      </c>
      <c r="F74" s="224"/>
      <c r="G74" s="226">
        <f>77.5/1000</f>
        <v>7.7499999999999999E-2</v>
      </c>
      <c r="H74" s="202" t="s">
        <v>113</v>
      </c>
      <c r="I74" s="140">
        <v>5.0000000000000001E-3</v>
      </c>
      <c r="J74" s="232">
        <v>5.16</v>
      </c>
      <c r="K74" s="142">
        <f t="shared" si="35"/>
        <v>0.40189949999999991</v>
      </c>
      <c r="L74" s="5"/>
      <c r="N74" s="219"/>
      <c r="O74" s="220"/>
      <c r="P74" s="221"/>
      <c r="Q74" s="221"/>
      <c r="R74" s="221"/>
      <c r="S74" s="221"/>
      <c r="T74" s="221"/>
      <c r="U74" s="221"/>
      <c r="V74" s="221"/>
      <c r="W74" s="222"/>
      <c r="X74" s="223"/>
      <c r="AL74" s="1">
        <v>20.898020249999998</v>
      </c>
    </row>
    <row r="75" spans="1:38" ht="14.25" customHeight="1" thickBot="1">
      <c r="A75" s="5"/>
      <c r="B75" s="137"/>
      <c r="C75" s="137" t="s">
        <v>242</v>
      </c>
      <c r="D75" s="137"/>
      <c r="E75" s="237" t="s">
        <v>243</v>
      </c>
      <c r="F75" s="137"/>
      <c r="G75" s="335">
        <v>4</v>
      </c>
      <c r="H75" s="32" t="s">
        <v>76</v>
      </c>
      <c r="I75" s="30">
        <v>5.0000000000000001E-3</v>
      </c>
      <c r="J75" s="32">
        <v>0.6</v>
      </c>
      <c r="K75" s="33">
        <f t="shared" si="35"/>
        <v>2.4119999999999995</v>
      </c>
      <c r="L75" s="5"/>
      <c r="N75" s="177" t="s">
        <v>46</v>
      </c>
      <c r="O75" s="178"/>
      <c r="P75" s="227"/>
      <c r="Q75" s="227"/>
      <c r="R75" s="61"/>
      <c r="S75" s="61"/>
      <c r="T75" s="61"/>
      <c r="U75" s="61"/>
      <c r="V75" s="61"/>
      <c r="W75" s="162" t="s">
        <v>115</v>
      </c>
      <c r="X75" s="180">
        <f>+SUM(X70:X74)</f>
        <v>27.243291851851854</v>
      </c>
      <c r="AL75" s="1">
        <v>20.230649999999997</v>
      </c>
    </row>
    <row r="76" spans="1:38" ht="14.25" customHeight="1">
      <c r="A76" s="5"/>
      <c r="B76" s="137"/>
      <c r="C76" s="137" t="s">
        <v>244</v>
      </c>
      <c r="D76" s="137"/>
      <c r="E76" s="237" t="s">
        <v>245</v>
      </c>
      <c r="F76" s="137"/>
      <c r="G76" s="335">
        <v>1</v>
      </c>
      <c r="H76" s="32" t="s">
        <v>76</v>
      </c>
      <c r="I76" s="30">
        <v>5.0000000000000001E-3</v>
      </c>
      <c r="J76" s="42">
        <v>9.9</v>
      </c>
      <c r="K76" s="80">
        <f t="shared" si="35"/>
        <v>9.9494999999999987</v>
      </c>
      <c r="L76" s="5"/>
      <c r="AL76" s="1">
        <v>6.9947999999999988</v>
      </c>
    </row>
    <row r="77" spans="1:38" ht="14.25" customHeight="1" thickBot="1">
      <c r="A77" s="5"/>
      <c r="B77" s="137"/>
      <c r="C77" s="224" t="s">
        <v>202</v>
      </c>
      <c r="D77" s="224"/>
      <c r="E77" s="225" t="s">
        <v>203</v>
      </c>
      <c r="F77" s="224"/>
      <c r="G77" s="320">
        <v>2</v>
      </c>
      <c r="H77" s="139" t="s">
        <v>76</v>
      </c>
      <c r="I77" s="140">
        <v>5.0000000000000001E-3</v>
      </c>
      <c r="J77" s="139">
        <v>0.68</v>
      </c>
      <c r="K77" s="80">
        <f t="shared" si="35"/>
        <v>1.3668</v>
      </c>
      <c r="L77" s="5"/>
      <c r="N77" s="230" t="s">
        <v>116</v>
      </c>
      <c r="O77" s="65"/>
      <c r="P77" s="65"/>
      <c r="Q77" s="65" t="s">
        <v>43</v>
      </c>
      <c r="R77" s="65" t="s">
        <v>117</v>
      </c>
      <c r="S77" s="65"/>
      <c r="T77" s="65"/>
      <c r="U77" s="65"/>
      <c r="V77" s="65"/>
      <c r="W77" s="65"/>
      <c r="X77" s="231">
        <f>K43+K55+X47</f>
        <v>376.78045642407409</v>
      </c>
      <c r="AL77" s="1">
        <v>0.41497454999999994</v>
      </c>
    </row>
    <row r="78" spans="1:38" ht="14.25" customHeight="1" thickBot="1">
      <c r="A78" s="5"/>
      <c r="B78" s="137"/>
      <c r="C78" s="137" t="s">
        <v>266</v>
      </c>
      <c r="D78" s="137"/>
      <c r="E78" s="237" t="s">
        <v>267</v>
      </c>
      <c r="F78" s="137"/>
      <c r="G78" s="320">
        <v>1</v>
      </c>
      <c r="H78" s="42" t="s">
        <v>76</v>
      </c>
      <c r="I78" s="140">
        <v>5.0000000000000001E-3</v>
      </c>
      <c r="J78" s="42">
        <v>1.27</v>
      </c>
      <c r="K78" s="80">
        <f t="shared" si="35"/>
        <v>1.2763499999999999</v>
      </c>
      <c r="L78" s="5"/>
      <c r="N78" s="233" t="s">
        <v>118</v>
      </c>
      <c r="O78" s="94"/>
      <c r="P78" s="94"/>
      <c r="Q78" s="94"/>
      <c r="R78" s="94"/>
      <c r="S78" s="234" t="s">
        <v>119</v>
      </c>
      <c r="T78" s="235">
        <v>0</v>
      </c>
      <c r="U78" s="236" t="s">
        <v>120</v>
      </c>
      <c r="V78" s="94"/>
      <c r="W78" s="94"/>
      <c r="X78" s="93">
        <f>X77*(1+T78)</f>
        <v>376.78045642407409</v>
      </c>
      <c r="Z78" s="4"/>
      <c r="AA78" s="4"/>
      <c r="AB78" s="4"/>
      <c r="AC78" s="246"/>
      <c r="AL78" s="1">
        <v>0.41497454999999994</v>
      </c>
    </row>
    <row r="79" spans="1:38" ht="14.25" customHeight="1" thickBot="1">
      <c r="A79" s="5"/>
      <c r="B79" s="137"/>
      <c r="C79" s="137"/>
      <c r="D79" s="137"/>
      <c r="E79" s="237"/>
      <c r="F79" s="137"/>
      <c r="G79" s="320"/>
      <c r="H79" s="42"/>
      <c r="I79" s="140"/>
      <c r="J79" s="42"/>
      <c r="K79" s="80">
        <f t="shared" si="35"/>
        <v>0</v>
      </c>
      <c r="L79" s="118"/>
      <c r="M79" s="247"/>
      <c r="N79" s="230" t="s">
        <v>121</v>
      </c>
      <c r="O79" s="65"/>
      <c r="P79" s="65"/>
      <c r="Q79" s="65" t="s">
        <v>43</v>
      </c>
      <c r="R79" s="65" t="s">
        <v>122</v>
      </c>
      <c r="S79" s="65"/>
      <c r="T79" s="65"/>
      <c r="U79" s="65"/>
      <c r="V79" s="65"/>
      <c r="W79" s="65"/>
      <c r="X79" s="231">
        <f>+K60+K83+X66</f>
        <v>63.442449841777773</v>
      </c>
      <c r="AL79" s="1">
        <v>0.41497454999999994</v>
      </c>
    </row>
    <row r="80" spans="1:38" ht="14.25" customHeight="1" thickBot="1">
      <c r="A80" s="5"/>
      <c r="B80" s="137"/>
      <c r="C80" s="137"/>
      <c r="D80" s="137"/>
      <c r="E80" s="237"/>
      <c r="F80" s="137"/>
      <c r="G80" s="137"/>
      <c r="H80" s="42"/>
      <c r="I80" s="41"/>
      <c r="J80" s="42"/>
      <c r="K80" s="80">
        <f t="shared" si="35"/>
        <v>0</v>
      </c>
      <c r="L80" s="247"/>
      <c r="M80" s="247"/>
      <c r="N80" s="233" t="s">
        <v>123</v>
      </c>
      <c r="O80" s="94"/>
      <c r="P80" s="94"/>
      <c r="Q80" s="94"/>
      <c r="R80" s="94"/>
      <c r="S80" s="234" t="s">
        <v>119</v>
      </c>
      <c r="T80" s="235">
        <v>0</v>
      </c>
      <c r="U80" s="236" t="s">
        <v>120</v>
      </c>
      <c r="V80" s="94"/>
      <c r="W80" s="94"/>
      <c r="X80" s="93">
        <f>X79*(1+T80)</f>
        <v>63.442449841777773</v>
      </c>
      <c r="AL80" s="1">
        <v>0.41497454999999994</v>
      </c>
    </row>
    <row r="81" spans="1:38" ht="14.25" customHeight="1" thickBot="1">
      <c r="A81" s="5"/>
      <c r="B81" s="255"/>
      <c r="C81" s="255"/>
      <c r="D81" s="255"/>
      <c r="E81" s="255"/>
      <c r="F81" s="255"/>
      <c r="G81" s="255"/>
      <c r="H81" s="42"/>
      <c r="I81" s="41"/>
      <c r="J81" s="129"/>
      <c r="K81" s="80">
        <f>G81*(1+I81)*J81</f>
        <v>0</v>
      </c>
      <c r="L81" s="247"/>
      <c r="M81" s="247"/>
      <c r="N81" s="230" t="s">
        <v>124</v>
      </c>
      <c r="O81" s="230"/>
      <c r="P81" s="65"/>
      <c r="Q81" s="238"/>
      <c r="R81" s="238" t="s">
        <v>125</v>
      </c>
      <c r="S81" s="239"/>
      <c r="T81" s="240"/>
      <c r="U81" s="65"/>
      <c r="V81" s="65"/>
      <c r="W81" s="65"/>
      <c r="X81" s="32">
        <f>+K95+K109+SUM(X70:X72)</f>
        <v>148.49437305749089</v>
      </c>
      <c r="AL81" s="1">
        <v>0.30602249999999998</v>
      </c>
    </row>
    <row r="82" spans="1:38" ht="14.25" customHeight="1" thickBot="1">
      <c r="A82" s="5"/>
      <c r="B82" s="255"/>
      <c r="C82" s="159"/>
      <c r="D82" s="159"/>
      <c r="E82" s="159"/>
      <c r="F82" s="159"/>
      <c r="G82" s="159"/>
      <c r="H82" s="256"/>
      <c r="I82" s="256"/>
      <c r="J82" s="257"/>
      <c r="K82" s="258"/>
      <c r="L82" s="247"/>
      <c r="M82" s="247"/>
      <c r="N82" s="241" t="s">
        <v>126</v>
      </c>
      <c r="O82" s="242"/>
      <c r="P82" s="94"/>
      <c r="Q82" s="243"/>
      <c r="R82" s="94"/>
      <c r="S82" s="234" t="s">
        <v>127</v>
      </c>
      <c r="T82" s="244">
        <v>0</v>
      </c>
      <c r="U82" s="245" t="s">
        <v>120</v>
      </c>
      <c r="V82" s="94"/>
      <c r="W82" s="94"/>
      <c r="X82" s="93">
        <f>X81*(1+T82)</f>
        <v>148.49437305749089</v>
      </c>
    </row>
    <row r="83" spans="1:38" ht="14.25" customHeight="1" thickTop="1" thickBot="1">
      <c r="A83" s="5"/>
      <c r="B83" s="89" t="s">
        <v>46</v>
      </c>
      <c r="C83" s="61"/>
      <c r="D83" s="61"/>
      <c r="E83" s="62"/>
      <c r="F83" s="61"/>
      <c r="G83" s="61"/>
      <c r="H83" s="61"/>
      <c r="I83" s="61"/>
      <c r="J83" s="162" t="s">
        <v>130</v>
      </c>
      <c r="K83" s="93">
        <f>+SUM(K61:K82)</f>
        <v>39.019165199999996</v>
      </c>
      <c r="L83" s="5"/>
      <c r="N83" s="248" t="s">
        <v>128</v>
      </c>
      <c r="O83" s="249"/>
      <c r="P83" s="250"/>
      <c r="Q83" s="251"/>
      <c r="R83" s="250"/>
      <c r="S83" s="252"/>
      <c r="T83" s="253"/>
      <c r="U83" s="250"/>
      <c r="V83" s="250"/>
      <c r="W83" s="250"/>
      <c r="X83" s="254">
        <f>+X82+X80+X78</f>
        <v>588.71727932334272</v>
      </c>
      <c r="AL83" s="1">
        <v>129.97032774600007</v>
      </c>
    </row>
    <row r="84" spans="1:38" ht="14.25" customHeight="1" thickBot="1">
      <c r="A84" s="5"/>
      <c r="B84" s="259"/>
      <c r="C84" s="94"/>
      <c r="D84" s="94"/>
      <c r="E84" s="95"/>
      <c r="F84" s="94"/>
      <c r="G84" s="94"/>
      <c r="H84" s="94"/>
      <c r="I84" s="94"/>
      <c r="J84" s="234"/>
      <c r="K84" s="260"/>
      <c r="L84" s="5"/>
    </row>
    <row r="85" spans="1:38" ht="14.25" customHeight="1" thickTop="1" thickBot="1">
      <c r="A85" s="5"/>
      <c r="B85" s="97" t="s">
        <v>135</v>
      </c>
      <c r="C85" s="94"/>
      <c r="D85" s="94"/>
      <c r="E85" s="95"/>
      <c r="F85" s="94"/>
      <c r="G85" s="94"/>
      <c r="H85" s="94"/>
      <c r="I85" s="94"/>
      <c r="J85" s="234"/>
      <c r="K85" s="266"/>
      <c r="L85" s="5"/>
      <c r="N85" s="248" t="s">
        <v>129</v>
      </c>
      <c r="O85" s="249"/>
      <c r="P85" s="250"/>
      <c r="Q85" s="251"/>
      <c r="R85" s="250"/>
      <c r="S85" s="252"/>
      <c r="T85" s="253"/>
      <c r="U85" s="250"/>
      <c r="V85" s="250"/>
      <c r="W85" s="250"/>
      <c r="X85" s="254"/>
    </row>
    <row r="86" spans="1:38" ht="14.25" customHeight="1" thickBot="1">
      <c r="A86" s="5"/>
      <c r="B86" s="108" t="s">
        <v>54</v>
      </c>
      <c r="C86" s="190"/>
      <c r="D86" s="21" t="s">
        <v>17</v>
      </c>
      <c r="E86" s="21" t="s">
        <v>18</v>
      </c>
      <c r="F86" s="191" t="s">
        <v>55</v>
      </c>
      <c r="G86" s="21" t="s">
        <v>56</v>
      </c>
      <c r="H86" s="21" t="s">
        <v>57</v>
      </c>
      <c r="I86" s="21" t="s">
        <v>22</v>
      </c>
      <c r="J86" s="21" t="s">
        <v>50</v>
      </c>
      <c r="K86" s="22" t="s">
        <v>58</v>
      </c>
      <c r="AL86" s="1" t="s">
        <v>58</v>
      </c>
    </row>
    <row r="87" spans="1:38" ht="14.25" customHeight="1" thickTop="1">
      <c r="A87" s="5"/>
      <c r="B87" s="200" t="s">
        <v>66</v>
      </c>
      <c r="C87" s="24" t="str">
        <f t="shared" ref="C87:C93" si="36">B8</f>
        <v>TMR-033 Rotator</v>
      </c>
      <c r="D87" s="32" t="s">
        <v>70</v>
      </c>
      <c r="E87" s="32"/>
      <c r="F87" s="32" t="s">
        <v>43</v>
      </c>
      <c r="G87" s="70">
        <v>1</v>
      </c>
      <c r="H87" s="32" t="s">
        <v>67</v>
      </c>
      <c r="I87" s="30">
        <v>0.01</v>
      </c>
      <c r="J87" s="32">
        <f t="shared" ref="J87:J93" si="37">+X8+X17</f>
        <v>17.522357217097834</v>
      </c>
      <c r="K87" s="33">
        <f t="shared" ref="K87:K93" si="38">G87*(1+I87)*J87</f>
        <v>17.697580789268812</v>
      </c>
      <c r="L87" s="5"/>
      <c r="N87" s="5" t="s">
        <v>131</v>
      </c>
      <c r="O87" s="5"/>
      <c r="P87" s="5"/>
      <c r="Q87" s="5"/>
      <c r="R87" s="5"/>
      <c r="S87" s="4"/>
      <c r="T87" s="4"/>
      <c r="U87" s="4"/>
      <c r="V87" s="94"/>
      <c r="W87" s="94"/>
      <c r="X87" s="94"/>
      <c r="AL87" s="1">
        <v>24.933513269337695</v>
      </c>
    </row>
    <row r="88" spans="1:38" ht="14.25" customHeight="1">
      <c r="A88" s="5"/>
      <c r="B88" s="27"/>
      <c r="C88" s="24" t="str">
        <f t="shared" si="36"/>
        <v>TMR-033 Stator</v>
      </c>
      <c r="D88" s="32" t="s">
        <v>70</v>
      </c>
      <c r="E88" s="32"/>
      <c r="F88" s="32" t="s">
        <v>43</v>
      </c>
      <c r="G88" s="70">
        <v>1</v>
      </c>
      <c r="H88" s="32" t="s">
        <v>67</v>
      </c>
      <c r="I88" s="30">
        <v>0.01</v>
      </c>
      <c r="J88" s="32">
        <f t="shared" si="37"/>
        <v>21.311466535040889</v>
      </c>
      <c r="K88" s="33">
        <f t="shared" si="38"/>
        <v>21.5245812003913</v>
      </c>
      <c r="L88" s="5"/>
      <c r="M88" s="5"/>
      <c r="N88" s="261"/>
      <c r="O88" s="262"/>
      <c r="P88" s="262"/>
      <c r="Q88" s="262"/>
      <c r="R88" s="262"/>
      <c r="S88" s="263" t="s">
        <v>132</v>
      </c>
      <c r="T88" s="264" t="s">
        <v>132</v>
      </c>
      <c r="U88" s="264" t="s">
        <v>132</v>
      </c>
      <c r="V88" s="264" t="s">
        <v>133</v>
      </c>
      <c r="W88" s="264" t="s">
        <v>134</v>
      </c>
      <c r="X88" s="265" t="s">
        <v>134</v>
      </c>
      <c r="AL88" s="1">
        <v>17.98819011219641</v>
      </c>
    </row>
    <row r="89" spans="1:38" ht="14.25" customHeight="1">
      <c r="A89" s="5"/>
      <c r="B89" s="27"/>
      <c r="C89" s="24" t="str">
        <f t="shared" si="36"/>
        <v>TMR-027 Substator</v>
      </c>
      <c r="D89" s="32" t="s">
        <v>70</v>
      </c>
      <c r="E89" s="32"/>
      <c r="F89" s="32" t="s">
        <v>43</v>
      </c>
      <c r="G89" s="70">
        <v>1</v>
      </c>
      <c r="H89" s="32" t="s">
        <v>67</v>
      </c>
      <c r="I89" s="30">
        <v>0.01</v>
      </c>
      <c r="J89" s="32">
        <f t="shared" si="37"/>
        <v>15.308167449790222</v>
      </c>
      <c r="K89" s="33">
        <f t="shared" si="38"/>
        <v>15.461249124288125</v>
      </c>
      <c r="L89" s="5"/>
      <c r="M89" s="5"/>
      <c r="N89" s="219"/>
      <c r="O89" s="267"/>
      <c r="P89" s="267"/>
      <c r="Q89" s="267"/>
      <c r="R89" s="267"/>
      <c r="S89" s="268" t="s">
        <v>136</v>
      </c>
      <c r="T89" s="269" t="s">
        <v>175</v>
      </c>
      <c r="U89" s="269" t="s">
        <v>137</v>
      </c>
      <c r="V89" s="270" t="s">
        <v>138</v>
      </c>
      <c r="W89" s="269" t="s">
        <v>139</v>
      </c>
      <c r="X89" s="271" t="s">
        <v>140</v>
      </c>
      <c r="AL89" s="1">
        <v>25.722269101850237</v>
      </c>
    </row>
    <row r="90" spans="1:38" ht="14.25" customHeight="1">
      <c r="A90" s="5"/>
      <c r="B90" s="27"/>
      <c r="C90" s="24" t="str">
        <f t="shared" si="36"/>
        <v>TMR-027 Sleeve</v>
      </c>
      <c r="D90" s="32" t="s">
        <v>70</v>
      </c>
      <c r="E90" s="32"/>
      <c r="F90" s="32"/>
      <c r="G90" s="70">
        <v>1</v>
      </c>
      <c r="H90" s="32" t="s">
        <v>67</v>
      </c>
      <c r="I90" s="30">
        <v>0.01</v>
      </c>
      <c r="J90" s="32">
        <f t="shared" si="37"/>
        <v>11.021998954395</v>
      </c>
      <c r="K90" s="33">
        <f t="shared" si="38"/>
        <v>11.13221894393895</v>
      </c>
      <c r="L90" s="5"/>
      <c r="M90" s="5"/>
      <c r="N90" s="261" t="s">
        <v>141</v>
      </c>
      <c r="O90" s="262"/>
      <c r="P90" s="262"/>
      <c r="Q90" s="262"/>
      <c r="R90" s="262"/>
      <c r="S90" s="272">
        <v>52</v>
      </c>
      <c r="T90" s="273">
        <v>52</v>
      </c>
      <c r="U90" s="273">
        <v>52</v>
      </c>
      <c r="V90" s="273">
        <v>52</v>
      </c>
      <c r="W90" s="273">
        <v>52</v>
      </c>
      <c r="X90" s="274">
        <v>52</v>
      </c>
      <c r="AL90" s="1">
        <v>12.837292329193309</v>
      </c>
    </row>
    <row r="91" spans="1:38" ht="14.25" customHeight="1">
      <c r="A91" s="5"/>
      <c r="B91" s="42"/>
      <c r="C91" s="24" t="str">
        <f t="shared" si="36"/>
        <v>TMR-033 MOLD HOLDER 1</v>
      </c>
      <c r="D91" s="32" t="s">
        <v>70</v>
      </c>
      <c r="E91" s="42"/>
      <c r="F91" s="42"/>
      <c r="G91" s="70">
        <v>1</v>
      </c>
      <c r="H91" s="32" t="s">
        <v>67</v>
      </c>
      <c r="I91" s="30">
        <v>0.01</v>
      </c>
      <c r="J91" s="32">
        <f t="shared" si="37"/>
        <v>1.5195025561967779</v>
      </c>
      <c r="K91" s="33">
        <f t="shared" si="38"/>
        <v>1.5346975817587456</v>
      </c>
      <c r="L91" s="5"/>
      <c r="M91" s="5"/>
      <c r="N91" s="176" t="s">
        <v>142</v>
      </c>
      <c r="O91" s="275"/>
      <c r="P91" s="275"/>
      <c r="Q91" s="275"/>
      <c r="R91" s="275"/>
      <c r="S91" s="276">
        <f>1.98*K3</f>
        <v>237.6</v>
      </c>
      <c r="T91" s="277">
        <v>345.5</v>
      </c>
      <c r="U91" s="277">
        <f>3.98*K3</f>
        <v>477.6</v>
      </c>
      <c r="V91" s="277">
        <f>2.9*K3</f>
        <v>348</v>
      </c>
      <c r="W91" s="277">
        <f>610</f>
        <v>610</v>
      </c>
      <c r="X91" s="278">
        <f>465*1.1</f>
        <v>511.50000000000006</v>
      </c>
      <c r="AL91" s="1">
        <v>2.517065718688178</v>
      </c>
    </row>
    <row r="92" spans="1:38" ht="14.25" customHeight="1">
      <c r="A92" s="5"/>
      <c r="B92" s="137"/>
      <c r="C92" s="24" t="str">
        <f t="shared" si="36"/>
        <v>TMR-027 MOLD HOLDER 2</v>
      </c>
      <c r="D92" s="32" t="s">
        <v>70</v>
      </c>
      <c r="E92" s="137"/>
      <c r="F92" s="137"/>
      <c r="G92" s="70">
        <v>1</v>
      </c>
      <c r="H92" s="32" t="s">
        <v>67</v>
      </c>
      <c r="I92" s="30">
        <v>0.01</v>
      </c>
      <c r="J92" s="32">
        <f t="shared" si="37"/>
        <v>2.5948268846704443</v>
      </c>
      <c r="K92" s="33">
        <f t="shared" si="38"/>
        <v>2.6207751535171488</v>
      </c>
      <c r="L92" s="5"/>
      <c r="M92" s="5"/>
      <c r="N92" s="176" t="s">
        <v>143</v>
      </c>
      <c r="O92" s="275"/>
      <c r="P92" s="275"/>
      <c r="Q92" s="275"/>
      <c r="R92" s="275"/>
      <c r="S92" s="279">
        <v>0.15</v>
      </c>
      <c r="T92" s="280">
        <v>0</v>
      </c>
      <c r="U92" s="280">
        <v>0</v>
      </c>
      <c r="V92" s="280">
        <v>0.2</v>
      </c>
      <c r="W92" s="280">
        <v>0.1</v>
      </c>
      <c r="X92" s="281">
        <v>0.1</v>
      </c>
      <c r="AL92" s="1">
        <v>1.88045120665072</v>
      </c>
    </row>
    <row r="93" spans="1:38" ht="14.25" customHeight="1">
      <c r="A93" s="5"/>
      <c r="B93" s="255"/>
      <c r="C93" s="24" t="str">
        <f t="shared" si="36"/>
        <v>TMR-033 STATOR HOUSING 1</v>
      </c>
      <c r="D93" s="32" t="s">
        <v>70</v>
      </c>
      <c r="E93" s="255"/>
      <c r="F93" s="255"/>
      <c r="G93" s="70">
        <v>1</v>
      </c>
      <c r="H93" s="32" t="s">
        <v>67</v>
      </c>
      <c r="I93" s="30">
        <v>0.01</v>
      </c>
      <c r="J93" s="32">
        <f t="shared" si="37"/>
        <v>3.1893513766199995</v>
      </c>
      <c r="K93" s="33">
        <f t="shared" si="38"/>
        <v>3.2212448903861994</v>
      </c>
      <c r="L93" s="5"/>
      <c r="M93" s="5"/>
      <c r="N93" s="354" t="s">
        <v>144</v>
      </c>
      <c r="O93" s="355"/>
      <c r="P93" s="355"/>
      <c r="Q93" s="355"/>
      <c r="R93" s="356"/>
      <c r="S93" s="282">
        <f t="shared" ref="S93:X93" si="39">S90*S92+S91*(1-S92)</f>
        <v>209.76</v>
      </c>
      <c r="T93" s="283">
        <f t="shared" si="39"/>
        <v>345.5</v>
      </c>
      <c r="U93" s="283">
        <f t="shared" si="39"/>
        <v>477.6</v>
      </c>
      <c r="V93" s="283">
        <f t="shared" si="39"/>
        <v>288.8</v>
      </c>
      <c r="W93" s="283">
        <f t="shared" si="39"/>
        <v>554.20000000000005</v>
      </c>
      <c r="X93" s="284">
        <f t="shared" si="39"/>
        <v>465.55000000000007</v>
      </c>
      <c r="AL93" s="1">
        <v>4.338601867466668</v>
      </c>
    </row>
    <row r="94" spans="1:38" ht="14.25" customHeight="1">
      <c r="A94" s="5"/>
      <c r="B94" s="159"/>
      <c r="C94" s="293"/>
      <c r="D94" s="159"/>
      <c r="E94" s="159"/>
      <c r="F94" s="159"/>
      <c r="G94" s="87"/>
      <c r="H94" s="56"/>
      <c r="I94" s="54"/>
      <c r="J94" s="294"/>
      <c r="K94" s="295"/>
      <c r="L94" s="5"/>
      <c r="S94" s="1" t="s">
        <v>145</v>
      </c>
      <c r="T94" s="1" t="s">
        <v>146</v>
      </c>
      <c r="U94" s="1" t="s">
        <v>147</v>
      </c>
      <c r="V94" s="1" t="s">
        <v>148</v>
      </c>
      <c r="W94" s="1" t="s">
        <v>149</v>
      </c>
      <c r="AL94" s="1">
        <v>2.6504025042615287</v>
      </c>
    </row>
    <row r="95" spans="1:38" ht="14.25" customHeight="1" thickBot="1">
      <c r="B95" s="298" t="s">
        <v>46</v>
      </c>
      <c r="C95" s="185"/>
      <c r="D95" s="299"/>
      <c r="E95" s="186"/>
      <c r="F95" s="185"/>
      <c r="G95" s="185"/>
      <c r="H95" s="185"/>
      <c r="I95" s="300"/>
      <c r="J95" s="301" t="s">
        <v>155</v>
      </c>
      <c r="K95" s="188">
        <f>SUM(K87:K94)</f>
        <v>73.192347683549272</v>
      </c>
      <c r="L95" s="5" t="s">
        <v>156</v>
      </c>
      <c r="N95" s="5" t="s">
        <v>150</v>
      </c>
      <c r="AL95" s="1">
        <v>92.86778610964474</v>
      </c>
    </row>
    <row r="96" spans="1:38" ht="14.25" customHeight="1">
      <c r="B96" s="200" t="s">
        <v>90</v>
      </c>
      <c r="C96" s="32"/>
      <c r="D96" s="32"/>
      <c r="E96" s="32"/>
      <c r="F96" s="302"/>
      <c r="G96" s="70"/>
      <c r="H96" s="32"/>
      <c r="I96" s="30"/>
      <c r="J96" s="303"/>
      <c r="K96" s="33">
        <f t="shared" ref="K96:K106" si="40">G96*(1+I96)*J96</f>
        <v>0</v>
      </c>
      <c r="L96" s="1" t="s">
        <v>158</v>
      </c>
      <c r="N96" s="285"/>
      <c r="O96" s="227"/>
      <c r="P96" s="286"/>
      <c r="Q96" s="287" t="s">
        <v>151</v>
      </c>
      <c r="R96" s="288" t="s">
        <v>152</v>
      </c>
      <c r="AL96" s="1">
        <v>8.6900399999999998</v>
      </c>
    </row>
    <row r="97" spans="2:38" ht="14.25" customHeight="1">
      <c r="B97" s="164"/>
      <c r="C97" s="32" t="s">
        <v>189</v>
      </c>
      <c r="D97" s="32" t="s">
        <v>192</v>
      </c>
      <c r="E97" s="32" t="s">
        <v>168</v>
      </c>
      <c r="F97" s="313">
        <v>380</v>
      </c>
      <c r="G97" s="321">
        <v>5.0000000000000002E-5</v>
      </c>
      <c r="H97" s="32" t="s">
        <v>76</v>
      </c>
      <c r="I97" s="30">
        <v>0.01</v>
      </c>
      <c r="J97" s="303">
        <f>F97/K5</f>
        <v>809.3716719914803</v>
      </c>
      <c r="K97" s="33">
        <f t="shared" si="40"/>
        <v>4.0873269435569758E-2</v>
      </c>
      <c r="L97" s="5"/>
      <c r="N97" s="289" t="s">
        <v>153</v>
      </c>
      <c r="O97" s="290"/>
      <c r="P97" s="290"/>
      <c r="Q97" s="291">
        <v>212.71199999999999</v>
      </c>
      <c r="R97" s="292">
        <f>422.98*1.2+50</f>
        <v>557.57600000000002</v>
      </c>
      <c r="AL97" s="1">
        <v>7.7325599999999994</v>
      </c>
    </row>
    <row r="98" spans="2:38" ht="14.25" customHeight="1">
      <c r="B98" s="164"/>
      <c r="C98" s="32" t="s">
        <v>190</v>
      </c>
      <c r="D98" s="32" t="s">
        <v>162</v>
      </c>
      <c r="E98" s="32" t="s">
        <v>194</v>
      </c>
      <c r="F98" s="307"/>
      <c r="G98" s="70">
        <v>1</v>
      </c>
      <c r="H98" s="32" t="s">
        <v>67</v>
      </c>
      <c r="I98" s="30">
        <v>0.01</v>
      </c>
      <c r="J98" s="303">
        <v>0.23899999999999999</v>
      </c>
      <c r="K98" s="33">
        <f t="shared" si="40"/>
        <v>0.24138999999999999</v>
      </c>
      <c r="L98" s="1" t="s">
        <v>163</v>
      </c>
      <c r="N98" s="176" t="s">
        <v>154</v>
      </c>
      <c r="O98" s="275"/>
      <c r="P98" s="275"/>
      <c r="Q98" s="296">
        <v>139.22399999999999</v>
      </c>
      <c r="R98" s="297">
        <v>12.431999999999999</v>
      </c>
      <c r="AL98" s="1">
        <v>1.7978000000000001</v>
      </c>
    </row>
    <row r="99" spans="2:38">
      <c r="B99" s="164"/>
      <c r="C99" s="37" t="s">
        <v>191</v>
      </c>
      <c r="D99" s="42" t="s">
        <v>193</v>
      </c>
      <c r="E99" s="88" t="s">
        <v>195</v>
      </c>
      <c r="F99" s="322">
        <v>3.28</v>
      </c>
      <c r="G99" s="338">
        <v>6.6699999999999997E-3</v>
      </c>
      <c r="H99" s="307" t="s">
        <v>201</v>
      </c>
      <c r="I99" s="41">
        <v>0.01</v>
      </c>
      <c r="J99" s="303">
        <f>F99/K4</f>
        <v>393.59999999999997</v>
      </c>
      <c r="K99" s="33">
        <f>G99*(1+I99)*J99</f>
        <v>2.6515651199999999</v>
      </c>
      <c r="L99" s="1" t="s">
        <v>163</v>
      </c>
      <c r="N99" s="176" t="s">
        <v>157</v>
      </c>
      <c r="O99" s="275"/>
      <c r="P99" s="275"/>
      <c r="Q99" s="296">
        <v>226.37</v>
      </c>
      <c r="R99" s="297">
        <v>480.96</v>
      </c>
      <c r="AL99" s="1">
        <v>0.2525</v>
      </c>
    </row>
    <row r="100" spans="2:38">
      <c r="B100" s="164"/>
      <c r="C100" s="202" t="s">
        <v>188</v>
      </c>
      <c r="D100" s="42" t="s">
        <v>112</v>
      </c>
      <c r="E100" s="88" t="s">
        <v>166</v>
      </c>
      <c r="F100" s="307"/>
      <c r="G100" s="77">
        <v>1.85941</v>
      </c>
      <c r="H100" s="202" t="s">
        <v>167</v>
      </c>
      <c r="I100" s="203">
        <v>0.03</v>
      </c>
      <c r="J100" s="303">
        <f>55182.57/16000</f>
        <v>3.4489106249999999</v>
      </c>
      <c r="K100" s="33">
        <f t="shared" si="40"/>
        <v>6.6053270723881869</v>
      </c>
      <c r="N100" s="176" t="s">
        <v>159</v>
      </c>
      <c r="O100" s="275"/>
      <c r="P100" s="275"/>
      <c r="Q100" s="296">
        <v>304.55</v>
      </c>
      <c r="R100" s="297">
        <v>781.96</v>
      </c>
      <c r="AL100" s="1">
        <v>5.5414000000000003</v>
      </c>
    </row>
    <row r="101" spans="2:38">
      <c r="B101" s="164"/>
      <c r="C101" s="37" t="s">
        <v>187</v>
      </c>
      <c r="D101" s="42" t="s">
        <v>198</v>
      </c>
      <c r="E101" s="42" t="s">
        <v>166</v>
      </c>
      <c r="F101" s="302">
        <v>3.2689999999999997E-2</v>
      </c>
      <c r="G101" s="77">
        <f>1.85+0.06+0.09</f>
        <v>2</v>
      </c>
      <c r="H101" s="42" t="s">
        <v>76</v>
      </c>
      <c r="I101" s="30">
        <v>0.01</v>
      </c>
      <c r="J101" s="312">
        <f>F101/K4</f>
        <v>3.9227999999999996</v>
      </c>
      <c r="K101" s="33">
        <f t="shared" si="40"/>
        <v>7.9240559999999993</v>
      </c>
      <c r="N101" s="171" t="s">
        <v>160</v>
      </c>
      <c r="O101" s="304"/>
      <c r="P101" s="304"/>
      <c r="Q101" s="305">
        <v>226.37</v>
      </c>
      <c r="R101" s="306">
        <v>480.96</v>
      </c>
      <c r="S101" s="1" t="s">
        <v>161</v>
      </c>
      <c r="AL101" s="1">
        <v>1.236</v>
      </c>
    </row>
    <row r="102" spans="2:38">
      <c r="B102" s="164"/>
      <c r="C102" s="202" t="s">
        <v>220</v>
      </c>
      <c r="D102" s="42" t="s">
        <v>112</v>
      </c>
      <c r="E102" s="88" t="s">
        <v>221</v>
      </c>
      <c r="F102" s="322"/>
      <c r="G102" s="70">
        <v>1</v>
      </c>
      <c r="H102" s="202" t="s">
        <v>67</v>
      </c>
      <c r="I102" s="41">
        <v>0.01</v>
      </c>
      <c r="J102" s="303">
        <v>14</v>
      </c>
      <c r="K102" s="33">
        <f t="shared" si="40"/>
        <v>14.14</v>
      </c>
      <c r="AL102" s="1">
        <v>10.180800000000001</v>
      </c>
    </row>
    <row r="103" spans="2:38" ht="15" customHeight="1">
      <c r="B103" s="164"/>
      <c r="C103" s="129" t="s">
        <v>246</v>
      </c>
      <c r="D103" s="42" t="s">
        <v>112</v>
      </c>
      <c r="E103" s="88" t="s">
        <v>247</v>
      </c>
      <c r="F103" s="302"/>
      <c r="G103" s="77">
        <v>5.0299999999999997E-3</v>
      </c>
      <c r="H103" s="42" t="s">
        <v>167</v>
      </c>
      <c r="I103" s="41">
        <v>0.03</v>
      </c>
      <c r="J103" s="303">
        <f>10993.48/2000</f>
        <v>5.49674</v>
      </c>
      <c r="K103" s="33">
        <f t="shared" si="40"/>
        <v>2.8478060265999996E-2</v>
      </c>
      <c r="N103" s="5" t="s">
        <v>164</v>
      </c>
      <c r="Q103" s="309">
        <v>12</v>
      </c>
      <c r="R103" s="310" t="s">
        <v>165</v>
      </c>
      <c r="AL103" s="1">
        <v>3.3936000000000002</v>
      </c>
    </row>
    <row r="104" spans="2:38">
      <c r="B104" s="164"/>
      <c r="C104" s="37" t="s">
        <v>199</v>
      </c>
      <c r="D104" s="42" t="s">
        <v>112</v>
      </c>
      <c r="E104" s="42" t="s">
        <v>200</v>
      </c>
      <c r="F104" s="302"/>
      <c r="G104" s="70">
        <v>1</v>
      </c>
      <c r="H104" s="32" t="s">
        <v>76</v>
      </c>
      <c r="I104" s="30">
        <v>0.01</v>
      </c>
      <c r="J104" s="303">
        <v>5</v>
      </c>
      <c r="K104" s="33">
        <f t="shared" si="40"/>
        <v>5.05</v>
      </c>
      <c r="L104" s="1">
        <v>440.83200000000005</v>
      </c>
      <c r="M104" s="311"/>
      <c r="AL104" s="1">
        <v>1.0117679040000001</v>
      </c>
    </row>
    <row r="105" spans="2:38">
      <c r="B105" s="164"/>
      <c r="C105" s="32" t="s">
        <v>248</v>
      </c>
      <c r="D105" s="202" t="s">
        <v>197</v>
      </c>
      <c r="E105" s="315" t="s">
        <v>265</v>
      </c>
      <c r="F105" s="316">
        <v>6.5799999999999997E-2</v>
      </c>
      <c r="G105" s="70">
        <v>1</v>
      </c>
      <c r="H105" s="32" t="s">
        <v>76</v>
      </c>
      <c r="I105" s="30">
        <v>0.01</v>
      </c>
      <c r="J105" s="303">
        <f>F105/K4</f>
        <v>7.8959999999999999</v>
      </c>
      <c r="K105" s="33">
        <f t="shared" si="40"/>
        <v>7.9749600000000003</v>
      </c>
      <c r="AL105" s="1">
        <v>7.881631758000001</v>
      </c>
    </row>
    <row r="106" spans="2:38">
      <c r="B106" s="164"/>
      <c r="C106" s="129" t="s">
        <v>269</v>
      </c>
      <c r="D106" s="42" t="s">
        <v>218</v>
      </c>
      <c r="E106" s="327" t="s">
        <v>270</v>
      </c>
      <c r="F106" s="316">
        <v>2.8070000000000001E-2</v>
      </c>
      <c r="G106" s="314">
        <v>1</v>
      </c>
      <c r="H106" s="42" t="s">
        <v>76</v>
      </c>
      <c r="I106" s="41">
        <v>0.01</v>
      </c>
      <c r="J106" s="303">
        <f>F106/K4</f>
        <v>3.3684000000000003</v>
      </c>
      <c r="K106" s="33">
        <f t="shared" si="40"/>
        <v>3.4020840000000003</v>
      </c>
      <c r="AL106" s="1">
        <v>7.2415094339622649E-2</v>
      </c>
    </row>
    <row r="107" spans="2:38">
      <c r="B107" s="164"/>
      <c r="C107" s="32"/>
      <c r="D107" s="202"/>
      <c r="E107" s="328"/>
      <c r="F107" s="316"/>
      <c r="G107" s="70"/>
      <c r="H107" s="32"/>
      <c r="I107" s="30"/>
      <c r="J107" s="303"/>
      <c r="K107" s="33"/>
      <c r="L107" s="1" t="s">
        <v>169</v>
      </c>
      <c r="AL107" s="1">
        <v>12.59268</v>
      </c>
    </row>
    <row r="108" spans="2:38" ht="15" thickBot="1">
      <c r="B108" s="164"/>
      <c r="C108" s="164"/>
      <c r="D108" s="45"/>
      <c r="E108" s="327"/>
      <c r="F108" s="329"/>
      <c r="G108" s="46"/>
      <c r="H108" s="45"/>
      <c r="I108" s="41"/>
      <c r="J108" s="330"/>
      <c r="K108" s="80"/>
    </row>
    <row r="109" spans="2:38" ht="15.75" thickBot="1">
      <c r="B109" s="89" t="s">
        <v>46</v>
      </c>
      <c r="C109" s="61"/>
      <c r="D109" s="61"/>
      <c r="E109" s="62"/>
      <c r="F109" s="61"/>
      <c r="G109" s="61"/>
      <c r="H109" s="61"/>
      <c r="I109" s="61"/>
      <c r="J109" s="179" t="s">
        <v>170</v>
      </c>
      <c r="K109" s="93">
        <f>SUM(K96:K108)</f>
        <v>48.05873352208976</v>
      </c>
      <c r="AL109" s="1">
        <v>60.383194756339627</v>
      </c>
    </row>
    <row r="111" spans="2:38">
      <c r="J111" s="317" t="s">
        <v>171</v>
      </c>
      <c r="K111" s="5">
        <f>K43+K55+K60+K83+K95+K109</f>
        <v>509.23840640563901</v>
      </c>
      <c r="AL111" s="1">
        <v>631.2517031119844</v>
      </c>
    </row>
    <row r="112" spans="2:38">
      <c r="B112" s="5"/>
      <c r="D112" s="5"/>
      <c r="E112" s="318"/>
      <c r="G112" s="5"/>
      <c r="H112" s="5"/>
      <c r="J112" s="19" t="s">
        <v>172</v>
      </c>
      <c r="K112" s="228">
        <f>SUMIF(D34:D109,"=FAS",K34:K109)</f>
        <v>166.67455513265415</v>
      </c>
      <c r="AL112" s="1">
        <v>231.53080490800002</v>
      </c>
    </row>
    <row r="113" spans="10:38">
      <c r="J113" s="317" t="s">
        <v>173</v>
      </c>
      <c r="K113" s="228">
        <f>K111-K112</f>
        <v>342.56385127298483</v>
      </c>
      <c r="AL113" s="1">
        <v>399.72089820398435</v>
      </c>
    </row>
    <row r="115" spans="10:38">
      <c r="J115" s="317" t="s">
        <v>174</v>
      </c>
      <c r="K115" s="5">
        <f>X47+X66+X75</f>
        <v>79.478872917703697</v>
      </c>
      <c r="AL115" s="1">
        <v>103.09416509259258</v>
      </c>
    </row>
  </sheetData>
  <mergeCells count="10">
    <mergeCell ref="B28:C28"/>
    <mergeCell ref="AA33:AD33"/>
    <mergeCell ref="N93:R93"/>
    <mergeCell ref="B4:C4"/>
    <mergeCell ref="D4:G4"/>
    <mergeCell ref="B2:C2"/>
    <mergeCell ref="D2:G2"/>
    <mergeCell ref="B3:C3"/>
    <mergeCell ref="D3:G3"/>
    <mergeCell ref="B7:C7"/>
  </mergeCells>
  <phoneticPr fontId="16" type="noConversion"/>
  <printOptions horizontalCentered="1"/>
  <pageMargins left="0.46" right="0.46" top="0.16" bottom="0.16" header="0.16" footer="0.16"/>
  <pageSetup paperSize="9" scale="37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TMR033 22ch JP</vt:lpstr>
      <vt:lpstr>TMR033 20ch JP B</vt:lpstr>
      <vt:lpstr>'TMR033 20ch JP B'!Print_Area</vt:lpstr>
      <vt:lpstr>'TMR033 22ch JP'!Print_Area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Cherry Erquiza</dc:creator>
  <cp:lastModifiedBy>Carlo Sotomayor</cp:lastModifiedBy>
  <cp:lastPrinted>2017-05-29T11:40:49Z</cp:lastPrinted>
  <dcterms:created xsi:type="dcterms:W3CDTF">2017-05-25T01:38:44Z</dcterms:created>
  <dcterms:modified xsi:type="dcterms:W3CDTF">2019-08-15T02:56:47Z</dcterms:modified>
</cp:coreProperties>
</file>